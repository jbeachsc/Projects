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4627" documentId="8_{94374330-8E57-4BF1-BA5A-A2D6E61ED8E1}" xr6:coauthVersionLast="47" xr6:coauthVersionMax="47" xr10:uidLastSave="{7FB61BDA-A558-4A13-A12D-5046977F2214}"/>
  <bookViews>
    <workbookView xWindow="-120" yWindow="-120" windowWidth="29040" windowHeight="15840" activeTab="2" xr2:uid="{B7160913-C58D-4B00-B611-0B600A1B0B17}"/>
  </bookViews>
  <sheets>
    <sheet name="Originals" sheetId="4" r:id="rId1"/>
    <sheet name="Scott" sheetId="12" r:id="rId2"/>
    <sheet name="Scott-Vin Compare" sheetId="19" r:id="rId3"/>
    <sheet name="Cmb Run" sheetId="13" r:id="rId4"/>
    <sheet name="Cmb Dev" sheetId="15" r:id="rId5"/>
    <sheet name="Cross-Ref" sheetId="17" r:id="rId6"/>
    <sheet name="Cross-Ref Man" sheetId="18" r:id="rId7"/>
    <sheet name="Install Diff" sheetId="3" r:id="rId8"/>
    <sheet name="MAX Originals" sheetId="6" r:id="rId9"/>
    <sheet name="MAX Cross Ref" sheetId="7" r:id="rId10"/>
  </sheets>
  <definedNames>
    <definedName name="_xlnm._FilterDatabase" localSheetId="4" hidden="1">'Cmb Dev'!$A$3:$I$3</definedName>
    <definedName name="_xlnm._FilterDatabase" localSheetId="3" hidden="1">'Cmb Run'!$A$3:$I$3</definedName>
    <definedName name="_xlnm._FilterDatabase" localSheetId="5" hidden="1">'Cross-Ref'!$A$3:$I$3</definedName>
    <definedName name="_xlnm._FilterDatabase" localSheetId="6" hidden="1">'Cross-Ref Man'!$A$3:$N$329</definedName>
    <definedName name="_xlnm._FilterDatabase" localSheetId="7" hidden="1">'Install Diff'!$A$3:$H$141</definedName>
    <definedName name="_xlnm._FilterDatabase" localSheetId="9" hidden="1">'MAX Cross Ref'!$A$3:$P$117</definedName>
    <definedName name="_xlnm._FilterDatabase" localSheetId="0" hidden="1">Originals!$A$3:$I$399</definedName>
    <definedName name="_xlnm._FilterDatabase" localSheetId="1" hidden="1">Scott!$A$3:$I$203</definedName>
    <definedName name="_xlnm._FilterDatabase" localSheetId="2" hidden="1">'Scott-Vin Compare'!$A$1:$J$405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7" i="12" l="1"/>
  <c r="B2" i="19"/>
  <c r="C2" i="19"/>
  <c r="D2" i="19"/>
  <c r="E2" i="19"/>
  <c r="F2" i="19"/>
  <c r="G2" i="19"/>
  <c r="H2" i="19"/>
  <c r="I2" i="19"/>
  <c r="B4" i="19"/>
  <c r="C4" i="19"/>
  <c r="D4" i="19"/>
  <c r="E4" i="19"/>
  <c r="F4" i="19"/>
  <c r="G4" i="19"/>
  <c r="H4" i="19"/>
  <c r="I4" i="19"/>
  <c r="B6" i="19"/>
  <c r="C6" i="19"/>
  <c r="D6" i="19"/>
  <c r="E6" i="19"/>
  <c r="F6" i="19"/>
  <c r="G6" i="19"/>
  <c r="H6" i="19"/>
  <c r="I6" i="19"/>
  <c r="B8" i="19"/>
  <c r="C8" i="19"/>
  <c r="D8" i="19"/>
  <c r="E8" i="19"/>
  <c r="F8" i="19"/>
  <c r="G8" i="19"/>
  <c r="H8" i="19"/>
  <c r="I8" i="19"/>
  <c r="B11" i="19"/>
  <c r="C11" i="19"/>
  <c r="D11" i="19"/>
  <c r="E11" i="19"/>
  <c r="F11" i="19"/>
  <c r="G11" i="19"/>
  <c r="H11" i="19"/>
  <c r="I11" i="19"/>
  <c r="B12" i="19"/>
  <c r="C12" i="19"/>
  <c r="D12" i="19"/>
  <c r="E12" i="19"/>
  <c r="F12" i="19"/>
  <c r="G12" i="19"/>
  <c r="H12" i="19"/>
  <c r="I12" i="19"/>
  <c r="B13" i="19"/>
  <c r="C13" i="19"/>
  <c r="D13" i="19"/>
  <c r="E13" i="19"/>
  <c r="F13" i="19"/>
  <c r="G13" i="19"/>
  <c r="H13" i="19"/>
  <c r="I13" i="19"/>
  <c r="B15" i="19"/>
  <c r="C15" i="19"/>
  <c r="D15" i="19"/>
  <c r="E15" i="19"/>
  <c r="F15" i="19"/>
  <c r="G15" i="19"/>
  <c r="H15" i="19"/>
  <c r="I15" i="19"/>
  <c r="B16" i="19"/>
  <c r="C16" i="19"/>
  <c r="D16" i="19"/>
  <c r="E16" i="19"/>
  <c r="F16" i="19"/>
  <c r="G16" i="19"/>
  <c r="H16" i="19"/>
  <c r="I16" i="19"/>
  <c r="B18" i="19"/>
  <c r="C18" i="19"/>
  <c r="D18" i="19"/>
  <c r="E18" i="19"/>
  <c r="F18" i="19"/>
  <c r="G18" i="19"/>
  <c r="H18" i="19"/>
  <c r="I18" i="19"/>
  <c r="B20" i="19"/>
  <c r="C20" i="19"/>
  <c r="D20" i="19"/>
  <c r="E20" i="19"/>
  <c r="F20" i="19"/>
  <c r="G20" i="19"/>
  <c r="H20" i="19"/>
  <c r="I20" i="19"/>
  <c r="B22" i="19"/>
  <c r="C22" i="19"/>
  <c r="D22" i="19"/>
  <c r="E22" i="19"/>
  <c r="F22" i="19"/>
  <c r="G22" i="19"/>
  <c r="H22" i="19"/>
  <c r="I22" i="19"/>
  <c r="B24" i="19"/>
  <c r="C24" i="19"/>
  <c r="D24" i="19"/>
  <c r="E24" i="19"/>
  <c r="F24" i="19"/>
  <c r="G24" i="19"/>
  <c r="H24" i="19"/>
  <c r="I24" i="19"/>
  <c r="B26" i="19"/>
  <c r="C26" i="19"/>
  <c r="D26" i="19"/>
  <c r="E26" i="19"/>
  <c r="F26" i="19"/>
  <c r="G26" i="19"/>
  <c r="H26" i="19"/>
  <c r="I26" i="19"/>
  <c r="B27" i="19"/>
  <c r="C27" i="19"/>
  <c r="D27" i="19"/>
  <c r="E27" i="19"/>
  <c r="F27" i="19"/>
  <c r="G27" i="19"/>
  <c r="H27" i="19"/>
  <c r="I27" i="19"/>
  <c r="B29" i="19"/>
  <c r="C29" i="19"/>
  <c r="D29" i="19"/>
  <c r="E29" i="19"/>
  <c r="F29" i="19"/>
  <c r="G29" i="19"/>
  <c r="H29" i="19"/>
  <c r="I29" i="19"/>
  <c r="B32" i="19"/>
  <c r="C32" i="19"/>
  <c r="D32" i="19"/>
  <c r="E32" i="19"/>
  <c r="F32" i="19"/>
  <c r="G32" i="19"/>
  <c r="H32" i="19"/>
  <c r="I32" i="19"/>
  <c r="B34" i="19"/>
  <c r="C34" i="19"/>
  <c r="D34" i="19"/>
  <c r="E34" i="19"/>
  <c r="F34" i="19"/>
  <c r="G34" i="19"/>
  <c r="H34" i="19"/>
  <c r="I34" i="19"/>
  <c r="B36" i="19"/>
  <c r="C36" i="19"/>
  <c r="D36" i="19"/>
  <c r="E36" i="19"/>
  <c r="F36" i="19"/>
  <c r="G36" i="19"/>
  <c r="H36" i="19"/>
  <c r="I36" i="19"/>
  <c r="B38" i="19"/>
  <c r="C38" i="19"/>
  <c r="D38" i="19"/>
  <c r="E38" i="19"/>
  <c r="F38" i="19"/>
  <c r="G38" i="19"/>
  <c r="H38" i="19"/>
  <c r="I38" i="19"/>
  <c r="B41" i="19"/>
  <c r="C41" i="19"/>
  <c r="D41" i="19"/>
  <c r="E41" i="19"/>
  <c r="F41" i="19"/>
  <c r="G41" i="19"/>
  <c r="H41" i="19"/>
  <c r="I41" i="19"/>
  <c r="B43" i="19"/>
  <c r="C43" i="19"/>
  <c r="D43" i="19"/>
  <c r="E43" i="19"/>
  <c r="F43" i="19"/>
  <c r="G43" i="19"/>
  <c r="H43" i="19"/>
  <c r="I43" i="19"/>
  <c r="B45" i="19"/>
  <c r="C45" i="19"/>
  <c r="D45" i="19"/>
  <c r="E45" i="19"/>
  <c r="F45" i="19"/>
  <c r="G45" i="19"/>
  <c r="H45" i="19"/>
  <c r="I45" i="19"/>
  <c r="B47" i="19"/>
  <c r="C47" i="19"/>
  <c r="D47" i="19"/>
  <c r="E47" i="19"/>
  <c r="F47" i="19"/>
  <c r="G47" i="19"/>
  <c r="H47" i="19"/>
  <c r="I47" i="19"/>
  <c r="B49" i="19"/>
  <c r="C49" i="19"/>
  <c r="D49" i="19"/>
  <c r="E49" i="19"/>
  <c r="F49" i="19"/>
  <c r="G49" i="19"/>
  <c r="H49" i="19"/>
  <c r="I49" i="19"/>
  <c r="B51" i="19"/>
  <c r="C51" i="19"/>
  <c r="D51" i="19"/>
  <c r="E51" i="19"/>
  <c r="F51" i="19"/>
  <c r="G51" i="19"/>
  <c r="H51" i="19"/>
  <c r="I51" i="19"/>
  <c r="B53" i="19"/>
  <c r="C53" i="19"/>
  <c r="D53" i="19"/>
  <c r="E53" i="19"/>
  <c r="F53" i="19"/>
  <c r="G53" i="19"/>
  <c r="H53" i="19"/>
  <c r="I53" i="19"/>
  <c r="B55" i="19"/>
  <c r="C55" i="19"/>
  <c r="D55" i="19"/>
  <c r="E55" i="19"/>
  <c r="F55" i="19"/>
  <c r="G55" i="19"/>
  <c r="H55" i="19"/>
  <c r="I55" i="19"/>
  <c r="B57" i="19"/>
  <c r="C57" i="19"/>
  <c r="D57" i="19"/>
  <c r="E57" i="19"/>
  <c r="F57" i="19"/>
  <c r="G57" i="19"/>
  <c r="H57" i="19"/>
  <c r="I57" i="19"/>
  <c r="B59" i="19"/>
  <c r="C59" i="19"/>
  <c r="D59" i="19"/>
  <c r="E59" i="19"/>
  <c r="F59" i="19"/>
  <c r="G59" i="19"/>
  <c r="H59" i="19"/>
  <c r="I59" i="19"/>
  <c r="B64" i="19"/>
  <c r="C64" i="19"/>
  <c r="D64" i="19"/>
  <c r="E64" i="19"/>
  <c r="F64" i="19"/>
  <c r="G64" i="19"/>
  <c r="H64" i="19"/>
  <c r="I64" i="19"/>
  <c r="B66" i="19"/>
  <c r="C66" i="19"/>
  <c r="D66" i="19"/>
  <c r="E66" i="19"/>
  <c r="F66" i="19"/>
  <c r="G66" i="19"/>
  <c r="H66" i="19"/>
  <c r="I66" i="19"/>
  <c r="B67" i="19"/>
  <c r="C67" i="19"/>
  <c r="D67" i="19"/>
  <c r="E67" i="19"/>
  <c r="F67" i="19"/>
  <c r="G67" i="19"/>
  <c r="H67" i="19"/>
  <c r="I67" i="19"/>
  <c r="B71" i="19"/>
  <c r="C71" i="19"/>
  <c r="D71" i="19"/>
  <c r="E71" i="19"/>
  <c r="F71" i="19"/>
  <c r="G71" i="19"/>
  <c r="H71" i="19"/>
  <c r="I71" i="19"/>
  <c r="B73" i="19"/>
  <c r="C73" i="19"/>
  <c r="D73" i="19"/>
  <c r="E73" i="19"/>
  <c r="F73" i="19"/>
  <c r="G73" i="19"/>
  <c r="H73" i="19"/>
  <c r="I73" i="19"/>
  <c r="B75" i="19"/>
  <c r="C75" i="19"/>
  <c r="D75" i="19"/>
  <c r="E75" i="19"/>
  <c r="F75" i="19"/>
  <c r="G75" i="19"/>
  <c r="H75" i="19"/>
  <c r="I75" i="19"/>
  <c r="B78" i="19"/>
  <c r="C78" i="19"/>
  <c r="D78" i="19"/>
  <c r="E78" i="19"/>
  <c r="F78" i="19"/>
  <c r="G78" i="19"/>
  <c r="H78" i="19"/>
  <c r="I78" i="19"/>
  <c r="B88" i="19"/>
  <c r="C88" i="19"/>
  <c r="D88" i="19"/>
  <c r="E88" i="19"/>
  <c r="F88" i="19"/>
  <c r="G88" i="19"/>
  <c r="H88" i="19"/>
  <c r="I88" i="19"/>
  <c r="B89" i="19"/>
  <c r="C89" i="19"/>
  <c r="D89" i="19"/>
  <c r="E89" i="19"/>
  <c r="F89" i="19"/>
  <c r="G89" i="19"/>
  <c r="H89" i="19"/>
  <c r="I89" i="19"/>
  <c r="B90" i="19"/>
  <c r="C90" i="19"/>
  <c r="D90" i="19"/>
  <c r="E90" i="19"/>
  <c r="F90" i="19"/>
  <c r="G90" i="19"/>
  <c r="H90" i="19"/>
  <c r="I90" i="19"/>
  <c r="B91" i="19"/>
  <c r="C91" i="19"/>
  <c r="D91" i="19"/>
  <c r="E91" i="19"/>
  <c r="F91" i="19"/>
  <c r="G91" i="19"/>
  <c r="H91" i="19"/>
  <c r="I91" i="19"/>
  <c r="B92" i="19"/>
  <c r="C92" i="19"/>
  <c r="D92" i="19"/>
  <c r="E92" i="19"/>
  <c r="F92" i="19"/>
  <c r="G92" i="19"/>
  <c r="H92" i="19"/>
  <c r="I92" i="19"/>
  <c r="B93" i="19"/>
  <c r="C93" i="19"/>
  <c r="D93" i="19"/>
  <c r="E93" i="19"/>
  <c r="F93" i="19"/>
  <c r="G93" i="19"/>
  <c r="H93" i="19"/>
  <c r="I93" i="19"/>
  <c r="B94" i="19"/>
  <c r="C94" i="19"/>
  <c r="D94" i="19"/>
  <c r="E94" i="19"/>
  <c r="F94" i="19"/>
  <c r="G94" i="19"/>
  <c r="H94" i="19"/>
  <c r="I94" i="19"/>
  <c r="B95" i="19"/>
  <c r="C95" i="19"/>
  <c r="D95" i="19"/>
  <c r="E95" i="19"/>
  <c r="F95" i="19"/>
  <c r="G95" i="19"/>
  <c r="H95" i="19"/>
  <c r="I95" i="19"/>
  <c r="B96" i="19"/>
  <c r="C96" i="19"/>
  <c r="D96" i="19"/>
  <c r="E96" i="19"/>
  <c r="F96" i="19"/>
  <c r="G96" i="19"/>
  <c r="H96" i="19"/>
  <c r="I96" i="19"/>
  <c r="B97" i="19"/>
  <c r="C97" i="19"/>
  <c r="D97" i="19"/>
  <c r="E97" i="19"/>
  <c r="F97" i="19"/>
  <c r="G97" i="19"/>
  <c r="H97" i="19"/>
  <c r="I97" i="19"/>
  <c r="B98" i="19"/>
  <c r="C98" i="19"/>
  <c r="D98" i="19"/>
  <c r="E98" i="19"/>
  <c r="F98" i="19"/>
  <c r="G98" i="19"/>
  <c r="H98" i="19"/>
  <c r="I98" i="19"/>
  <c r="B99" i="19"/>
  <c r="C99" i="19"/>
  <c r="D99" i="19"/>
  <c r="E99" i="19"/>
  <c r="F99" i="19"/>
  <c r="G99" i="19"/>
  <c r="H99" i="19"/>
  <c r="I99" i="19"/>
  <c r="B100" i="19"/>
  <c r="C100" i="19"/>
  <c r="D100" i="19"/>
  <c r="E100" i="19"/>
  <c r="F100" i="19"/>
  <c r="G100" i="19"/>
  <c r="H100" i="19"/>
  <c r="I100" i="19"/>
  <c r="B103" i="19"/>
  <c r="C103" i="19"/>
  <c r="D103" i="19"/>
  <c r="E103" i="19"/>
  <c r="F103" i="19"/>
  <c r="G103" i="19"/>
  <c r="H103" i="19"/>
  <c r="I103" i="19"/>
  <c r="B104" i="19"/>
  <c r="C104" i="19"/>
  <c r="D104" i="19"/>
  <c r="E104" i="19"/>
  <c r="F104" i="19"/>
  <c r="G104" i="19"/>
  <c r="H104" i="19"/>
  <c r="I104" i="19"/>
  <c r="B106" i="19"/>
  <c r="C106" i="19"/>
  <c r="D106" i="19"/>
  <c r="E106" i="19"/>
  <c r="F106" i="19"/>
  <c r="G106" i="19"/>
  <c r="H106" i="19"/>
  <c r="I106" i="19"/>
  <c r="B110" i="19"/>
  <c r="C110" i="19"/>
  <c r="D110" i="19"/>
  <c r="E110" i="19"/>
  <c r="F110" i="19"/>
  <c r="G110" i="19"/>
  <c r="H110" i="19"/>
  <c r="I110" i="19"/>
  <c r="B116" i="19"/>
  <c r="C116" i="19"/>
  <c r="D116" i="19"/>
  <c r="E116" i="19"/>
  <c r="F116" i="19"/>
  <c r="G116" i="19"/>
  <c r="H116" i="19"/>
  <c r="I116" i="19"/>
  <c r="B117" i="19"/>
  <c r="C117" i="19"/>
  <c r="D117" i="19"/>
  <c r="E117" i="19"/>
  <c r="F117" i="19"/>
  <c r="G117" i="19"/>
  <c r="H117" i="19"/>
  <c r="I117" i="19"/>
  <c r="B121" i="19"/>
  <c r="C121" i="19"/>
  <c r="D121" i="19"/>
  <c r="E121" i="19"/>
  <c r="F121" i="19"/>
  <c r="G121" i="19"/>
  <c r="H121" i="19"/>
  <c r="I121" i="19"/>
  <c r="B125" i="19"/>
  <c r="C125" i="19"/>
  <c r="D125" i="19"/>
  <c r="E125" i="19"/>
  <c r="F125" i="19"/>
  <c r="G125" i="19"/>
  <c r="H125" i="19"/>
  <c r="I125" i="19"/>
  <c r="B127" i="19"/>
  <c r="C127" i="19"/>
  <c r="D127" i="19"/>
  <c r="E127" i="19"/>
  <c r="F127" i="19"/>
  <c r="G127" i="19"/>
  <c r="H127" i="19"/>
  <c r="I127" i="19"/>
  <c r="B129" i="19"/>
  <c r="C129" i="19"/>
  <c r="D129" i="19"/>
  <c r="E129" i="19"/>
  <c r="F129" i="19"/>
  <c r="G129" i="19"/>
  <c r="H129" i="19"/>
  <c r="I129" i="19"/>
  <c r="B131" i="19"/>
  <c r="C131" i="19"/>
  <c r="D131" i="19"/>
  <c r="E131" i="19"/>
  <c r="F131" i="19"/>
  <c r="G131" i="19"/>
  <c r="H131" i="19"/>
  <c r="I131" i="19"/>
  <c r="B133" i="19"/>
  <c r="C133" i="19"/>
  <c r="D133" i="19"/>
  <c r="E133" i="19"/>
  <c r="F133" i="19"/>
  <c r="G133" i="19"/>
  <c r="H133" i="19"/>
  <c r="I133" i="19"/>
  <c r="B135" i="19"/>
  <c r="C135" i="19"/>
  <c r="D135" i="19"/>
  <c r="E135" i="19"/>
  <c r="F135" i="19"/>
  <c r="G135" i="19"/>
  <c r="H135" i="19"/>
  <c r="I135" i="19"/>
  <c r="B137" i="19"/>
  <c r="C137" i="19"/>
  <c r="D137" i="19"/>
  <c r="E137" i="19"/>
  <c r="F137" i="19"/>
  <c r="G137" i="19"/>
  <c r="H137" i="19"/>
  <c r="I137" i="19"/>
  <c r="B139" i="19"/>
  <c r="C139" i="19"/>
  <c r="D139" i="19"/>
  <c r="E139" i="19"/>
  <c r="F139" i="19"/>
  <c r="G139" i="19"/>
  <c r="H139" i="19"/>
  <c r="I139" i="19"/>
  <c r="B141" i="19"/>
  <c r="C141" i="19"/>
  <c r="D141" i="19"/>
  <c r="E141" i="19"/>
  <c r="F141" i="19"/>
  <c r="G141" i="19"/>
  <c r="H141" i="19"/>
  <c r="I141" i="19"/>
  <c r="B143" i="19"/>
  <c r="C143" i="19"/>
  <c r="D143" i="19"/>
  <c r="E143" i="19"/>
  <c r="F143" i="19"/>
  <c r="G143" i="19"/>
  <c r="H143" i="19"/>
  <c r="I143" i="19"/>
  <c r="B145" i="19"/>
  <c r="C145" i="19"/>
  <c r="D145" i="19"/>
  <c r="E145" i="19"/>
  <c r="F145" i="19"/>
  <c r="G145" i="19"/>
  <c r="H145" i="19"/>
  <c r="I145" i="19"/>
  <c r="B147" i="19"/>
  <c r="C147" i="19"/>
  <c r="D147" i="19"/>
  <c r="E147" i="19"/>
  <c r="F147" i="19"/>
  <c r="G147" i="19"/>
  <c r="H147" i="19"/>
  <c r="I147" i="19"/>
  <c r="B149" i="19"/>
  <c r="C149" i="19"/>
  <c r="D149" i="19"/>
  <c r="E149" i="19"/>
  <c r="F149" i="19"/>
  <c r="G149" i="19"/>
  <c r="H149" i="19"/>
  <c r="I149" i="19"/>
  <c r="B151" i="19"/>
  <c r="C151" i="19"/>
  <c r="D151" i="19"/>
  <c r="E151" i="19"/>
  <c r="F151" i="19"/>
  <c r="G151" i="19"/>
  <c r="H151" i="19"/>
  <c r="I151" i="19"/>
  <c r="B153" i="19"/>
  <c r="C153" i="19"/>
  <c r="D153" i="19"/>
  <c r="E153" i="19"/>
  <c r="F153" i="19"/>
  <c r="G153" i="19"/>
  <c r="H153" i="19"/>
  <c r="I153" i="19"/>
  <c r="B155" i="19"/>
  <c r="C155" i="19"/>
  <c r="D155" i="19"/>
  <c r="E155" i="19"/>
  <c r="F155" i="19"/>
  <c r="G155" i="19"/>
  <c r="H155" i="19"/>
  <c r="I155" i="19"/>
  <c r="B157" i="19"/>
  <c r="C157" i="19"/>
  <c r="D157" i="19"/>
  <c r="E157" i="19"/>
  <c r="F157" i="19"/>
  <c r="G157" i="19"/>
  <c r="H157" i="19"/>
  <c r="I157" i="19"/>
  <c r="B159" i="19"/>
  <c r="C159" i="19"/>
  <c r="D159" i="19"/>
  <c r="E159" i="19"/>
  <c r="F159" i="19"/>
  <c r="G159" i="19"/>
  <c r="H159" i="19"/>
  <c r="I159" i="19"/>
  <c r="B161" i="19"/>
  <c r="C161" i="19"/>
  <c r="D161" i="19"/>
  <c r="E161" i="19"/>
  <c r="F161" i="19"/>
  <c r="G161" i="19"/>
  <c r="H161" i="19"/>
  <c r="I161" i="19"/>
  <c r="B163" i="19"/>
  <c r="C163" i="19"/>
  <c r="D163" i="19"/>
  <c r="E163" i="19"/>
  <c r="F163" i="19"/>
  <c r="G163" i="19"/>
  <c r="H163" i="19"/>
  <c r="I163" i="19"/>
  <c r="B165" i="19"/>
  <c r="C165" i="19"/>
  <c r="D165" i="19"/>
  <c r="E165" i="19"/>
  <c r="F165" i="19"/>
  <c r="G165" i="19"/>
  <c r="H165" i="19"/>
  <c r="I165" i="19"/>
  <c r="B167" i="19"/>
  <c r="C167" i="19"/>
  <c r="D167" i="19"/>
  <c r="E167" i="19"/>
  <c r="F167" i="19"/>
  <c r="G167" i="19"/>
  <c r="H167" i="19"/>
  <c r="I167" i="19"/>
  <c r="B169" i="19"/>
  <c r="C169" i="19"/>
  <c r="D169" i="19"/>
  <c r="E169" i="19"/>
  <c r="F169" i="19"/>
  <c r="G169" i="19"/>
  <c r="H169" i="19"/>
  <c r="I169" i="19"/>
  <c r="B171" i="19"/>
  <c r="C171" i="19"/>
  <c r="D171" i="19"/>
  <c r="E171" i="19"/>
  <c r="F171" i="19"/>
  <c r="G171" i="19"/>
  <c r="H171" i="19"/>
  <c r="I171" i="19"/>
  <c r="B173" i="19"/>
  <c r="C173" i="19"/>
  <c r="D173" i="19"/>
  <c r="E173" i="19"/>
  <c r="F173" i="19"/>
  <c r="G173" i="19"/>
  <c r="H173" i="19"/>
  <c r="I173" i="19"/>
  <c r="B175" i="19"/>
  <c r="C175" i="19"/>
  <c r="D175" i="19"/>
  <c r="E175" i="19"/>
  <c r="F175" i="19"/>
  <c r="G175" i="19"/>
  <c r="H175" i="19"/>
  <c r="I175" i="19"/>
  <c r="B177" i="19"/>
  <c r="C177" i="19"/>
  <c r="D177" i="19"/>
  <c r="E177" i="19"/>
  <c r="F177" i="19"/>
  <c r="G177" i="19"/>
  <c r="H177" i="19"/>
  <c r="I177" i="19"/>
  <c r="B179" i="19"/>
  <c r="C179" i="19"/>
  <c r="D179" i="19"/>
  <c r="E179" i="19"/>
  <c r="F179" i="19"/>
  <c r="G179" i="19"/>
  <c r="H179" i="19"/>
  <c r="I179" i="19"/>
  <c r="B181" i="19"/>
  <c r="C181" i="19"/>
  <c r="D181" i="19"/>
  <c r="E181" i="19"/>
  <c r="F181" i="19"/>
  <c r="G181" i="19"/>
  <c r="H181" i="19"/>
  <c r="I181" i="19"/>
  <c r="B183" i="19"/>
  <c r="C183" i="19"/>
  <c r="D183" i="19"/>
  <c r="E183" i="19"/>
  <c r="F183" i="19"/>
  <c r="G183" i="19"/>
  <c r="H183" i="19"/>
  <c r="I183" i="19"/>
  <c r="B188" i="19"/>
  <c r="C188" i="19"/>
  <c r="D188" i="19"/>
  <c r="E188" i="19"/>
  <c r="F188" i="19"/>
  <c r="G188" i="19"/>
  <c r="H188" i="19"/>
  <c r="I188" i="19"/>
  <c r="B190" i="19"/>
  <c r="C190" i="19"/>
  <c r="D190" i="19"/>
  <c r="E190" i="19"/>
  <c r="F190" i="19"/>
  <c r="G190" i="19"/>
  <c r="H190" i="19"/>
  <c r="I190" i="19"/>
  <c r="B193" i="19"/>
  <c r="C193" i="19"/>
  <c r="D193" i="19"/>
  <c r="E193" i="19"/>
  <c r="F193" i="19"/>
  <c r="G193" i="19"/>
  <c r="H193" i="19"/>
  <c r="I193" i="19"/>
  <c r="B195" i="19"/>
  <c r="C195" i="19"/>
  <c r="D195" i="19"/>
  <c r="E195" i="19"/>
  <c r="F195" i="19"/>
  <c r="G195" i="19"/>
  <c r="H195" i="19"/>
  <c r="I195" i="19"/>
  <c r="B199" i="19"/>
  <c r="C199" i="19"/>
  <c r="D199" i="19"/>
  <c r="E199" i="19"/>
  <c r="F199" i="19"/>
  <c r="G199" i="19"/>
  <c r="H199" i="19"/>
  <c r="I199" i="19"/>
  <c r="B197" i="19"/>
  <c r="C197" i="19"/>
  <c r="D197" i="19"/>
  <c r="E197" i="19"/>
  <c r="F197" i="19"/>
  <c r="G197" i="19"/>
  <c r="H197" i="19"/>
  <c r="I197" i="19"/>
  <c r="B201" i="19"/>
  <c r="C201" i="19"/>
  <c r="D201" i="19"/>
  <c r="E201" i="19"/>
  <c r="F201" i="19"/>
  <c r="G201" i="19"/>
  <c r="H201" i="19"/>
  <c r="I201" i="19"/>
  <c r="B213" i="19"/>
  <c r="C213" i="19"/>
  <c r="D213" i="19"/>
  <c r="E213" i="19"/>
  <c r="F213" i="19"/>
  <c r="G213" i="19"/>
  <c r="H213" i="19"/>
  <c r="I213" i="19"/>
  <c r="B203" i="19"/>
  <c r="C203" i="19"/>
  <c r="D203" i="19"/>
  <c r="E203" i="19"/>
  <c r="F203" i="19"/>
  <c r="G203" i="19"/>
  <c r="H203" i="19"/>
  <c r="I203" i="19"/>
  <c r="B205" i="19"/>
  <c r="C205" i="19"/>
  <c r="D205" i="19"/>
  <c r="E205" i="19"/>
  <c r="F205" i="19"/>
  <c r="G205" i="19"/>
  <c r="H205" i="19"/>
  <c r="I205" i="19"/>
  <c r="B207" i="19"/>
  <c r="C207" i="19"/>
  <c r="D207" i="19"/>
  <c r="E207" i="19"/>
  <c r="F207" i="19"/>
  <c r="G207" i="19"/>
  <c r="H207" i="19"/>
  <c r="I207" i="19"/>
  <c r="B209" i="19"/>
  <c r="C209" i="19"/>
  <c r="D209" i="19"/>
  <c r="E209" i="19"/>
  <c r="F209" i="19"/>
  <c r="G209" i="19"/>
  <c r="H209" i="19"/>
  <c r="I209" i="19"/>
  <c r="B211" i="19"/>
  <c r="C211" i="19"/>
  <c r="D211" i="19"/>
  <c r="E211" i="19"/>
  <c r="F211" i="19"/>
  <c r="G211" i="19"/>
  <c r="H211" i="19"/>
  <c r="I211" i="19"/>
  <c r="B215" i="19"/>
  <c r="C215" i="19"/>
  <c r="D215" i="19"/>
  <c r="E215" i="19"/>
  <c r="F215" i="19"/>
  <c r="G215" i="19"/>
  <c r="H215" i="19"/>
  <c r="I215" i="19"/>
  <c r="B222" i="19"/>
  <c r="C222" i="19"/>
  <c r="D222" i="19"/>
  <c r="E222" i="19"/>
  <c r="F222" i="19"/>
  <c r="G222" i="19"/>
  <c r="H222" i="19"/>
  <c r="I222" i="19"/>
  <c r="B223" i="19"/>
  <c r="C223" i="19"/>
  <c r="D223" i="19"/>
  <c r="E223" i="19"/>
  <c r="F223" i="19"/>
  <c r="G223" i="19"/>
  <c r="H223" i="19"/>
  <c r="I223" i="19"/>
  <c r="B225" i="19"/>
  <c r="C225" i="19"/>
  <c r="D225" i="19"/>
  <c r="E225" i="19"/>
  <c r="F225" i="19"/>
  <c r="G225" i="19"/>
  <c r="H225" i="19"/>
  <c r="I225" i="19"/>
  <c r="B227" i="19"/>
  <c r="C227" i="19"/>
  <c r="D227" i="19"/>
  <c r="E227" i="19"/>
  <c r="F227" i="19"/>
  <c r="G227" i="19"/>
  <c r="H227" i="19"/>
  <c r="I227" i="19"/>
  <c r="B229" i="19"/>
  <c r="C229" i="19"/>
  <c r="D229" i="19"/>
  <c r="E229" i="19"/>
  <c r="F229" i="19"/>
  <c r="G229" i="19"/>
  <c r="H229" i="19"/>
  <c r="I229" i="19"/>
  <c r="B231" i="19"/>
  <c r="C231" i="19"/>
  <c r="D231" i="19"/>
  <c r="E231" i="19"/>
  <c r="F231" i="19"/>
  <c r="G231" i="19"/>
  <c r="H231" i="19"/>
  <c r="I231" i="19"/>
  <c r="B232" i="19"/>
  <c r="C232" i="19"/>
  <c r="D232" i="19"/>
  <c r="E232" i="19"/>
  <c r="F232" i="19"/>
  <c r="G232" i="19"/>
  <c r="H232" i="19"/>
  <c r="I232" i="19"/>
  <c r="B233" i="19"/>
  <c r="C233" i="19"/>
  <c r="D233" i="19"/>
  <c r="E233" i="19"/>
  <c r="F233" i="19"/>
  <c r="G233" i="19"/>
  <c r="H233" i="19"/>
  <c r="I233" i="19"/>
  <c r="B234" i="19"/>
  <c r="C234" i="19"/>
  <c r="D234" i="19"/>
  <c r="E234" i="19"/>
  <c r="F234" i="19"/>
  <c r="G234" i="19"/>
  <c r="H234" i="19"/>
  <c r="I234" i="19"/>
  <c r="B235" i="19"/>
  <c r="C235" i="19"/>
  <c r="D235" i="19"/>
  <c r="E235" i="19"/>
  <c r="F235" i="19"/>
  <c r="G235" i="19"/>
  <c r="H235" i="19"/>
  <c r="I235" i="19"/>
  <c r="B236" i="19"/>
  <c r="C236" i="19"/>
  <c r="D236" i="19"/>
  <c r="E236" i="19"/>
  <c r="F236" i="19"/>
  <c r="G236" i="19"/>
  <c r="H236" i="19"/>
  <c r="I236" i="19"/>
  <c r="B237" i="19"/>
  <c r="C237" i="19"/>
  <c r="D237" i="19"/>
  <c r="E237" i="19"/>
  <c r="F237" i="19"/>
  <c r="G237" i="19"/>
  <c r="H237" i="19"/>
  <c r="I237" i="19"/>
  <c r="B238" i="19"/>
  <c r="C238" i="19"/>
  <c r="D238" i="19"/>
  <c r="E238" i="19"/>
  <c r="F238" i="19"/>
  <c r="G238" i="19"/>
  <c r="H238" i="19"/>
  <c r="I238" i="19"/>
  <c r="B239" i="19"/>
  <c r="C239" i="19"/>
  <c r="D239" i="19"/>
  <c r="E239" i="19"/>
  <c r="F239" i="19"/>
  <c r="G239" i="19"/>
  <c r="H239" i="19"/>
  <c r="I239" i="19"/>
  <c r="B240" i="19"/>
  <c r="C240" i="19"/>
  <c r="D240" i="19"/>
  <c r="E240" i="19"/>
  <c r="F240" i="19"/>
  <c r="G240" i="19"/>
  <c r="H240" i="19"/>
  <c r="I240" i="19"/>
  <c r="B241" i="19"/>
  <c r="C241" i="19"/>
  <c r="D241" i="19"/>
  <c r="E241" i="19"/>
  <c r="F241" i="19"/>
  <c r="G241" i="19"/>
  <c r="H241" i="19"/>
  <c r="I241" i="19"/>
  <c r="B242" i="19"/>
  <c r="C242" i="19"/>
  <c r="D242" i="19"/>
  <c r="E242" i="19"/>
  <c r="F242" i="19"/>
  <c r="G242" i="19"/>
  <c r="H242" i="19"/>
  <c r="I242" i="19"/>
  <c r="B243" i="19"/>
  <c r="C243" i="19"/>
  <c r="D243" i="19"/>
  <c r="E243" i="19"/>
  <c r="F243" i="19"/>
  <c r="G243" i="19"/>
  <c r="H243" i="19"/>
  <c r="I243" i="19"/>
  <c r="B244" i="19"/>
  <c r="C244" i="19"/>
  <c r="D244" i="19"/>
  <c r="E244" i="19"/>
  <c r="F244" i="19"/>
  <c r="G244" i="19"/>
  <c r="H244" i="19"/>
  <c r="I244" i="19"/>
  <c r="B245" i="19"/>
  <c r="C245" i="19"/>
  <c r="D245" i="19"/>
  <c r="E245" i="19"/>
  <c r="F245" i="19"/>
  <c r="G245" i="19"/>
  <c r="H245" i="19"/>
  <c r="I245" i="19"/>
  <c r="B246" i="19"/>
  <c r="C246" i="19"/>
  <c r="D246" i="19"/>
  <c r="E246" i="19"/>
  <c r="F246" i="19"/>
  <c r="G246" i="19"/>
  <c r="H246" i="19"/>
  <c r="I246" i="19"/>
  <c r="B247" i="19"/>
  <c r="C247" i="19"/>
  <c r="D247" i="19"/>
  <c r="E247" i="19"/>
  <c r="F247" i="19"/>
  <c r="G247" i="19"/>
  <c r="H247" i="19"/>
  <c r="I247" i="19"/>
  <c r="B248" i="19"/>
  <c r="C248" i="19"/>
  <c r="D248" i="19"/>
  <c r="E248" i="19"/>
  <c r="F248" i="19"/>
  <c r="G248" i="19"/>
  <c r="H248" i="19"/>
  <c r="I248" i="19"/>
  <c r="B249" i="19"/>
  <c r="C249" i="19"/>
  <c r="D249" i="19"/>
  <c r="E249" i="19"/>
  <c r="F249" i="19"/>
  <c r="G249" i="19"/>
  <c r="H249" i="19"/>
  <c r="I249" i="19"/>
  <c r="B250" i="19"/>
  <c r="C250" i="19"/>
  <c r="D250" i="19"/>
  <c r="E250" i="19"/>
  <c r="F250" i="19"/>
  <c r="G250" i="19"/>
  <c r="H250" i="19"/>
  <c r="I250" i="19"/>
  <c r="B251" i="19"/>
  <c r="C251" i="19"/>
  <c r="D251" i="19"/>
  <c r="E251" i="19"/>
  <c r="F251" i="19"/>
  <c r="G251" i="19"/>
  <c r="H251" i="19"/>
  <c r="I251" i="19"/>
  <c r="B254" i="19"/>
  <c r="C254" i="19"/>
  <c r="D254" i="19"/>
  <c r="E254" i="19"/>
  <c r="F254" i="19"/>
  <c r="G254" i="19"/>
  <c r="H254" i="19"/>
  <c r="I254" i="19"/>
  <c r="B255" i="19"/>
  <c r="C255" i="19"/>
  <c r="D255" i="19"/>
  <c r="E255" i="19"/>
  <c r="F255" i="19"/>
  <c r="G255" i="19"/>
  <c r="H255" i="19"/>
  <c r="I255" i="19"/>
  <c r="B259" i="19"/>
  <c r="C259" i="19"/>
  <c r="D259" i="19"/>
  <c r="E259" i="19"/>
  <c r="F259" i="19"/>
  <c r="G259" i="19"/>
  <c r="H259" i="19"/>
  <c r="I259" i="19"/>
  <c r="B260" i="19"/>
  <c r="C260" i="19"/>
  <c r="D260" i="19"/>
  <c r="E260" i="19"/>
  <c r="F260" i="19"/>
  <c r="G260" i="19"/>
  <c r="H260" i="19"/>
  <c r="I260" i="19"/>
  <c r="B264" i="19"/>
  <c r="C264" i="19"/>
  <c r="D264" i="19"/>
  <c r="E264" i="19"/>
  <c r="F264" i="19"/>
  <c r="G264" i="19"/>
  <c r="H264" i="19"/>
  <c r="I264" i="19"/>
  <c r="B265" i="19"/>
  <c r="C265" i="19"/>
  <c r="D265" i="19"/>
  <c r="E265" i="19"/>
  <c r="F265" i="19"/>
  <c r="G265" i="19"/>
  <c r="H265" i="19"/>
  <c r="I265" i="19"/>
  <c r="B270" i="19"/>
  <c r="C270" i="19"/>
  <c r="D270" i="19"/>
  <c r="E270" i="19"/>
  <c r="F270" i="19"/>
  <c r="G270" i="19"/>
  <c r="H270" i="19"/>
  <c r="I270" i="19"/>
  <c r="B272" i="19"/>
  <c r="C272" i="19"/>
  <c r="D272" i="19"/>
  <c r="E272" i="19"/>
  <c r="F272" i="19"/>
  <c r="G272" i="19"/>
  <c r="H272" i="19"/>
  <c r="I272" i="19"/>
  <c r="B276" i="19"/>
  <c r="C276" i="19"/>
  <c r="D276" i="19"/>
  <c r="E276" i="19"/>
  <c r="F276" i="19"/>
  <c r="G276" i="19"/>
  <c r="H276" i="19"/>
  <c r="I276" i="19"/>
  <c r="B278" i="19"/>
  <c r="C278" i="19"/>
  <c r="D278" i="19"/>
  <c r="E278" i="19"/>
  <c r="F278" i="19"/>
  <c r="G278" i="19"/>
  <c r="H278" i="19"/>
  <c r="I278" i="19"/>
  <c r="B279" i="19"/>
  <c r="C279" i="19"/>
  <c r="D279" i="19"/>
  <c r="E279" i="19"/>
  <c r="F279" i="19"/>
  <c r="G279" i="19"/>
  <c r="H279" i="19"/>
  <c r="I279" i="19"/>
  <c r="B280" i="19"/>
  <c r="C280" i="19"/>
  <c r="D280" i="19"/>
  <c r="E280" i="19"/>
  <c r="F280" i="19"/>
  <c r="G280" i="19"/>
  <c r="H280" i="19"/>
  <c r="I280" i="19"/>
  <c r="B281" i="19"/>
  <c r="C281" i="19"/>
  <c r="D281" i="19"/>
  <c r="E281" i="19"/>
  <c r="F281" i="19"/>
  <c r="G281" i="19"/>
  <c r="H281" i="19"/>
  <c r="I281" i="19"/>
  <c r="B282" i="19"/>
  <c r="C282" i="19"/>
  <c r="D282" i="19"/>
  <c r="E282" i="19"/>
  <c r="F282" i="19"/>
  <c r="G282" i="19"/>
  <c r="H282" i="19"/>
  <c r="I282" i="19"/>
  <c r="B284" i="19"/>
  <c r="C284" i="19"/>
  <c r="D284" i="19"/>
  <c r="E284" i="19"/>
  <c r="F284" i="19"/>
  <c r="G284" i="19"/>
  <c r="H284" i="19"/>
  <c r="I284" i="19"/>
  <c r="B286" i="19"/>
  <c r="C286" i="19"/>
  <c r="D286" i="19"/>
  <c r="E286" i="19"/>
  <c r="F286" i="19"/>
  <c r="G286" i="19"/>
  <c r="H286" i="19"/>
  <c r="I286" i="19"/>
  <c r="B287" i="19"/>
  <c r="C287" i="19"/>
  <c r="D287" i="19"/>
  <c r="E287" i="19"/>
  <c r="F287" i="19"/>
  <c r="G287" i="19"/>
  <c r="H287" i="19"/>
  <c r="I287" i="19"/>
  <c r="B288" i="19"/>
  <c r="C288" i="19"/>
  <c r="D288" i="19"/>
  <c r="E288" i="19"/>
  <c r="F288" i="19"/>
  <c r="G288" i="19"/>
  <c r="H288" i="19"/>
  <c r="I288" i="19"/>
  <c r="B289" i="19"/>
  <c r="C289" i="19"/>
  <c r="D289" i="19"/>
  <c r="E289" i="19"/>
  <c r="F289" i="19"/>
  <c r="G289" i="19"/>
  <c r="H289" i="19"/>
  <c r="I289" i="19"/>
  <c r="B290" i="19"/>
  <c r="C290" i="19"/>
  <c r="D290" i="19"/>
  <c r="E290" i="19"/>
  <c r="F290" i="19"/>
  <c r="G290" i="19"/>
  <c r="H290" i="19"/>
  <c r="I290" i="19"/>
  <c r="B291" i="19"/>
  <c r="C291" i="19"/>
  <c r="D291" i="19"/>
  <c r="E291" i="19"/>
  <c r="F291" i="19"/>
  <c r="G291" i="19"/>
  <c r="H291" i="19"/>
  <c r="I291" i="19"/>
  <c r="B294" i="19"/>
  <c r="C294" i="19"/>
  <c r="D294" i="19"/>
  <c r="E294" i="19"/>
  <c r="F294" i="19"/>
  <c r="G294" i="19"/>
  <c r="H294" i="19"/>
  <c r="I294" i="19"/>
  <c r="B295" i="19"/>
  <c r="C295" i="19"/>
  <c r="D295" i="19"/>
  <c r="E295" i="19"/>
  <c r="F295" i="19"/>
  <c r="G295" i="19"/>
  <c r="H295" i="19"/>
  <c r="I295" i="19"/>
  <c r="B297" i="19"/>
  <c r="C297" i="19"/>
  <c r="D297" i="19"/>
  <c r="E297" i="19"/>
  <c r="F297" i="19"/>
  <c r="G297" i="19"/>
  <c r="H297" i="19"/>
  <c r="I297" i="19"/>
  <c r="B299" i="19"/>
  <c r="C299" i="19"/>
  <c r="D299" i="19"/>
  <c r="E299" i="19"/>
  <c r="F299" i="19"/>
  <c r="G299" i="19"/>
  <c r="H299" i="19"/>
  <c r="I299" i="19"/>
  <c r="B303" i="19"/>
  <c r="C303" i="19"/>
  <c r="D303" i="19"/>
  <c r="E303" i="19"/>
  <c r="F303" i="19"/>
  <c r="G303" i="19"/>
  <c r="H303" i="19"/>
  <c r="I303" i="19"/>
  <c r="B304" i="19"/>
  <c r="C304" i="19"/>
  <c r="D304" i="19"/>
  <c r="E304" i="19"/>
  <c r="F304" i="19"/>
  <c r="G304" i="19"/>
  <c r="H304" i="19"/>
  <c r="I304" i="19"/>
  <c r="B306" i="19"/>
  <c r="C306" i="19"/>
  <c r="D306" i="19"/>
  <c r="E306" i="19"/>
  <c r="F306" i="19"/>
  <c r="G306" i="19"/>
  <c r="H306" i="19"/>
  <c r="I306" i="19"/>
  <c r="B308" i="19"/>
  <c r="C308" i="19"/>
  <c r="D308" i="19"/>
  <c r="E308" i="19"/>
  <c r="F308" i="19"/>
  <c r="G308" i="19"/>
  <c r="H308" i="19"/>
  <c r="I308" i="19"/>
  <c r="B312" i="19"/>
  <c r="C312" i="19"/>
  <c r="D312" i="19"/>
  <c r="E312" i="19"/>
  <c r="F312" i="19"/>
  <c r="G312" i="19"/>
  <c r="H312" i="19"/>
  <c r="I312" i="19"/>
  <c r="B313" i="19"/>
  <c r="C313" i="19"/>
  <c r="D313" i="19"/>
  <c r="E313" i="19"/>
  <c r="F313" i="19"/>
  <c r="G313" i="19"/>
  <c r="H313" i="19"/>
  <c r="I313" i="19"/>
  <c r="B315" i="19"/>
  <c r="C315" i="19"/>
  <c r="D315" i="19"/>
  <c r="E315" i="19"/>
  <c r="F315" i="19"/>
  <c r="G315" i="19"/>
  <c r="H315" i="19"/>
  <c r="I315" i="19"/>
  <c r="B317" i="19"/>
  <c r="C317" i="19"/>
  <c r="D317" i="19"/>
  <c r="E317" i="19"/>
  <c r="F317" i="19"/>
  <c r="G317" i="19"/>
  <c r="H317" i="19"/>
  <c r="I317" i="19"/>
  <c r="B319" i="19"/>
  <c r="C319" i="19"/>
  <c r="D319" i="19"/>
  <c r="E319" i="19"/>
  <c r="F319" i="19"/>
  <c r="G319" i="19"/>
  <c r="H319" i="19"/>
  <c r="I319" i="19"/>
  <c r="B321" i="19"/>
  <c r="C321" i="19"/>
  <c r="D321" i="19"/>
  <c r="E321" i="19"/>
  <c r="F321" i="19"/>
  <c r="G321" i="19"/>
  <c r="H321" i="19"/>
  <c r="I321" i="19"/>
  <c r="B323" i="19"/>
  <c r="C323" i="19"/>
  <c r="D323" i="19"/>
  <c r="E323" i="19"/>
  <c r="F323" i="19"/>
  <c r="G323" i="19"/>
  <c r="H323" i="19"/>
  <c r="I323" i="19"/>
  <c r="B325" i="19"/>
  <c r="C325" i="19"/>
  <c r="D325" i="19"/>
  <c r="E325" i="19"/>
  <c r="F325" i="19"/>
  <c r="G325" i="19"/>
  <c r="H325" i="19"/>
  <c r="I325" i="19"/>
  <c r="B327" i="19"/>
  <c r="C327" i="19"/>
  <c r="D327" i="19"/>
  <c r="E327" i="19"/>
  <c r="F327" i="19"/>
  <c r="G327" i="19"/>
  <c r="H327" i="19"/>
  <c r="I327" i="19"/>
  <c r="B329" i="19"/>
  <c r="C329" i="19"/>
  <c r="D329" i="19"/>
  <c r="E329" i="19"/>
  <c r="F329" i="19"/>
  <c r="G329" i="19"/>
  <c r="H329" i="19"/>
  <c r="I329" i="19"/>
  <c r="B331" i="19"/>
  <c r="C331" i="19"/>
  <c r="D331" i="19"/>
  <c r="E331" i="19"/>
  <c r="F331" i="19"/>
  <c r="G331" i="19"/>
  <c r="H331" i="19"/>
  <c r="I331" i="19"/>
  <c r="B333" i="19"/>
  <c r="C333" i="19"/>
  <c r="D333" i="19"/>
  <c r="E333" i="19"/>
  <c r="F333" i="19"/>
  <c r="G333" i="19"/>
  <c r="H333" i="19"/>
  <c r="I333" i="19"/>
  <c r="B335" i="19"/>
  <c r="C335" i="19"/>
  <c r="D335" i="19"/>
  <c r="E335" i="19"/>
  <c r="F335" i="19"/>
  <c r="G335" i="19"/>
  <c r="H335" i="19"/>
  <c r="I335" i="19"/>
  <c r="B337" i="19"/>
  <c r="C337" i="19"/>
  <c r="D337" i="19"/>
  <c r="E337" i="19"/>
  <c r="F337" i="19"/>
  <c r="G337" i="19"/>
  <c r="H337" i="19"/>
  <c r="I337" i="19"/>
  <c r="B339" i="19"/>
  <c r="C339" i="19"/>
  <c r="D339" i="19"/>
  <c r="E339" i="19"/>
  <c r="F339" i="19"/>
  <c r="G339" i="19"/>
  <c r="H339" i="19"/>
  <c r="I339" i="19"/>
  <c r="B341" i="19"/>
  <c r="C341" i="19"/>
  <c r="D341" i="19"/>
  <c r="E341" i="19"/>
  <c r="F341" i="19"/>
  <c r="G341" i="19"/>
  <c r="H341" i="19"/>
  <c r="I341" i="19"/>
  <c r="B343" i="19"/>
  <c r="C343" i="19"/>
  <c r="D343" i="19"/>
  <c r="E343" i="19"/>
  <c r="F343" i="19"/>
  <c r="G343" i="19"/>
  <c r="H343" i="19"/>
  <c r="I343" i="19"/>
  <c r="B345" i="19"/>
  <c r="C345" i="19"/>
  <c r="D345" i="19"/>
  <c r="E345" i="19"/>
  <c r="F345" i="19"/>
  <c r="G345" i="19"/>
  <c r="H345" i="19"/>
  <c r="I345" i="19"/>
  <c r="B347" i="19"/>
  <c r="C347" i="19"/>
  <c r="D347" i="19"/>
  <c r="E347" i="19"/>
  <c r="F347" i="19"/>
  <c r="G347" i="19"/>
  <c r="H347" i="19"/>
  <c r="I347" i="19"/>
  <c r="B349" i="19"/>
  <c r="C349" i="19"/>
  <c r="D349" i="19"/>
  <c r="E349" i="19"/>
  <c r="F349" i="19"/>
  <c r="G349" i="19"/>
  <c r="H349" i="19"/>
  <c r="I349" i="19"/>
  <c r="B351" i="19"/>
  <c r="C351" i="19"/>
  <c r="D351" i="19"/>
  <c r="E351" i="19"/>
  <c r="F351" i="19"/>
  <c r="G351" i="19"/>
  <c r="H351" i="19"/>
  <c r="I351" i="19"/>
  <c r="B353" i="19"/>
  <c r="C353" i="19"/>
  <c r="D353" i="19"/>
  <c r="E353" i="19"/>
  <c r="F353" i="19"/>
  <c r="G353" i="19"/>
  <c r="H353" i="19"/>
  <c r="I353" i="19"/>
  <c r="B355" i="19"/>
  <c r="C355" i="19"/>
  <c r="D355" i="19"/>
  <c r="E355" i="19"/>
  <c r="F355" i="19"/>
  <c r="G355" i="19"/>
  <c r="H355" i="19"/>
  <c r="I355" i="19"/>
  <c r="B357" i="19"/>
  <c r="C357" i="19"/>
  <c r="D357" i="19"/>
  <c r="E357" i="19"/>
  <c r="F357" i="19"/>
  <c r="G357" i="19"/>
  <c r="H357" i="19"/>
  <c r="I357" i="19"/>
  <c r="B360" i="19"/>
  <c r="C360" i="19"/>
  <c r="D360" i="19"/>
  <c r="E360" i="19"/>
  <c r="F360" i="19"/>
  <c r="G360" i="19"/>
  <c r="H360" i="19"/>
  <c r="I360" i="19"/>
  <c r="B362" i="19"/>
  <c r="C362" i="19"/>
  <c r="D362" i="19"/>
  <c r="E362" i="19"/>
  <c r="F362" i="19"/>
  <c r="G362" i="19"/>
  <c r="H362" i="19"/>
  <c r="I362" i="19"/>
  <c r="B364" i="19"/>
  <c r="C364" i="19"/>
  <c r="D364" i="19"/>
  <c r="E364" i="19"/>
  <c r="F364" i="19"/>
  <c r="G364" i="19"/>
  <c r="H364" i="19"/>
  <c r="I364" i="19"/>
  <c r="B365" i="19"/>
  <c r="C365" i="19"/>
  <c r="D365" i="19"/>
  <c r="E365" i="19"/>
  <c r="F365" i="19"/>
  <c r="G365" i="19"/>
  <c r="H365" i="19"/>
  <c r="I365" i="19"/>
  <c r="B366" i="19"/>
  <c r="C366" i="19"/>
  <c r="D366" i="19"/>
  <c r="E366" i="19"/>
  <c r="F366" i="19"/>
  <c r="G366" i="19"/>
  <c r="H366" i="19"/>
  <c r="I366" i="19"/>
  <c r="B369" i="19"/>
  <c r="C369" i="19"/>
  <c r="D369" i="19"/>
  <c r="E369" i="19"/>
  <c r="F369" i="19"/>
  <c r="G369" i="19"/>
  <c r="H369" i="19"/>
  <c r="I369" i="19"/>
  <c r="B370" i="19"/>
  <c r="C370" i="19"/>
  <c r="D370" i="19"/>
  <c r="E370" i="19"/>
  <c r="F370" i="19"/>
  <c r="G370" i="19"/>
  <c r="H370" i="19"/>
  <c r="I370" i="19"/>
  <c r="B371" i="19"/>
  <c r="C371" i="19"/>
  <c r="D371" i="19"/>
  <c r="E371" i="19"/>
  <c r="F371" i="19"/>
  <c r="G371" i="19"/>
  <c r="H371" i="19"/>
  <c r="I371" i="19"/>
  <c r="B373" i="19"/>
  <c r="C373" i="19"/>
  <c r="D373" i="19"/>
  <c r="E373" i="19"/>
  <c r="F373" i="19"/>
  <c r="G373" i="19"/>
  <c r="H373" i="19"/>
  <c r="I373" i="19"/>
  <c r="B375" i="19"/>
  <c r="C375" i="19"/>
  <c r="D375" i="19"/>
  <c r="E375" i="19"/>
  <c r="F375" i="19"/>
  <c r="G375" i="19"/>
  <c r="H375" i="19"/>
  <c r="I375" i="19"/>
  <c r="B377" i="19"/>
  <c r="C377" i="19"/>
  <c r="D377" i="19"/>
  <c r="E377" i="19"/>
  <c r="F377" i="19"/>
  <c r="G377" i="19"/>
  <c r="H377" i="19"/>
  <c r="I377" i="19"/>
  <c r="B379" i="19"/>
  <c r="C379" i="19"/>
  <c r="D379" i="19"/>
  <c r="E379" i="19"/>
  <c r="F379" i="19"/>
  <c r="G379" i="19"/>
  <c r="H379" i="19"/>
  <c r="I379" i="19"/>
  <c r="B381" i="19"/>
  <c r="C381" i="19"/>
  <c r="D381" i="19"/>
  <c r="E381" i="19"/>
  <c r="F381" i="19"/>
  <c r="G381" i="19"/>
  <c r="H381" i="19"/>
  <c r="I381" i="19"/>
  <c r="B383" i="19"/>
  <c r="C383" i="19"/>
  <c r="D383" i="19"/>
  <c r="E383" i="19"/>
  <c r="F383" i="19"/>
  <c r="G383" i="19"/>
  <c r="H383" i="19"/>
  <c r="I383" i="19"/>
  <c r="B387" i="19"/>
  <c r="C387" i="19"/>
  <c r="D387" i="19"/>
  <c r="E387" i="19"/>
  <c r="F387" i="19"/>
  <c r="G387" i="19"/>
  <c r="H387" i="19"/>
  <c r="I387" i="19"/>
  <c r="B389" i="19"/>
  <c r="C389" i="19"/>
  <c r="D389" i="19"/>
  <c r="E389" i="19"/>
  <c r="F389" i="19"/>
  <c r="G389" i="19"/>
  <c r="H389" i="19"/>
  <c r="I389" i="19"/>
  <c r="B393" i="19"/>
  <c r="C393" i="19"/>
  <c r="D393" i="19"/>
  <c r="E393" i="19"/>
  <c r="F393" i="19"/>
  <c r="G393" i="19"/>
  <c r="H393" i="19"/>
  <c r="I393" i="19"/>
  <c r="B397" i="19"/>
  <c r="C397" i="19"/>
  <c r="D397" i="19"/>
  <c r="E397" i="19"/>
  <c r="F397" i="19"/>
  <c r="G397" i="19"/>
  <c r="H397" i="19"/>
  <c r="I397" i="19"/>
  <c r="B400" i="19"/>
  <c r="C400" i="19"/>
  <c r="D400" i="19"/>
  <c r="E400" i="19"/>
  <c r="F400" i="19"/>
  <c r="G400" i="19"/>
  <c r="H400" i="19"/>
  <c r="I400" i="19"/>
  <c r="B403" i="19"/>
  <c r="C403" i="19"/>
  <c r="D403" i="19"/>
  <c r="E403" i="19"/>
  <c r="F403" i="19"/>
  <c r="G403" i="19"/>
  <c r="H403" i="19"/>
  <c r="I403" i="19"/>
  <c r="B386" i="19"/>
  <c r="C386" i="19"/>
  <c r="D386" i="19"/>
  <c r="E386" i="19"/>
  <c r="F386" i="19"/>
  <c r="G386" i="19"/>
  <c r="H386" i="19"/>
  <c r="I386" i="19"/>
  <c r="A355" i="19"/>
  <c r="A357" i="19"/>
  <c r="A360" i="19"/>
  <c r="A362" i="19"/>
  <c r="A364" i="19"/>
  <c r="A365" i="19"/>
  <c r="A366" i="19"/>
  <c r="A369" i="19"/>
  <c r="A370" i="19"/>
  <c r="A371" i="19"/>
  <c r="A373" i="19"/>
  <c r="A375" i="19"/>
  <c r="A377" i="19"/>
  <c r="A379" i="19"/>
  <c r="A381" i="19"/>
  <c r="A383" i="19"/>
  <c r="A387" i="19"/>
  <c r="A389" i="19"/>
  <c r="A393" i="19"/>
  <c r="A397" i="19"/>
  <c r="A400" i="19"/>
  <c r="A403" i="19"/>
  <c r="A386" i="19"/>
  <c r="A272" i="19"/>
  <c r="A276" i="19"/>
  <c r="A278" i="19"/>
  <c r="A279" i="19"/>
  <c r="A280" i="19"/>
  <c r="A281" i="19"/>
  <c r="A282" i="19"/>
  <c r="A284" i="19"/>
  <c r="A286" i="19"/>
  <c r="A287" i="19"/>
  <c r="A288" i="19"/>
  <c r="A289" i="19"/>
  <c r="A290" i="19"/>
  <c r="A291" i="19"/>
  <c r="A294" i="19"/>
  <c r="A295" i="19"/>
  <c r="A297" i="19"/>
  <c r="A299" i="19"/>
  <c r="A303" i="19"/>
  <c r="A304" i="19"/>
  <c r="A306" i="19"/>
  <c r="A308" i="19"/>
  <c r="A312" i="19"/>
  <c r="A313" i="19"/>
  <c r="A315" i="19"/>
  <c r="A317" i="19"/>
  <c r="A319" i="19"/>
  <c r="A321" i="19"/>
  <c r="A323" i="19"/>
  <c r="A325" i="19"/>
  <c r="A327" i="19"/>
  <c r="A329" i="19"/>
  <c r="A331" i="19"/>
  <c r="A333" i="19"/>
  <c r="A335" i="19"/>
  <c r="A337" i="19"/>
  <c r="A339" i="19"/>
  <c r="A341" i="19"/>
  <c r="A343" i="19"/>
  <c r="A345" i="19"/>
  <c r="A347" i="19"/>
  <c r="A349" i="19"/>
  <c r="A351" i="19"/>
  <c r="A353" i="19"/>
  <c r="A209" i="19"/>
  <c r="A211" i="19"/>
  <c r="A215" i="19"/>
  <c r="A222" i="19"/>
  <c r="A223" i="19"/>
  <c r="A225" i="19"/>
  <c r="A227" i="19"/>
  <c r="A229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4" i="19"/>
  <c r="A255" i="19"/>
  <c r="A259" i="19"/>
  <c r="A260" i="19"/>
  <c r="A264" i="19"/>
  <c r="A265" i="19"/>
  <c r="A270" i="19"/>
  <c r="A4" i="19"/>
  <c r="A6" i="19"/>
  <c r="A8" i="19"/>
  <c r="A11" i="19"/>
  <c r="A12" i="19"/>
  <c r="A13" i="19"/>
  <c r="A15" i="19"/>
  <c r="A16" i="19"/>
  <c r="A18" i="19"/>
  <c r="A20" i="19"/>
  <c r="A22" i="19"/>
  <c r="A24" i="19"/>
  <c r="A26" i="19"/>
  <c r="A27" i="19"/>
  <c r="A29" i="19"/>
  <c r="A32" i="19"/>
  <c r="A34" i="19"/>
  <c r="A36" i="19"/>
  <c r="A38" i="19"/>
  <c r="A41" i="19"/>
  <c r="A43" i="19"/>
  <c r="A45" i="19"/>
  <c r="A47" i="19"/>
  <c r="A49" i="19"/>
  <c r="A51" i="19"/>
  <c r="A53" i="19"/>
  <c r="A55" i="19"/>
  <c r="A57" i="19"/>
  <c r="A59" i="19"/>
  <c r="A64" i="19"/>
  <c r="A66" i="19"/>
  <c r="A67" i="19"/>
  <c r="A71" i="19"/>
  <c r="A73" i="19"/>
  <c r="A75" i="19"/>
  <c r="A78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3" i="19"/>
  <c r="A104" i="19"/>
  <c r="A106" i="19"/>
  <c r="A110" i="19"/>
  <c r="A116" i="19"/>
  <c r="A117" i="19"/>
  <c r="A121" i="19"/>
  <c r="A125" i="19"/>
  <c r="A127" i="19"/>
  <c r="A129" i="19"/>
  <c r="A131" i="19"/>
  <c r="A133" i="19"/>
  <c r="A135" i="19"/>
  <c r="A137" i="19"/>
  <c r="A139" i="19"/>
  <c r="A141" i="19"/>
  <c r="A143" i="19"/>
  <c r="A145" i="19"/>
  <c r="A147" i="19"/>
  <c r="A149" i="19"/>
  <c r="A151" i="19"/>
  <c r="A153" i="19"/>
  <c r="A155" i="19"/>
  <c r="A157" i="19"/>
  <c r="A159" i="19"/>
  <c r="A161" i="19"/>
  <c r="A163" i="19"/>
  <c r="A165" i="19"/>
  <c r="A167" i="19"/>
  <c r="A169" i="19"/>
  <c r="A171" i="19"/>
  <c r="A173" i="19"/>
  <c r="A175" i="19"/>
  <c r="A177" i="19"/>
  <c r="A179" i="19"/>
  <c r="A181" i="19"/>
  <c r="A183" i="19"/>
  <c r="A188" i="19"/>
  <c r="A190" i="19"/>
  <c r="A193" i="19"/>
  <c r="A195" i="19"/>
  <c r="A199" i="19"/>
  <c r="A197" i="19"/>
  <c r="A201" i="19"/>
  <c r="A213" i="19"/>
  <c r="A203" i="19"/>
  <c r="A205" i="19"/>
  <c r="A207" i="19"/>
  <c r="A2" i="19"/>
  <c r="B3" i="19"/>
  <c r="C3" i="19"/>
  <c r="D3" i="19"/>
  <c r="E3" i="19"/>
  <c r="F3" i="19"/>
  <c r="G3" i="19"/>
  <c r="H3" i="19"/>
  <c r="I3" i="19"/>
  <c r="B5" i="19"/>
  <c r="C5" i="19"/>
  <c r="D5" i="19"/>
  <c r="E5" i="19"/>
  <c r="F5" i="19"/>
  <c r="G5" i="19"/>
  <c r="H5" i="19"/>
  <c r="I5" i="19"/>
  <c r="B7" i="19"/>
  <c r="C7" i="19"/>
  <c r="D7" i="19"/>
  <c r="E7" i="19"/>
  <c r="F7" i="19"/>
  <c r="G7" i="19"/>
  <c r="H7" i="19"/>
  <c r="I7" i="19"/>
  <c r="B9" i="19"/>
  <c r="C9" i="19"/>
  <c r="D9" i="19"/>
  <c r="E9" i="19"/>
  <c r="F9" i="19"/>
  <c r="G9" i="19"/>
  <c r="H9" i="19"/>
  <c r="I9" i="19"/>
  <c r="B10" i="19"/>
  <c r="C10" i="19"/>
  <c r="D10" i="19"/>
  <c r="E10" i="19"/>
  <c r="F10" i="19"/>
  <c r="G10" i="19"/>
  <c r="H10" i="19"/>
  <c r="I10" i="19"/>
  <c r="B14" i="19"/>
  <c r="C14" i="19"/>
  <c r="D14" i="19"/>
  <c r="E14" i="19"/>
  <c r="F14" i="19"/>
  <c r="G14" i="19"/>
  <c r="H14" i="19"/>
  <c r="I14" i="19"/>
  <c r="B17" i="19"/>
  <c r="C17" i="19"/>
  <c r="D17" i="19"/>
  <c r="E17" i="19"/>
  <c r="F17" i="19"/>
  <c r="G17" i="19"/>
  <c r="H17" i="19"/>
  <c r="I17" i="19"/>
  <c r="B19" i="19"/>
  <c r="C19" i="19"/>
  <c r="D19" i="19"/>
  <c r="E19" i="19"/>
  <c r="F19" i="19"/>
  <c r="G19" i="19"/>
  <c r="H19" i="19"/>
  <c r="I19" i="19"/>
  <c r="B21" i="19"/>
  <c r="C21" i="19"/>
  <c r="D21" i="19"/>
  <c r="E21" i="19"/>
  <c r="F21" i="19"/>
  <c r="G21" i="19"/>
  <c r="H21" i="19"/>
  <c r="I21" i="19"/>
  <c r="B23" i="19"/>
  <c r="C23" i="19"/>
  <c r="D23" i="19"/>
  <c r="E23" i="19"/>
  <c r="F23" i="19"/>
  <c r="G23" i="19"/>
  <c r="H23" i="19"/>
  <c r="I23" i="19"/>
  <c r="B25" i="19"/>
  <c r="C25" i="19"/>
  <c r="D25" i="19"/>
  <c r="E25" i="19"/>
  <c r="F25" i="19"/>
  <c r="G25" i="19"/>
  <c r="H25" i="19"/>
  <c r="I25" i="19"/>
  <c r="B28" i="19"/>
  <c r="C28" i="19"/>
  <c r="D28" i="19"/>
  <c r="E28" i="19"/>
  <c r="F28" i="19"/>
  <c r="G28" i="19"/>
  <c r="H28" i="19"/>
  <c r="I28" i="19"/>
  <c r="B30" i="19"/>
  <c r="C30" i="19"/>
  <c r="D30" i="19"/>
  <c r="E30" i="19"/>
  <c r="F30" i="19"/>
  <c r="G30" i="19"/>
  <c r="H30" i="19"/>
  <c r="I30" i="19"/>
  <c r="B31" i="19"/>
  <c r="C31" i="19"/>
  <c r="D31" i="19"/>
  <c r="E31" i="19"/>
  <c r="F31" i="19"/>
  <c r="G31" i="19"/>
  <c r="H31" i="19"/>
  <c r="I31" i="19"/>
  <c r="B33" i="19"/>
  <c r="C33" i="19"/>
  <c r="D33" i="19"/>
  <c r="E33" i="19"/>
  <c r="F33" i="19"/>
  <c r="G33" i="19"/>
  <c r="H33" i="19"/>
  <c r="I33" i="19"/>
  <c r="B35" i="19"/>
  <c r="C35" i="19"/>
  <c r="D35" i="19"/>
  <c r="E35" i="19"/>
  <c r="F35" i="19"/>
  <c r="G35" i="19"/>
  <c r="H35" i="19"/>
  <c r="I35" i="19"/>
  <c r="B37" i="19"/>
  <c r="C37" i="19"/>
  <c r="D37" i="19"/>
  <c r="E37" i="19"/>
  <c r="F37" i="19"/>
  <c r="G37" i="19"/>
  <c r="H37" i="19"/>
  <c r="I37" i="19"/>
  <c r="B39" i="19"/>
  <c r="C39" i="19"/>
  <c r="D39" i="19"/>
  <c r="E39" i="19"/>
  <c r="F39" i="19"/>
  <c r="G39" i="19"/>
  <c r="H39" i="19"/>
  <c r="I39" i="19"/>
  <c r="B40" i="19"/>
  <c r="C40" i="19"/>
  <c r="D40" i="19"/>
  <c r="E40" i="19"/>
  <c r="F40" i="19"/>
  <c r="G40" i="19"/>
  <c r="H40" i="19"/>
  <c r="I40" i="19"/>
  <c r="B42" i="19"/>
  <c r="C42" i="19"/>
  <c r="D42" i="19"/>
  <c r="E42" i="19"/>
  <c r="F42" i="19"/>
  <c r="G42" i="19"/>
  <c r="H42" i="19"/>
  <c r="I42" i="19"/>
  <c r="B44" i="19"/>
  <c r="C44" i="19"/>
  <c r="D44" i="19"/>
  <c r="E44" i="19"/>
  <c r="F44" i="19"/>
  <c r="G44" i="19"/>
  <c r="H44" i="19"/>
  <c r="I44" i="19"/>
  <c r="B46" i="19"/>
  <c r="C46" i="19"/>
  <c r="D46" i="19"/>
  <c r="E46" i="19"/>
  <c r="F46" i="19"/>
  <c r="G46" i="19"/>
  <c r="H46" i="19"/>
  <c r="I46" i="19"/>
  <c r="B48" i="19"/>
  <c r="C48" i="19"/>
  <c r="D48" i="19"/>
  <c r="E48" i="19"/>
  <c r="F48" i="19"/>
  <c r="G48" i="19"/>
  <c r="H48" i="19"/>
  <c r="I48" i="19"/>
  <c r="B50" i="19"/>
  <c r="C50" i="19"/>
  <c r="D50" i="19"/>
  <c r="E50" i="19"/>
  <c r="F50" i="19"/>
  <c r="G50" i="19"/>
  <c r="H50" i="19"/>
  <c r="I50" i="19"/>
  <c r="B52" i="19"/>
  <c r="C52" i="19"/>
  <c r="D52" i="19"/>
  <c r="E52" i="19"/>
  <c r="F52" i="19"/>
  <c r="G52" i="19"/>
  <c r="H52" i="19"/>
  <c r="I52" i="19"/>
  <c r="B54" i="19"/>
  <c r="C54" i="19"/>
  <c r="D54" i="19"/>
  <c r="E54" i="19"/>
  <c r="F54" i="19"/>
  <c r="G54" i="19"/>
  <c r="H54" i="19"/>
  <c r="I54" i="19"/>
  <c r="B56" i="19"/>
  <c r="C56" i="19"/>
  <c r="D56" i="19"/>
  <c r="E56" i="19"/>
  <c r="F56" i="19"/>
  <c r="G56" i="19"/>
  <c r="H56" i="19"/>
  <c r="I56" i="19"/>
  <c r="B58" i="19"/>
  <c r="C58" i="19"/>
  <c r="D58" i="19"/>
  <c r="E58" i="19"/>
  <c r="F58" i="19"/>
  <c r="G58" i="19"/>
  <c r="H58" i="19"/>
  <c r="I58" i="19"/>
  <c r="B60" i="19"/>
  <c r="C60" i="19"/>
  <c r="D60" i="19"/>
  <c r="E60" i="19"/>
  <c r="F60" i="19"/>
  <c r="G60" i="19"/>
  <c r="H60" i="19"/>
  <c r="I60" i="19"/>
  <c r="B61" i="19"/>
  <c r="C61" i="19"/>
  <c r="D61" i="19"/>
  <c r="E61" i="19"/>
  <c r="F61" i="19"/>
  <c r="G61" i="19"/>
  <c r="H61" i="19"/>
  <c r="I61" i="19"/>
  <c r="B62" i="19"/>
  <c r="C62" i="19"/>
  <c r="D62" i="19"/>
  <c r="E62" i="19"/>
  <c r="F62" i="19"/>
  <c r="G62" i="19"/>
  <c r="H62" i="19"/>
  <c r="I62" i="19"/>
  <c r="B63" i="19"/>
  <c r="C63" i="19"/>
  <c r="D63" i="19"/>
  <c r="E63" i="19"/>
  <c r="F63" i="19"/>
  <c r="G63" i="19"/>
  <c r="H63" i="19"/>
  <c r="I63" i="19"/>
  <c r="B65" i="19"/>
  <c r="C65" i="19"/>
  <c r="D65" i="19"/>
  <c r="E65" i="19"/>
  <c r="F65" i="19"/>
  <c r="G65" i="19"/>
  <c r="H65" i="19"/>
  <c r="I65" i="19"/>
  <c r="B68" i="19"/>
  <c r="C68" i="19"/>
  <c r="D68" i="19"/>
  <c r="E68" i="19"/>
  <c r="F68" i="19"/>
  <c r="G68" i="19"/>
  <c r="H68" i="19"/>
  <c r="I68" i="19"/>
  <c r="B69" i="19"/>
  <c r="C69" i="19"/>
  <c r="D69" i="19"/>
  <c r="E69" i="19"/>
  <c r="F69" i="19"/>
  <c r="G69" i="19"/>
  <c r="H69" i="19"/>
  <c r="I69" i="19"/>
  <c r="B70" i="19"/>
  <c r="C70" i="19"/>
  <c r="D70" i="19"/>
  <c r="E70" i="19"/>
  <c r="F70" i="19"/>
  <c r="G70" i="19"/>
  <c r="H70" i="19"/>
  <c r="I70" i="19"/>
  <c r="B72" i="19"/>
  <c r="C72" i="19"/>
  <c r="D72" i="19"/>
  <c r="E72" i="19"/>
  <c r="F72" i="19"/>
  <c r="G72" i="19"/>
  <c r="H72" i="19"/>
  <c r="I72" i="19"/>
  <c r="B74" i="19"/>
  <c r="C74" i="19"/>
  <c r="D74" i="19"/>
  <c r="E74" i="19"/>
  <c r="F74" i="19"/>
  <c r="G74" i="19"/>
  <c r="H74" i="19"/>
  <c r="I74" i="19"/>
  <c r="B76" i="19"/>
  <c r="C76" i="19"/>
  <c r="D76" i="19"/>
  <c r="E76" i="19"/>
  <c r="F76" i="19"/>
  <c r="G76" i="19"/>
  <c r="H76" i="19"/>
  <c r="I76" i="19"/>
  <c r="B77" i="19"/>
  <c r="C77" i="19"/>
  <c r="D77" i="19"/>
  <c r="E77" i="19"/>
  <c r="F77" i="19"/>
  <c r="G77" i="19"/>
  <c r="H77" i="19"/>
  <c r="I77" i="19"/>
  <c r="B79" i="19"/>
  <c r="C79" i="19"/>
  <c r="D79" i="19"/>
  <c r="E79" i="19"/>
  <c r="F79" i="19"/>
  <c r="G79" i="19"/>
  <c r="H79" i="19"/>
  <c r="I79" i="19"/>
  <c r="B80" i="19"/>
  <c r="C80" i="19"/>
  <c r="D80" i="19"/>
  <c r="E80" i="19"/>
  <c r="F80" i="19"/>
  <c r="G80" i="19"/>
  <c r="H80" i="19"/>
  <c r="I80" i="19"/>
  <c r="B81" i="19"/>
  <c r="C81" i="19"/>
  <c r="D81" i="19"/>
  <c r="E81" i="19"/>
  <c r="F81" i="19"/>
  <c r="G81" i="19"/>
  <c r="H81" i="19"/>
  <c r="I81" i="19"/>
  <c r="B82" i="19"/>
  <c r="C82" i="19"/>
  <c r="D82" i="19"/>
  <c r="E82" i="19"/>
  <c r="F82" i="19"/>
  <c r="G82" i="19"/>
  <c r="H82" i="19"/>
  <c r="I82" i="19"/>
  <c r="B83" i="19"/>
  <c r="C83" i="19"/>
  <c r="D83" i="19"/>
  <c r="E83" i="19"/>
  <c r="F83" i="19"/>
  <c r="G83" i="19"/>
  <c r="H83" i="19"/>
  <c r="I83" i="19"/>
  <c r="B84" i="19"/>
  <c r="C84" i="19"/>
  <c r="D84" i="19"/>
  <c r="E84" i="19"/>
  <c r="F84" i="19"/>
  <c r="G84" i="19"/>
  <c r="H84" i="19"/>
  <c r="I84" i="19"/>
  <c r="B85" i="19"/>
  <c r="C85" i="19"/>
  <c r="D85" i="19"/>
  <c r="E85" i="19"/>
  <c r="F85" i="19"/>
  <c r="G85" i="19"/>
  <c r="H85" i="19"/>
  <c r="I85" i="19"/>
  <c r="B86" i="19"/>
  <c r="C86" i="19"/>
  <c r="D86" i="19"/>
  <c r="E86" i="19"/>
  <c r="F86" i="19"/>
  <c r="G86" i="19"/>
  <c r="H86" i="19"/>
  <c r="I86" i="19"/>
  <c r="B87" i="19"/>
  <c r="C87" i="19"/>
  <c r="D87" i="19"/>
  <c r="E87" i="19"/>
  <c r="F87" i="19"/>
  <c r="G87" i="19"/>
  <c r="H87" i="19"/>
  <c r="I87" i="19"/>
  <c r="B101" i="19"/>
  <c r="C101" i="19"/>
  <c r="D101" i="19"/>
  <c r="E101" i="19"/>
  <c r="F101" i="19"/>
  <c r="G101" i="19"/>
  <c r="H101" i="19"/>
  <c r="I101" i="19"/>
  <c r="B102" i="19"/>
  <c r="C102" i="19"/>
  <c r="D102" i="19"/>
  <c r="E102" i="19"/>
  <c r="F102" i="19"/>
  <c r="G102" i="19"/>
  <c r="H102" i="19"/>
  <c r="I102" i="19"/>
  <c r="B105" i="19"/>
  <c r="C105" i="19"/>
  <c r="D105" i="19"/>
  <c r="E105" i="19"/>
  <c r="F105" i="19"/>
  <c r="G105" i="19"/>
  <c r="H105" i="19"/>
  <c r="I105" i="19"/>
  <c r="B107" i="19"/>
  <c r="C107" i="19"/>
  <c r="D107" i="19"/>
  <c r="E107" i="19"/>
  <c r="F107" i="19"/>
  <c r="G107" i="19"/>
  <c r="H107" i="19"/>
  <c r="I107" i="19"/>
  <c r="B108" i="19"/>
  <c r="C108" i="19"/>
  <c r="D108" i="19"/>
  <c r="E108" i="19"/>
  <c r="F108" i="19"/>
  <c r="G108" i="19"/>
  <c r="H108" i="19"/>
  <c r="I108" i="19"/>
  <c r="B109" i="19"/>
  <c r="C109" i="19"/>
  <c r="D109" i="19"/>
  <c r="E109" i="19"/>
  <c r="F109" i="19"/>
  <c r="G109" i="19"/>
  <c r="H109" i="19"/>
  <c r="I109" i="19"/>
  <c r="B111" i="19"/>
  <c r="C111" i="19"/>
  <c r="D111" i="19"/>
  <c r="E111" i="19"/>
  <c r="F111" i="19"/>
  <c r="G111" i="19"/>
  <c r="H111" i="19"/>
  <c r="I111" i="19"/>
  <c r="B112" i="19"/>
  <c r="C112" i="19"/>
  <c r="D112" i="19"/>
  <c r="E112" i="19"/>
  <c r="F112" i="19"/>
  <c r="G112" i="19"/>
  <c r="H112" i="19"/>
  <c r="I112" i="19"/>
  <c r="B113" i="19"/>
  <c r="C113" i="19"/>
  <c r="D113" i="19"/>
  <c r="E113" i="19"/>
  <c r="F113" i="19"/>
  <c r="G113" i="19"/>
  <c r="H113" i="19"/>
  <c r="I113" i="19"/>
  <c r="B114" i="19"/>
  <c r="C114" i="19"/>
  <c r="D114" i="19"/>
  <c r="E114" i="19"/>
  <c r="F114" i="19"/>
  <c r="G114" i="19"/>
  <c r="H114" i="19"/>
  <c r="I114" i="19"/>
  <c r="B115" i="19"/>
  <c r="C115" i="19"/>
  <c r="D115" i="19"/>
  <c r="E115" i="19"/>
  <c r="F115" i="19"/>
  <c r="G115" i="19"/>
  <c r="H115" i="19"/>
  <c r="I115" i="19"/>
  <c r="B118" i="19"/>
  <c r="C118" i="19"/>
  <c r="D118" i="19"/>
  <c r="E118" i="19"/>
  <c r="F118" i="19"/>
  <c r="G118" i="19"/>
  <c r="H118" i="19"/>
  <c r="I118" i="19"/>
  <c r="B119" i="19"/>
  <c r="C119" i="19"/>
  <c r="D119" i="19"/>
  <c r="E119" i="19"/>
  <c r="F119" i="19"/>
  <c r="G119" i="19"/>
  <c r="H119" i="19"/>
  <c r="I119" i="19"/>
  <c r="B120" i="19"/>
  <c r="C120" i="19"/>
  <c r="D120" i="19"/>
  <c r="E120" i="19"/>
  <c r="F120" i="19"/>
  <c r="G120" i="19"/>
  <c r="H120" i="19"/>
  <c r="I120" i="19"/>
  <c r="B122" i="19"/>
  <c r="C122" i="19"/>
  <c r="D122" i="19"/>
  <c r="E122" i="19"/>
  <c r="F122" i="19"/>
  <c r="G122" i="19"/>
  <c r="H122" i="19"/>
  <c r="I122" i="19"/>
  <c r="B123" i="19"/>
  <c r="C123" i="19"/>
  <c r="D123" i="19"/>
  <c r="E123" i="19"/>
  <c r="F123" i="19"/>
  <c r="G123" i="19"/>
  <c r="H123" i="19"/>
  <c r="I123" i="19"/>
  <c r="B124" i="19"/>
  <c r="C124" i="19"/>
  <c r="D124" i="19"/>
  <c r="E124" i="19"/>
  <c r="F124" i="19"/>
  <c r="G124" i="19"/>
  <c r="H124" i="19"/>
  <c r="I124" i="19"/>
  <c r="B126" i="19"/>
  <c r="C126" i="19"/>
  <c r="D126" i="19"/>
  <c r="E126" i="19"/>
  <c r="F126" i="19"/>
  <c r="G126" i="19"/>
  <c r="H126" i="19"/>
  <c r="I126" i="19"/>
  <c r="B128" i="19"/>
  <c r="C128" i="19"/>
  <c r="D128" i="19"/>
  <c r="E128" i="19"/>
  <c r="F128" i="19"/>
  <c r="G128" i="19"/>
  <c r="H128" i="19"/>
  <c r="I128" i="19"/>
  <c r="B130" i="19"/>
  <c r="C130" i="19"/>
  <c r="D130" i="19"/>
  <c r="E130" i="19"/>
  <c r="F130" i="19"/>
  <c r="G130" i="19"/>
  <c r="H130" i="19"/>
  <c r="I130" i="19"/>
  <c r="B132" i="19"/>
  <c r="C132" i="19"/>
  <c r="D132" i="19"/>
  <c r="E132" i="19"/>
  <c r="F132" i="19"/>
  <c r="G132" i="19"/>
  <c r="H132" i="19"/>
  <c r="I132" i="19"/>
  <c r="B134" i="19"/>
  <c r="C134" i="19"/>
  <c r="D134" i="19"/>
  <c r="E134" i="19"/>
  <c r="F134" i="19"/>
  <c r="G134" i="19"/>
  <c r="H134" i="19"/>
  <c r="I134" i="19"/>
  <c r="B136" i="19"/>
  <c r="C136" i="19"/>
  <c r="D136" i="19"/>
  <c r="E136" i="19"/>
  <c r="F136" i="19"/>
  <c r="G136" i="19"/>
  <c r="H136" i="19"/>
  <c r="I136" i="19"/>
  <c r="B138" i="19"/>
  <c r="C138" i="19"/>
  <c r="D138" i="19"/>
  <c r="E138" i="19"/>
  <c r="F138" i="19"/>
  <c r="G138" i="19"/>
  <c r="H138" i="19"/>
  <c r="I138" i="19"/>
  <c r="B140" i="19"/>
  <c r="C140" i="19"/>
  <c r="D140" i="19"/>
  <c r="E140" i="19"/>
  <c r="F140" i="19"/>
  <c r="G140" i="19"/>
  <c r="H140" i="19"/>
  <c r="I140" i="19"/>
  <c r="B142" i="19"/>
  <c r="C142" i="19"/>
  <c r="D142" i="19"/>
  <c r="E142" i="19"/>
  <c r="F142" i="19"/>
  <c r="G142" i="19"/>
  <c r="H142" i="19"/>
  <c r="I142" i="19"/>
  <c r="B144" i="19"/>
  <c r="C144" i="19"/>
  <c r="D144" i="19"/>
  <c r="E144" i="19"/>
  <c r="F144" i="19"/>
  <c r="G144" i="19"/>
  <c r="H144" i="19"/>
  <c r="I144" i="19"/>
  <c r="B146" i="19"/>
  <c r="C146" i="19"/>
  <c r="D146" i="19"/>
  <c r="E146" i="19"/>
  <c r="F146" i="19"/>
  <c r="G146" i="19"/>
  <c r="H146" i="19"/>
  <c r="I146" i="19"/>
  <c r="B148" i="19"/>
  <c r="C148" i="19"/>
  <c r="D148" i="19"/>
  <c r="E148" i="19"/>
  <c r="F148" i="19"/>
  <c r="G148" i="19"/>
  <c r="H148" i="19"/>
  <c r="I148" i="19"/>
  <c r="B150" i="19"/>
  <c r="C150" i="19"/>
  <c r="D150" i="19"/>
  <c r="E150" i="19"/>
  <c r="F150" i="19"/>
  <c r="G150" i="19"/>
  <c r="H150" i="19"/>
  <c r="I150" i="19"/>
  <c r="B152" i="19"/>
  <c r="C152" i="19"/>
  <c r="D152" i="19"/>
  <c r="E152" i="19"/>
  <c r="F152" i="19"/>
  <c r="G152" i="19"/>
  <c r="H152" i="19"/>
  <c r="I152" i="19"/>
  <c r="B154" i="19"/>
  <c r="C154" i="19"/>
  <c r="D154" i="19"/>
  <c r="E154" i="19"/>
  <c r="F154" i="19"/>
  <c r="G154" i="19"/>
  <c r="H154" i="19"/>
  <c r="I154" i="19"/>
  <c r="B156" i="19"/>
  <c r="C156" i="19"/>
  <c r="D156" i="19"/>
  <c r="E156" i="19"/>
  <c r="F156" i="19"/>
  <c r="G156" i="19"/>
  <c r="H156" i="19"/>
  <c r="I156" i="19"/>
  <c r="B158" i="19"/>
  <c r="C158" i="19"/>
  <c r="D158" i="19"/>
  <c r="E158" i="19"/>
  <c r="F158" i="19"/>
  <c r="G158" i="19"/>
  <c r="H158" i="19"/>
  <c r="I158" i="19"/>
  <c r="B160" i="19"/>
  <c r="C160" i="19"/>
  <c r="D160" i="19"/>
  <c r="E160" i="19"/>
  <c r="F160" i="19"/>
  <c r="G160" i="19"/>
  <c r="H160" i="19"/>
  <c r="I160" i="19"/>
  <c r="B162" i="19"/>
  <c r="C162" i="19"/>
  <c r="D162" i="19"/>
  <c r="E162" i="19"/>
  <c r="F162" i="19"/>
  <c r="G162" i="19"/>
  <c r="H162" i="19"/>
  <c r="I162" i="19"/>
  <c r="B164" i="19"/>
  <c r="C164" i="19"/>
  <c r="D164" i="19"/>
  <c r="E164" i="19"/>
  <c r="F164" i="19"/>
  <c r="G164" i="19"/>
  <c r="H164" i="19"/>
  <c r="I164" i="19"/>
  <c r="B166" i="19"/>
  <c r="C166" i="19"/>
  <c r="D166" i="19"/>
  <c r="E166" i="19"/>
  <c r="F166" i="19"/>
  <c r="G166" i="19"/>
  <c r="H166" i="19"/>
  <c r="I166" i="19"/>
  <c r="B168" i="19"/>
  <c r="C168" i="19"/>
  <c r="D168" i="19"/>
  <c r="E168" i="19"/>
  <c r="F168" i="19"/>
  <c r="G168" i="19"/>
  <c r="H168" i="19"/>
  <c r="I168" i="19"/>
  <c r="B170" i="19"/>
  <c r="C170" i="19"/>
  <c r="D170" i="19"/>
  <c r="E170" i="19"/>
  <c r="F170" i="19"/>
  <c r="G170" i="19"/>
  <c r="H170" i="19"/>
  <c r="I170" i="19"/>
  <c r="B172" i="19"/>
  <c r="C172" i="19"/>
  <c r="D172" i="19"/>
  <c r="E172" i="19"/>
  <c r="F172" i="19"/>
  <c r="G172" i="19"/>
  <c r="H172" i="19"/>
  <c r="I172" i="19"/>
  <c r="B174" i="19"/>
  <c r="C174" i="19"/>
  <c r="D174" i="19"/>
  <c r="E174" i="19"/>
  <c r="F174" i="19"/>
  <c r="G174" i="19"/>
  <c r="H174" i="19"/>
  <c r="I174" i="19"/>
  <c r="B176" i="19"/>
  <c r="C176" i="19"/>
  <c r="D176" i="19"/>
  <c r="E176" i="19"/>
  <c r="F176" i="19"/>
  <c r="G176" i="19"/>
  <c r="H176" i="19"/>
  <c r="I176" i="19"/>
  <c r="B178" i="19"/>
  <c r="C178" i="19"/>
  <c r="D178" i="19"/>
  <c r="E178" i="19"/>
  <c r="F178" i="19"/>
  <c r="G178" i="19"/>
  <c r="H178" i="19"/>
  <c r="I178" i="19"/>
  <c r="B180" i="19"/>
  <c r="C180" i="19"/>
  <c r="D180" i="19"/>
  <c r="E180" i="19"/>
  <c r="F180" i="19"/>
  <c r="G180" i="19"/>
  <c r="H180" i="19"/>
  <c r="I180" i="19"/>
  <c r="B182" i="19"/>
  <c r="C182" i="19"/>
  <c r="D182" i="19"/>
  <c r="E182" i="19"/>
  <c r="F182" i="19"/>
  <c r="G182" i="19"/>
  <c r="H182" i="19"/>
  <c r="I182" i="19"/>
  <c r="B184" i="19"/>
  <c r="C184" i="19"/>
  <c r="D184" i="19"/>
  <c r="E184" i="19"/>
  <c r="F184" i="19"/>
  <c r="G184" i="19"/>
  <c r="H184" i="19"/>
  <c r="I184" i="19"/>
  <c r="B185" i="19"/>
  <c r="C185" i="19"/>
  <c r="D185" i="19"/>
  <c r="E185" i="19"/>
  <c r="F185" i="19"/>
  <c r="G185" i="19"/>
  <c r="H185" i="19"/>
  <c r="I185" i="19"/>
  <c r="B186" i="19"/>
  <c r="C186" i="19"/>
  <c r="D186" i="19"/>
  <c r="E186" i="19"/>
  <c r="F186" i="19"/>
  <c r="G186" i="19"/>
  <c r="H186" i="19"/>
  <c r="I186" i="19"/>
  <c r="B187" i="19"/>
  <c r="C187" i="19"/>
  <c r="D187" i="19"/>
  <c r="E187" i="19"/>
  <c r="F187" i="19"/>
  <c r="G187" i="19"/>
  <c r="H187" i="19"/>
  <c r="I187" i="19"/>
  <c r="B189" i="19"/>
  <c r="C189" i="19"/>
  <c r="D189" i="19"/>
  <c r="E189" i="19"/>
  <c r="F189" i="19"/>
  <c r="G189" i="19"/>
  <c r="H189" i="19"/>
  <c r="I189" i="19"/>
  <c r="B191" i="19"/>
  <c r="C191" i="19"/>
  <c r="D191" i="19"/>
  <c r="E191" i="19"/>
  <c r="F191" i="19"/>
  <c r="G191" i="19"/>
  <c r="H191" i="19"/>
  <c r="I191" i="19"/>
  <c r="B192" i="19"/>
  <c r="C192" i="19"/>
  <c r="D192" i="19"/>
  <c r="E192" i="19"/>
  <c r="F192" i="19"/>
  <c r="G192" i="19"/>
  <c r="H192" i="19"/>
  <c r="I192" i="19"/>
  <c r="B194" i="19"/>
  <c r="C194" i="19"/>
  <c r="D194" i="19"/>
  <c r="E194" i="19"/>
  <c r="F194" i="19"/>
  <c r="G194" i="19"/>
  <c r="H194" i="19"/>
  <c r="I194" i="19"/>
  <c r="B196" i="19"/>
  <c r="C196" i="19"/>
  <c r="D196" i="19"/>
  <c r="E196" i="19"/>
  <c r="F196" i="19"/>
  <c r="G196" i="19"/>
  <c r="H196" i="19"/>
  <c r="I196" i="19"/>
  <c r="B198" i="19"/>
  <c r="C198" i="19"/>
  <c r="D198" i="19"/>
  <c r="E198" i="19"/>
  <c r="F198" i="19"/>
  <c r="G198" i="19"/>
  <c r="H198" i="19"/>
  <c r="I198" i="19"/>
  <c r="B200" i="19"/>
  <c r="C200" i="19"/>
  <c r="D200" i="19"/>
  <c r="E200" i="19"/>
  <c r="F200" i="19"/>
  <c r="G200" i="19"/>
  <c r="H200" i="19"/>
  <c r="I200" i="19"/>
  <c r="B202" i="19"/>
  <c r="C202" i="19"/>
  <c r="D202" i="19"/>
  <c r="E202" i="19"/>
  <c r="F202" i="19"/>
  <c r="G202" i="19"/>
  <c r="H202" i="19"/>
  <c r="I202" i="19"/>
  <c r="B204" i="19"/>
  <c r="C204" i="19"/>
  <c r="D204" i="19"/>
  <c r="E204" i="19"/>
  <c r="F204" i="19"/>
  <c r="G204" i="19"/>
  <c r="H204" i="19"/>
  <c r="I204" i="19"/>
  <c r="B206" i="19"/>
  <c r="C206" i="19"/>
  <c r="D206" i="19"/>
  <c r="E206" i="19"/>
  <c r="F206" i="19"/>
  <c r="G206" i="19"/>
  <c r="H206" i="19"/>
  <c r="I206" i="19"/>
  <c r="B208" i="19"/>
  <c r="C208" i="19"/>
  <c r="D208" i="19"/>
  <c r="E208" i="19"/>
  <c r="F208" i="19"/>
  <c r="G208" i="19"/>
  <c r="H208" i="19"/>
  <c r="I208" i="19"/>
  <c r="B210" i="19"/>
  <c r="C210" i="19"/>
  <c r="D210" i="19"/>
  <c r="E210" i="19"/>
  <c r="F210" i="19"/>
  <c r="G210" i="19"/>
  <c r="H210" i="19"/>
  <c r="I210" i="19"/>
  <c r="B212" i="19"/>
  <c r="C212" i="19"/>
  <c r="D212" i="19"/>
  <c r="E212" i="19"/>
  <c r="F212" i="19"/>
  <c r="G212" i="19"/>
  <c r="H212" i="19"/>
  <c r="I212" i="19"/>
  <c r="B214" i="19"/>
  <c r="C214" i="19"/>
  <c r="D214" i="19"/>
  <c r="E214" i="19"/>
  <c r="F214" i="19"/>
  <c r="G214" i="19"/>
  <c r="H214" i="19"/>
  <c r="I214" i="19"/>
  <c r="B216" i="19"/>
  <c r="C216" i="19"/>
  <c r="D216" i="19"/>
  <c r="E216" i="19"/>
  <c r="F216" i="19"/>
  <c r="G216" i="19"/>
  <c r="H216" i="19"/>
  <c r="I216" i="19"/>
  <c r="B217" i="19"/>
  <c r="C217" i="19"/>
  <c r="D217" i="19"/>
  <c r="E217" i="19"/>
  <c r="F217" i="19"/>
  <c r="G217" i="19"/>
  <c r="H217" i="19"/>
  <c r="I217" i="19"/>
  <c r="B218" i="19"/>
  <c r="C218" i="19"/>
  <c r="D218" i="19"/>
  <c r="E218" i="19"/>
  <c r="F218" i="19"/>
  <c r="G218" i="19"/>
  <c r="H218" i="19"/>
  <c r="I218" i="19"/>
  <c r="B219" i="19"/>
  <c r="C219" i="19"/>
  <c r="D219" i="19"/>
  <c r="E219" i="19"/>
  <c r="F219" i="19"/>
  <c r="G219" i="19"/>
  <c r="H219" i="19"/>
  <c r="I219" i="19"/>
  <c r="B220" i="19"/>
  <c r="C220" i="19"/>
  <c r="D220" i="19"/>
  <c r="E220" i="19"/>
  <c r="F220" i="19"/>
  <c r="G220" i="19"/>
  <c r="H220" i="19"/>
  <c r="I220" i="19"/>
  <c r="B221" i="19"/>
  <c r="C221" i="19"/>
  <c r="D221" i="19"/>
  <c r="E221" i="19"/>
  <c r="F221" i="19"/>
  <c r="G221" i="19"/>
  <c r="H221" i="19"/>
  <c r="I221" i="19"/>
  <c r="B224" i="19"/>
  <c r="C224" i="19"/>
  <c r="D224" i="19"/>
  <c r="E224" i="19"/>
  <c r="F224" i="19"/>
  <c r="G224" i="19"/>
  <c r="H224" i="19"/>
  <c r="I224" i="19"/>
  <c r="B226" i="19"/>
  <c r="C226" i="19"/>
  <c r="D226" i="19"/>
  <c r="E226" i="19"/>
  <c r="F226" i="19"/>
  <c r="G226" i="19"/>
  <c r="H226" i="19"/>
  <c r="I226" i="19"/>
  <c r="B228" i="19"/>
  <c r="C228" i="19"/>
  <c r="D228" i="19"/>
  <c r="E228" i="19"/>
  <c r="F228" i="19"/>
  <c r="G228" i="19"/>
  <c r="H228" i="19"/>
  <c r="I228" i="19"/>
  <c r="B230" i="19"/>
  <c r="C230" i="19"/>
  <c r="D230" i="19"/>
  <c r="E230" i="19"/>
  <c r="F230" i="19"/>
  <c r="G230" i="19"/>
  <c r="H230" i="19"/>
  <c r="I230" i="19"/>
  <c r="B252" i="19"/>
  <c r="C252" i="19"/>
  <c r="D252" i="19"/>
  <c r="E252" i="19"/>
  <c r="F252" i="19"/>
  <c r="G252" i="19"/>
  <c r="H252" i="19"/>
  <c r="I252" i="19"/>
  <c r="B253" i="19"/>
  <c r="C253" i="19"/>
  <c r="D253" i="19"/>
  <c r="E253" i="19"/>
  <c r="F253" i="19"/>
  <c r="G253" i="19"/>
  <c r="H253" i="19"/>
  <c r="I253" i="19"/>
  <c r="B256" i="19"/>
  <c r="C256" i="19"/>
  <c r="D256" i="19"/>
  <c r="E256" i="19"/>
  <c r="F256" i="19"/>
  <c r="G256" i="19"/>
  <c r="H256" i="19"/>
  <c r="I256" i="19"/>
  <c r="B257" i="19"/>
  <c r="C257" i="19"/>
  <c r="D257" i="19"/>
  <c r="E257" i="19"/>
  <c r="F257" i="19"/>
  <c r="G257" i="19"/>
  <c r="H257" i="19"/>
  <c r="I257" i="19"/>
  <c r="B258" i="19"/>
  <c r="C258" i="19"/>
  <c r="D258" i="19"/>
  <c r="E258" i="19"/>
  <c r="F258" i="19"/>
  <c r="G258" i="19"/>
  <c r="H258" i="19"/>
  <c r="I258" i="19"/>
  <c r="B261" i="19"/>
  <c r="C261" i="19"/>
  <c r="D261" i="19"/>
  <c r="E261" i="19"/>
  <c r="F261" i="19"/>
  <c r="G261" i="19"/>
  <c r="H261" i="19"/>
  <c r="I261" i="19"/>
  <c r="B262" i="19"/>
  <c r="C262" i="19"/>
  <c r="D262" i="19"/>
  <c r="E262" i="19"/>
  <c r="F262" i="19"/>
  <c r="G262" i="19"/>
  <c r="H262" i="19"/>
  <c r="I262" i="19"/>
  <c r="B263" i="19"/>
  <c r="C263" i="19"/>
  <c r="D263" i="19"/>
  <c r="E263" i="19"/>
  <c r="F263" i="19"/>
  <c r="G263" i="19"/>
  <c r="H263" i="19"/>
  <c r="I263" i="19"/>
  <c r="B266" i="19"/>
  <c r="C266" i="19"/>
  <c r="D266" i="19"/>
  <c r="E266" i="19"/>
  <c r="F266" i="19"/>
  <c r="G266" i="19"/>
  <c r="H266" i="19"/>
  <c r="I266" i="19"/>
  <c r="B267" i="19"/>
  <c r="C267" i="19"/>
  <c r="D267" i="19"/>
  <c r="E267" i="19"/>
  <c r="F267" i="19"/>
  <c r="G267" i="19"/>
  <c r="H267" i="19"/>
  <c r="I267" i="19"/>
  <c r="B268" i="19"/>
  <c r="C268" i="19"/>
  <c r="D268" i="19"/>
  <c r="E268" i="19"/>
  <c r="F268" i="19"/>
  <c r="G268" i="19"/>
  <c r="H268" i="19"/>
  <c r="I268" i="19"/>
  <c r="B269" i="19"/>
  <c r="C269" i="19"/>
  <c r="D269" i="19"/>
  <c r="E269" i="19"/>
  <c r="F269" i="19"/>
  <c r="G269" i="19"/>
  <c r="H269" i="19"/>
  <c r="I269" i="19"/>
  <c r="B271" i="19"/>
  <c r="C271" i="19"/>
  <c r="D271" i="19"/>
  <c r="E271" i="19"/>
  <c r="F271" i="19"/>
  <c r="G271" i="19"/>
  <c r="H271" i="19"/>
  <c r="I271" i="19"/>
  <c r="B273" i="19"/>
  <c r="C273" i="19"/>
  <c r="D273" i="19"/>
  <c r="E273" i="19"/>
  <c r="F273" i="19"/>
  <c r="G273" i="19"/>
  <c r="H273" i="19"/>
  <c r="I273" i="19"/>
  <c r="B274" i="19"/>
  <c r="C274" i="19"/>
  <c r="D274" i="19"/>
  <c r="E274" i="19"/>
  <c r="F274" i="19"/>
  <c r="G274" i="19"/>
  <c r="H274" i="19"/>
  <c r="I274" i="19"/>
  <c r="B275" i="19"/>
  <c r="C275" i="19"/>
  <c r="D275" i="19"/>
  <c r="E275" i="19"/>
  <c r="F275" i="19"/>
  <c r="G275" i="19"/>
  <c r="H275" i="19"/>
  <c r="I275" i="19"/>
  <c r="B277" i="19"/>
  <c r="C277" i="19"/>
  <c r="D277" i="19"/>
  <c r="E277" i="19"/>
  <c r="F277" i="19"/>
  <c r="G277" i="19"/>
  <c r="H277" i="19"/>
  <c r="I277" i="19"/>
  <c r="B285" i="19"/>
  <c r="C285" i="19"/>
  <c r="D285" i="19"/>
  <c r="E285" i="19"/>
  <c r="F285" i="19"/>
  <c r="G285" i="19"/>
  <c r="H285" i="19"/>
  <c r="I285" i="19"/>
  <c r="B283" i="19"/>
  <c r="C283" i="19"/>
  <c r="D283" i="19"/>
  <c r="E283" i="19"/>
  <c r="F283" i="19"/>
  <c r="G283" i="19"/>
  <c r="H283" i="19"/>
  <c r="I283" i="19"/>
  <c r="B292" i="19"/>
  <c r="C292" i="19"/>
  <c r="D292" i="19"/>
  <c r="E292" i="19"/>
  <c r="F292" i="19"/>
  <c r="G292" i="19"/>
  <c r="H292" i="19"/>
  <c r="I292" i="19"/>
  <c r="B293" i="19"/>
  <c r="C293" i="19"/>
  <c r="D293" i="19"/>
  <c r="E293" i="19"/>
  <c r="F293" i="19"/>
  <c r="G293" i="19"/>
  <c r="H293" i="19"/>
  <c r="I293" i="19"/>
  <c r="B296" i="19"/>
  <c r="C296" i="19"/>
  <c r="D296" i="19"/>
  <c r="E296" i="19"/>
  <c r="F296" i="19"/>
  <c r="G296" i="19"/>
  <c r="H296" i="19"/>
  <c r="I296" i="19"/>
  <c r="B298" i="19"/>
  <c r="C298" i="19"/>
  <c r="D298" i="19"/>
  <c r="E298" i="19"/>
  <c r="F298" i="19"/>
  <c r="G298" i="19"/>
  <c r="H298" i="19"/>
  <c r="I298" i="19"/>
  <c r="B300" i="19"/>
  <c r="C300" i="19"/>
  <c r="D300" i="19"/>
  <c r="E300" i="19"/>
  <c r="F300" i="19"/>
  <c r="G300" i="19"/>
  <c r="H300" i="19"/>
  <c r="I300" i="19"/>
  <c r="B301" i="19"/>
  <c r="C301" i="19"/>
  <c r="D301" i="19"/>
  <c r="E301" i="19"/>
  <c r="F301" i="19"/>
  <c r="G301" i="19"/>
  <c r="H301" i="19"/>
  <c r="I301" i="19"/>
  <c r="B302" i="19"/>
  <c r="C302" i="19"/>
  <c r="D302" i="19"/>
  <c r="E302" i="19"/>
  <c r="F302" i="19"/>
  <c r="G302" i="19"/>
  <c r="H302" i="19"/>
  <c r="I302" i="19"/>
  <c r="B305" i="19"/>
  <c r="C305" i="19"/>
  <c r="D305" i="19"/>
  <c r="E305" i="19"/>
  <c r="F305" i="19"/>
  <c r="G305" i="19"/>
  <c r="H305" i="19"/>
  <c r="I305" i="19"/>
  <c r="B307" i="19"/>
  <c r="C307" i="19"/>
  <c r="D307" i="19"/>
  <c r="E307" i="19"/>
  <c r="F307" i="19"/>
  <c r="G307" i="19"/>
  <c r="H307" i="19"/>
  <c r="I307" i="19"/>
  <c r="B309" i="19"/>
  <c r="C309" i="19"/>
  <c r="D309" i="19"/>
  <c r="E309" i="19"/>
  <c r="F309" i="19"/>
  <c r="G309" i="19"/>
  <c r="H309" i="19"/>
  <c r="I309" i="19"/>
  <c r="B310" i="19"/>
  <c r="C310" i="19"/>
  <c r="D310" i="19"/>
  <c r="E310" i="19"/>
  <c r="F310" i="19"/>
  <c r="G310" i="19"/>
  <c r="H310" i="19"/>
  <c r="I310" i="19"/>
  <c r="B311" i="19"/>
  <c r="C311" i="19"/>
  <c r="D311" i="19"/>
  <c r="E311" i="19"/>
  <c r="F311" i="19"/>
  <c r="G311" i="19"/>
  <c r="H311" i="19"/>
  <c r="I311" i="19"/>
  <c r="B314" i="19"/>
  <c r="C314" i="19"/>
  <c r="D314" i="19"/>
  <c r="E314" i="19"/>
  <c r="F314" i="19"/>
  <c r="G314" i="19"/>
  <c r="H314" i="19"/>
  <c r="I314" i="19"/>
  <c r="B316" i="19"/>
  <c r="C316" i="19"/>
  <c r="D316" i="19"/>
  <c r="E316" i="19"/>
  <c r="F316" i="19"/>
  <c r="G316" i="19"/>
  <c r="H316" i="19"/>
  <c r="I316" i="19"/>
  <c r="B318" i="19"/>
  <c r="C318" i="19"/>
  <c r="D318" i="19"/>
  <c r="E318" i="19"/>
  <c r="F318" i="19"/>
  <c r="G318" i="19"/>
  <c r="H318" i="19"/>
  <c r="I318" i="19"/>
  <c r="B320" i="19"/>
  <c r="C320" i="19"/>
  <c r="D320" i="19"/>
  <c r="E320" i="19"/>
  <c r="F320" i="19"/>
  <c r="G320" i="19"/>
  <c r="H320" i="19"/>
  <c r="I320" i="19"/>
  <c r="B322" i="19"/>
  <c r="C322" i="19"/>
  <c r="D322" i="19"/>
  <c r="E322" i="19"/>
  <c r="F322" i="19"/>
  <c r="G322" i="19"/>
  <c r="H322" i="19"/>
  <c r="I322" i="19"/>
  <c r="B324" i="19"/>
  <c r="C324" i="19"/>
  <c r="D324" i="19"/>
  <c r="E324" i="19"/>
  <c r="F324" i="19"/>
  <c r="G324" i="19"/>
  <c r="H324" i="19"/>
  <c r="I324" i="19"/>
  <c r="B326" i="19"/>
  <c r="C326" i="19"/>
  <c r="D326" i="19"/>
  <c r="E326" i="19"/>
  <c r="F326" i="19"/>
  <c r="G326" i="19"/>
  <c r="H326" i="19"/>
  <c r="I326" i="19"/>
  <c r="B328" i="19"/>
  <c r="C328" i="19"/>
  <c r="D328" i="19"/>
  <c r="E328" i="19"/>
  <c r="F328" i="19"/>
  <c r="G328" i="19"/>
  <c r="H328" i="19"/>
  <c r="I328" i="19"/>
  <c r="B330" i="19"/>
  <c r="C330" i="19"/>
  <c r="D330" i="19"/>
  <c r="E330" i="19"/>
  <c r="F330" i="19"/>
  <c r="G330" i="19"/>
  <c r="H330" i="19"/>
  <c r="I330" i="19"/>
  <c r="B332" i="19"/>
  <c r="C332" i="19"/>
  <c r="D332" i="19"/>
  <c r="E332" i="19"/>
  <c r="F332" i="19"/>
  <c r="G332" i="19"/>
  <c r="H332" i="19"/>
  <c r="I332" i="19"/>
  <c r="B334" i="19"/>
  <c r="C334" i="19"/>
  <c r="D334" i="19"/>
  <c r="E334" i="19"/>
  <c r="F334" i="19"/>
  <c r="G334" i="19"/>
  <c r="H334" i="19"/>
  <c r="I334" i="19"/>
  <c r="B336" i="19"/>
  <c r="C336" i="19"/>
  <c r="D336" i="19"/>
  <c r="E336" i="19"/>
  <c r="F336" i="19"/>
  <c r="G336" i="19"/>
  <c r="H336" i="19"/>
  <c r="I336" i="19"/>
  <c r="B338" i="19"/>
  <c r="C338" i="19"/>
  <c r="D338" i="19"/>
  <c r="E338" i="19"/>
  <c r="F338" i="19"/>
  <c r="G338" i="19"/>
  <c r="H338" i="19"/>
  <c r="I338" i="19"/>
  <c r="B340" i="19"/>
  <c r="C340" i="19"/>
  <c r="D340" i="19"/>
  <c r="E340" i="19"/>
  <c r="F340" i="19"/>
  <c r="G340" i="19"/>
  <c r="H340" i="19"/>
  <c r="I340" i="19"/>
  <c r="B342" i="19"/>
  <c r="C342" i="19"/>
  <c r="D342" i="19"/>
  <c r="E342" i="19"/>
  <c r="F342" i="19"/>
  <c r="G342" i="19"/>
  <c r="H342" i="19"/>
  <c r="I342" i="19"/>
  <c r="B344" i="19"/>
  <c r="C344" i="19"/>
  <c r="D344" i="19"/>
  <c r="E344" i="19"/>
  <c r="F344" i="19"/>
  <c r="G344" i="19"/>
  <c r="H344" i="19"/>
  <c r="I344" i="19"/>
  <c r="B346" i="19"/>
  <c r="C346" i="19"/>
  <c r="D346" i="19"/>
  <c r="E346" i="19"/>
  <c r="F346" i="19"/>
  <c r="G346" i="19"/>
  <c r="H346" i="19"/>
  <c r="I346" i="19"/>
  <c r="B348" i="19"/>
  <c r="C348" i="19"/>
  <c r="D348" i="19"/>
  <c r="E348" i="19"/>
  <c r="F348" i="19"/>
  <c r="G348" i="19"/>
  <c r="H348" i="19"/>
  <c r="I348" i="19"/>
  <c r="B350" i="19"/>
  <c r="C350" i="19"/>
  <c r="D350" i="19"/>
  <c r="E350" i="19"/>
  <c r="F350" i="19"/>
  <c r="G350" i="19"/>
  <c r="H350" i="19"/>
  <c r="I350" i="19"/>
  <c r="B352" i="19"/>
  <c r="C352" i="19"/>
  <c r="D352" i="19"/>
  <c r="E352" i="19"/>
  <c r="F352" i="19"/>
  <c r="G352" i="19"/>
  <c r="H352" i="19"/>
  <c r="I352" i="19"/>
  <c r="B354" i="19"/>
  <c r="C354" i="19"/>
  <c r="D354" i="19"/>
  <c r="E354" i="19"/>
  <c r="F354" i="19"/>
  <c r="G354" i="19"/>
  <c r="H354" i="19"/>
  <c r="I354" i="19"/>
  <c r="B356" i="19"/>
  <c r="C356" i="19"/>
  <c r="D356" i="19"/>
  <c r="E356" i="19"/>
  <c r="F356" i="19"/>
  <c r="G356" i="19"/>
  <c r="H356" i="19"/>
  <c r="I356" i="19"/>
  <c r="B358" i="19"/>
  <c r="C358" i="19"/>
  <c r="D358" i="19"/>
  <c r="E358" i="19"/>
  <c r="F358" i="19"/>
  <c r="G358" i="19"/>
  <c r="H358" i="19"/>
  <c r="I358" i="19"/>
  <c r="B359" i="19"/>
  <c r="C359" i="19"/>
  <c r="D359" i="19"/>
  <c r="E359" i="19"/>
  <c r="F359" i="19"/>
  <c r="G359" i="19"/>
  <c r="H359" i="19"/>
  <c r="I359" i="19"/>
  <c r="B361" i="19"/>
  <c r="C361" i="19"/>
  <c r="D361" i="19"/>
  <c r="E361" i="19"/>
  <c r="F361" i="19"/>
  <c r="G361" i="19"/>
  <c r="H361" i="19"/>
  <c r="I361" i="19"/>
  <c r="B363" i="19"/>
  <c r="C363" i="19"/>
  <c r="D363" i="19"/>
  <c r="E363" i="19"/>
  <c r="F363" i="19"/>
  <c r="G363" i="19"/>
  <c r="H363" i="19"/>
  <c r="I363" i="19"/>
  <c r="B367" i="19"/>
  <c r="C367" i="19"/>
  <c r="D367" i="19"/>
  <c r="E367" i="19"/>
  <c r="F367" i="19"/>
  <c r="G367" i="19"/>
  <c r="H367" i="19"/>
  <c r="I367" i="19"/>
  <c r="B368" i="19"/>
  <c r="C368" i="19"/>
  <c r="D368" i="19"/>
  <c r="E368" i="19"/>
  <c r="F368" i="19"/>
  <c r="G368" i="19"/>
  <c r="H368" i="19"/>
  <c r="I368" i="19"/>
  <c r="B372" i="19"/>
  <c r="C372" i="19"/>
  <c r="D372" i="19"/>
  <c r="E372" i="19"/>
  <c r="F372" i="19"/>
  <c r="G372" i="19"/>
  <c r="H372" i="19"/>
  <c r="I372" i="19"/>
  <c r="B374" i="19"/>
  <c r="C374" i="19"/>
  <c r="D374" i="19"/>
  <c r="E374" i="19"/>
  <c r="F374" i="19"/>
  <c r="G374" i="19"/>
  <c r="H374" i="19"/>
  <c r="I374" i="19"/>
  <c r="B376" i="19"/>
  <c r="C376" i="19"/>
  <c r="D376" i="19"/>
  <c r="E376" i="19"/>
  <c r="F376" i="19"/>
  <c r="G376" i="19"/>
  <c r="H376" i="19"/>
  <c r="I376" i="19"/>
  <c r="B378" i="19"/>
  <c r="C378" i="19"/>
  <c r="D378" i="19"/>
  <c r="E378" i="19"/>
  <c r="F378" i="19"/>
  <c r="G378" i="19"/>
  <c r="H378" i="19"/>
  <c r="I378" i="19"/>
  <c r="B380" i="19"/>
  <c r="C380" i="19"/>
  <c r="D380" i="19"/>
  <c r="E380" i="19"/>
  <c r="F380" i="19"/>
  <c r="G380" i="19"/>
  <c r="H380" i="19"/>
  <c r="I380" i="19"/>
  <c r="B382" i="19"/>
  <c r="C382" i="19"/>
  <c r="D382" i="19"/>
  <c r="E382" i="19"/>
  <c r="F382" i="19"/>
  <c r="G382" i="19"/>
  <c r="H382" i="19"/>
  <c r="I382" i="19"/>
  <c r="B384" i="19"/>
  <c r="C384" i="19"/>
  <c r="D384" i="19"/>
  <c r="E384" i="19"/>
  <c r="F384" i="19"/>
  <c r="G384" i="19"/>
  <c r="H384" i="19"/>
  <c r="I384" i="19"/>
  <c r="B385" i="19"/>
  <c r="C385" i="19"/>
  <c r="D385" i="19"/>
  <c r="E385" i="19"/>
  <c r="F385" i="19"/>
  <c r="G385" i="19"/>
  <c r="H385" i="19"/>
  <c r="I385" i="19"/>
  <c r="B388" i="19"/>
  <c r="C388" i="19"/>
  <c r="D388" i="19"/>
  <c r="E388" i="19"/>
  <c r="F388" i="19"/>
  <c r="G388" i="19"/>
  <c r="H388" i="19"/>
  <c r="I388" i="19"/>
  <c r="B390" i="19"/>
  <c r="C390" i="19"/>
  <c r="D390" i="19"/>
  <c r="E390" i="19"/>
  <c r="F390" i="19"/>
  <c r="G390" i="19"/>
  <c r="H390" i="19"/>
  <c r="I390" i="19"/>
  <c r="B391" i="19"/>
  <c r="C391" i="19"/>
  <c r="D391" i="19"/>
  <c r="E391" i="19"/>
  <c r="F391" i="19"/>
  <c r="G391" i="19"/>
  <c r="H391" i="19"/>
  <c r="I391" i="19"/>
  <c r="B392" i="19"/>
  <c r="C392" i="19"/>
  <c r="D392" i="19"/>
  <c r="E392" i="19"/>
  <c r="F392" i="19"/>
  <c r="G392" i="19"/>
  <c r="H392" i="19"/>
  <c r="I392" i="19"/>
  <c r="B394" i="19"/>
  <c r="C394" i="19"/>
  <c r="D394" i="19"/>
  <c r="E394" i="19"/>
  <c r="F394" i="19"/>
  <c r="G394" i="19"/>
  <c r="H394" i="19"/>
  <c r="I394" i="19"/>
  <c r="B395" i="19"/>
  <c r="C395" i="19"/>
  <c r="D395" i="19"/>
  <c r="E395" i="19"/>
  <c r="F395" i="19"/>
  <c r="G395" i="19"/>
  <c r="H395" i="19"/>
  <c r="I395" i="19"/>
  <c r="B396" i="19"/>
  <c r="C396" i="19"/>
  <c r="D396" i="19"/>
  <c r="E396" i="19"/>
  <c r="F396" i="19"/>
  <c r="G396" i="19"/>
  <c r="H396" i="19"/>
  <c r="I396" i="19"/>
  <c r="B398" i="19"/>
  <c r="C398" i="19"/>
  <c r="D398" i="19"/>
  <c r="E398" i="19"/>
  <c r="F398" i="19"/>
  <c r="G398" i="19"/>
  <c r="H398" i="19"/>
  <c r="I398" i="19"/>
  <c r="B399" i="19"/>
  <c r="C399" i="19"/>
  <c r="D399" i="19"/>
  <c r="E399" i="19"/>
  <c r="F399" i="19"/>
  <c r="G399" i="19"/>
  <c r="H399" i="19"/>
  <c r="I399" i="19"/>
  <c r="B401" i="19"/>
  <c r="C401" i="19"/>
  <c r="D401" i="19"/>
  <c r="E401" i="19"/>
  <c r="F401" i="19"/>
  <c r="G401" i="19"/>
  <c r="H401" i="19"/>
  <c r="I401" i="19"/>
  <c r="B402" i="19"/>
  <c r="C402" i="19"/>
  <c r="D402" i="19"/>
  <c r="E402" i="19"/>
  <c r="F402" i="19"/>
  <c r="G402" i="19"/>
  <c r="H402" i="19"/>
  <c r="I402" i="19"/>
  <c r="B404" i="19"/>
  <c r="C404" i="19"/>
  <c r="D404" i="19"/>
  <c r="E404" i="19"/>
  <c r="F404" i="19"/>
  <c r="G404" i="19"/>
  <c r="H404" i="19"/>
  <c r="I404" i="19"/>
  <c r="B405" i="19"/>
  <c r="C405" i="19"/>
  <c r="D405" i="19"/>
  <c r="E405" i="19"/>
  <c r="F405" i="19"/>
  <c r="G405" i="19"/>
  <c r="H405" i="19"/>
  <c r="I405" i="19"/>
  <c r="A405" i="19"/>
  <c r="A5" i="19"/>
  <c r="A7" i="19"/>
  <c r="A9" i="19"/>
  <c r="A10" i="19"/>
  <c r="A14" i="19"/>
  <c r="A17" i="19"/>
  <c r="A19" i="19"/>
  <c r="A21" i="19"/>
  <c r="A23" i="19"/>
  <c r="A25" i="19"/>
  <c r="A28" i="19"/>
  <c r="A30" i="19"/>
  <c r="A31" i="19"/>
  <c r="A33" i="19"/>
  <c r="A35" i="19"/>
  <c r="A37" i="19"/>
  <c r="A39" i="19"/>
  <c r="A40" i="19"/>
  <c r="A42" i="19"/>
  <c r="A44" i="19"/>
  <c r="A46" i="19"/>
  <c r="A48" i="19"/>
  <c r="A50" i="19"/>
  <c r="A52" i="19"/>
  <c r="A54" i="19"/>
  <c r="A56" i="19"/>
  <c r="A58" i="19"/>
  <c r="A60" i="19"/>
  <c r="A61" i="19"/>
  <c r="A62" i="19"/>
  <c r="A63" i="19"/>
  <c r="A65" i="19"/>
  <c r="A68" i="19"/>
  <c r="A69" i="19"/>
  <c r="A70" i="19"/>
  <c r="A72" i="19"/>
  <c r="A74" i="19"/>
  <c r="A76" i="19"/>
  <c r="A77" i="19"/>
  <c r="A79" i="19"/>
  <c r="A80" i="19"/>
  <c r="A81" i="19"/>
  <c r="A82" i="19"/>
  <c r="A83" i="19"/>
  <c r="A84" i="19"/>
  <c r="A85" i="19"/>
  <c r="A86" i="19"/>
  <c r="A87" i="19"/>
  <c r="A101" i="19"/>
  <c r="A102" i="19"/>
  <c r="A105" i="19"/>
  <c r="A107" i="19"/>
  <c r="A108" i="19"/>
  <c r="A109" i="19"/>
  <c r="A111" i="19"/>
  <c r="A112" i="19"/>
  <c r="A113" i="19"/>
  <c r="A114" i="19"/>
  <c r="A115" i="19"/>
  <c r="A118" i="19"/>
  <c r="A119" i="19"/>
  <c r="A120" i="19"/>
  <c r="A122" i="19"/>
  <c r="A123" i="19"/>
  <c r="A124" i="19"/>
  <c r="A126" i="19"/>
  <c r="A128" i="19"/>
  <c r="A130" i="19"/>
  <c r="A132" i="19"/>
  <c r="A134" i="19"/>
  <c r="A136" i="19"/>
  <c r="A138" i="19"/>
  <c r="A140" i="19"/>
  <c r="A142" i="19"/>
  <c r="A144" i="19"/>
  <c r="A146" i="19"/>
  <c r="A148" i="19"/>
  <c r="A150" i="19"/>
  <c r="A152" i="19"/>
  <c r="A154" i="19"/>
  <c r="A156" i="19"/>
  <c r="A158" i="19"/>
  <c r="A160" i="19"/>
  <c r="A162" i="19"/>
  <c r="A164" i="19"/>
  <c r="A166" i="19"/>
  <c r="A168" i="19"/>
  <c r="A170" i="19"/>
  <c r="A172" i="19"/>
  <c r="A174" i="19"/>
  <c r="A176" i="19"/>
  <c r="A178" i="19"/>
  <c r="A180" i="19"/>
  <c r="A182" i="19"/>
  <c r="A184" i="19"/>
  <c r="A185" i="19"/>
  <c r="A186" i="19"/>
  <c r="A187" i="19"/>
  <c r="A189" i="19"/>
  <c r="A191" i="19"/>
  <c r="A192" i="19"/>
  <c r="A194" i="19"/>
  <c r="A196" i="19"/>
  <c r="A198" i="19"/>
  <c r="A200" i="19"/>
  <c r="A202" i="19"/>
  <c r="A204" i="19"/>
  <c r="A206" i="19"/>
  <c r="A208" i="19"/>
  <c r="A210" i="19"/>
  <c r="A212" i="19"/>
  <c r="A214" i="19"/>
  <c r="A216" i="19"/>
  <c r="A217" i="19"/>
  <c r="A218" i="19"/>
  <c r="A219" i="19"/>
  <c r="A220" i="19"/>
  <c r="A221" i="19"/>
  <c r="A224" i="19"/>
  <c r="A226" i="19"/>
  <c r="A228" i="19"/>
  <c r="A230" i="19"/>
  <c r="A252" i="19"/>
  <c r="A253" i="19"/>
  <c r="A256" i="19"/>
  <c r="A257" i="19"/>
  <c r="A258" i="19"/>
  <c r="A261" i="19"/>
  <c r="A262" i="19"/>
  <c r="A263" i="19"/>
  <c r="A266" i="19"/>
  <c r="A267" i="19"/>
  <c r="A268" i="19"/>
  <c r="A269" i="19"/>
  <c r="A271" i="19"/>
  <c r="A273" i="19"/>
  <c r="A274" i="19"/>
  <c r="A275" i="19"/>
  <c r="A277" i="19"/>
  <c r="A285" i="19"/>
  <c r="A283" i="19"/>
  <c r="A292" i="19"/>
  <c r="A293" i="19"/>
  <c r="A296" i="19"/>
  <c r="A298" i="19"/>
  <c r="A300" i="19"/>
  <c r="A301" i="19"/>
  <c r="A302" i="19"/>
  <c r="A305" i="19"/>
  <c r="A307" i="19"/>
  <c r="A309" i="19"/>
  <c r="A310" i="19"/>
  <c r="A311" i="19"/>
  <c r="A314" i="19"/>
  <c r="A316" i="19"/>
  <c r="A318" i="19"/>
  <c r="A320" i="19"/>
  <c r="A322" i="19"/>
  <c r="A324" i="19"/>
  <c r="A326" i="19"/>
  <c r="A328" i="19"/>
  <c r="A330" i="19"/>
  <c r="A332" i="19"/>
  <c r="A334" i="19"/>
  <c r="A336" i="19"/>
  <c r="A338" i="19"/>
  <c r="A340" i="19"/>
  <c r="A342" i="19"/>
  <c r="A344" i="19"/>
  <c r="A346" i="19"/>
  <c r="A348" i="19"/>
  <c r="A350" i="19"/>
  <c r="A352" i="19"/>
  <c r="A354" i="19"/>
  <c r="A356" i="19"/>
  <c r="A358" i="19"/>
  <c r="A359" i="19"/>
  <c r="A361" i="19"/>
  <c r="A363" i="19"/>
  <c r="A367" i="19"/>
  <c r="A368" i="19"/>
  <c r="A372" i="19"/>
  <c r="A374" i="19"/>
  <c r="A376" i="19"/>
  <c r="A378" i="19"/>
  <c r="A380" i="19"/>
  <c r="A382" i="19"/>
  <c r="A384" i="19"/>
  <c r="A385" i="19"/>
  <c r="A388" i="19"/>
  <c r="A390" i="19"/>
  <c r="A391" i="19"/>
  <c r="A392" i="19"/>
  <c r="A394" i="19"/>
  <c r="A395" i="19"/>
  <c r="A396" i="19"/>
  <c r="A398" i="19"/>
  <c r="A399" i="19"/>
  <c r="A401" i="19"/>
  <c r="A402" i="19"/>
  <c r="A404" i="19"/>
  <c r="A3" i="19"/>
  <c r="H204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61" i="12"/>
  <c r="H98" i="12"/>
  <c r="H95" i="12"/>
  <c r="H37" i="12"/>
  <c r="H19" i="12"/>
  <c r="M117" i="7"/>
  <c r="K117" i="7"/>
  <c r="I117" i="7"/>
  <c r="G117" i="7"/>
  <c r="E117" i="7"/>
  <c r="C117" i="7"/>
  <c r="A117" i="7"/>
  <c r="P19" i="7"/>
  <c r="P117" i="7"/>
  <c r="O117" i="7"/>
  <c r="P116" i="7"/>
  <c r="O116" i="7"/>
  <c r="P115" i="7"/>
  <c r="O115" i="7"/>
  <c r="P113" i="7"/>
  <c r="O113" i="7"/>
  <c r="P111" i="7"/>
  <c r="O111" i="7"/>
  <c r="P97" i="7"/>
  <c r="O97" i="7"/>
  <c r="P92" i="7"/>
  <c r="O92" i="7"/>
  <c r="P68" i="7"/>
  <c r="O68" i="7"/>
  <c r="P64" i="7"/>
  <c r="O64" i="7"/>
  <c r="P33" i="7"/>
  <c r="O33" i="7"/>
  <c r="P31" i="7"/>
  <c r="O31" i="7"/>
  <c r="P109" i="7"/>
  <c r="O109" i="7"/>
  <c r="P105" i="7"/>
  <c r="O105" i="7"/>
  <c r="P114" i="7"/>
  <c r="O114" i="7"/>
  <c r="P112" i="7"/>
  <c r="O112" i="7"/>
  <c r="P110" i="7"/>
  <c r="O110" i="7"/>
  <c r="P108" i="7"/>
  <c r="O108" i="7"/>
  <c r="P107" i="7"/>
  <c r="O107" i="7"/>
  <c r="P106" i="7"/>
  <c r="O106" i="7"/>
  <c r="P104" i="7"/>
  <c r="O104" i="7"/>
  <c r="P103" i="7"/>
  <c r="O103" i="7"/>
  <c r="P102" i="7"/>
  <c r="O102" i="7"/>
  <c r="P101" i="7"/>
  <c r="O101" i="7"/>
  <c r="P100" i="7"/>
  <c r="O100" i="7"/>
  <c r="P99" i="7"/>
  <c r="O99" i="7"/>
  <c r="P98" i="7"/>
  <c r="O98" i="7"/>
  <c r="P96" i="7"/>
  <c r="O96" i="7"/>
  <c r="P95" i="7"/>
  <c r="O95" i="7"/>
  <c r="P94" i="7"/>
  <c r="O94" i="7"/>
  <c r="P93" i="7"/>
  <c r="O93" i="7"/>
  <c r="P91" i="7"/>
  <c r="O91" i="7"/>
  <c r="P90" i="7"/>
  <c r="O90" i="7"/>
  <c r="P89" i="7"/>
  <c r="O89" i="7"/>
  <c r="P88" i="7"/>
  <c r="O88" i="7"/>
  <c r="P87" i="7"/>
  <c r="O87" i="7"/>
  <c r="P86" i="7"/>
  <c r="O86" i="7"/>
  <c r="P85" i="7"/>
  <c r="O85" i="7"/>
  <c r="P84" i="7"/>
  <c r="O84" i="7"/>
  <c r="P83" i="7"/>
  <c r="O83" i="7"/>
  <c r="P82" i="7"/>
  <c r="O82" i="7"/>
  <c r="P81" i="7"/>
  <c r="O81" i="7"/>
  <c r="P80" i="7"/>
  <c r="O80" i="7"/>
  <c r="P79" i="7"/>
  <c r="O79" i="7"/>
  <c r="P78" i="7"/>
  <c r="O78" i="7"/>
  <c r="P77" i="7"/>
  <c r="O77" i="7"/>
  <c r="P76" i="7"/>
  <c r="O76" i="7"/>
  <c r="P75" i="7"/>
  <c r="O75" i="7"/>
  <c r="P74" i="7"/>
  <c r="O74" i="7"/>
  <c r="P73" i="7"/>
  <c r="O73" i="7"/>
  <c r="P72" i="7"/>
  <c r="O72" i="7"/>
  <c r="P71" i="7"/>
  <c r="O71" i="7"/>
  <c r="P70" i="7"/>
  <c r="O70" i="7"/>
  <c r="P69" i="7"/>
  <c r="O69" i="7"/>
  <c r="P67" i="7"/>
  <c r="O67" i="7"/>
  <c r="P66" i="7"/>
  <c r="O66" i="7"/>
  <c r="P65" i="7"/>
  <c r="O65" i="7"/>
  <c r="P63" i="7"/>
  <c r="O63" i="7"/>
  <c r="P62" i="7"/>
  <c r="O62" i="7"/>
  <c r="P61" i="7"/>
  <c r="O61" i="7"/>
  <c r="P60" i="7"/>
  <c r="O60" i="7"/>
  <c r="P59" i="7"/>
  <c r="O59" i="7"/>
  <c r="P58" i="7"/>
  <c r="O58" i="7"/>
  <c r="P57" i="7"/>
  <c r="O57" i="7"/>
  <c r="P56" i="7"/>
  <c r="O56" i="7"/>
  <c r="P55" i="7"/>
  <c r="O55" i="7"/>
  <c r="P54" i="7"/>
  <c r="O54" i="7"/>
  <c r="P53" i="7"/>
  <c r="O53" i="7"/>
  <c r="P52" i="7"/>
  <c r="O52" i="7"/>
  <c r="P51" i="7"/>
  <c r="O51" i="7"/>
  <c r="P50" i="7"/>
  <c r="O50" i="7"/>
  <c r="P49" i="7"/>
  <c r="O49" i="7"/>
  <c r="P48" i="7"/>
  <c r="O48" i="7"/>
  <c r="P47" i="7"/>
  <c r="O47" i="7"/>
  <c r="P46" i="7"/>
  <c r="O46" i="7"/>
  <c r="P45" i="7"/>
  <c r="O45" i="7"/>
  <c r="P44" i="7"/>
  <c r="O44" i="7"/>
  <c r="P43" i="7"/>
  <c r="O43" i="7"/>
  <c r="P42" i="7"/>
  <c r="O42" i="7"/>
  <c r="P41" i="7"/>
  <c r="O41" i="7"/>
  <c r="P40" i="7"/>
  <c r="O40" i="7"/>
  <c r="P39" i="7"/>
  <c r="O39" i="7"/>
  <c r="P38" i="7"/>
  <c r="O38" i="7"/>
  <c r="P37" i="7"/>
  <c r="O37" i="7"/>
  <c r="P36" i="7"/>
  <c r="O36" i="7"/>
  <c r="P35" i="7"/>
  <c r="O35" i="7"/>
  <c r="P34" i="7"/>
  <c r="O34" i="7"/>
  <c r="P32" i="7"/>
  <c r="O32" i="7"/>
  <c r="P30" i="7"/>
  <c r="O30" i="7"/>
  <c r="P29" i="7"/>
  <c r="O29" i="7"/>
  <c r="P28" i="7"/>
  <c r="O28" i="7"/>
  <c r="P27" i="7"/>
  <c r="O27" i="7"/>
  <c r="P26" i="7"/>
  <c r="O26" i="7"/>
  <c r="P25" i="7"/>
  <c r="O25" i="7"/>
  <c r="P24" i="7"/>
  <c r="O24" i="7"/>
  <c r="P23" i="7"/>
  <c r="O23" i="7"/>
  <c r="P22" i="7"/>
  <c r="O22" i="7"/>
  <c r="P21" i="7"/>
  <c r="O21" i="7"/>
  <c r="P20" i="7"/>
  <c r="O20" i="7"/>
  <c r="O19" i="7"/>
  <c r="P18" i="7"/>
  <c r="O18" i="7"/>
  <c r="P17" i="7"/>
  <c r="O17" i="7"/>
  <c r="P16" i="7"/>
  <c r="O16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H107" i="12"/>
  <c r="M295" i="18"/>
  <c r="G238" i="3"/>
  <c r="G237" i="3"/>
  <c r="H39" i="12"/>
  <c r="G236" i="3"/>
  <c r="H38" i="12"/>
  <c r="G235" i="3"/>
  <c r="G234" i="3"/>
  <c r="H6" i="12"/>
  <c r="G233" i="3"/>
  <c r="G232" i="3"/>
  <c r="G231" i="3"/>
  <c r="G230" i="3"/>
  <c r="G229" i="3"/>
  <c r="G228" i="3"/>
  <c r="G227" i="3"/>
  <c r="G226" i="3"/>
  <c r="G225" i="3"/>
  <c r="G224" i="3"/>
  <c r="G223" i="3"/>
  <c r="G222" i="3"/>
  <c r="H17" i="12"/>
  <c r="H16" i="12"/>
  <c r="H15" i="12"/>
  <c r="H14" i="12"/>
  <c r="H13" i="12"/>
  <c r="G221" i="3"/>
  <c r="G220" i="3"/>
  <c r="G219" i="3"/>
  <c r="G218" i="3"/>
  <c r="G217" i="3"/>
  <c r="H197" i="12"/>
  <c r="G216" i="3"/>
  <c r="H97" i="12"/>
  <c r="G215" i="3"/>
  <c r="H94" i="12"/>
  <c r="G214" i="3"/>
  <c r="H40" i="12"/>
  <c r="G211" i="3"/>
  <c r="H54" i="12"/>
  <c r="H33" i="12" l="1"/>
  <c r="H32" i="12"/>
  <c r="H31" i="12"/>
  <c r="H30" i="12"/>
  <c r="H29" i="12"/>
  <c r="H28" i="12"/>
  <c r="H27" i="12"/>
  <c r="H26" i="12"/>
  <c r="H25" i="12"/>
  <c r="H24" i="12"/>
  <c r="H23" i="12"/>
  <c r="H22" i="12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M296" i="18"/>
  <c r="F197" i="18"/>
  <c r="G197" i="18"/>
  <c r="H197" i="18"/>
  <c r="I197" i="18"/>
  <c r="J197" i="18"/>
  <c r="K197" i="18"/>
  <c r="M197" i="18"/>
  <c r="F78" i="18"/>
  <c r="G78" i="18"/>
  <c r="H78" i="18"/>
  <c r="I78" i="18"/>
  <c r="J78" i="18"/>
  <c r="K78" i="18"/>
  <c r="M78" i="18"/>
  <c r="F7" i="18"/>
  <c r="G7" i="18"/>
  <c r="H7" i="18"/>
  <c r="I7" i="18"/>
  <c r="J7" i="18"/>
  <c r="K7" i="18"/>
  <c r="L7" i="18"/>
  <c r="M7" i="18"/>
  <c r="F15" i="18"/>
  <c r="G15" i="18"/>
  <c r="H15" i="18"/>
  <c r="I15" i="18"/>
  <c r="J15" i="18"/>
  <c r="K15" i="18"/>
  <c r="M15" i="18"/>
  <c r="F16" i="18"/>
  <c r="G16" i="18"/>
  <c r="H16" i="18"/>
  <c r="I16" i="18"/>
  <c r="J16" i="18"/>
  <c r="K16" i="18"/>
  <c r="M16" i="18"/>
  <c r="F29" i="18"/>
  <c r="G29" i="18"/>
  <c r="H29" i="18"/>
  <c r="I29" i="18"/>
  <c r="J29" i="18"/>
  <c r="K29" i="18"/>
  <c r="L29" i="18"/>
  <c r="M29" i="18"/>
  <c r="F74" i="18"/>
  <c r="G74" i="18"/>
  <c r="H74" i="18"/>
  <c r="I74" i="18"/>
  <c r="J74" i="18"/>
  <c r="K74" i="18"/>
  <c r="M74" i="18"/>
  <c r="F75" i="18"/>
  <c r="G75" i="18"/>
  <c r="H75" i="18"/>
  <c r="I75" i="18"/>
  <c r="J75" i="18"/>
  <c r="K75" i="18"/>
  <c r="M75" i="18"/>
  <c r="F76" i="18"/>
  <c r="G76" i="18"/>
  <c r="H76" i="18"/>
  <c r="I76" i="18"/>
  <c r="J76" i="18"/>
  <c r="K76" i="18"/>
  <c r="M76" i="18"/>
  <c r="F77" i="18"/>
  <c r="G77" i="18"/>
  <c r="H77" i="18"/>
  <c r="I77" i="18"/>
  <c r="J77" i="18"/>
  <c r="K77" i="18"/>
  <c r="M77" i="18"/>
  <c r="F85" i="18"/>
  <c r="G85" i="18"/>
  <c r="H85" i="18"/>
  <c r="I85" i="18"/>
  <c r="J85" i="18"/>
  <c r="K85" i="18"/>
  <c r="M85" i="18"/>
  <c r="F142" i="18"/>
  <c r="G142" i="18"/>
  <c r="H142" i="18"/>
  <c r="I142" i="18"/>
  <c r="J142" i="18"/>
  <c r="K142" i="18"/>
  <c r="L142" i="18"/>
  <c r="M142" i="18"/>
  <c r="F147" i="18"/>
  <c r="G147" i="18"/>
  <c r="H147" i="18"/>
  <c r="I147" i="18"/>
  <c r="J147" i="18"/>
  <c r="K147" i="18"/>
  <c r="M147" i="18"/>
  <c r="F152" i="18"/>
  <c r="G152" i="18"/>
  <c r="H152" i="18"/>
  <c r="I152" i="18"/>
  <c r="J152" i="18"/>
  <c r="K152" i="18"/>
  <c r="M152" i="18"/>
  <c r="F170" i="18"/>
  <c r="G170" i="18"/>
  <c r="H170" i="18"/>
  <c r="I170" i="18"/>
  <c r="J170" i="18"/>
  <c r="K170" i="18"/>
  <c r="M170" i="18"/>
  <c r="F174" i="18"/>
  <c r="G174" i="18"/>
  <c r="H174" i="18"/>
  <c r="I174" i="18"/>
  <c r="J174" i="18"/>
  <c r="K174" i="18"/>
  <c r="M174" i="18"/>
  <c r="F178" i="18"/>
  <c r="G178" i="18"/>
  <c r="H178" i="18"/>
  <c r="I178" i="18"/>
  <c r="J178" i="18"/>
  <c r="K178" i="18"/>
  <c r="M178" i="18"/>
  <c r="F181" i="18"/>
  <c r="G181" i="18"/>
  <c r="H181" i="18"/>
  <c r="I181" i="18"/>
  <c r="J181" i="18"/>
  <c r="K181" i="18"/>
  <c r="M181" i="18"/>
  <c r="F203" i="18"/>
  <c r="G203" i="18"/>
  <c r="H203" i="18"/>
  <c r="I203" i="18"/>
  <c r="J203" i="18"/>
  <c r="K203" i="18"/>
  <c r="M203" i="18"/>
  <c r="F204" i="18"/>
  <c r="G204" i="18"/>
  <c r="H204" i="18"/>
  <c r="I204" i="18"/>
  <c r="J204" i="18"/>
  <c r="K204" i="18"/>
  <c r="M204" i="18"/>
  <c r="F208" i="18"/>
  <c r="G208" i="18"/>
  <c r="H208" i="18"/>
  <c r="I208" i="18"/>
  <c r="J208" i="18"/>
  <c r="K208" i="18"/>
  <c r="M208" i="18"/>
  <c r="F209" i="18"/>
  <c r="G209" i="18"/>
  <c r="H209" i="18"/>
  <c r="I209" i="18"/>
  <c r="J209" i="18"/>
  <c r="K209" i="18"/>
  <c r="M209" i="18"/>
  <c r="F213" i="18"/>
  <c r="G213" i="18"/>
  <c r="H213" i="18"/>
  <c r="I213" i="18"/>
  <c r="J213" i="18"/>
  <c r="K213" i="18"/>
  <c r="M213" i="18"/>
  <c r="F214" i="18"/>
  <c r="G214" i="18"/>
  <c r="H214" i="18"/>
  <c r="I214" i="18"/>
  <c r="J214" i="18"/>
  <c r="K214" i="18"/>
  <c r="M214" i="18"/>
  <c r="F220" i="18"/>
  <c r="G220" i="18"/>
  <c r="H220" i="18"/>
  <c r="I220" i="18"/>
  <c r="J220" i="18"/>
  <c r="K220" i="18"/>
  <c r="M220" i="18"/>
  <c r="F235" i="18"/>
  <c r="G235" i="18"/>
  <c r="H235" i="18"/>
  <c r="I235" i="18"/>
  <c r="J235" i="18"/>
  <c r="K235" i="18"/>
  <c r="M235" i="18"/>
  <c r="F239" i="18"/>
  <c r="G239" i="18"/>
  <c r="H239" i="18"/>
  <c r="I239" i="18"/>
  <c r="J239" i="18"/>
  <c r="K239" i="18"/>
  <c r="M239" i="18"/>
  <c r="F248" i="18"/>
  <c r="G248" i="18"/>
  <c r="H248" i="18"/>
  <c r="I248" i="18"/>
  <c r="J248" i="18"/>
  <c r="K248" i="18"/>
  <c r="M248" i="18"/>
  <c r="F261" i="18"/>
  <c r="G261" i="18"/>
  <c r="H261" i="18"/>
  <c r="I261" i="18"/>
  <c r="J261" i="18"/>
  <c r="K261" i="18"/>
  <c r="M261" i="18"/>
  <c r="F262" i="18"/>
  <c r="G262" i="18"/>
  <c r="H262" i="18"/>
  <c r="I262" i="18"/>
  <c r="J262" i="18"/>
  <c r="K262" i="18"/>
  <c r="M262" i="18"/>
  <c r="F269" i="18"/>
  <c r="G269" i="18"/>
  <c r="H269" i="18"/>
  <c r="I269" i="18"/>
  <c r="J269" i="18"/>
  <c r="K269" i="18"/>
  <c r="M269" i="18"/>
  <c r="F296" i="18"/>
  <c r="G296" i="18"/>
  <c r="H296" i="18"/>
  <c r="I296" i="18"/>
  <c r="J296" i="18"/>
  <c r="K296" i="18"/>
  <c r="F297" i="18"/>
  <c r="G297" i="18"/>
  <c r="H297" i="18"/>
  <c r="I297" i="18"/>
  <c r="J297" i="18"/>
  <c r="K297" i="18"/>
  <c r="M297" i="18"/>
  <c r="F299" i="18"/>
  <c r="G299" i="18"/>
  <c r="H299" i="18"/>
  <c r="I299" i="18"/>
  <c r="J299" i="18"/>
  <c r="K299" i="18"/>
  <c r="M299" i="18"/>
  <c r="F300" i="18"/>
  <c r="G300" i="18"/>
  <c r="H300" i="18"/>
  <c r="I300" i="18"/>
  <c r="J300" i="18"/>
  <c r="K300" i="18"/>
  <c r="M300" i="18"/>
  <c r="F304" i="18"/>
  <c r="G304" i="18"/>
  <c r="H304" i="18"/>
  <c r="I304" i="18"/>
  <c r="J304" i="18"/>
  <c r="K304" i="18"/>
  <c r="M304" i="18"/>
  <c r="F306" i="18"/>
  <c r="G306" i="18"/>
  <c r="H306" i="18"/>
  <c r="I306" i="18"/>
  <c r="J306" i="18"/>
  <c r="K306" i="18"/>
  <c r="M306" i="18"/>
  <c r="F313" i="18"/>
  <c r="G313" i="18"/>
  <c r="H313" i="18"/>
  <c r="I313" i="18"/>
  <c r="J313" i="18"/>
  <c r="K313" i="18"/>
  <c r="M313" i="18"/>
  <c r="F321" i="18"/>
  <c r="G321" i="18"/>
  <c r="H321" i="18"/>
  <c r="I321" i="18"/>
  <c r="J321" i="18"/>
  <c r="K321" i="18"/>
  <c r="M321" i="18"/>
  <c r="F324" i="18"/>
  <c r="G324" i="18"/>
  <c r="H324" i="18"/>
  <c r="I324" i="18"/>
  <c r="J324" i="18"/>
  <c r="K324" i="18"/>
  <c r="M324" i="18"/>
  <c r="F327" i="18"/>
  <c r="G327" i="18"/>
  <c r="H327" i="18"/>
  <c r="I327" i="18"/>
  <c r="J327" i="18"/>
  <c r="K327" i="18"/>
  <c r="M327" i="18"/>
  <c r="F64" i="18"/>
  <c r="G64" i="18"/>
  <c r="H64" i="18"/>
  <c r="I64" i="18"/>
  <c r="J64" i="18"/>
  <c r="K64" i="18"/>
  <c r="M64" i="18"/>
  <c r="F65" i="18"/>
  <c r="G65" i="18"/>
  <c r="H65" i="18"/>
  <c r="I65" i="18"/>
  <c r="J65" i="18"/>
  <c r="K65" i="18"/>
  <c r="M65" i="18"/>
  <c r="F91" i="18"/>
  <c r="G91" i="18"/>
  <c r="H91" i="18"/>
  <c r="I91" i="18"/>
  <c r="J91" i="18"/>
  <c r="K91" i="18"/>
  <c r="M91" i="18"/>
  <c r="F92" i="18"/>
  <c r="G92" i="18"/>
  <c r="H92" i="18"/>
  <c r="I92" i="18"/>
  <c r="J92" i="18"/>
  <c r="K92" i="18"/>
  <c r="M92" i="18"/>
  <c r="F145" i="18"/>
  <c r="G145" i="18"/>
  <c r="H145" i="18"/>
  <c r="I145" i="18"/>
  <c r="J145" i="18"/>
  <c r="K145" i="18"/>
  <c r="M145" i="18"/>
  <c r="F184" i="18"/>
  <c r="G184" i="18"/>
  <c r="H184" i="18"/>
  <c r="I184" i="18"/>
  <c r="J184" i="18"/>
  <c r="K184" i="18"/>
  <c r="M184" i="18"/>
  <c r="F196" i="18"/>
  <c r="G196" i="18"/>
  <c r="H196" i="18"/>
  <c r="I196" i="18"/>
  <c r="J196" i="18"/>
  <c r="K196" i="18"/>
  <c r="M196" i="18"/>
  <c r="F198" i="18"/>
  <c r="G198" i="18"/>
  <c r="H198" i="18"/>
  <c r="I198" i="18"/>
  <c r="J198" i="18"/>
  <c r="K198" i="18"/>
  <c r="M198" i="18"/>
  <c r="F199" i="18"/>
  <c r="G199" i="18"/>
  <c r="H199" i="18"/>
  <c r="I199" i="18"/>
  <c r="J199" i="18"/>
  <c r="K199" i="18"/>
  <c r="M199" i="18"/>
  <c r="F200" i="18"/>
  <c r="G200" i="18"/>
  <c r="H200" i="18"/>
  <c r="I200" i="18"/>
  <c r="J200" i="18"/>
  <c r="K200" i="18"/>
  <c r="M200" i="18"/>
  <c r="F216" i="18"/>
  <c r="G216" i="18"/>
  <c r="H216" i="18"/>
  <c r="I216" i="18"/>
  <c r="J216" i="18"/>
  <c r="K216" i="18"/>
  <c r="M216" i="18"/>
  <c r="F221" i="18"/>
  <c r="G221" i="18"/>
  <c r="H221" i="18"/>
  <c r="I221" i="18"/>
  <c r="J221" i="18"/>
  <c r="K221" i="18"/>
  <c r="M221" i="18"/>
  <c r="F231" i="18"/>
  <c r="G231" i="18"/>
  <c r="H231" i="18"/>
  <c r="I231" i="18"/>
  <c r="J231" i="18"/>
  <c r="K231" i="18"/>
  <c r="M231" i="18"/>
  <c r="F241" i="18"/>
  <c r="G241" i="18"/>
  <c r="H241" i="18"/>
  <c r="I241" i="18"/>
  <c r="J241" i="18"/>
  <c r="K241" i="18"/>
  <c r="M241" i="18"/>
  <c r="F252" i="18"/>
  <c r="G252" i="18"/>
  <c r="H252" i="18"/>
  <c r="I252" i="18"/>
  <c r="J252" i="18"/>
  <c r="K252" i="18"/>
  <c r="M252" i="18"/>
  <c r="F6" i="18"/>
  <c r="G6" i="18"/>
  <c r="H6" i="18"/>
  <c r="I6" i="18"/>
  <c r="J6" i="18"/>
  <c r="K6" i="18"/>
  <c r="M6" i="18"/>
  <c r="F8" i="18"/>
  <c r="G8" i="18"/>
  <c r="H8" i="18"/>
  <c r="I8" i="18"/>
  <c r="J8" i="18"/>
  <c r="K8" i="18"/>
  <c r="M8" i="18"/>
  <c r="F10" i="18"/>
  <c r="G10" i="18"/>
  <c r="H10" i="18"/>
  <c r="I10" i="18"/>
  <c r="J10" i="18"/>
  <c r="K10" i="18"/>
  <c r="M10" i="18"/>
  <c r="F12" i="18"/>
  <c r="G12" i="18"/>
  <c r="H12" i="18"/>
  <c r="I12" i="18"/>
  <c r="J12" i="18"/>
  <c r="K12" i="18"/>
  <c r="M12" i="18"/>
  <c r="F14" i="18"/>
  <c r="G14" i="18"/>
  <c r="H14" i="18"/>
  <c r="I14" i="18"/>
  <c r="J14" i="18"/>
  <c r="K14" i="18"/>
  <c r="M14" i="18"/>
  <c r="F19" i="18"/>
  <c r="G19" i="18"/>
  <c r="H19" i="18"/>
  <c r="I19" i="18"/>
  <c r="J19" i="18"/>
  <c r="K19" i="18"/>
  <c r="M19" i="18"/>
  <c r="F20" i="18"/>
  <c r="G20" i="18"/>
  <c r="H20" i="18"/>
  <c r="I20" i="18"/>
  <c r="J20" i="18"/>
  <c r="K20" i="18"/>
  <c r="M20" i="18"/>
  <c r="F21" i="18"/>
  <c r="G21" i="18"/>
  <c r="H21" i="18"/>
  <c r="I21" i="18"/>
  <c r="J21" i="18"/>
  <c r="K21" i="18"/>
  <c r="M21" i="18"/>
  <c r="F22" i="18"/>
  <c r="G22" i="18"/>
  <c r="H22" i="18"/>
  <c r="I22" i="18"/>
  <c r="J22" i="18"/>
  <c r="K22" i="18"/>
  <c r="M22" i="18"/>
  <c r="F23" i="18"/>
  <c r="G23" i="18"/>
  <c r="H23" i="18"/>
  <c r="I23" i="18"/>
  <c r="J23" i="18"/>
  <c r="K23" i="18"/>
  <c r="M23" i="18"/>
  <c r="F25" i="18"/>
  <c r="G25" i="18"/>
  <c r="H25" i="18"/>
  <c r="I25" i="18"/>
  <c r="J25" i="18"/>
  <c r="K25" i="18"/>
  <c r="M25" i="18"/>
  <c r="F26" i="18"/>
  <c r="G26" i="18"/>
  <c r="H26" i="18"/>
  <c r="I26" i="18"/>
  <c r="J26" i="18"/>
  <c r="K26" i="18"/>
  <c r="M26" i="18"/>
  <c r="F28" i="18"/>
  <c r="G28" i="18"/>
  <c r="H28" i="18"/>
  <c r="I28" i="18"/>
  <c r="J28" i="18"/>
  <c r="K28" i="18"/>
  <c r="M28" i="18"/>
  <c r="F30" i="18"/>
  <c r="G30" i="18"/>
  <c r="H30" i="18"/>
  <c r="I30" i="18"/>
  <c r="J30" i="18"/>
  <c r="K30" i="18"/>
  <c r="M30" i="18"/>
  <c r="F31" i="18"/>
  <c r="G31" i="18"/>
  <c r="H31" i="18"/>
  <c r="I31" i="18"/>
  <c r="J31" i="18"/>
  <c r="K31" i="18"/>
  <c r="M31" i="18"/>
  <c r="F32" i="18"/>
  <c r="G32" i="18"/>
  <c r="H32" i="18"/>
  <c r="I32" i="18"/>
  <c r="J32" i="18"/>
  <c r="K32" i="18"/>
  <c r="M32" i="18"/>
  <c r="F33" i="18"/>
  <c r="G33" i="18"/>
  <c r="H33" i="18"/>
  <c r="I33" i="18"/>
  <c r="J33" i="18"/>
  <c r="K33" i="18"/>
  <c r="M33" i="18"/>
  <c r="F34" i="18"/>
  <c r="G34" i="18"/>
  <c r="H34" i="18"/>
  <c r="I34" i="18"/>
  <c r="J34" i="18"/>
  <c r="K34" i="18"/>
  <c r="M34" i="18"/>
  <c r="F35" i="18"/>
  <c r="G35" i="18"/>
  <c r="H35" i="18"/>
  <c r="I35" i="18"/>
  <c r="J35" i="18"/>
  <c r="K35" i="18"/>
  <c r="M35" i="18"/>
  <c r="F36" i="18"/>
  <c r="G36" i="18"/>
  <c r="H36" i="18"/>
  <c r="I36" i="18"/>
  <c r="J36" i="18"/>
  <c r="K36" i="18"/>
  <c r="M36" i="18"/>
  <c r="F37" i="18"/>
  <c r="G37" i="18"/>
  <c r="H37" i="18"/>
  <c r="I37" i="18"/>
  <c r="J37" i="18"/>
  <c r="K37" i="18"/>
  <c r="M37" i="18"/>
  <c r="F38" i="18"/>
  <c r="G38" i="18"/>
  <c r="H38" i="18"/>
  <c r="I38" i="18"/>
  <c r="J38" i="18"/>
  <c r="K38" i="18"/>
  <c r="M38" i="18"/>
  <c r="F39" i="18"/>
  <c r="G39" i="18"/>
  <c r="H39" i="18"/>
  <c r="I39" i="18"/>
  <c r="J39" i="18"/>
  <c r="K39" i="18"/>
  <c r="M39" i="18"/>
  <c r="F40" i="18"/>
  <c r="G40" i="18"/>
  <c r="H40" i="18"/>
  <c r="I40" i="18"/>
  <c r="J40" i="18"/>
  <c r="K40" i="18"/>
  <c r="M40" i="18"/>
  <c r="F41" i="18"/>
  <c r="G41" i="18"/>
  <c r="H41" i="18"/>
  <c r="I41" i="18"/>
  <c r="J41" i="18"/>
  <c r="K41" i="18"/>
  <c r="M41" i="18"/>
  <c r="F42" i="18"/>
  <c r="G42" i="18"/>
  <c r="H42" i="18"/>
  <c r="I42" i="18"/>
  <c r="J42" i="18"/>
  <c r="K42" i="18"/>
  <c r="M42" i="18"/>
  <c r="F43" i="18"/>
  <c r="G43" i="18"/>
  <c r="H43" i="18"/>
  <c r="I43" i="18"/>
  <c r="J43" i="18"/>
  <c r="K43" i="18"/>
  <c r="M43" i="18"/>
  <c r="F44" i="18"/>
  <c r="G44" i="18"/>
  <c r="H44" i="18"/>
  <c r="I44" i="18"/>
  <c r="J44" i="18"/>
  <c r="K44" i="18"/>
  <c r="M44" i="18"/>
  <c r="F45" i="18"/>
  <c r="G45" i="18"/>
  <c r="H45" i="18"/>
  <c r="I45" i="18"/>
  <c r="J45" i="18"/>
  <c r="K45" i="18"/>
  <c r="M45" i="18"/>
  <c r="F46" i="18"/>
  <c r="G46" i="18"/>
  <c r="H46" i="18"/>
  <c r="I46" i="18"/>
  <c r="J46" i="18"/>
  <c r="K46" i="18"/>
  <c r="M46" i="18"/>
  <c r="F47" i="18"/>
  <c r="G47" i="18"/>
  <c r="H47" i="18"/>
  <c r="I47" i="18"/>
  <c r="J47" i="18"/>
  <c r="K47" i="18"/>
  <c r="M47" i="18"/>
  <c r="F49" i="18"/>
  <c r="G49" i="18"/>
  <c r="H49" i="18"/>
  <c r="I49" i="18"/>
  <c r="J49" i="18"/>
  <c r="K49" i="18"/>
  <c r="M49" i="18"/>
  <c r="F50" i="18"/>
  <c r="G50" i="18"/>
  <c r="H50" i="18"/>
  <c r="I50" i="18"/>
  <c r="J50" i="18"/>
  <c r="K50" i="18"/>
  <c r="M50" i="18"/>
  <c r="F51" i="18"/>
  <c r="G51" i="18"/>
  <c r="H51" i="18"/>
  <c r="I51" i="18"/>
  <c r="J51" i="18"/>
  <c r="K51" i="18"/>
  <c r="M51" i="18"/>
  <c r="F52" i="18"/>
  <c r="G52" i="18"/>
  <c r="H52" i="18"/>
  <c r="I52" i="18"/>
  <c r="J52" i="18"/>
  <c r="K52" i="18"/>
  <c r="M52" i="18"/>
  <c r="F53" i="18"/>
  <c r="G53" i="18"/>
  <c r="H53" i="18"/>
  <c r="I53" i="18"/>
  <c r="J53" i="18"/>
  <c r="K53" i="18"/>
  <c r="M53" i="18"/>
  <c r="F54" i="18"/>
  <c r="G54" i="18"/>
  <c r="H54" i="18"/>
  <c r="I54" i="18"/>
  <c r="J54" i="18"/>
  <c r="K54" i="18"/>
  <c r="M54" i="18"/>
  <c r="F55" i="18"/>
  <c r="G55" i="18"/>
  <c r="H55" i="18"/>
  <c r="I55" i="18"/>
  <c r="J55" i="18"/>
  <c r="K55" i="18"/>
  <c r="M55" i="18"/>
  <c r="F66" i="18"/>
  <c r="G66" i="18"/>
  <c r="H66" i="18"/>
  <c r="I66" i="18"/>
  <c r="J66" i="18"/>
  <c r="K66" i="18"/>
  <c r="M66" i="18"/>
  <c r="F67" i="18"/>
  <c r="G67" i="18"/>
  <c r="H67" i="18"/>
  <c r="I67" i="18"/>
  <c r="J67" i="18"/>
  <c r="K67" i="18"/>
  <c r="M67" i="18"/>
  <c r="F68" i="18"/>
  <c r="G68" i="18"/>
  <c r="H68" i="18"/>
  <c r="I68" i="18"/>
  <c r="J68" i="18"/>
  <c r="K68" i="18"/>
  <c r="M68" i="18"/>
  <c r="F69" i="18"/>
  <c r="G69" i="18"/>
  <c r="H69" i="18"/>
  <c r="I69" i="18"/>
  <c r="J69" i="18"/>
  <c r="K69" i="18"/>
  <c r="M69" i="18"/>
  <c r="F70" i="18"/>
  <c r="G70" i="18"/>
  <c r="H70" i="18"/>
  <c r="I70" i="18"/>
  <c r="J70" i="18"/>
  <c r="K70" i="18"/>
  <c r="M70" i="18"/>
  <c r="F79" i="18"/>
  <c r="G79" i="18"/>
  <c r="H79" i="18"/>
  <c r="I79" i="18"/>
  <c r="J79" i="18"/>
  <c r="K79" i="18"/>
  <c r="M79" i="18"/>
  <c r="F81" i="18"/>
  <c r="G81" i="18"/>
  <c r="H81" i="18"/>
  <c r="I81" i="18"/>
  <c r="J81" i="18"/>
  <c r="K81" i="18"/>
  <c r="M81" i="18"/>
  <c r="F84" i="18"/>
  <c r="G84" i="18"/>
  <c r="H84" i="18"/>
  <c r="I84" i="18"/>
  <c r="J84" i="18"/>
  <c r="K84" i="18"/>
  <c r="M84" i="18"/>
  <c r="F87" i="18"/>
  <c r="G87" i="18"/>
  <c r="H87" i="18"/>
  <c r="I87" i="18"/>
  <c r="J87" i="18"/>
  <c r="K87" i="18"/>
  <c r="M87" i="18"/>
  <c r="F88" i="18"/>
  <c r="G88" i="18"/>
  <c r="H88" i="18"/>
  <c r="I88" i="18"/>
  <c r="J88" i="18"/>
  <c r="K88" i="18"/>
  <c r="M88" i="18"/>
  <c r="F93" i="18"/>
  <c r="G93" i="18"/>
  <c r="H93" i="18"/>
  <c r="I93" i="18"/>
  <c r="J93" i="18"/>
  <c r="K93" i="18"/>
  <c r="M93" i="18"/>
  <c r="F94" i="18"/>
  <c r="G94" i="18"/>
  <c r="H94" i="18"/>
  <c r="I94" i="18"/>
  <c r="J94" i="18"/>
  <c r="K94" i="18"/>
  <c r="M94" i="18"/>
  <c r="F95" i="18"/>
  <c r="G95" i="18"/>
  <c r="H95" i="18"/>
  <c r="I95" i="18"/>
  <c r="J95" i="18"/>
  <c r="K95" i="18"/>
  <c r="M95" i="18"/>
  <c r="F97" i="18"/>
  <c r="G97" i="18"/>
  <c r="H97" i="18"/>
  <c r="I97" i="18"/>
  <c r="J97" i="18"/>
  <c r="K97" i="18"/>
  <c r="M97" i="18"/>
  <c r="F98" i="18"/>
  <c r="G98" i="18"/>
  <c r="H98" i="18"/>
  <c r="I98" i="18"/>
  <c r="J98" i="18"/>
  <c r="K98" i="18"/>
  <c r="M98" i="18"/>
  <c r="F99" i="18"/>
  <c r="G99" i="18"/>
  <c r="H99" i="18"/>
  <c r="I99" i="18"/>
  <c r="J99" i="18"/>
  <c r="K99" i="18"/>
  <c r="M99" i="18"/>
  <c r="F100" i="18"/>
  <c r="G100" i="18"/>
  <c r="H100" i="18"/>
  <c r="I100" i="18"/>
  <c r="J100" i="18"/>
  <c r="K100" i="18"/>
  <c r="M100" i="18"/>
  <c r="F101" i="18"/>
  <c r="G101" i="18"/>
  <c r="H101" i="18"/>
  <c r="I101" i="18"/>
  <c r="J101" i="18"/>
  <c r="K101" i="18"/>
  <c r="M101" i="18"/>
  <c r="F102" i="18"/>
  <c r="G102" i="18"/>
  <c r="H102" i="18"/>
  <c r="I102" i="18"/>
  <c r="J102" i="18"/>
  <c r="K102" i="18"/>
  <c r="M102" i="18"/>
  <c r="F103" i="18"/>
  <c r="G103" i="18"/>
  <c r="H103" i="18"/>
  <c r="I103" i="18"/>
  <c r="J103" i="18"/>
  <c r="K103" i="18"/>
  <c r="M103" i="18"/>
  <c r="F104" i="18"/>
  <c r="G104" i="18"/>
  <c r="H104" i="18"/>
  <c r="I104" i="18"/>
  <c r="J104" i="18"/>
  <c r="K104" i="18"/>
  <c r="M104" i="18"/>
  <c r="F105" i="18"/>
  <c r="G105" i="18"/>
  <c r="H105" i="18"/>
  <c r="I105" i="18"/>
  <c r="J105" i="18"/>
  <c r="K105" i="18"/>
  <c r="M105" i="18"/>
  <c r="F106" i="18"/>
  <c r="G106" i="18"/>
  <c r="H106" i="18"/>
  <c r="I106" i="18"/>
  <c r="J106" i="18"/>
  <c r="K106" i="18"/>
  <c r="M106" i="18"/>
  <c r="F107" i="18"/>
  <c r="G107" i="18"/>
  <c r="H107" i="18"/>
  <c r="I107" i="18"/>
  <c r="J107" i="18"/>
  <c r="K107" i="18"/>
  <c r="M107" i="18"/>
  <c r="F108" i="18"/>
  <c r="G108" i="18"/>
  <c r="H108" i="18"/>
  <c r="I108" i="18"/>
  <c r="J108" i="18"/>
  <c r="K108" i="18"/>
  <c r="M108" i="18"/>
  <c r="F109" i="18"/>
  <c r="G109" i="18"/>
  <c r="H109" i="18"/>
  <c r="I109" i="18"/>
  <c r="J109" i="18"/>
  <c r="K109" i="18"/>
  <c r="M109" i="18"/>
  <c r="F110" i="18"/>
  <c r="G110" i="18"/>
  <c r="H110" i="18"/>
  <c r="I110" i="18"/>
  <c r="J110" i="18"/>
  <c r="K110" i="18"/>
  <c r="M110" i="18"/>
  <c r="F111" i="18"/>
  <c r="G111" i="18"/>
  <c r="H111" i="18"/>
  <c r="I111" i="18"/>
  <c r="J111" i="18"/>
  <c r="K111" i="18"/>
  <c r="M111" i="18"/>
  <c r="F112" i="18"/>
  <c r="G112" i="18"/>
  <c r="H112" i="18"/>
  <c r="I112" i="18"/>
  <c r="J112" i="18"/>
  <c r="K112" i="18"/>
  <c r="M112" i="18"/>
  <c r="F113" i="18"/>
  <c r="G113" i="18"/>
  <c r="H113" i="18"/>
  <c r="I113" i="18"/>
  <c r="J113" i="18"/>
  <c r="K113" i="18"/>
  <c r="M113" i="18"/>
  <c r="F114" i="18"/>
  <c r="G114" i="18"/>
  <c r="H114" i="18"/>
  <c r="I114" i="18"/>
  <c r="J114" i="18"/>
  <c r="K114" i="18"/>
  <c r="M114" i="18"/>
  <c r="F115" i="18"/>
  <c r="G115" i="18"/>
  <c r="H115" i="18"/>
  <c r="I115" i="18"/>
  <c r="J115" i="18"/>
  <c r="K115" i="18"/>
  <c r="M115" i="18"/>
  <c r="F116" i="18"/>
  <c r="G116" i="18"/>
  <c r="H116" i="18"/>
  <c r="I116" i="18"/>
  <c r="J116" i="18"/>
  <c r="K116" i="18"/>
  <c r="M116" i="18"/>
  <c r="F117" i="18"/>
  <c r="G117" i="18"/>
  <c r="H117" i="18"/>
  <c r="I117" i="18"/>
  <c r="J117" i="18"/>
  <c r="K117" i="18"/>
  <c r="M117" i="18"/>
  <c r="F118" i="18"/>
  <c r="G118" i="18"/>
  <c r="H118" i="18"/>
  <c r="I118" i="18"/>
  <c r="J118" i="18"/>
  <c r="K118" i="18"/>
  <c r="M118" i="18"/>
  <c r="F119" i="18"/>
  <c r="G119" i="18"/>
  <c r="H119" i="18"/>
  <c r="I119" i="18"/>
  <c r="J119" i="18"/>
  <c r="K119" i="18"/>
  <c r="M119" i="18"/>
  <c r="F120" i="18"/>
  <c r="G120" i="18"/>
  <c r="H120" i="18"/>
  <c r="I120" i="18"/>
  <c r="J120" i="18"/>
  <c r="K120" i="18"/>
  <c r="M120" i="18"/>
  <c r="F121" i="18"/>
  <c r="G121" i="18"/>
  <c r="H121" i="18"/>
  <c r="I121" i="18"/>
  <c r="J121" i="18"/>
  <c r="K121" i="18"/>
  <c r="M121" i="18"/>
  <c r="F122" i="18"/>
  <c r="G122" i="18"/>
  <c r="H122" i="18"/>
  <c r="I122" i="18"/>
  <c r="J122" i="18"/>
  <c r="K122" i="18"/>
  <c r="M122" i="18"/>
  <c r="F123" i="18"/>
  <c r="G123" i="18"/>
  <c r="H123" i="18"/>
  <c r="I123" i="18"/>
  <c r="J123" i="18"/>
  <c r="K123" i="18"/>
  <c r="M123" i="18"/>
  <c r="F124" i="18"/>
  <c r="G124" i="18"/>
  <c r="H124" i="18"/>
  <c r="I124" i="18"/>
  <c r="J124" i="18"/>
  <c r="K124" i="18"/>
  <c r="M124" i="18"/>
  <c r="F125" i="18"/>
  <c r="G125" i="18"/>
  <c r="H125" i="18"/>
  <c r="I125" i="18"/>
  <c r="J125" i="18"/>
  <c r="K125" i="18"/>
  <c r="M125" i="18"/>
  <c r="F126" i="18"/>
  <c r="G126" i="18"/>
  <c r="H126" i="18"/>
  <c r="I126" i="18"/>
  <c r="J126" i="18"/>
  <c r="K126" i="18"/>
  <c r="M126" i="18"/>
  <c r="F127" i="18"/>
  <c r="G127" i="18"/>
  <c r="H127" i="18"/>
  <c r="I127" i="18"/>
  <c r="J127" i="18"/>
  <c r="K127" i="18"/>
  <c r="M127" i="18"/>
  <c r="F128" i="18"/>
  <c r="G128" i="18"/>
  <c r="H128" i="18"/>
  <c r="I128" i="18"/>
  <c r="J128" i="18"/>
  <c r="K128" i="18"/>
  <c r="M128" i="18"/>
  <c r="F129" i="18"/>
  <c r="G129" i="18"/>
  <c r="H129" i="18"/>
  <c r="I129" i="18"/>
  <c r="J129" i="18"/>
  <c r="K129" i="18"/>
  <c r="M129" i="18"/>
  <c r="F130" i="18"/>
  <c r="G130" i="18"/>
  <c r="H130" i="18"/>
  <c r="I130" i="18"/>
  <c r="J130" i="18"/>
  <c r="K130" i="18"/>
  <c r="M130" i="18"/>
  <c r="F131" i="18"/>
  <c r="G131" i="18"/>
  <c r="H131" i="18"/>
  <c r="I131" i="18"/>
  <c r="J131" i="18"/>
  <c r="K131" i="18"/>
  <c r="M131" i="18"/>
  <c r="F132" i="18"/>
  <c r="G132" i="18"/>
  <c r="H132" i="18"/>
  <c r="I132" i="18"/>
  <c r="J132" i="18"/>
  <c r="K132" i="18"/>
  <c r="M132" i="18"/>
  <c r="F133" i="18"/>
  <c r="G133" i="18"/>
  <c r="H133" i="18"/>
  <c r="I133" i="18"/>
  <c r="J133" i="18"/>
  <c r="K133" i="18"/>
  <c r="M133" i="18"/>
  <c r="F135" i="18"/>
  <c r="G135" i="18"/>
  <c r="H135" i="18"/>
  <c r="I135" i="18"/>
  <c r="J135" i="18"/>
  <c r="K135" i="18"/>
  <c r="M135" i="18"/>
  <c r="F136" i="18"/>
  <c r="G136" i="18"/>
  <c r="H136" i="18"/>
  <c r="I136" i="18"/>
  <c r="J136" i="18"/>
  <c r="K136" i="18"/>
  <c r="M136" i="18"/>
  <c r="F137" i="18"/>
  <c r="G137" i="18"/>
  <c r="H137" i="18"/>
  <c r="I137" i="18"/>
  <c r="J137" i="18"/>
  <c r="K137" i="18"/>
  <c r="M137" i="18"/>
  <c r="F138" i="18"/>
  <c r="G138" i="18"/>
  <c r="H138" i="18"/>
  <c r="I138" i="18"/>
  <c r="J138" i="18"/>
  <c r="K138" i="18"/>
  <c r="M138" i="18"/>
  <c r="F140" i="18"/>
  <c r="G140" i="18"/>
  <c r="H140" i="18"/>
  <c r="I140" i="18"/>
  <c r="J140" i="18"/>
  <c r="K140" i="18"/>
  <c r="M140" i="18"/>
  <c r="F143" i="18"/>
  <c r="G143" i="18"/>
  <c r="H143" i="18"/>
  <c r="I143" i="18"/>
  <c r="J143" i="18"/>
  <c r="K143" i="18"/>
  <c r="M143" i="18"/>
  <c r="F144" i="18"/>
  <c r="G144" i="18"/>
  <c r="H144" i="18"/>
  <c r="I144" i="18"/>
  <c r="J144" i="18"/>
  <c r="K144" i="18"/>
  <c r="M144" i="18"/>
  <c r="F150" i="18"/>
  <c r="G150" i="18"/>
  <c r="H150" i="18"/>
  <c r="I150" i="18"/>
  <c r="J150" i="18"/>
  <c r="K150" i="18"/>
  <c r="M150" i="18"/>
  <c r="F154" i="18"/>
  <c r="G154" i="18"/>
  <c r="H154" i="18"/>
  <c r="I154" i="18"/>
  <c r="J154" i="18"/>
  <c r="K154" i="18"/>
  <c r="M154" i="18"/>
  <c r="F155" i="18"/>
  <c r="G155" i="18"/>
  <c r="H155" i="18"/>
  <c r="I155" i="18"/>
  <c r="J155" i="18"/>
  <c r="K155" i="18"/>
  <c r="M155" i="18"/>
  <c r="F158" i="18"/>
  <c r="G158" i="18"/>
  <c r="H158" i="18"/>
  <c r="I158" i="18"/>
  <c r="J158" i="18"/>
  <c r="K158" i="18"/>
  <c r="M158" i="18"/>
  <c r="F160" i="18"/>
  <c r="G160" i="18"/>
  <c r="H160" i="18"/>
  <c r="I160" i="18"/>
  <c r="J160" i="18"/>
  <c r="K160" i="18"/>
  <c r="M160" i="18"/>
  <c r="F163" i="18"/>
  <c r="G163" i="18"/>
  <c r="H163" i="18"/>
  <c r="I163" i="18"/>
  <c r="J163" i="18"/>
  <c r="K163" i="18"/>
  <c r="M163" i="18"/>
  <c r="F164" i="18"/>
  <c r="G164" i="18"/>
  <c r="H164" i="18"/>
  <c r="I164" i="18"/>
  <c r="J164" i="18"/>
  <c r="K164" i="18"/>
  <c r="M164" i="18"/>
  <c r="F165" i="18"/>
  <c r="G165" i="18"/>
  <c r="H165" i="18"/>
  <c r="I165" i="18"/>
  <c r="J165" i="18"/>
  <c r="K165" i="18"/>
  <c r="M165" i="18"/>
  <c r="F166" i="18"/>
  <c r="G166" i="18"/>
  <c r="H166" i="18"/>
  <c r="I166" i="18"/>
  <c r="J166" i="18"/>
  <c r="K166" i="18"/>
  <c r="M166" i="18"/>
  <c r="F169" i="18"/>
  <c r="G169" i="18"/>
  <c r="H169" i="18"/>
  <c r="I169" i="18"/>
  <c r="J169" i="18"/>
  <c r="K169" i="18"/>
  <c r="M169" i="18"/>
  <c r="F171" i="18"/>
  <c r="G171" i="18"/>
  <c r="H171" i="18"/>
  <c r="I171" i="18"/>
  <c r="J171" i="18"/>
  <c r="K171" i="18"/>
  <c r="M171" i="18"/>
  <c r="F173" i="18"/>
  <c r="G173" i="18"/>
  <c r="H173" i="18"/>
  <c r="I173" i="18"/>
  <c r="J173" i="18"/>
  <c r="K173" i="18"/>
  <c r="M173" i="18"/>
  <c r="F176" i="18"/>
  <c r="G176" i="18"/>
  <c r="H176" i="18"/>
  <c r="I176" i="18"/>
  <c r="J176" i="18"/>
  <c r="K176" i="18"/>
  <c r="M176" i="18"/>
  <c r="F180" i="18"/>
  <c r="G180" i="18"/>
  <c r="H180" i="18"/>
  <c r="I180" i="18"/>
  <c r="J180" i="18"/>
  <c r="K180" i="18"/>
  <c r="M180" i="18"/>
  <c r="F201" i="18"/>
  <c r="G201" i="18"/>
  <c r="H201" i="18"/>
  <c r="I201" i="18"/>
  <c r="J201" i="18"/>
  <c r="K201" i="18"/>
  <c r="M201" i="18"/>
  <c r="F202" i="18"/>
  <c r="G202" i="18"/>
  <c r="H202" i="18"/>
  <c r="I202" i="18"/>
  <c r="J202" i="18"/>
  <c r="K202" i="18"/>
  <c r="M202" i="18"/>
  <c r="F205" i="18"/>
  <c r="G205" i="18"/>
  <c r="H205" i="18"/>
  <c r="I205" i="18"/>
  <c r="J205" i="18"/>
  <c r="K205" i="18"/>
  <c r="M205" i="18"/>
  <c r="F206" i="18"/>
  <c r="G206" i="18"/>
  <c r="H206" i="18"/>
  <c r="I206" i="18"/>
  <c r="J206" i="18"/>
  <c r="K206" i="18"/>
  <c r="M206" i="18"/>
  <c r="F207" i="18"/>
  <c r="G207" i="18"/>
  <c r="H207" i="18"/>
  <c r="I207" i="18"/>
  <c r="J207" i="18"/>
  <c r="K207" i="18"/>
  <c r="M207" i="18"/>
  <c r="F210" i="18"/>
  <c r="G210" i="18"/>
  <c r="H210" i="18"/>
  <c r="I210" i="18"/>
  <c r="J210" i="18"/>
  <c r="K210" i="18"/>
  <c r="M210" i="18"/>
  <c r="F211" i="18"/>
  <c r="G211" i="18"/>
  <c r="H211" i="18"/>
  <c r="I211" i="18"/>
  <c r="J211" i="18"/>
  <c r="K211" i="18"/>
  <c r="M211" i="18"/>
  <c r="F212" i="18"/>
  <c r="G212" i="18"/>
  <c r="H212" i="18"/>
  <c r="I212" i="18"/>
  <c r="J212" i="18"/>
  <c r="K212" i="18"/>
  <c r="M212" i="18"/>
  <c r="F215" i="18"/>
  <c r="G215" i="18"/>
  <c r="H215" i="18"/>
  <c r="I215" i="18"/>
  <c r="J215" i="18"/>
  <c r="K215" i="18"/>
  <c r="M215" i="18"/>
  <c r="F217" i="18"/>
  <c r="G217" i="18"/>
  <c r="H217" i="18"/>
  <c r="I217" i="18"/>
  <c r="J217" i="18"/>
  <c r="K217" i="18"/>
  <c r="M217" i="18"/>
  <c r="F218" i="18"/>
  <c r="G218" i="18"/>
  <c r="H218" i="18"/>
  <c r="I218" i="18"/>
  <c r="J218" i="18"/>
  <c r="K218" i="18"/>
  <c r="M218" i="18"/>
  <c r="F225" i="18"/>
  <c r="G225" i="18"/>
  <c r="H225" i="18"/>
  <c r="I225" i="18"/>
  <c r="J225" i="18"/>
  <c r="K225" i="18"/>
  <c r="M225" i="18"/>
  <c r="F226" i="18"/>
  <c r="G226" i="18"/>
  <c r="H226" i="18"/>
  <c r="I226" i="18"/>
  <c r="J226" i="18"/>
  <c r="K226" i="18"/>
  <c r="M226" i="18"/>
  <c r="F228" i="18"/>
  <c r="G228" i="18"/>
  <c r="H228" i="18"/>
  <c r="I228" i="18"/>
  <c r="J228" i="18"/>
  <c r="K228" i="18"/>
  <c r="M228" i="18"/>
  <c r="F238" i="18"/>
  <c r="G238" i="18"/>
  <c r="H238" i="18"/>
  <c r="I238" i="18"/>
  <c r="J238" i="18"/>
  <c r="K238" i="18"/>
  <c r="M238" i="18"/>
  <c r="F236" i="18"/>
  <c r="G236" i="18"/>
  <c r="H236" i="18"/>
  <c r="I236" i="18"/>
  <c r="J236" i="18"/>
  <c r="K236" i="18"/>
  <c r="M236" i="18"/>
  <c r="F247" i="18"/>
  <c r="G247" i="18"/>
  <c r="H247" i="18"/>
  <c r="I247" i="18"/>
  <c r="J247" i="18"/>
  <c r="K247" i="18"/>
  <c r="M247" i="18"/>
  <c r="F253" i="18"/>
  <c r="G253" i="18"/>
  <c r="H253" i="18"/>
  <c r="I253" i="18"/>
  <c r="J253" i="18"/>
  <c r="K253" i="18"/>
  <c r="M253" i="18"/>
  <c r="F257" i="18"/>
  <c r="G257" i="18"/>
  <c r="H257" i="18"/>
  <c r="I257" i="18"/>
  <c r="J257" i="18"/>
  <c r="K257" i="18"/>
  <c r="M257" i="18"/>
  <c r="F258" i="18"/>
  <c r="G258" i="18"/>
  <c r="H258" i="18"/>
  <c r="I258" i="18"/>
  <c r="J258" i="18"/>
  <c r="K258" i="18"/>
  <c r="M258" i="18"/>
  <c r="F264" i="18"/>
  <c r="G264" i="18"/>
  <c r="H264" i="18"/>
  <c r="I264" i="18"/>
  <c r="J264" i="18"/>
  <c r="K264" i="18"/>
  <c r="M264" i="18"/>
  <c r="F266" i="18"/>
  <c r="G266" i="18"/>
  <c r="H266" i="18"/>
  <c r="I266" i="18"/>
  <c r="J266" i="18"/>
  <c r="K266" i="18"/>
  <c r="M266" i="18"/>
  <c r="F267" i="18"/>
  <c r="G267" i="18"/>
  <c r="H267" i="18"/>
  <c r="I267" i="18"/>
  <c r="J267" i="18"/>
  <c r="K267" i="18"/>
  <c r="M267" i="18"/>
  <c r="F268" i="18"/>
  <c r="G268" i="18"/>
  <c r="H268" i="18"/>
  <c r="I268" i="18"/>
  <c r="J268" i="18"/>
  <c r="K268" i="18"/>
  <c r="M268" i="18"/>
  <c r="F270" i="18"/>
  <c r="G270" i="18"/>
  <c r="H270" i="18"/>
  <c r="I270" i="18"/>
  <c r="J270" i="18"/>
  <c r="K270" i="18"/>
  <c r="M270" i="18"/>
  <c r="F271" i="18"/>
  <c r="G271" i="18"/>
  <c r="H271" i="18"/>
  <c r="I271" i="18"/>
  <c r="J271" i="18"/>
  <c r="K271" i="18"/>
  <c r="M271" i="18"/>
  <c r="F272" i="18"/>
  <c r="G272" i="18"/>
  <c r="H272" i="18"/>
  <c r="I272" i="18"/>
  <c r="J272" i="18"/>
  <c r="K272" i="18"/>
  <c r="M272" i="18"/>
  <c r="F273" i="18"/>
  <c r="G273" i="18"/>
  <c r="H273" i="18"/>
  <c r="I273" i="18"/>
  <c r="J273" i="18"/>
  <c r="K273" i="18"/>
  <c r="M273" i="18"/>
  <c r="F274" i="18"/>
  <c r="G274" i="18"/>
  <c r="H274" i="18"/>
  <c r="I274" i="18"/>
  <c r="J274" i="18"/>
  <c r="K274" i="18"/>
  <c r="M274" i="18"/>
  <c r="F275" i="18"/>
  <c r="G275" i="18"/>
  <c r="H275" i="18"/>
  <c r="I275" i="18"/>
  <c r="J275" i="18"/>
  <c r="K275" i="18"/>
  <c r="M275" i="18"/>
  <c r="F276" i="18"/>
  <c r="G276" i="18"/>
  <c r="H276" i="18"/>
  <c r="I276" i="18"/>
  <c r="J276" i="18"/>
  <c r="K276" i="18"/>
  <c r="M276" i="18"/>
  <c r="F277" i="18"/>
  <c r="G277" i="18"/>
  <c r="H277" i="18"/>
  <c r="I277" i="18"/>
  <c r="J277" i="18"/>
  <c r="K277" i="18"/>
  <c r="M277" i="18"/>
  <c r="F278" i="18"/>
  <c r="G278" i="18"/>
  <c r="H278" i="18"/>
  <c r="I278" i="18"/>
  <c r="J278" i="18"/>
  <c r="K278" i="18"/>
  <c r="M278" i="18"/>
  <c r="F279" i="18"/>
  <c r="G279" i="18"/>
  <c r="H279" i="18"/>
  <c r="I279" i="18"/>
  <c r="J279" i="18"/>
  <c r="K279" i="18"/>
  <c r="M279" i="18"/>
  <c r="F280" i="18"/>
  <c r="G280" i="18"/>
  <c r="H280" i="18"/>
  <c r="I280" i="18"/>
  <c r="J280" i="18"/>
  <c r="K280" i="18"/>
  <c r="M280" i="18"/>
  <c r="F281" i="18"/>
  <c r="G281" i="18"/>
  <c r="H281" i="18"/>
  <c r="I281" i="18"/>
  <c r="J281" i="18"/>
  <c r="K281" i="18"/>
  <c r="M281" i="18"/>
  <c r="F282" i="18"/>
  <c r="G282" i="18"/>
  <c r="H282" i="18"/>
  <c r="I282" i="18"/>
  <c r="J282" i="18"/>
  <c r="K282" i="18"/>
  <c r="M282" i="18"/>
  <c r="F283" i="18"/>
  <c r="G283" i="18"/>
  <c r="H283" i="18"/>
  <c r="I283" i="18"/>
  <c r="J283" i="18"/>
  <c r="K283" i="18"/>
  <c r="M283" i="18"/>
  <c r="F284" i="18"/>
  <c r="G284" i="18"/>
  <c r="H284" i="18"/>
  <c r="I284" i="18"/>
  <c r="J284" i="18"/>
  <c r="K284" i="18"/>
  <c r="M284" i="18"/>
  <c r="F285" i="18"/>
  <c r="G285" i="18"/>
  <c r="H285" i="18"/>
  <c r="I285" i="18"/>
  <c r="J285" i="18"/>
  <c r="K285" i="18"/>
  <c r="M285" i="18"/>
  <c r="F286" i="18"/>
  <c r="G286" i="18"/>
  <c r="H286" i="18"/>
  <c r="I286" i="18"/>
  <c r="J286" i="18"/>
  <c r="K286" i="18"/>
  <c r="M286" i="18"/>
  <c r="F287" i="18"/>
  <c r="G287" i="18"/>
  <c r="H287" i="18"/>
  <c r="I287" i="18"/>
  <c r="J287" i="18"/>
  <c r="K287" i="18"/>
  <c r="M287" i="18"/>
  <c r="F288" i="18"/>
  <c r="G288" i="18"/>
  <c r="H288" i="18"/>
  <c r="I288" i="18"/>
  <c r="J288" i="18"/>
  <c r="K288" i="18"/>
  <c r="M288" i="18"/>
  <c r="F289" i="18"/>
  <c r="G289" i="18"/>
  <c r="H289" i="18"/>
  <c r="I289" i="18"/>
  <c r="J289" i="18"/>
  <c r="K289" i="18"/>
  <c r="M289" i="18"/>
  <c r="F290" i="18"/>
  <c r="G290" i="18"/>
  <c r="H290" i="18"/>
  <c r="I290" i="18"/>
  <c r="J290" i="18"/>
  <c r="K290" i="18"/>
  <c r="M290" i="18"/>
  <c r="F291" i="18"/>
  <c r="G291" i="18"/>
  <c r="H291" i="18"/>
  <c r="I291" i="18"/>
  <c r="J291" i="18"/>
  <c r="K291" i="18"/>
  <c r="M291" i="18"/>
  <c r="F292" i="18"/>
  <c r="G292" i="18"/>
  <c r="H292" i="18"/>
  <c r="I292" i="18"/>
  <c r="J292" i="18"/>
  <c r="K292" i="18"/>
  <c r="M292" i="18"/>
  <c r="F293" i="18"/>
  <c r="G293" i="18"/>
  <c r="H293" i="18"/>
  <c r="I293" i="18"/>
  <c r="J293" i="18"/>
  <c r="K293" i="18"/>
  <c r="M293" i="18"/>
  <c r="F294" i="18"/>
  <c r="G294" i="18"/>
  <c r="H294" i="18"/>
  <c r="I294" i="18"/>
  <c r="J294" i="18"/>
  <c r="K294" i="18"/>
  <c r="M294" i="18"/>
  <c r="F295" i="18"/>
  <c r="G295" i="18"/>
  <c r="H295" i="18"/>
  <c r="I295" i="18"/>
  <c r="J295" i="18"/>
  <c r="K295" i="18"/>
  <c r="F303" i="18"/>
  <c r="G303" i="18"/>
  <c r="H303" i="18"/>
  <c r="I303" i="18"/>
  <c r="J303" i="18"/>
  <c r="K303" i="18"/>
  <c r="M303" i="18"/>
  <c r="F305" i="18"/>
  <c r="G305" i="18"/>
  <c r="H305" i="18"/>
  <c r="I305" i="18"/>
  <c r="J305" i="18"/>
  <c r="K305" i="18"/>
  <c r="M305" i="18"/>
  <c r="F307" i="18"/>
  <c r="G307" i="18"/>
  <c r="H307" i="18"/>
  <c r="I307" i="18"/>
  <c r="J307" i="18"/>
  <c r="K307" i="18"/>
  <c r="M307" i="18"/>
  <c r="F309" i="18"/>
  <c r="G309" i="18"/>
  <c r="H309" i="18"/>
  <c r="I309" i="18"/>
  <c r="J309" i="18"/>
  <c r="K309" i="18"/>
  <c r="M309" i="18"/>
  <c r="F310" i="18"/>
  <c r="G310" i="18"/>
  <c r="H310" i="18"/>
  <c r="I310" i="18"/>
  <c r="J310" i="18"/>
  <c r="K310" i="18"/>
  <c r="M310" i="18"/>
  <c r="F311" i="18"/>
  <c r="G311" i="18"/>
  <c r="H311" i="18"/>
  <c r="I311" i="18"/>
  <c r="J311" i="18"/>
  <c r="K311" i="18"/>
  <c r="M311" i="18"/>
  <c r="F314" i="18"/>
  <c r="G314" i="18"/>
  <c r="H314" i="18"/>
  <c r="I314" i="18"/>
  <c r="J314" i="18"/>
  <c r="K314" i="18"/>
  <c r="M314" i="18"/>
  <c r="F315" i="18"/>
  <c r="G315" i="18"/>
  <c r="H315" i="18"/>
  <c r="I315" i="18"/>
  <c r="J315" i="18"/>
  <c r="K315" i="18"/>
  <c r="M315" i="18"/>
  <c r="F316" i="18"/>
  <c r="G316" i="18"/>
  <c r="H316" i="18"/>
  <c r="I316" i="18"/>
  <c r="J316" i="18"/>
  <c r="K316" i="18"/>
  <c r="M316" i="18"/>
  <c r="F318" i="18"/>
  <c r="G318" i="18"/>
  <c r="H318" i="18"/>
  <c r="I318" i="18"/>
  <c r="J318" i="18"/>
  <c r="K318" i="18"/>
  <c r="M318" i="18"/>
  <c r="F319" i="18"/>
  <c r="G319" i="18"/>
  <c r="H319" i="18"/>
  <c r="I319" i="18"/>
  <c r="J319" i="18"/>
  <c r="K319" i="18"/>
  <c r="M319" i="18"/>
  <c r="F320" i="18"/>
  <c r="G320" i="18"/>
  <c r="H320" i="18"/>
  <c r="I320" i="18"/>
  <c r="J320" i="18"/>
  <c r="K320" i="18"/>
  <c r="M320" i="18"/>
  <c r="F322" i="18"/>
  <c r="G322" i="18"/>
  <c r="H322" i="18"/>
  <c r="I322" i="18"/>
  <c r="J322" i="18"/>
  <c r="K322" i="18"/>
  <c r="M322" i="18"/>
  <c r="F323" i="18"/>
  <c r="G323" i="18"/>
  <c r="H323" i="18"/>
  <c r="I323" i="18"/>
  <c r="J323" i="18"/>
  <c r="K323" i="18"/>
  <c r="M323" i="18"/>
  <c r="F325" i="18"/>
  <c r="G325" i="18"/>
  <c r="H325" i="18"/>
  <c r="I325" i="18"/>
  <c r="J325" i="18"/>
  <c r="K325" i="18"/>
  <c r="M325" i="18"/>
  <c r="F326" i="18"/>
  <c r="G326" i="18"/>
  <c r="H326" i="18"/>
  <c r="I326" i="18"/>
  <c r="J326" i="18"/>
  <c r="K326" i="18"/>
  <c r="M326" i="18"/>
  <c r="F328" i="18"/>
  <c r="G328" i="18"/>
  <c r="H328" i="18"/>
  <c r="I328" i="18"/>
  <c r="J328" i="18"/>
  <c r="K328" i="18"/>
  <c r="M328" i="18"/>
  <c r="F329" i="18"/>
  <c r="G329" i="18"/>
  <c r="H329" i="18"/>
  <c r="I329" i="18"/>
  <c r="J329" i="18"/>
  <c r="K329" i="18"/>
  <c r="M329" i="18"/>
  <c r="F11" i="18"/>
  <c r="G11" i="18"/>
  <c r="H11" i="18"/>
  <c r="I11" i="18"/>
  <c r="J11" i="18"/>
  <c r="K11" i="18"/>
  <c r="M11" i="18"/>
  <c r="F71" i="18"/>
  <c r="G71" i="18"/>
  <c r="H71" i="18"/>
  <c r="I71" i="18"/>
  <c r="J71" i="18"/>
  <c r="K71" i="18"/>
  <c r="M71" i="18"/>
  <c r="F72" i="18"/>
  <c r="G72" i="18"/>
  <c r="H72" i="18"/>
  <c r="I72" i="18"/>
  <c r="J72" i="18"/>
  <c r="K72" i="18"/>
  <c r="M72" i="18"/>
  <c r="F73" i="18"/>
  <c r="G73" i="18"/>
  <c r="H73" i="18"/>
  <c r="I73" i="18"/>
  <c r="J73" i="18"/>
  <c r="K73" i="18"/>
  <c r="M73" i="18"/>
  <c r="F80" i="18"/>
  <c r="G80" i="18"/>
  <c r="H80" i="18"/>
  <c r="I80" i="18"/>
  <c r="J80" i="18"/>
  <c r="K80" i="18"/>
  <c r="M80" i="18"/>
  <c r="F141" i="18"/>
  <c r="G141" i="18"/>
  <c r="H141" i="18"/>
  <c r="I141" i="18"/>
  <c r="J141" i="18"/>
  <c r="K141" i="18"/>
  <c r="M141" i="18"/>
  <c r="F146" i="18"/>
  <c r="G146" i="18"/>
  <c r="H146" i="18"/>
  <c r="I146" i="18"/>
  <c r="J146" i="18"/>
  <c r="K146" i="18"/>
  <c r="M146" i="18"/>
  <c r="F151" i="18"/>
  <c r="G151" i="18"/>
  <c r="H151" i="18"/>
  <c r="I151" i="18"/>
  <c r="J151" i="18"/>
  <c r="K151" i="18"/>
  <c r="M151" i="18"/>
  <c r="F157" i="18"/>
  <c r="G157" i="18"/>
  <c r="H157" i="18"/>
  <c r="I157" i="18"/>
  <c r="J157" i="18"/>
  <c r="K157" i="18"/>
  <c r="M157" i="18"/>
  <c r="F162" i="18"/>
  <c r="G162" i="18"/>
  <c r="H162" i="18"/>
  <c r="I162" i="18"/>
  <c r="J162" i="18"/>
  <c r="K162" i="18"/>
  <c r="M162" i="18"/>
  <c r="F177" i="18"/>
  <c r="G177" i="18"/>
  <c r="H177" i="18"/>
  <c r="I177" i="18"/>
  <c r="J177" i="18"/>
  <c r="K177" i="18"/>
  <c r="M177" i="18"/>
  <c r="F219" i="18"/>
  <c r="G219" i="18"/>
  <c r="H219" i="18"/>
  <c r="I219" i="18"/>
  <c r="J219" i="18"/>
  <c r="K219" i="18"/>
  <c r="M219" i="18"/>
  <c r="F222" i="18"/>
  <c r="G222" i="18"/>
  <c r="H222" i="18"/>
  <c r="I222" i="18"/>
  <c r="J222" i="18"/>
  <c r="K222" i="18"/>
  <c r="M222" i="18"/>
  <c r="F227" i="18"/>
  <c r="G227" i="18"/>
  <c r="H227" i="18"/>
  <c r="I227" i="18"/>
  <c r="J227" i="18"/>
  <c r="K227" i="18"/>
  <c r="M227" i="18"/>
  <c r="F254" i="18"/>
  <c r="G254" i="18"/>
  <c r="H254" i="18"/>
  <c r="I254" i="18"/>
  <c r="J254" i="18"/>
  <c r="K254" i="18"/>
  <c r="M254" i="18"/>
  <c r="F259" i="18"/>
  <c r="G259" i="18"/>
  <c r="H259" i="18"/>
  <c r="I259" i="18"/>
  <c r="J259" i="18"/>
  <c r="K259" i="18"/>
  <c r="M259" i="18"/>
  <c r="F260" i="18"/>
  <c r="G260" i="18"/>
  <c r="H260" i="18"/>
  <c r="I260" i="18"/>
  <c r="J260" i="18"/>
  <c r="K260" i="18"/>
  <c r="M260" i="18"/>
  <c r="F317" i="18"/>
  <c r="G317" i="18"/>
  <c r="H317" i="18"/>
  <c r="I317" i="18"/>
  <c r="J317" i="18"/>
  <c r="K317" i="18"/>
  <c r="M317" i="18"/>
  <c r="F5" i="18"/>
  <c r="G5" i="18"/>
  <c r="H5" i="18"/>
  <c r="I5" i="18"/>
  <c r="J5" i="18"/>
  <c r="K5" i="18"/>
  <c r="M5" i="18"/>
  <c r="F9" i="18"/>
  <c r="G9" i="18"/>
  <c r="H9" i="18"/>
  <c r="I9" i="18"/>
  <c r="J9" i="18"/>
  <c r="K9" i="18"/>
  <c r="M9" i="18"/>
  <c r="F13" i="18"/>
  <c r="G13" i="18"/>
  <c r="H13" i="18"/>
  <c r="I13" i="18"/>
  <c r="J13" i="18"/>
  <c r="K13" i="18"/>
  <c r="M13" i="18"/>
  <c r="F17" i="18"/>
  <c r="G17" i="18"/>
  <c r="H17" i="18"/>
  <c r="I17" i="18"/>
  <c r="J17" i="18"/>
  <c r="K17" i="18"/>
  <c r="M17" i="18"/>
  <c r="F18" i="18"/>
  <c r="G18" i="18"/>
  <c r="H18" i="18"/>
  <c r="I18" i="18"/>
  <c r="J18" i="18"/>
  <c r="K18" i="18"/>
  <c r="M18" i="18"/>
  <c r="F24" i="18"/>
  <c r="G24" i="18"/>
  <c r="H24" i="18"/>
  <c r="I24" i="18"/>
  <c r="J24" i="18"/>
  <c r="K24" i="18"/>
  <c r="M24" i="18"/>
  <c r="F27" i="18"/>
  <c r="G27" i="18"/>
  <c r="H27" i="18"/>
  <c r="I27" i="18"/>
  <c r="J27" i="18"/>
  <c r="K27" i="18"/>
  <c r="M27" i="18"/>
  <c r="F48" i="18"/>
  <c r="G48" i="18"/>
  <c r="H48" i="18"/>
  <c r="I48" i="18"/>
  <c r="J48" i="18"/>
  <c r="K48" i="18"/>
  <c r="M48" i="18"/>
  <c r="F56" i="18"/>
  <c r="G56" i="18"/>
  <c r="H56" i="18"/>
  <c r="I56" i="18"/>
  <c r="J56" i="18"/>
  <c r="K56" i="18"/>
  <c r="M56" i="18"/>
  <c r="F57" i="18"/>
  <c r="G57" i="18"/>
  <c r="H57" i="18"/>
  <c r="I57" i="18"/>
  <c r="J57" i="18"/>
  <c r="K57" i="18"/>
  <c r="M57" i="18"/>
  <c r="F58" i="18"/>
  <c r="G58" i="18"/>
  <c r="H58" i="18"/>
  <c r="I58" i="18"/>
  <c r="J58" i="18"/>
  <c r="K58" i="18"/>
  <c r="M58" i="18"/>
  <c r="F59" i="18"/>
  <c r="G59" i="18"/>
  <c r="H59" i="18"/>
  <c r="I59" i="18"/>
  <c r="J59" i="18"/>
  <c r="K59" i="18"/>
  <c r="M59" i="18"/>
  <c r="F60" i="18"/>
  <c r="G60" i="18"/>
  <c r="H60" i="18"/>
  <c r="I60" i="18"/>
  <c r="J60" i="18"/>
  <c r="K60" i="18"/>
  <c r="M60" i="18"/>
  <c r="F61" i="18"/>
  <c r="G61" i="18"/>
  <c r="H61" i="18"/>
  <c r="I61" i="18"/>
  <c r="J61" i="18"/>
  <c r="K61" i="18"/>
  <c r="M61" i="18"/>
  <c r="F62" i="18"/>
  <c r="G62" i="18"/>
  <c r="H62" i="18"/>
  <c r="I62" i="18"/>
  <c r="J62" i="18"/>
  <c r="K62" i="18"/>
  <c r="M62" i="18"/>
  <c r="F63" i="18"/>
  <c r="G63" i="18"/>
  <c r="H63" i="18"/>
  <c r="I63" i="18"/>
  <c r="J63" i="18"/>
  <c r="K63" i="18"/>
  <c r="M63" i="18"/>
  <c r="F82" i="18"/>
  <c r="G82" i="18"/>
  <c r="H82" i="18"/>
  <c r="I82" i="18"/>
  <c r="J82" i="18"/>
  <c r="K82" i="18"/>
  <c r="M82" i="18"/>
  <c r="F83" i="18"/>
  <c r="G83" i="18"/>
  <c r="H83" i="18"/>
  <c r="I83" i="18"/>
  <c r="J83" i="18"/>
  <c r="K83" i="18"/>
  <c r="M83" i="18"/>
  <c r="F86" i="18"/>
  <c r="G86" i="18"/>
  <c r="H86" i="18"/>
  <c r="I86" i="18"/>
  <c r="J86" i="18"/>
  <c r="K86" i="18"/>
  <c r="M86" i="18"/>
  <c r="F89" i="18"/>
  <c r="G89" i="18"/>
  <c r="H89" i="18"/>
  <c r="I89" i="18"/>
  <c r="J89" i="18"/>
  <c r="K89" i="18"/>
  <c r="M89" i="18"/>
  <c r="F90" i="18"/>
  <c r="G90" i="18"/>
  <c r="H90" i="18"/>
  <c r="I90" i="18"/>
  <c r="J90" i="18"/>
  <c r="K90" i="18"/>
  <c r="M90" i="18"/>
  <c r="F96" i="18"/>
  <c r="G96" i="18"/>
  <c r="H96" i="18"/>
  <c r="I96" i="18"/>
  <c r="J96" i="18"/>
  <c r="K96" i="18"/>
  <c r="M96" i="18"/>
  <c r="F134" i="18"/>
  <c r="G134" i="18"/>
  <c r="H134" i="18"/>
  <c r="I134" i="18"/>
  <c r="J134" i="18"/>
  <c r="K134" i="18"/>
  <c r="M134" i="18"/>
  <c r="F139" i="18"/>
  <c r="G139" i="18"/>
  <c r="H139" i="18"/>
  <c r="I139" i="18"/>
  <c r="J139" i="18"/>
  <c r="K139" i="18"/>
  <c r="M139" i="18"/>
  <c r="F148" i="18"/>
  <c r="G148" i="18"/>
  <c r="H148" i="18"/>
  <c r="I148" i="18"/>
  <c r="J148" i="18"/>
  <c r="K148" i="18"/>
  <c r="M148" i="18"/>
  <c r="F149" i="18"/>
  <c r="G149" i="18"/>
  <c r="H149" i="18"/>
  <c r="I149" i="18"/>
  <c r="J149" i="18"/>
  <c r="K149" i="18"/>
  <c r="M149" i="18"/>
  <c r="F153" i="18"/>
  <c r="G153" i="18"/>
  <c r="H153" i="18"/>
  <c r="I153" i="18"/>
  <c r="J153" i="18"/>
  <c r="K153" i="18"/>
  <c r="M153" i="18"/>
  <c r="F156" i="18"/>
  <c r="G156" i="18"/>
  <c r="H156" i="18"/>
  <c r="I156" i="18"/>
  <c r="J156" i="18"/>
  <c r="K156" i="18"/>
  <c r="M156" i="18"/>
  <c r="F159" i="18"/>
  <c r="G159" i="18"/>
  <c r="H159" i="18"/>
  <c r="I159" i="18"/>
  <c r="J159" i="18"/>
  <c r="K159" i="18"/>
  <c r="M159" i="18"/>
  <c r="F161" i="18"/>
  <c r="G161" i="18"/>
  <c r="H161" i="18"/>
  <c r="I161" i="18"/>
  <c r="J161" i="18"/>
  <c r="K161" i="18"/>
  <c r="M161" i="18"/>
  <c r="F167" i="18"/>
  <c r="G167" i="18"/>
  <c r="H167" i="18"/>
  <c r="I167" i="18"/>
  <c r="J167" i="18"/>
  <c r="K167" i="18"/>
  <c r="M167" i="18"/>
  <c r="F168" i="18"/>
  <c r="G168" i="18"/>
  <c r="H168" i="18"/>
  <c r="I168" i="18"/>
  <c r="J168" i="18"/>
  <c r="K168" i="18"/>
  <c r="M168" i="18"/>
  <c r="F172" i="18"/>
  <c r="G172" i="18"/>
  <c r="H172" i="18"/>
  <c r="I172" i="18"/>
  <c r="J172" i="18"/>
  <c r="K172" i="18"/>
  <c r="M172" i="18"/>
  <c r="F175" i="18"/>
  <c r="G175" i="18"/>
  <c r="H175" i="18"/>
  <c r="I175" i="18"/>
  <c r="J175" i="18"/>
  <c r="K175" i="18"/>
  <c r="M175" i="18"/>
  <c r="F179" i="18"/>
  <c r="G179" i="18"/>
  <c r="H179" i="18"/>
  <c r="I179" i="18"/>
  <c r="J179" i="18"/>
  <c r="K179" i="18"/>
  <c r="M179" i="18"/>
  <c r="F182" i="18"/>
  <c r="G182" i="18"/>
  <c r="H182" i="18"/>
  <c r="I182" i="18"/>
  <c r="J182" i="18"/>
  <c r="K182" i="18"/>
  <c r="M182" i="18"/>
  <c r="F183" i="18"/>
  <c r="G183" i="18"/>
  <c r="H183" i="18"/>
  <c r="I183" i="18"/>
  <c r="J183" i="18"/>
  <c r="K183" i="18"/>
  <c r="M183" i="18"/>
  <c r="F185" i="18"/>
  <c r="G185" i="18"/>
  <c r="H185" i="18"/>
  <c r="I185" i="18"/>
  <c r="J185" i="18"/>
  <c r="K185" i="18"/>
  <c r="M185" i="18"/>
  <c r="F186" i="18"/>
  <c r="G186" i="18"/>
  <c r="H186" i="18"/>
  <c r="I186" i="18"/>
  <c r="J186" i="18"/>
  <c r="K186" i="18"/>
  <c r="M186" i="18"/>
  <c r="F187" i="18"/>
  <c r="G187" i="18"/>
  <c r="H187" i="18"/>
  <c r="I187" i="18"/>
  <c r="J187" i="18"/>
  <c r="K187" i="18"/>
  <c r="M187" i="18"/>
  <c r="F188" i="18"/>
  <c r="G188" i="18"/>
  <c r="H188" i="18"/>
  <c r="I188" i="18"/>
  <c r="J188" i="18"/>
  <c r="K188" i="18"/>
  <c r="M188" i="18"/>
  <c r="F189" i="18"/>
  <c r="G189" i="18"/>
  <c r="H189" i="18"/>
  <c r="I189" i="18"/>
  <c r="J189" i="18"/>
  <c r="K189" i="18"/>
  <c r="M189" i="18"/>
  <c r="F190" i="18"/>
  <c r="G190" i="18"/>
  <c r="H190" i="18"/>
  <c r="I190" i="18"/>
  <c r="J190" i="18"/>
  <c r="K190" i="18"/>
  <c r="M190" i="18"/>
  <c r="F191" i="18"/>
  <c r="G191" i="18"/>
  <c r="H191" i="18"/>
  <c r="I191" i="18"/>
  <c r="J191" i="18"/>
  <c r="K191" i="18"/>
  <c r="M191" i="18"/>
  <c r="F192" i="18"/>
  <c r="G192" i="18"/>
  <c r="H192" i="18"/>
  <c r="I192" i="18"/>
  <c r="J192" i="18"/>
  <c r="K192" i="18"/>
  <c r="M192" i="18"/>
  <c r="F193" i="18"/>
  <c r="G193" i="18"/>
  <c r="H193" i="18"/>
  <c r="I193" i="18"/>
  <c r="J193" i="18"/>
  <c r="K193" i="18"/>
  <c r="M193" i="18"/>
  <c r="F194" i="18"/>
  <c r="G194" i="18"/>
  <c r="H194" i="18"/>
  <c r="I194" i="18"/>
  <c r="J194" i="18"/>
  <c r="K194" i="18"/>
  <c r="M194" i="18"/>
  <c r="F195" i="18"/>
  <c r="G195" i="18"/>
  <c r="H195" i="18"/>
  <c r="I195" i="18"/>
  <c r="J195" i="18"/>
  <c r="K195" i="18"/>
  <c r="M195" i="18"/>
  <c r="F223" i="18"/>
  <c r="G223" i="18"/>
  <c r="H223" i="18"/>
  <c r="I223" i="18"/>
  <c r="J223" i="18"/>
  <c r="K223" i="18"/>
  <c r="M223" i="18"/>
  <c r="F224" i="18"/>
  <c r="G224" i="18"/>
  <c r="H224" i="18"/>
  <c r="I224" i="18"/>
  <c r="J224" i="18"/>
  <c r="K224" i="18"/>
  <c r="M224" i="18"/>
  <c r="F229" i="18"/>
  <c r="G229" i="18"/>
  <c r="H229" i="18"/>
  <c r="I229" i="18"/>
  <c r="J229" i="18"/>
  <c r="K229" i="18"/>
  <c r="M229" i="18"/>
  <c r="F230" i="18"/>
  <c r="G230" i="18"/>
  <c r="H230" i="18"/>
  <c r="I230" i="18"/>
  <c r="J230" i="18"/>
  <c r="K230" i="18"/>
  <c r="M230" i="18"/>
  <c r="F232" i="18"/>
  <c r="G232" i="18"/>
  <c r="H232" i="18"/>
  <c r="I232" i="18"/>
  <c r="J232" i="18"/>
  <c r="K232" i="18"/>
  <c r="M232" i="18"/>
  <c r="F233" i="18"/>
  <c r="G233" i="18"/>
  <c r="H233" i="18"/>
  <c r="I233" i="18"/>
  <c r="J233" i="18"/>
  <c r="K233" i="18"/>
  <c r="M233" i="18"/>
  <c r="F234" i="18"/>
  <c r="G234" i="18"/>
  <c r="H234" i="18"/>
  <c r="I234" i="18"/>
  <c r="J234" i="18"/>
  <c r="K234" i="18"/>
  <c r="M234" i="18"/>
  <c r="F237" i="18"/>
  <c r="G237" i="18"/>
  <c r="H237" i="18"/>
  <c r="I237" i="18"/>
  <c r="J237" i="18"/>
  <c r="K237" i="18"/>
  <c r="M237" i="18"/>
  <c r="F240" i="18"/>
  <c r="G240" i="18"/>
  <c r="H240" i="18"/>
  <c r="I240" i="18"/>
  <c r="J240" i="18"/>
  <c r="K240" i="18"/>
  <c r="M240" i="18"/>
  <c r="F242" i="18"/>
  <c r="G242" i="18"/>
  <c r="H242" i="18"/>
  <c r="I242" i="18"/>
  <c r="J242" i="18"/>
  <c r="K242" i="18"/>
  <c r="M242" i="18"/>
  <c r="F243" i="18"/>
  <c r="G243" i="18"/>
  <c r="H243" i="18"/>
  <c r="I243" i="18"/>
  <c r="J243" i="18"/>
  <c r="K243" i="18"/>
  <c r="M243" i="18"/>
  <c r="F244" i="18"/>
  <c r="G244" i="18"/>
  <c r="H244" i="18"/>
  <c r="I244" i="18"/>
  <c r="J244" i="18"/>
  <c r="K244" i="18"/>
  <c r="M244" i="18"/>
  <c r="F245" i="18"/>
  <c r="G245" i="18"/>
  <c r="H245" i="18"/>
  <c r="I245" i="18"/>
  <c r="J245" i="18"/>
  <c r="K245" i="18"/>
  <c r="M245" i="18"/>
  <c r="F246" i="18"/>
  <c r="G246" i="18"/>
  <c r="H246" i="18"/>
  <c r="I246" i="18"/>
  <c r="J246" i="18"/>
  <c r="K246" i="18"/>
  <c r="M246" i="18"/>
  <c r="F249" i="18"/>
  <c r="G249" i="18"/>
  <c r="H249" i="18"/>
  <c r="I249" i="18"/>
  <c r="J249" i="18"/>
  <c r="K249" i="18"/>
  <c r="M249" i="18"/>
  <c r="F250" i="18"/>
  <c r="G250" i="18"/>
  <c r="H250" i="18"/>
  <c r="I250" i="18"/>
  <c r="J250" i="18"/>
  <c r="K250" i="18"/>
  <c r="M250" i="18"/>
  <c r="F251" i="18"/>
  <c r="G251" i="18"/>
  <c r="H251" i="18"/>
  <c r="I251" i="18"/>
  <c r="J251" i="18"/>
  <c r="K251" i="18"/>
  <c r="M251" i="18"/>
  <c r="F255" i="18"/>
  <c r="G255" i="18"/>
  <c r="H255" i="18"/>
  <c r="I255" i="18"/>
  <c r="J255" i="18"/>
  <c r="K255" i="18"/>
  <c r="M255" i="18"/>
  <c r="F256" i="18"/>
  <c r="G256" i="18"/>
  <c r="H256" i="18"/>
  <c r="I256" i="18"/>
  <c r="J256" i="18"/>
  <c r="K256" i="18"/>
  <c r="M256" i="18"/>
  <c r="F263" i="18"/>
  <c r="G263" i="18"/>
  <c r="H263" i="18"/>
  <c r="I263" i="18"/>
  <c r="J263" i="18"/>
  <c r="K263" i="18"/>
  <c r="M263" i="18"/>
  <c r="F265" i="18"/>
  <c r="G265" i="18"/>
  <c r="H265" i="18"/>
  <c r="I265" i="18"/>
  <c r="J265" i="18"/>
  <c r="K265" i="18"/>
  <c r="M265" i="18"/>
  <c r="F298" i="18"/>
  <c r="G298" i="18"/>
  <c r="H298" i="18"/>
  <c r="I298" i="18"/>
  <c r="J298" i="18"/>
  <c r="K298" i="18"/>
  <c r="M298" i="18"/>
  <c r="F301" i="18"/>
  <c r="G301" i="18"/>
  <c r="H301" i="18"/>
  <c r="I301" i="18"/>
  <c r="J301" i="18"/>
  <c r="K301" i="18"/>
  <c r="M301" i="18"/>
  <c r="F302" i="18"/>
  <c r="G302" i="18"/>
  <c r="H302" i="18"/>
  <c r="I302" i="18"/>
  <c r="J302" i="18"/>
  <c r="K302" i="18"/>
  <c r="M302" i="18"/>
  <c r="F308" i="18"/>
  <c r="G308" i="18"/>
  <c r="H308" i="18"/>
  <c r="I308" i="18"/>
  <c r="J308" i="18"/>
  <c r="K308" i="18"/>
  <c r="M308" i="18"/>
  <c r="F312" i="18"/>
  <c r="G312" i="18"/>
  <c r="H312" i="18"/>
  <c r="I312" i="18"/>
  <c r="J312" i="18"/>
  <c r="K312" i="18"/>
  <c r="M312" i="18"/>
  <c r="F4" i="18"/>
  <c r="G4" i="18"/>
  <c r="H4" i="18"/>
  <c r="I4" i="18"/>
  <c r="J4" i="18"/>
  <c r="K4" i="18"/>
  <c r="M4" i="18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0" i="4"/>
  <c r="H369" i="4"/>
  <c r="L11" i="18" s="1"/>
  <c r="G155" i="3"/>
  <c r="N116" i="7"/>
  <c r="M116" i="7"/>
  <c r="N115" i="7"/>
  <c r="M115" i="7"/>
  <c r="N114" i="7"/>
  <c r="M114" i="7"/>
  <c r="N113" i="7"/>
  <c r="M113" i="7"/>
  <c r="N112" i="7"/>
  <c r="M112" i="7"/>
  <c r="N111" i="7"/>
  <c r="M111" i="7"/>
  <c r="N110" i="7"/>
  <c r="M110" i="7"/>
  <c r="N109" i="7"/>
  <c r="M109" i="7"/>
  <c r="N108" i="7"/>
  <c r="M108" i="7"/>
  <c r="N107" i="7"/>
  <c r="M107" i="7"/>
  <c r="N106" i="7"/>
  <c r="M106" i="7"/>
  <c r="N105" i="7"/>
  <c r="M105" i="7"/>
  <c r="N104" i="7"/>
  <c r="M104" i="7"/>
  <c r="N103" i="7"/>
  <c r="M103" i="7"/>
  <c r="N102" i="7"/>
  <c r="M102" i="7"/>
  <c r="N101" i="7"/>
  <c r="M101" i="7"/>
  <c r="N100" i="7"/>
  <c r="M100" i="7"/>
  <c r="N99" i="7"/>
  <c r="M99" i="7"/>
  <c r="N98" i="7"/>
  <c r="M98" i="7"/>
  <c r="N97" i="7"/>
  <c r="M97" i="7"/>
  <c r="N96" i="7"/>
  <c r="M96" i="7"/>
  <c r="N95" i="7"/>
  <c r="M95" i="7"/>
  <c r="N94" i="7"/>
  <c r="M94" i="7"/>
  <c r="N93" i="7"/>
  <c r="M93" i="7"/>
  <c r="N92" i="7"/>
  <c r="M92" i="7"/>
  <c r="N91" i="7"/>
  <c r="M91" i="7"/>
  <c r="N90" i="7"/>
  <c r="M90" i="7"/>
  <c r="N89" i="7"/>
  <c r="M89" i="7"/>
  <c r="N88" i="7"/>
  <c r="M88" i="7"/>
  <c r="N87" i="7"/>
  <c r="M87" i="7"/>
  <c r="N86" i="7"/>
  <c r="M86" i="7"/>
  <c r="N85" i="7"/>
  <c r="M85" i="7"/>
  <c r="N84" i="7"/>
  <c r="M84" i="7"/>
  <c r="N83" i="7"/>
  <c r="M83" i="7"/>
  <c r="N82" i="7"/>
  <c r="M82" i="7"/>
  <c r="N81" i="7"/>
  <c r="M81" i="7"/>
  <c r="N80" i="7"/>
  <c r="M80" i="7"/>
  <c r="N79" i="7"/>
  <c r="M79" i="7"/>
  <c r="N78" i="7"/>
  <c r="M78" i="7"/>
  <c r="N77" i="7"/>
  <c r="M77" i="7"/>
  <c r="N76" i="7"/>
  <c r="M76" i="7"/>
  <c r="N75" i="7"/>
  <c r="M75" i="7"/>
  <c r="N74" i="7"/>
  <c r="M74" i="7"/>
  <c r="N73" i="7"/>
  <c r="M73" i="7"/>
  <c r="N72" i="7"/>
  <c r="M72" i="7"/>
  <c r="N71" i="7"/>
  <c r="M71" i="7"/>
  <c r="N70" i="7"/>
  <c r="M70" i="7"/>
  <c r="N69" i="7"/>
  <c r="M69" i="7"/>
  <c r="N68" i="7"/>
  <c r="M68" i="7"/>
  <c r="N67" i="7"/>
  <c r="M67" i="7"/>
  <c r="N66" i="7"/>
  <c r="M66" i="7"/>
  <c r="N65" i="7"/>
  <c r="M65" i="7"/>
  <c r="N64" i="7"/>
  <c r="M64" i="7"/>
  <c r="N63" i="7"/>
  <c r="M63" i="7"/>
  <c r="N62" i="7"/>
  <c r="M62" i="7"/>
  <c r="N61" i="7"/>
  <c r="M61" i="7"/>
  <c r="N60" i="7"/>
  <c r="M60" i="7"/>
  <c r="N59" i="7"/>
  <c r="M59" i="7"/>
  <c r="N58" i="7"/>
  <c r="M58" i="7"/>
  <c r="N57" i="7"/>
  <c r="M57" i="7"/>
  <c r="N56" i="7"/>
  <c r="M56" i="7"/>
  <c r="N55" i="7"/>
  <c r="M55" i="7"/>
  <c r="N54" i="7"/>
  <c r="M54" i="7"/>
  <c r="N53" i="7"/>
  <c r="M53" i="7"/>
  <c r="N52" i="7"/>
  <c r="M52" i="7"/>
  <c r="N51" i="7"/>
  <c r="M51" i="7"/>
  <c r="N50" i="7"/>
  <c r="M50" i="7"/>
  <c r="N49" i="7"/>
  <c r="M49" i="7"/>
  <c r="N48" i="7"/>
  <c r="M48" i="7"/>
  <c r="N47" i="7"/>
  <c r="M47" i="7"/>
  <c r="N46" i="7"/>
  <c r="M46" i="7"/>
  <c r="N45" i="7"/>
  <c r="M45" i="7"/>
  <c r="N44" i="7"/>
  <c r="M44" i="7"/>
  <c r="N43" i="7"/>
  <c r="M43" i="7"/>
  <c r="N42" i="7"/>
  <c r="M42" i="7"/>
  <c r="N41" i="7"/>
  <c r="M41" i="7"/>
  <c r="N40" i="7"/>
  <c r="M40" i="7"/>
  <c r="N39" i="7"/>
  <c r="M39" i="7"/>
  <c r="N38" i="7"/>
  <c r="M38" i="7"/>
  <c r="N37" i="7"/>
  <c r="M37" i="7"/>
  <c r="N36" i="7"/>
  <c r="M36" i="7"/>
  <c r="N35" i="7"/>
  <c r="M35" i="7"/>
  <c r="N34" i="7"/>
  <c r="M34" i="7"/>
  <c r="N33" i="7"/>
  <c r="M33" i="7"/>
  <c r="N32" i="7"/>
  <c r="M32" i="7"/>
  <c r="N31" i="7"/>
  <c r="M31" i="7"/>
  <c r="N30" i="7"/>
  <c r="M30" i="7"/>
  <c r="N29" i="7"/>
  <c r="M29" i="7"/>
  <c r="N28" i="7"/>
  <c r="M28" i="7"/>
  <c r="N27" i="7"/>
  <c r="M27" i="7"/>
  <c r="N26" i="7"/>
  <c r="M26" i="7"/>
  <c r="N25" i="7"/>
  <c r="M25" i="7"/>
  <c r="N24" i="7"/>
  <c r="M24" i="7"/>
  <c r="N23" i="7"/>
  <c r="M23" i="7"/>
  <c r="N22" i="7"/>
  <c r="M22" i="7"/>
  <c r="N21" i="7"/>
  <c r="M21" i="7"/>
  <c r="M20" i="7"/>
  <c r="N19" i="7"/>
  <c r="M19" i="7"/>
  <c r="N18" i="7"/>
  <c r="M18" i="7"/>
  <c r="N17" i="7"/>
  <c r="M17" i="7"/>
  <c r="N16" i="7"/>
  <c r="M16" i="7"/>
  <c r="N15" i="7"/>
  <c r="M15" i="7"/>
  <c r="N14" i="7"/>
  <c r="M14" i="7"/>
  <c r="N13" i="7"/>
  <c r="M13" i="7"/>
  <c r="N12" i="7"/>
  <c r="M12" i="7"/>
  <c r="N11" i="7"/>
  <c r="M11" i="7"/>
  <c r="N10" i="7"/>
  <c r="M10" i="7"/>
  <c r="N9" i="7"/>
  <c r="M9" i="7"/>
  <c r="N8" i="7"/>
  <c r="M8" i="7"/>
  <c r="N7" i="7"/>
  <c r="M7" i="7"/>
  <c r="N6" i="7"/>
  <c r="M6" i="7"/>
  <c r="N5" i="7"/>
  <c r="M5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G153" i="3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H100" i="12"/>
  <c r="H110" i="12"/>
  <c r="H53" i="12"/>
  <c r="H52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75" i="4"/>
  <c r="H374" i="4"/>
  <c r="H373" i="4"/>
  <c r="H377" i="4"/>
  <c r="H372" i="4"/>
  <c r="H371" i="4"/>
  <c r="H376" i="4"/>
  <c r="H203" i="12"/>
  <c r="H202" i="12"/>
  <c r="H201" i="12"/>
  <c r="H200" i="12"/>
  <c r="H199" i="12"/>
  <c r="H198" i="12"/>
  <c r="H196" i="12"/>
  <c r="H195" i="12"/>
  <c r="H194" i="12"/>
  <c r="H193" i="12"/>
  <c r="H192" i="12"/>
  <c r="H191" i="12"/>
  <c r="H190" i="12"/>
  <c r="H189" i="12"/>
  <c r="H188" i="12"/>
  <c r="H187" i="12"/>
  <c r="H159" i="12"/>
  <c r="H158" i="12"/>
  <c r="H157" i="12"/>
  <c r="H156" i="12"/>
  <c r="H155" i="12"/>
  <c r="H154" i="12"/>
  <c r="H153" i="12"/>
  <c r="H150" i="12"/>
  <c r="H149" i="12"/>
  <c r="H148" i="12"/>
  <c r="H147" i="12"/>
  <c r="H145" i="12"/>
  <c r="H144" i="12"/>
  <c r="H143" i="12"/>
  <c r="H142" i="12"/>
  <c r="H141" i="12"/>
  <c r="H140" i="12"/>
  <c r="H139" i="12"/>
  <c r="H138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09" i="12"/>
  <c r="H106" i="12"/>
  <c r="H105" i="12"/>
  <c r="H104" i="12"/>
  <c r="H103" i="12"/>
  <c r="H102" i="12"/>
  <c r="H101" i="12"/>
  <c r="H99" i="12"/>
  <c r="H96" i="12"/>
  <c r="H91" i="12"/>
  <c r="H60" i="12"/>
  <c r="H59" i="12"/>
  <c r="H58" i="12"/>
  <c r="H57" i="12"/>
  <c r="H55" i="12"/>
  <c r="H51" i="12"/>
  <c r="H50" i="12"/>
  <c r="H47" i="12"/>
  <c r="H46" i="12"/>
  <c r="H45" i="12"/>
  <c r="H44" i="12"/>
  <c r="H43" i="12"/>
  <c r="H42" i="12"/>
  <c r="H41" i="12"/>
  <c r="H36" i="12"/>
  <c r="H35" i="12"/>
  <c r="H34" i="12"/>
  <c r="H20" i="12"/>
  <c r="H18" i="12"/>
  <c r="H12" i="12"/>
  <c r="H11" i="12"/>
  <c r="H10" i="12"/>
  <c r="H9" i="12"/>
  <c r="H8" i="12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L75" i="18" l="1"/>
  <c r="L85" i="18"/>
  <c r="L174" i="18"/>
  <c r="L300" i="18"/>
  <c r="L296" i="18"/>
  <c r="L71" i="18"/>
  <c r="L76" i="18"/>
  <c r="L261" i="18"/>
  <c r="L208" i="18"/>
  <c r="L77" i="18"/>
  <c r="L214" i="18"/>
  <c r="L235" i="18"/>
  <c r="L321" i="18"/>
  <c r="L74" i="18"/>
  <c r="L16" i="18"/>
  <c r="L213" i="18"/>
  <c r="L204" i="18"/>
  <c r="L15" i="18"/>
  <c r="L203" i="18"/>
  <c r="L222" i="18"/>
  <c r="L260" i="18"/>
  <c r="L80" i="18"/>
  <c r="L141" i="18"/>
  <c r="L259" i="18"/>
  <c r="L157" i="18"/>
  <c r="L248" i="18"/>
  <c r="L269" i="18"/>
  <c r="L220" i="18"/>
  <c r="L170" i="18"/>
  <c r="L327" i="18"/>
  <c r="L239" i="18"/>
  <c r="L262" i="18"/>
  <c r="L297" i="18"/>
  <c r="L304" i="18"/>
  <c r="L178" i="18"/>
  <c r="L306" i="18"/>
  <c r="L78" i="18"/>
  <c r="L313" i="18"/>
  <c r="L152" i="18"/>
  <c r="L209" i="18"/>
  <c r="L324" i="18"/>
  <c r="L181" i="18"/>
  <c r="L147" i="18"/>
  <c r="L299" i="18"/>
  <c r="L146" i="18"/>
  <c r="L151" i="18"/>
  <c r="L72" i="18"/>
  <c r="L73" i="18"/>
  <c r="L219" i="18"/>
  <c r="L177" i="18"/>
  <c r="L254" i="18"/>
  <c r="L162" i="18"/>
  <c r="L227" i="18"/>
  <c r="H296" i="4"/>
  <c r="G139" i="3"/>
  <c r="G140" i="3"/>
  <c r="G115" i="3"/>
  <c r="G95" i="3"/>
  <c r="G105" i="3"/>
  <c r="H211" i="4"/>
  <c r="H209" i="4"/>
  <c r="H208" i="4"/>
  <c r="H214" i="4"/>
  <c r="H207" i="4"/>
  <c r="H363" i="4"/>
  <c r="H349" i="4"/>
  <c r="H348" i="4"/>
  <c r="H347" i="4"/>
  <c r="H180" i="4"/>
  <c r="H171" i="4"/>
  <c r="H213" i="4"/>
  <c r="H318" i="4"/>
  <c r="H361" i="4"/>
  <c r="L319" i="18" s="1"/>
  <c r="H360" i="4"/>
  <c r="H365" i="4"/>
  <c r="H366" i="4"/>
  <c r="H364" i="4"/>
  <c r="H314" i="4"/>
  <c r="H315" i="4"/>
  <c r="H316" i="4"/>
  <c r="H313" i="4"/>
  <c r="L258" i="18" s="1"/>
  <c r="H278" i="4"/>
  <c r="H306" i="4"/>
  <c r="H307" i="4"/>
  <c r="H264" i="4"/>
  <c r="H301" i="4"/>
  <c r="H179" i="4"/>
  <c r="H319" i="4"/>
  <c r="H310" i="4"/>
  <c r="H309" i="4"/>
  <c r="H308" i="4"/>
  <c r="H274" i="4"/>
  <c r="H304" i="4"/>
  <c r="H272" i="4"/>
  <c r="H273" i="4"/>
  <c r="H356" i="4"/>
  <c r="H297" i="4"/>
  <c r="H295" i="4"/>
  <c r="H311" i="4"/>
  <c r="H225" i="4"/>
  <c r="H224" i="4"/>
  <c r="H228" i="4"/>
  <c r="H220" i="4"/>
  <c r="H230" i="4"/>
  <c r="L100" i="18" s="1"/>
  <c r="H223" i="4"/>
  <c r="L95" i="18" s="1"/>
  <c r="H222" i="4"/>
  <c r="H227" i="4"/>
  <c r="L98" i="18" s="1"/>
  <c r="H219" i="4"/>
  <c r="L88" i="18" s="1"/>
  <c r="H229" i="4"/>
  <c r="H221" i="4"/>
  <c r="H226" i="4"/>
  <c r="L97" i="18" s="1"/>
  <c r="H218" i="4"/>
  <c r="L87" i="18" s="1"/>
  <c r="H217" i="4"/>
  <c r="H210" i="4"/>
  <c r="H206" i="4"/>
  <c r="H199" i="4"/>
  <c r="H200" i="4"/>
  <c r="H269" i="4"/>
  <c r="H300" i="4"/>
  <c r="H198" i="4"/>
  <c r="H197" i="4"/>
  <c r="H362" i="4"/>
  <c r="H293" i="4"/>
  <c r="H294" i="4"/>
  <c r="H292" i="4"/>
  <c r="H290" i="4"/>
  <c r="H291" i="4"/>
  <c r="H289" i="4"/>
  <c r="H283" i="4"/>
  <c r="H284" i="4"/>
  <c r="H178" i="4"/>
  <c r="H288" i="4"/>
  <c r="H286" i="4"/>
  <c r="H287" i="4"/>
  <c r="H170" i="4"/>
  <c r="H166" i="4"/>
  <c r="H168" i="4"/>
  <c r="H285" i="4"/>
  <c r="H355" i="4"/>
  <c r="H353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271" i="4"/>
  <c r="H270" i="4"/>
  <c r="H268" i="4"/>
  <c r="H265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16" i="4"/>
  <c r="H205" i="4"/>
  <c r="H203" i="4"/>
  <c r="H202" i="4"/>
  <c r="H201" i="4"/>
  <c r="H193" i="4"/>
  <c r="H192" i="4"/>
  <c r="H191" i="4"/>
  <c r="H190" i="4"/>
  <c r="H189" i="4"/>
  <c r="H188" i="4"/>
  <c r="H187" i="4"/>
  <c r="H186" i="4"/>
  <c r="H185" i="4"/>
  <c r="H184" i="4"/>
  <c r="H182" i="4"/>
  <c r="H181" i="4"/>
  <c r="H177" i="4"/>
  <c r="H176" i="4"/>
  <c r="H175" i="4"/>
  <c r="H174" i="4"/>
  <c r="H173" i="4"/>
  <c r="H172" i="4"/>
  <c r="H167" i="4"/>
  <c r="H367" i="4"/>
  <c r="L328" i="18" s="1"/>
  <c r="H359" i="4"/>
  <c r="L316" i="18" s="1"/>
  <c r="H358" i="4"/>
  <c r="L315" i="18" s="1"/>
  <c r="H357" i="4"/>
  <c r="L314" i="18" s="1"/>
  <c r="H317" i="4"/>
  <c r="L266" i="18" s="1"/>
  <c r="H312" i="4"/>
  <c r="L257" i="18" s="1"/>
  <c r="H276" i="4"/>
  <c r="L158" i="18" s="1"/>
  <c r="H305" i="4"/>
  <c r="L228" i="18" s="1"/>
  <c r="H299" i="4"/>
  <c r="L218" i="18" s="1"/>
  <c r="H282" i="4"/>
  <c r="L166" i="18" s="1"/>
  <c r="H354" i="4"/>
  <c r="L310" i="18" s="1"/>
  <c r="H351" i="4"/>
  <c r="L305" i="18" s="1"/>
  <c r="H261" i="4"/>
  <c r="L131" i="18" s="1"/>
  <c r="H194" i="4"/>
  <c r="L43" i="18" s="1"/>
  <c r="H281" i="4"/>
  <c r="L165" i="18" s="1"/>
  <c r="H280" i="4"/>
  <c r="L164" i="18" s="1"/>
  <c r="H275" i="4"/>
  <c r="L155" i="18" s="1"/>
  <c r="H263" i="4"/>
  <c r="L133" i="18" s="1"/>
  <c r="H262" i="4"/>
  <c r="L132" i="18" s="1"/>
  <c r="H196" i="4"/>
  <c r="L45" i="18" s="1"/>
  <c r="H195" i="4"/>
  <c r="L44" i="18" s="1"/>
  <c r="H368" i="4"/>
  <c r="L329" i="18" s="1"/>
  <c r="H352" i="4"/>
  <c r="L307" i="18" s="1"/>
  <c r="H350" i="4"/>
  <c r="L303" i="18" s="1"/>
  <c r="H169" i="4"/>
  <c r="L12" i="18" s="1"/>
  <c r="H302" i="4"/>
  <c r="L225" i="18" s="1"/>
  <c r="H279" i="4"/>
  <c r="L163" i="18" s="1"/>
  <c r="H215" i="4"/>
  <c r="L79" i="18" s="1"/>
  <c r="H266" i="4"/>
  <c r="L136" i="18" s="1"/>
  <c r="H345" i="4"/>
  <c r="H267" i="4"/>
  <c r="H183" i="4"/>
  <c r="H277" i="4"/>
  <c r="H204" i="4"/>
  <c r="H298" i="4"/>
  <c r="H303" i="4"/>
  <c r="H346" i="4"/>
  <c r="H212" i="4"/>
  <c r="H157" i="4"/>
  <c r="H158" i="4"/>
  <c r="H159" i="4"/>
  <c r="H156" i="4"/>
  <c r="H155" i="4"/>
  <c r="H154" i="4"/>
  <c r="H153" i="4"/>
  <c r="H152" i="4"/>
  <c r="H151" i="4"/>
  <c r="H148" i="4"/>
  <c r="H150" i="4"/>
  <c r="H149" i="4"/>
  <c r="H147" i="4"/>
  <c r="H145" i="4"/>
  <c r="H146" i="4"/>
  <c r="H144" i="4"/>
  <c r="H141" i="4"/>
  <c r="H143" i="4"/>
  <c r="H142" i="4"/>
  <c r="H140" i="4"/>
  <c r="H139" i="4"/>
  <c r="H138" i="4"/>
  <c r="H137" i="4"/>
  <c r="H136" i="4"/>
  <c r="H133" i="4"/>
  <c r="H135" i="4"/>
  <c r="H134" i="4"/>
  <c r="H132" i="4"/>
  <c r="H131" i="4"/>
  <c r="H128" i="4"/>
  <c r="H130" i="4"/>
  <c r="H129" i="4"/>
  <c r="H127" i="4"/>
  <c r="H124" i="4"/>
  <c r="H126" i="4"/>
  <c r="H125" i="4"/>
  <c r="H123" i="4"/>
  <c r="H122" i="4"/>
  <c r="H119" i="4"/>
  <c r="H121" i="4"/>
  <c r="L184" i="18" s="1"/>
  <c r="H120" i="4"/>
  <c r="H118" i="4"/>
  <c r="H117" i="4"/>
  <c r="H116" i="4"/>
  <c r="H115" i="4"/>
  <c r="H114" i="4"/>
  <c r="H113" i="4"/>
  <c r="H112" i="4"/>
  <c r="H111" i="4"/>
  <c r="H110" i="4"/>
  <c r="H109" i="4"/>
  <c r="H107" i="4"/>
  <c r="H108" i="4"/>
  <c r="H106" i="4"/>
  <c r="H105" i="4"/>
  <c r="H103" i="4"/>
  <c r="L92" i="18" s="1"/>
  <c r="H102" i="4"/>
  <c r="H104" i="4"/>
  <c r="H101" i="4"/>
  <c r="H100" i="4"/>
  <c r="H86" i="4"/>
  <c r="H99" i="4"/>
  <c r="H98" i="4"/>
  <c r="L64" i="18" s="1"/>
  <c r="H97" i="4"/>
  <c r="H95" i="4"/>
  <c r="H94" i="4"/>
  <c r="H93" i="4"/>
  <c r="H92" i="4"/>
  <c r="H165" i="4"/>
  <c r="H164" i="4"/>
  <c r="H163" i="4"/>
  <c r="H162" i="4"/>
  <c r="H161" i="4"/>
  <c r="H160" i="4"/>
  <c r="H89" i="4"/>
  <c r="H88" i="4"/>
  <c r="H87" i="4"/>
  <c r="H83" i="4"/>
  <c r="H96" i="4"/>
  <c r="H91" i="4"/>
  <c r="H90" i="4"/>
  <c r="H84" i="4"/>
  <c r="H85" i="4"/>
  <c r="H55" i="4"/>
  <c r="H56" i="4"/>
  <c r="H11" i="4"/>
  <c r="H7" i="4"/>
  <c r="H5" i="4"/>
  <c r="H6" i="4"/>
  <c r="H75" i="4"/>
  <c r="H76" i="4"/>
  <c r="H74" i="4"/>
  <c r="H73" i="4"/>
  <c r="H72" i="4"/>
  <c r="H71" i="4"/>
  <c r="H70" i="4"/>
  <c r="H69" i="4"/>
  <c r="H67" i="4"/>
  <c r="H68" i="4"/>
  <c r="H66" i="4"/>
  <c r="H65" i="4"/>
  <c r="H64" i="4"/>
  <c r="H62" i="4"/>
  <c r="H63" i="4"/>
  <c r="H61" i="4"/>
  <c r="H58" i="4"/>
  <c r="H60" i="4"/>
  <c r="H59" i="4"/>
  <c r="H57" i="4"/>
  <c r="H54" i="4"/>
  <c r="H51" i="4"/>
  <c r="H53" i="4"/>
  <c r="H52" i="4"/>
  <c r="H50" i="4"/>
  <c r="H49" i="4"/>
  <c r="H46" i="4"/>
  <c r="H48" i="4"/>
  <c r="H47" i="4"/>
  <c r="H45" i="4"/>
  <c r="H44" i="4"/>
  <c r="H41" i="4"/>
  <c r="H43" i="4"/>
  <c r="H42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5" i="4"/>
  <c r="L90" i="18" s="1"/>
  <c r="H24" i="4"/>
  <c r="H26" i="4"/>
  <c r="H23" i="4"/>
  <c r="H22" i="4"/>
  <c r="H20" i="4"/>
  <c r="H14" i="4"/>
  <c r="H19" i="4"/>
  <c r="L62" i="18" s="1"/>
  <c r="H18" i="4"/>
  <c r="H17" i="4"/>
  <c r="H16" i="4"/>
  <c r="L59" i="18" s="1"/>
  <c r="H15" i="4"/>
  <c r="H82" i="4"/>
  <c r="H81" i="4"/>
  <c r="H80" i="4"/>
  <c r="H79" i="4"/>
  <c r="H78" i="4"/>
  <c r="H77" i="4"/>
  <c r="H21" i="4"/>
  <c r="H10" i="4"/>
  <c r="H9" i="4"/>
  <c r="H8" i="4"/>
  <c r="H4" i="4"/>
  <c r="H13" i="4"/>
  <c r="H12" i="4"/>
  <c r="L26" i="18" l="1"/>
  <c r="L223" i="18"/>
  <c r="L94" i="18"/>
  <c r="L169" i="18"/>
  <c r="L20" i="18"/>
  <c r="L285" i="18"/>
  <c r="L312" i="18"/>
  <c r="L128" i="18"/>
  <c r="L206" i="18"/>
  <c r="L317" i="18"/>
  <c r="L105" i="18"/>
  <c r="L207" i="18"/>
  <c r="L318" i="18"/>
  <c r="L60" i="18"/>
  <c r="L61" i="18"/>
  <c r="L293" i="18"/>
  <c r="L24" i="18"/>
  <c r="L280" i="18"/>
  <c r="L281" i="18"/>
  <c r="L232" i="18"/>
  <c r="L81" i="18"/>
  <c r="L264" i="18"/>
  <c r="L308" i="18"/>
  <c r="L202" i="18"/>
  <c r="L286" i="18"/>
  <c r="L242" i="18"/>
  <c r="L23" i="18"/>
  <c r="L182" i="18"/>
  <c r="L198" i="18"/>
  <c r="L30" i="18"/>
  <c r="L138" i="18"/>
  <c r="L290" i="18"/>
  <c r="L215" i="18"/>
  <c r="L109" i="18"/>
  <c r="L292" i="18"/>
  <c r="L250" i="18"/>
  <c r="L216" i="18"/>
  <c r="L35" i="18"/>
  <c r="L112" i="18"/>
  <c r="L270" i="18"/>
  <c r="L294" i="18"/>
  <c r="L50" i="18"/>
  <c r="L28" i="18"/>
  <c r="L83" i="18"/>
  <c r="L188" i="18"/>
  <c r="L251" i="18"/>
  <c r="L221" i="18"/>
  <c r="L226" i="18"/>
  <c r="L36" i="18"/>
  <c r="L113" i="18"/>
  <c r="L271" i="18"/>
  <c r="L309" i="18"/>
  <c r="L49" i="18"/>
  <c r="L154" i="18"/>
  <c r="L86" i="18"/>
  <c r="L189" i="18"/>
  <c r="L255" i="18"/>
  <c r="L217" i="18"/>
  <c r="L37" i="18"/>
  <c r="L114" i="18"/>
  <c r="L272" i="18"/>
  <c r="L311" i="18"/>
  <c r="L247" i="18"/>
  <c r="L238" i="18"/>
  <c r="L55" i="18"/>
  <c r="L241" i="18"/>
  <c r="L125" i="18"/>
  <c r="L91" i="18"/>
  <c r="L323" i="18"/>
  <c r="L240" i="18"/>
  <c r="L210" i="18"/>
  <c r="L252" i="18"/>
  <c r="L145" i="18"/>
  <c r="L25" i="18"/>
  <c r="L211" i="18"/>
  <c r="L245" i="18"/>
  <c r="L46" i="18"/>
  <c r="L47" i="18"/>
  <c r="L185" i="18"/>
  <c r="L34" i="18"/>
  <c r="L171" i="18"/>
  <c r="L153" i="18"/>
  <c r="L123" i="18"/>
  <c r="L161" i="18"/>
  <c r="L19" i="18"/>
  <c r="L205" i="18"/>
  <c r="L127" i="18"/>
  <c r="L172" i="18"/>
  <c r="L104" i="18"/>
  <c r="L22" i="18"/>
  <c r="L197" i="18"/>
  <c r="L70" i="18"/>
  <c r="L186" i="18"/>
  <c r="L96" i="18"/>
  <c r="L190" i="18"/>
  <c r="L160" i="18"/>
  <c r="L263" i="18"/>
  <c r="L56" i="18"/>
  <c r="L9" i="18"/>
  <c r="L137" i="18"/>
  <c r="L41" i="18"/>
  <c r="L118" i="18"/>
  <c r="L14" i="18"/>
  <c r="L229" i="18"/>
  <c r="L53" i="18"/>
  <c r="L82" i="18"/>
  <c r="L298" i="18"/>
  <c r="L124" i="18"/>
  <c r="L301" i="18"/>
  <c r="L167" i="18"/>
  <c r="L102" i="18"/>
  <c r="L168" i="18"/>
  <c r="L103" i="18"/>
  <c r="L175" i="18"/>
  <c r="L287" i="18"/>
  <c r="L326" i="18"/>
  <c r="L58" i="18"/>
  <c r="L106" i="18"/>
  <c r="L288" i="18"/>
  <c r="L325" i="18"/>
  <c r="L243" i="18"/>
  <c r="L196" i="18"/>
  <c r="L107" i="18"/>
  <c r="L320" i="18"/>
  <c r="L183" i="18"/>
  <c r="L108" i="18"/>
  <c r="L31" i="18"/>
  <c r="L267" i="18"/>
  <c r="L110" i="18"/>
  <c r="L144" i="18"/>
  <c r="L150" i="18"/>
  <c r="L57" i="18"/>
  <c r="L249" i="18"/>
  <c r="L200" i="18"/>
  <c r="L111" i="18"/>
  <c r="L140" i="18"/>
  <c r="L63" i="18"/>
  <c r="L187" i="18"/>
  <c r="L256" i="18"/>
  <c r="L54" i="18"/>
  <c r="L38" i="18"/>
  <c r="L115" i="18"/>
  <c r="L273" i="18"/>
  <c r="L68" i="18"/>
  <c r="L89" i="18"/>
  <c r="L265" i="18"/>
  <c r="L231" i="18"/>
  <c r="L39" i="18"/>
  <c r="L116" i="18"/>
  <c r="L274" i="18"/>
  <c r="L10" i="18"/>
  <c r="L84" i="18"/>
  <c r="L322" i="18"/>
  <c r="L48" i="18"/>
  <c r="L191" i="18"/>
  <c r="L32" i="18"/>
  <c r="L40" i="18"/>
  <c r="L117" i="18"/>
  <c r="L275" i="18"/>
  <c r="L6" i="18"/>
  <c r="L268" i="18"/>
  <c r="L134" i="18"/>
  <c r="L193" i="18"/>
  <c r="L276" i="18"/>
  <c r="L4" i="18"/>
  <c r="L139" i="18"/>
  <c r="L194" i="18"/>
  <c r="L5" i="18"/>
  <c r="L295" i="18"/>
  <c r="L42" i="18"/>
  <c r="L119" i="18"/>
  <c r="L277" i="18"/>
  <c r="L176" i="18"/>
  <c r="L93" i="18"/>
  <c r="L66" i="18"/>
  <c r="L224" i="18"/>
  <c r="L156" i="18"/>
  <c r="L230" i="18"/>
  <c r="L8" i="18"/>
  <c r="L201" i="18"/>
  <c r="L302" i="18"/>
  <c r="L126" i="18"/>
  <c r="L212" i="18"/>
  <c r="L130" i="18"/>
  <c r="L253" i="18"/>
  <c r="L135" i="18"/>
  <c r="L244" i="18"/>
  <c r="L199" i="18"/>
  <c r="L143" i="18"/>
  <c r="L33" i="18"/>
  <c r="L148" i="18"/>
  <c r="L13" i="18"/>
  <c r="L278" i="18"/>
  <c r="L67" i="18"/>
  <c r="L122" i="18"/>
  <c r="L159" i="18"/>
  <c r="L282" i="18"/>
  <c r="L101" i="18"/>
  <c r="L283" i="18"/>
  <c r="L233" i="18"/>
  <c r="L284" i="18"/>
  <c r="L237" i="18"/>
  <c r="L234" i="18"/>
  <c r="L21" i="18"/>
  <c r="L129" i="18"/>
  <c r="L179" i="18"/>
  <c r="L289" i="18"/>
  <c r="L291" i="18"/>
  <c r="L246" i="18"/>
  <c r="L17" i="18"/>
  <c r="L192" i="18"/>
  <c r="L51" i="18"/>
  <c r="L120" i="18"/>
  <c r="L173" i="18"/>
  <c r="L99" i="18"/>
  <c r="L18" i="18"/>
  <c r="L149" i="18"/>
  <c r="L195" i="18"/>
  <c r="L27" i="18"/>
  <c r="L65" i="18"/>
  <c r="L52" i="18"/>
  <c r="L121" i="18"/>
  <c r="L279" i="18"/>
  <c r="L180" i="18"/>
  <c r="L69" i="18"/>
  <c r="L236" i="18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<sst xmlns="http://schemas.openxmlformats.org/spreadsheetml/2006/main" count="9768" uniqueCount="557">
  <si>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</si>
  <si>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</si>
  <si>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</si>
  <si>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</si>
  <si>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</si>
  <si>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</si>
  <si>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</si>
  <si>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</si>
  <si>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</si>
  <si>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</si>
  <si>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</si>
  <si>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</si>
  <si>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</si>
  <si>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</si>
  <si>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</si>
  <si>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</si>
  <si>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</si>
  <si>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</si>
  <si>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</si>
  <si>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</si>
  <si>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</si>
  <si>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</si>
  <si>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</si>
  <si>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</si>
  <si>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</si>
  <si>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</si>
  <si>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</si>
  <si>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</si>
  <si>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</si>
  <si>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</si>
  <si>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</si>
  <si>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</si>
  <si>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</si>
  <si>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</si>
  <si>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</si>
  <si>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</si>
  <si>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</si>
  <si>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</si>
  <si>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</si>
  <si>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</si>
  <si>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</si>
  <si>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</si>
  <si>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</si>
  <si>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</si>
  <si>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</si>
  <si>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</si>
  <si>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</si>
  <si>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</si>
  <si>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</si>
  <si>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</si>
  <si>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</si>
  <si>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</si>
  <si>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</si>
  <si>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</si>
  <si>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</si>
  <si>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</si>
  <si>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</si>
  <si>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</si>
  <si>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</si>
  <si>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</si>
  <si>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</si>
  <si>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</si>
  <si>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</si>
  <si>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</si>
  <si>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</si>
  <si>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</si>
  <si>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</si>
  <si>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</si>
  <si>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</si>
  <si>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</si>
  <si>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</si>
  <si>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</si>
  <si>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</si>
  <si>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</si>
  <si>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</si>
  <si>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</si>
  <si>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</si>
  <si>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</si>
  <si>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</si>
  <si>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</si>
  <si>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</si>
  <si>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</si>
  <si>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</si>
  <si>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</si>
  <si>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</si>
  <si>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</si>
  <si>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</si>
  <si>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</si>
  <si>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</si>
  <si>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</si>
  <si>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</si>
  <si>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</si>
  <si>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</si>
  <si>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</si>
  <si>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</si>
  <si>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</si>
  <si>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</si>
  <si>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</si>
  <si>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</si>
  <si>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</si>
  <si>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</si>
  <si>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</si>
  <si>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</si>
  <si>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</si>
  <si>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</si>
  <si>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</si>
  <si>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</si>
  <si>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</si>
  <si>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</si>
  <si>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</si>
  <si>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</si>
  <si>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</si>
  <si>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</si>
  <si>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</si>
  <si>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</si>
  <si>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</si>
  <si>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</si>
  <si>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</si>
  <si>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</si>
  <si>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</si>
  <si>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</si>
  <si>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</si>
  <si>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</si>
  <si>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</si>
  <si>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</si>
  <si>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</si>
  <si>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</si>
  <si>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</si>
  <si>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</si>
  <si>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</si>
  <si>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</si>
  <si>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</si>
  <si>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</si>
  <si>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</si>
  <si>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</si>
  <si>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</si>
  <si>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</si>
  <si>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</si>
  <si>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</si>
  <si>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</si>
  <si>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</si>
  <si>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</si>
  <si>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</si>
  <si>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</si>
  <si>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</si>
  <si>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</si>
  <si>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</si>
  <si>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</si>
  <si>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</si>
  <si>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</si>
  <si>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</si>
  <si>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</si>
  <si>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</si>
  <si>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</si>
  <si>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</si>
  <si>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</si>
  <si>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</si>
  <si>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</si>
  <si>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</si>
  <si>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</si>
  <si>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</si>
  <si>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</si>
  <si>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</si>
  <si>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</si>
  <si>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</si>
  <si>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</si>
  <si>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</si>
  <si>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</si>
  <si>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</si>
  <si>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</si>
  <si>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</si>
  <si>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</si>
  <si>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</si>
  <si>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</si>
  <si>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</si>
  <si>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</si>
  <si>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</si>
  <si>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</si>
  <si>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</si>
  <si>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</si>
  <si>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</si>
  <si>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</si>
  <si>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</si>
  <si>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</si>
  <si>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</si>
  <si>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</si>
  <si>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</si>
  <si>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</si>
  <si>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</si>
  <si>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</si>
  <si>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</si>
  <si>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</si>
  <si>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</si>
  <si>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</si>
  <si>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</si>
  <si>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</si>
  <si>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</si>
  <si>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</si>
  <si>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</si>
  <si>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</si>
  <si>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</si>
  <si>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</si>
  <si>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</si>
  <si>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</si>
  <si>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</si>
  <si>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 QMH Event Scripter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</si>
  <si>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</si>
  <si>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</si>
  <si>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</si>
  <si>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</si>
  <si>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</si>
  <si>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</si>
  <si>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</si>
  <si>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</si>
  <si>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</si>
  <si>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</si>
  <si>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</si>
  <si>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</si>
  <si>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</si>
  <si>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</si>
  <si>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</si>
  <si>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</si>
  <si>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</si>
  <si>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</si>
  <si>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</si>
  <si>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</si>
  <si>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</si>
  <si>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</si>
  <si>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</si>
  <si>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</si>
  <si>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</si>
  <si>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</si>
  <si>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</si>
  <si>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</si>
  <si>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</si>
  <si>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</si>
  <si>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</si>
  <si>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</si>
  <si>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</si>
  <si>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</si>
  <si>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</si>
  <si>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</si>
  <si>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</si>
  <si>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</si>
  <si>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</si>
  <si>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</si>
  <si>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</si>
  <si>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</si>
  <si>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</si>
  <si>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</si>
  <si>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</si>
  <si>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</si>
  <si>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</si>
  <si>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</si>
  <si>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</si>
  <si>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</si>
  <si>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</si>
  <si>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</si>
  <si>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</si>
  <si>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</si>
  <si>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</si>
  <si>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</si>
  <si>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</si>
  <si>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</si>
  <si>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</si>
  <si>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</si>
  <si>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</si>
  <si>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</si>
  <si>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</si>
  <si>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</si>
  <si>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</si>
  <si>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</si>
  <si>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</si>
  <si>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</si>
  <si>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</si>
  <si>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</si>
  <si>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</si>
  <si>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</si>
  <si>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</si>
  <si>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</si>
  <si>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</si>
  <si>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</si>
  <si>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</si>
  <si>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</si>
  <si>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</si>
  <si>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</si>
  <si>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</si>
  <si>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</si>
  <si>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</si>
  <si>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</si>
  <si>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</si>
  <si>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</si>
  <si>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</si>
  <si>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</si>
  <si>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</si>
  <si>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</si>
  <si>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</si>
  <si>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</si>
  <si>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</si>
  <si>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</si>
  <si>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</si>
  <si>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</si>
  <si>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</si>
  <si>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</si>
  <si>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</si>
  <si>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</si>
  <si>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</si>
  <si>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</si>
  <si>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</si>
  <si>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</si>
  <si>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</si>
  <si>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</si>
  <si>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</si>
  <si>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</si>
  <si>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</si>
  <si>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</si>
  <si>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</si>
  <si>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</si>
  <si>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</si>
  <si>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</si>
  <si>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</si>
  <si>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</si>
  <si>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</si>
  <si>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</si>
  <si>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</si>
  <si>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</si>
  <si>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</si>
  <si>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</si>
  <si>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</si>
  <si>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</si>
  <si>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</si>
  <si>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</si>
  <si>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</si>
  <si>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</si>
  <si>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</si>
  <si>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</si>
  <si>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</si>
  <si>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</si>
  <si>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</si>
  <si>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</si>
  <si>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</si>
  <si>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</si>
  <si>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</si>
  <si>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</si>
  <si>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</si>
  <si>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</si>
  <si>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</si>
  <si>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</si>
  <si>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</si>
  <si>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</si>
  <si>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</si>
  <si>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</si>
  <si>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</si>
  <si>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</si>
  <si>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</si>
  <si>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</si>
  <si>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</si>
  <si>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</si>
  <si>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</si>
  <si>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</si>
  <si>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</si>
  <si>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</si>
  <si>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</si>
  <si>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</si>
  <si>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</si>
  <si>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</si>
  <si>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</si>
  <si>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</si>
  <si>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</si>
  <si>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</si>
  <si>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</si>
  <si>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</si>
  <si>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</si>
  <si>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</si>
  <si>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</si>
  <si>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</si>
  <si>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</si>
  <si>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</si>
  <si>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</si>
  <si>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</si>
  <si>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</si>
  <si>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</si>
  <si>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</si>
  <si>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</si>
  <si>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</si>
  <si>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</si>
  <si>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</si>
  <si>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</si>
  <si>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</si>
  <si>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</si>
  <si>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</si>
  <si>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</si>
  <si>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</si>
  <si>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</si>
  <si>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</si>
  <si>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</si>
  <si>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</si>
  <si>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</si>
  <si>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</si>
  <si>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</si>
  <si>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</si>
  <si>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</si>
  <si>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</si>
  <si>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</si>
  <si>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</si>
  <si>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</si>
  <si>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</si>
  <si>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</si>
  <si>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</si>
  <si>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</si>
  <si>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</si>
  <si>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</si>
  <si>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</si>
  <si>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</si>
  <si>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</si>
  <si>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</si>
  <si>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</si>
  <si>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</si>
  <si>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</si>
  <si>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</si>
  <si>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</si>
  <si>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</si>
  <si>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</si>
  <si>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</si>
  <si>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</si>
  <si>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</si>
  <si>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</si>
  <si>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</si>
  <si>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</si>
  <si>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</si>
  <si>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</si>
  <si>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</si>
  <si>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</si>
  <si>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</si>
  <si>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</si>
  <si>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</si>
  <si>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</si>
  <si>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</si>
  <si>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</si>
  <si>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</si>
  <si>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</si>
  <si>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</si>
  <si>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</si>
  <si>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</si>
  <si>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</si>
  <si>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</si>
  <si>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</si>
  <si>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</si>
  <si>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</si>
  <si>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</si>
  <si>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</si>
  <si>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</si>
  <si>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</si>
  <si>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</si>
  <si>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</si>
  <si>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</si>
  <si>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</si>
  <si>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</si>
  <si>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</si>
  <si>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</si>
  <si>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</si>
  <si>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</si>
  <si>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</si>
  <si>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</si>
  <si>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</si>
  <si>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</si>
  <si>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</si>
  <si>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</si>
  <si>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</si>
  <si>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</si>
  <si>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</si>
  <si>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</si>
  <si>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</si>
  <si>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</si>
  <si>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</si>
  <si>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</si>
  <si>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</si>
  <si>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</si>
  <si>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</si>
  <si>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</si>
  <si>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</si>
  <si>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</si>
  <si>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</si>
  <si>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</si>
  <si>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</si>
  <si>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</si>
  <si>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</si>
  <si>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</si>
  <si>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</si>
  <si>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</si>
  <si>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</si>
  <si>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</si>
  <si>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</si>
  <si>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</si>
  <si>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</si>
  <si>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</si>
  <si>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</si>
  <si>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 xml:space="preserve">**Cross-Reference is both Runtime and Development Software Versions with Duplicates Removed.  </t>
  </si>
  <si>
    <t xml:space="preserve">**Install Difference shows the difference between installs.  </t>
  </si>
  <si>
    <t>EtherCAT Update Service</t>
  </si>
  <si>
    <t>NI-Sync Runtime</t>
  </si>
  <si>
    <t>LabVIEW Runtime 2017 SP1 f3</t>
  </si>
  <si>
    <t>1-Corey</t>
  </si>
  <si>
    <t>2-Spencer</t>
  </si>
  <si>
    <t>5-Confluence</t>
  </si>
  <si>
    <t>**Combined Run is Combine of Originals and Scott with only Development Software Selected. Duplicates are Removed.</t>
  </si>
  <si>
    <t>**Combined Run is Combine of Originals and Scott with only Runtime Software Selected.  Duplicates are removed.</t>
  </si>
  <si>
    <t>Y</t>
  </si>
  <si>
    <t>Only</t>
  </si>
  <si>
    <t>VInnie</t>
  </si>
  <si>
    <t>N</t>
  </si>
  <si>
    <t xml:space="preserve">**Cross-Reference is both Runtime and Development Software Versions with Duplicates Manually Removed. </t>
  </si>
  <si>
    <t>OpenG Application Control Library 4.1.0.7</t>
  </si>
  <si>
    <t>OpenG Array Library 4.1.1.14</t>
  </si>
  <si>
    <t>OpenG Boolean Library 4.0.0.7</t>
  </si>
  <si>
    <t>OpenG Builder 3.0.1-2</t>
  </si>
  <si>
    <t>OpenG Buttons Library 4.0.0.7</t>
  </si>
  <si>
    <t>OpenG Compare VI To Disk Tool 4.0.0.9</t>
  </si>
  <si>
    <t>OpenG Comparison Library 4.0.0.3</t>
  </si>
  <si>
    <t>OpenG Dictionary Library 4.0.0.4</t>
  </si>
  <si>
    <t>OpenG Error Library 4.2.0.23</t>
  </si>
  <si>
    <t>OpenG File Library 4.0.1.22</t>
  </si>
  <si>
    <t>OpenG LabPython Library 4.0.0.4</t>
  </si>
  <si>
    <t>OpenG LabVIEW Data Library 4.2.0.21</t>
  </si>
  <si>
    <t>OpenG LabVIEW ZIP Library 4.0.0-2</t>
  </si>
  <si>
    <t>OpenG Large File Library 4.0.0.3</t>
  </si>
  <si>
    <t>OpenG Locate File In Project Tool 4.0.0.7</t>
  </si>
  <si>
    <t>OpenG MD5 Digest Library 4.1.1.10</t>
  </si>
  <si>
    <t>OpenG Message Queue Library 4.0.0.15</t>
  </si>
  <si>
    <t>OpenG Numeric Library 4.1.0.8</t>
  </si>
  <si>
    <t>OpenG Picture Library 4.0.0.13</t>
  </si>
  <si>
    <t>OpenG Port IO 4.0.0-2</t>
  </si>
  <si>
    <t>OpenG Rename Folder of VIs Tool 4.0.0.15</t>
  </si>
  <si>
    <t>OpenG String Library 4.1.0.12</t>
  </si>
  <si>
    <t>OpenG Toolkit 4.0.1.9</t>
  </si>
  <si>
    <t>OpenG Variant Configuration File Library 4.0.0.5</t>
  </si>
  <si>
    <t>vipm-22.0.2371-windows-setup</t>
  </si>
  <si>
    <t>4.0.0.68</t>
  </si>
  <si>
    <t>NI Asynchronous Message Communication (AMC) Library 3.3.1.22</t>
  </si>
  <si>
    <t>NI CompactRIO Information (CRI) Library 2015.0.0.1</t>
  </si>
  <si>
    <t>DQMH Consortium</t>
  </si>
  <si>
    <t>Openg.org</t>
  </si>
  <si>
    <t>4-Vinnie</t>
  </si>
  <si>
    <t>3-Scott</t>
  </si>
  <si>
    <t>NI-Industrial Communications for EtherCAT 15.0.0</t>
  </si>
  <si>
    <t>NI CAN 15.0</t>
  </si>
  <si>
    <t>NI-CAN 15.0.0f0</t>
  </si>
  <si>
    <t>LabVIEW Runtime 2019 SP1 f3</t>
  </si>
  <si>
    <t>Open Source GOOP Development Suite</t>
  </si>
  <si>
    <t>1.1.17.56</t>
  </si>
  <si>
    <t>Good</t>
  </si>
  <si>
    <t>Maybe</t>
  </si>
  <si>
    <t>Not Installed</t>
  </si>
  <si>
    <t>Status</t>
  </si>
  <si>
    <t>Low Issue</t>
  </si>
  <si>
    <t>Verison Mismatch 0</t>
  </si>
  <si>
    <t>Verison Mismatch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</si>
</sst>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theme="0"/>
      <name val="Aptos Narrow"/>
      <family val="2"/>
      <scheme val="minor"/>
    </font>
    <font>
      <sz val="10"/>
      <color rgb="FF00B050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0"/>
      <name val="Aptos Narrow"/>
      <family val="2"/>
      <scheme val="minor"/>
    </font>
    <font>
      <sz val="8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54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6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6" fillId="1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3" fillId="16" borderId="0" xfId="0" applyFont="1" applyFill="1" applyAlignment="1">
      <alignment horizontal="left" vertical="center" wrapText="1"/>
    </xf>
    <xf numFmtId="0" fontId="0" fillId="16" borderId="1" xfId="0" applyFill="1" applyBorder="1" applyAlignment="1">
      <alignment horizontal="left" wrapText="1"/>
    </xf>
    <xf numFmtId="0" fontId="3" fillId="17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3" fillId="5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12" borderId="0" xfId="0" applyFont="1" applyFill="1" applyAlignment="1">
      <alignment horizontal="left" vertical="center" wrapText="1"/>
    </xf>
    <xf numFmtId="49" fontId="0" fillId="4" borderId="1" xfId="0" applyNumberFormat="1" applyFill="1" applyBorder="1" applyAlignment="1">
      <alignment horizontal="left" wrapText="1"/>
    </xf>
    <xf numFmtId="49" fontId="0" fillId="5" borderId="1" xfId="0" applyNumberFormat="1" applyFill="1" applyBorder="1" applyAlignment="1">
      <alignment horizontal="left" wrapText="1"/>
    </xf>
    <xf numFmtId="49" fontId="0" fillId="10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 wrapText="1"/>
    </xf>
    <xf numFmtId="0" fontId="6" fillId="16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6" fillId="17" borderId="3" xfId="0" applyFont="1" applyFill="1" applyBorder="1" applyAlignment="1">
      <alignment horizontal="left" vertical="center" wrapText="1"/>
    </xf>
    <xf numFmtId="0" fontId="0" fillId="0" borderId="16" xfId="0" applyBorder="1"/>
    <xf numFmtId="0" fontId="6" fillId="17" borderId="17" xfId="0" applyFont="1" applyFill="1" applyBorder="1" applyAlignment="1">
      <alignment horizontal="left" vertical="center" wrapText="1"/>
    </xf>
    <xf numFmtId="0" fontId="6" fillId="16" borderId="17" xfId="0" applyFont="1" applyFill="1" applyBorder="1" applyAlignment="1">
      <alignment horizontal="center" vertical="center" wrapText="1"/>
    </xf>
    <xf numFmtId="0" fontId="6" fillId="16" borderId="20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6" fillId="14" borderId="17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11" borderId="20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49" fontId="3" fillId="4" borderId="17" xfId="0" applyNumberFormat="1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left" wrapText="1"/>
    </xf>
    <xf numFmtId="0" fontId="4" fillId="16" borderId="3" xfId="0" applyFont="1" applyFill="1" applyBorder="1" applyAlignment="1">
      <alignment horizontal="center" vertical="center"/>
    </xf>
    <xf numFmtId="49" fontId="4" fillId="16" borderId="3" xfId="0" applyNumberFormat="1" applyFont="1" applyFill="1" applyBorder="1" applyAlignment="1">
      <alignment horizontal="center" vertical="center" wrapText="1"/>
    </xf>
    <xf numFmtId="49" fontId="4" fillId="16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wrapText="1"/>
    </xf>
    <xf numFmtId="49" fontId="4" fillId="17" borderId="3" xfId="0" applyNumberFormat="1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7" fillId="2" borderId="6" xfId="0" applyFont="1" applyFill="1" applyBorder="1" applyAlignment="1">
      <alignment horizontal="left" vertical="center"/>
    </xf>
    <xf numFmtId="49" fontId="7" fillId="2" borderId="4" xfId="0" applyNumberFormat="1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15" borderId="1" xfId="0" applyFont="1" applyFill="1" applyBorder="1" applyAlignment="1">
      <alignment horizontal="left"/>
    </xf>
    <xf numFmtId="0" fontId="2" fillId="15" borderId="1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left"/>
    </xf>
    <xf numFmtId="0" fontId="2" fillId="8" borderId="1" xfId="0" applyFont="1" applyFill="1" applyBorder="1"/>
    <xf numFmtId="0" fontId="2" fillId="13" borderId="1" xfId="0" applyFont="1" applyFill="1" applyBorder="1" applyAlignment="1">
      <alignment horizontal="left"/>
    </xf>
    <xf numFmtId="0" fontId="2" fillId="13" borderId="1" xfId="0" applyFont="1" applyFill="1" applyBorder="1"/>
    <xf numFmtId="0" fontId="2" fillId="0" borderId="0" xfId="0" applyFont="1" applyAlignment="1">
      <alignment horizontal="left"/>
    </xf>
    <xf numFmtId="0" fontId="2" fillId="15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49" fontId="10" fillId="18" borderId="1" xfId="0" applyNumberFormat="1" applyFont="1" applyFill="1" applyBorder="1" applyAlignment="1">
      <alignment horizontal="center" vertical="center"/>
    </xf>
    <xf numFmtId="0" fontId="10" fillId="18" borderId="10" xfId="0" applyFont="1" applyFill="1" applyBorder="1" applyAlignment="1">
      <alignment horizontal="center" vertical="center"/>
    </xf>
    <xf numFmtId="49" fontId="10" fillId="18" borderId="10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wrapText="1"/>
    </xf>
    <xf numFmtId="49" fontId="4" fillId="19" borderId="3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horizontal="center" vertical="center"/>
    </xf>
    <xf numFmtId="49" fontId="4" fillId="20" borderId="3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0" borderId="0" xfId="0" applyFont="1" applyFill="1" applyAlignment="1">
      <alignment horizontal="left" vertical="center" wrapText="1"/>
    </xf>
    <xf numFmtId="0" fontId="0" fillId="20" borderId="1" xfId="0" applyFill="1" applyBorder="1" applyAlignment="1">
      <alignment horizontal="left" wrapText="1"/>
    </xf>
    <xf numFmtId="0" fontId="0" fillId="20" borderId="1" xfId="0" applyFill="1" applyBorder="1"/>
    <xf numFmtId="0" fontId="2" fillId="21" borderId="1" xfId="0" applyFont="1" applyFill="1" applyBorder="1" applyAlignment="1">
      <alignment horizontal="left"/>
    </xf>
    <xf numFmtId="0" fontId="2" fillId="21" borderId="1" xfId="0" applyFont="1" applyFill="1" applyBorder="1"/>
    <xf numFmtId="0" fontId="6" fillId="17" borderId="20" xfId="0" applyFont="1" applyFill="1" applyBorder="1" applyAlignment="1">
      <alignment horizontal="left" vertical="center" wrapText="1"/>
    </xf>
    <xf numFmtId="0" fontId="6" fillId="17" borderId="11" xfId="0" applyFont="1" applyFill="1" applyBorder="1" applyAlignment="1">
      <alignment horizontal="left" vertical="center" wrapText="1"/>
    </xf>
    <xf numFmtId="0" fontId="0" fillId="0" borderId="23" xfId="0" applyBorder="1"/>
    <xf numFmtId="0" fontId="0" fillId="20" borderId="3" xfId="0" applyFill="1" applyBorder="1" applyAlignment="1">
      <alignment wrapText="1"/>
    </xf>
    <xf numFmtId="0" fontId="0" fillId="0" borderId="10" xfId="0" applyBorder="1" applyAlignment="1">
      <alignment wrapText="1"/>
    </xf>
    <xf numFmtId="49" fontId="0" fillId="22" borderId="1" xfId="0" applyNumberFormat="1" applyFill="1" applyBorder="1" applyAlignment="1">
      <alignment horizontal="left" wrapText="1"/>
    </xf>
    <xf numFmtId="0" fontId="0" fillId="22" borderId="1" xfId="0" applyFill="1" applyBorder="1" applyAlignment="1">
      <alignment horizontal="left" wrapText="1"/>
    </xf>
    <xf numFmtId="0" fontId="0" fillId="22" borderId="1" xfId="0" applyFill="1" applyBorder="1"/>
    <xf numFmtId="0" fontId="0" fillId="13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20" borderId="24" xfId="0" applyFont="1" applyFill="1" applyBorder="1" applyAlignment="1">
      <alignment horizontal="center" vertical="center" wrapText="1"/>
    </xf>
    <xf numFmtId="0" fontId="3" fillId="20" borderId="25" xfId="0" applyFont="1" applyFill="1" applyBorder="1" applyAlignment="1">
      <alignment horizontal="center" vertical="center" wrapText="1"/>
    </xf>
    <xf numFmtId="0" fontId="3" fillId="17" borderId="18" xfId="0" applyFont="1" applyFill="1" applyBorder="1" applyAlignment="1">
      <alignment horizontal="center" vertical="center" wrapText="1"/>
    </xf>
    <xf numFmtId="0" fontId="3" fillId="17" borderId="19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3" fillId="16" borderId="21" xfId="0" applyFont="1" applyFill="1" applyBorder="1" applyAlignment="1">
      <alignment horizontal="center" wrapText="1"/>
    </xf>
    <xf numFmtId="0" fontId="3" fillId="16" borderId="22" xfId="0" applyFont="1" applyFill="1" applyBorder="1" applyAlignment="1">
      <alignment horizontal="center" wrapText="1"/>
    </xf>
    <xf numFmtId="0" fontId="3" fillId="14" borderId="18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19" xfId="0" applyFont="1" applyFill="1" applyBorder="1" applyAlignment="1">
      <alignment horizontal="center"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3" fillId="17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6" borderId="3" xfId="0" applyFont="1" applyFill="1" applyBorder="1" applyAlignment="1">
      <alignment horizontal="center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4" borderId="16" xfId="0" applyFont="1" applyFill="1" applyBorder="1" applyAlignment="1">
      <alignment horizontal="center" vertical="center"/>
    </xf>
    <xf numFmtId="0" fontId="0" fillId="23" borderId="0" xfId="0" applyFill="1" applyAlignment="1">
      <alignment horizontal="left"/>
    </xf>
    <xf numFmtId="0" fontId="3" fillId="0" borderId="0" xfId="0" applyNumberFormat="1" applyFont="1" applyAlignment="1">
      <alignment horizontal="center" vertical="center"/>
    </xf>
    <xf numFmtId="0" fontId="3" fillId="0" borderId="8" xfId="0" applyNumberFormat="1" applyFont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2" fillId="15" borderId="1" xfId="0" applyNumberFormat="1" applyFont="1" applyFill="1" applyBorder="1" applyAlignment="1">
      <alignment horizontal="center" vertical="center"/>
    </xf>
    <xf numFmtId="0" fontId="2" fillId="7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16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5450"/>
      <color rgb="FFFF3300"/>
      <color rgb="FFF6D1C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6"/>
  <sheetViews>
    <sheetView zoomScaleNormal="100" workbookViewId="0">
      <pane ySplit="3" topLeftCell="A166" activePane="bottomLeft" state="frozen"/>
      <selection pane="bottomLeft" activeCell="I336" sqref="I336"/>
    </sheetView>
  </sheetViews>
  <sheetFormatPr defaultColWidth="9.28515625" defaultRowHeight="13.5" x14ac:dyDescent="0.25"/>
  <cols>
    <col min="1" max="1" width="11.2851562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150" t="s">
        <v>416</v>
      </c>
      <c r="B1" s="151"/>
      <c r="C1" s="151"/>
      <c r="D1" s="151"/>
      <c r="E1" s="151"/>
      <c r="F1" s="151"/>
      <c r="G1" s="151"/>
      <c r="H1" s="151"/>
      <c r="I1" s="152"/>
    </row>
    <row r="2" spans="1:10" ht="14.25" thickBot="1" x14ac:dyDescent="0.3">
      <c r="A2" s="153"/>
      <c r="B2" s="153"/>
      <c r="C2" s="153"/>
      <c r="D2" s="153"/>
      <c r="E2" s="153"/>
      <c r="F2" s="153"/>
      <c r="G2" s="153"/>
      <c r="H2" s="153"/>
      <c r="I2" s="154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hidden="1" x14ac:dyDescent="0.25">
      <c r="A4" s="30" t="s">
        <v>502</v>
      </c>
      <c r="B4" s="30" t="s">
        <v>8</v>
      </c>
      <c r="C4" s="35" t="s">
        <v>9</v>
      </c>
      <c r="D4" s="35" t="s">
        <v>10</v>
      </c>
      <c r="E4" s="35" t="s">
        <v>11</v>
      </c>
      <c r="F4" s="35" t="s">
        <v>12</v>
      </c>
      <c r="G4" s="35" t="s">
        <v>13</v>
      </c>
      <c r="H4" s="30" t="str">
        <f t="shared" ref="H4:H12" si="0">B4&amp;" "&amp;C4</f>
        <v>Advanced Signal Processing Toolkit 15.0.0</v>
      </c>
      <c r="I4" s="36" t="s">
        <v>42</v>
      </c>
      <c r="J4" s="7"/>
    </row>
    <row r="5" spans="1:10" hidden="1" x14ac:dyDescent="0.25">
      <c r="A5" s="30" t="s">
        <v>502</v>
      </c>
      <c r="B5" s="38" t="s">
        <v>15</v>
      </c>
      <c r="C5" s="35" t="s">
        <v>9</v>
      </c>
      <c r="D5" s="35" t="s">
        <v>10</v>
      </c>
      <c r="E5" s="35" t="s">
        <v>11</v>
      </c>
      <c r="F5" s="35" t="s">
        <v>12</v>
      </c>
      <c r="G5" s="35" t="s">
        <v>13</v>
      </c>
      <c r="H5" s="30" t="str">
        <f t="shared" si="0"/>
        <v>C Series Module Support 15.0.0</v>
      </c>
      <c r="I5" s="36" t="s">
        <v>42</v>
      </c>
      <c r="J5" s="7"/>
    </row>
    <row r="6" spans="1:10" hidden="1" x14ac:dyDescent="0.25">
      <c r="A6" s="30" t="s">
        <v>502</v>
      </c>
      <c r="B6" s="30" t="s">
        <v>14</v>
      </c>
      <c r="C6" s="35" t="s">
        <v>9</v>
      </c>
      <c r="D6" s="35" t="s">
        <v>10</v>
      </c>
      <c r="E6" s="35" t="s">
        <v>11</v>
      </c>
      <c r="F6" s="35" t="s">
        <v>12</v>
      </c>
      <c r="G6" s="35" t="s">
        <v>13</v>
      </c>
      <c r="H6" s="30" t="str">
        <f t="shared" si="0"/>
        <v>CompactRIO 15.0.0</v>
      </c>
      <c r="I6" s="36" t="s">
        <v>42</v>
      </c>
      <c r="J6" s="7"/>
    </row>
    <row r="7" spans="1:10" hidden="1" x14ac:dyDescent="0.25">
      <c r="A7" s="30" t="s">
        <v>502</v>
      </c>
      <c r="B7" s="30" t="s">
        <v>75</v>
      </c>
      <c r="C7" s="35" t="s">
        <v>87</v>
      </c>
      <c r="D7" s="35" t="s">
        <v>10</v>
      </c>
      <c r="E7" s="35" t="s">
        <v>11</v>
      </c>
      <c r="F7" s="35" t="s">
        <v>24</v>
      </c>
      <c r="G7" s="35" t="s">
        <v>13</v>
      </c>
      <c r="H7" s="30" t="str">
        <f t="shared" si="0"/>
        <v>CVI 15.0.0.408</v>
      </c>
      <c r="I7" s="37" t="s">
        <v>91</v>
      </c>
      <c r="J7" s="7"/>
    </row>
    <row r="8" spans="1:10" hidden="1" x14ac:dyDescent="0.25">
      <c r="A8" s="30" t="s">
        <v>502</v>
      </c>
      <c r="B8" s="30" t="s">
        <v>33</v>
      </c>
      <c r="C8" s="35" t="s">
        <v>9</v>
      </c>
      <c r="D8" s="35" t="s">
        <v>10</v>
      </c>
      <c r="E8" s="35" t="s">
        <v>11</v>
      </c>
      <c r="F8" s="35" t="s">
        <v>12</v>
      </c>
      <c r="G8" s="35" t="s">
        <v>13</v>
      </c>
      <c r="H8" s="30" t="str">
        <f t="shared" si="0"/>
        <v>Database Connectivity Toolkit 15.0.0</v>
      </c>
      <c r="I8" s="36" t="s">
        <v>42</v>
      </c>
      <c r="J8" s="7"/>
    </row>
    <row r="9" spans="1:10" hidden="1" x14ac:dyDescent="0.25">
      <c r="A9" s="30" t="s">
        <v>502</v>
      </c>
      <c r="B9" s="30" t="s">
        <v>88</v>
      </c>
      <c r="C9" s="35" t="s">
        <v>89</v>
      </c>
      <c r="D9" s="35" t="s">
        <v>10</v>
      </c>
      <c r="E9" s="35" t="s">
        <v>11</v>
      </c>
      <c r="F9" s="35" t="s">
        <v>12</v>
      </c>
      <c r="G9" s="35" t="s">
        <v>13</v>
      </c>
      <c r="H9" s="30" t="str">
        <f t="shared" si="0"/>
        <v>DataFinder Toolkit 15.0.06020</v>
      </c>
      <c r="I9" s="36" t="s">
        <v>42</v>
      </c>
      <c r="J9" s="7"/>
    </row>
    <row r="10" spans="1:10" hidden="1" x14ac:dyDescent="0.25">
      <c r="A10" s="30" t="s">
        <v>502</v>
      </c>
      <c r="B10" s="30" t="s">
        <v>34</v>
      </c>
      <c r="C10" s="35" t="s">
        <v>9</v>
      </c>
      <c r="D10" s="35" t="s">
        <v>10</v>
      </c>
      <c r="E10" s="35" t="s">
        <v>11</v>
      </c>
      <c r="F10" s="35" t="s">
        <v>12</v>
      </c>
      <c r="G10" s="35" t="s">
        <v>13</v>
      </c>
      <c r="H10" s="30" t="str">
        <f t="shared" si="0"/>
        <v>Digital Filter Design Toolkit 15.0.0</v>
      </c>
      <c r="I10" s="36" t="s">
        <v>42</v>
      </c>
      <c r="J10" s="7"/>
    </row>
    <row r="11" spans="1:10" hidden="1" x14ac:dyDescent="0.25">
      <c r="A11" s="30" t="s">
        <v>502</v>
      </c>
      <c r="B11" s="30" t="s">
        <v>58</v>
      </c>
      <c r="C11" s="35" t="s">
        <v>134</v>
      </c>
      <c r="D11" s="35" t="s">
        <v>10</v>
      </c>
      <c r="E11" s="35" t="s">
        <v>11</v>
      </c>
      <c r="F11" s="35" t="s">
        <v>12</v>
      </c>
      <c r="G11" s="35" t="s">
        <v>13</v>
      </c>
      <c r="H11" s="30" t="str">
        <f t="shared" si="0"/>
        <v xml:space="preserve">FlexRIO 15.0.0f0 </v>
      </c>
      <c r="I11" s="36" t="s">
        <v>42</v>
      </c>
      <c r="J11" s="7"/>
    </row>
    <row r="12" spans="1:10" hidden="1" x14ac:dyDescent="0.25">
      <c r="A12" s="30" t="s">
        <v>502</v>
      </c>
      <c r="B12" s="30" t="s">
        <v>31</v>
      </c>
      <c r="C12" s="35" t="s">
        <v>102</v>
      </c>
      <c r="D12" s="35" t="s">
        <v>10</v>
      </c>
      <c r="E12" s="35" t="s">
        <v>11</v>
      </c>
      <c r="F12" s="35" t="s">
        <v>12</v>
      </c>
      <c r="G12" s="35" t="s">
        <v>13</v>
      </c>
      <c r="H12" s="30" t="str">
        <f t="shared" si="0"/>
        <v>IVI Compliance Package 15.0</v>
      </c>
      <c r="I12" s="36" t="s">
        <v>42</v>
      </c>
      <c r="J12" s="7"/>
    </row>
    <row r="13" spans="1:10" hidden="1" x14ac:dyDescent="0.25">
      <c r="A13" s="30" t="s">
        <v>502</v>
      </c>
      <c r="B13" s="30" t="s">
        <v>32</v>
      </c>
      <c r="C13" s="35" t="s">
        <v>92</v>
      </c>
      <c r="D13" s="35" t="s">
        <v>10</v>
      </c>
      <c r="E13" s="35" t="s">
        <v>103</v>
      </c>
      <c r="F13" s="35" t="s">
        <v>12</v>
      </c>
      <c r="G13" s="35" t="s">
        <v>13</v>
      </c>
      <c r="H13" s="30" t="str">
        <f t="shared" ref="H13:H20" si="1">B13&amp;" "&amp;E13&amp;" "&amp;C13</f>
        <v>LabVIEW 2015 SP1 f10 15.0.1</v>
      </c>
      <c r="I13" s="40" t="s">
        <v>465</v>
      </c>
      <c r="J13" s="7"/>
    </row>
    <row r="14" spans="1:10" hidden="1" x14ac:dyDescent="0.25">
      <c r="A14" s="30" t="s">
        <v>502</v>
      </c>
      <c r="B14" s="30" t="s">
        <v>32</v>
      </c>
      <c r="C14" s="35" t="s">
        <v>92</v>
      </c>
      <c r="D14" s="35" t="s">
        <v>10</v>
      </c>
      <c r="E14" s="35" t="s">
        <v>111</v>
      </c>
      <c r="F14" s="35" t="s">
        <v>24</v>
      </c>
      <c r="G14" s="35" t="s">
        <v>13</v>
      </c>
      <c r="H14" s="30" t="str">
        <f t="shared" si="1"/>
        <v>LabVIEW 2015 SP1 15.0.1</v>
      </c>
      <c r="I14" s="37" t="s">
        <v>91</v>
      </c>
      <c r="J14" s="7"/>
    </row>
    <row r="15" spans="1:10" hidden="1" x14ac:dyDescent="0.25">
      <c r="A15" s="30" t="s">
        <v>502</v>
      </c>
      <c r="B15" s="30" t="s">
        <v>32</v>
      </c>
      <c r="C15" s="35" t="s">
        <v>105</v>
      </c>
      <c r="D15" s="35" t="s">
        <v>10</v>
      </c>
      <c r="E15" s="35" t="s">
        <v>106</v>
      </c>
      <c r="F15" s="35" t="s">
        <v>24</v>
      </c>
      <c r="G15" s="35" t="s">
        <v>13</v>
      </c>
      <c r="H15" s="30" t="str">
        <f t="shared" si="1"/>
        <v>LabVIEW 2012 SP1 f9 12.0.1</v>
      </c>
      <c r="I15" s="36" t="s">
        <v>42</v>
      </c>
      <c r="J15" s="7"/>
    </row>
    <row r="16" spans="1:10" hidden="1" x14ac:dyDescent="0.25">
      <c r="A16" s="30" t="s">
        <v>502</v>
      </c>
      <c r="B16" s="30" t="s">
        <v>32</v>
      </c>
      <c r="C16" s="35" t="s">
        <v>105</v>
      </c>
      <c r="D16" s="35" t="s">
        <v>107</v>
      </c>
      <c r="E16" s="35" t="s">
        <v>106</v>
      </c>
      <c r="F16" s="35" t="s">
        <v>24</v>
      </c>
      <c r="G16" s="35" t="s">
        <v>13</v>
      </c>
      <c r="H16" s="30" t="str">
        <f t="shared" si="1"/>
        <v>LabVIEW 2012 SP1 f9 12.0.1</v>
      </c>
      <c r="I16" s="36" t="s">
        <v>42</v>
      </c>
      <c r="J16" s="7"/>
    </row>
    <row r="17" spans="1:10" hidden="1" x14ac:dyDescent="0.25">
      <c r="A17" s="30" t="s">
        <v>502</v>
      </c>
      <c r="B17" s="30" t="s">
        <v>32</v>
      </c>
      <c r="C17" s="35" t="s">
        <v>137</v>
      </c>
      <c r="D17" s="35" t="s">
        <v>10</v>
      </c>
      <c r="E17" s="35" t="s">
        <v>108</v>
      </c>
      <c r="F17" s="35" t="s">
        <v>24</v>
      </c>
      <c r="G17" s="35" t="s">
        <v>13</v>
      </c>
      <c r="H17" s="30" t="str">
        <f t="shared" si="1"/>
        <v>LabVIEW 2013 SP1 f6 13.0.1</v>
      </c>
      <c r="I17" s="36" t="s">
        <v>42</v>
      </c>
      <c r="J17" s="7"/>
    </row>
    <row r="18" spans="1:10" hidden="1" x14ac:dyDescent="0.25">
      <c r="A18" s="30" t="s">
        <v>502</v>
      </c>
      <c r="B18" s="30" t="s">
        <v>32</v>
      </c>
      <c r="C18" s="35" t="s">
        <v>110</v>
      </c>
      <c r="D18" s="35" t="s">
        <v>10</v>
      </c>
      <c r="E18" s="35" t="s">
        <v>109</v>
      </c>
      <c r="F18" s="35" t="s">
        <v>24</v>
      </c>
      <c r="G18" s="35" t="s">
        <v>13</v>
      </c>
      <c r="H18" s="30" t="str">
        <f t="shared" si="1"/>
        <v>LabVIEW 2014 SP1 f11 14.0.1</v>
      </c>
      <c r="I18" s="40" t="s">
        <v>465</v>
      </c>
      <c r="J18" s="7"/>
    </row>
    <row r="19" spans="1:10" hidden="1" x14ac:dyDescent="0.25">
      <c r="A19" s="30" t="s">
        <v>502</v>
      </c>
      <c r="B19" s="30" t="s">
        <v>32</v>
      </c>
      <c r="C19" s="35" t="s">
        <v>110</v>
      </c>
      <c r="D19" s="35" t="s">
        <v>107</v>
      </c>
      <c r="E19" s="35" t="s">
        <v>109</v>
      </c>
      <c r="F19" s="35" t="s">
        <v>24</v>
      </c>
      <c r="G19" s="35" t="s">
        <v>13</v>
      </c>
      <c r="H19" s="30" t="str">
        <f t="shared" si="1"/>
        <v>LabVIEW 2014 SP1 f11 14.0.1</v>
      </c>
      <c r="I19" s="40" t="s">
        <v>465</v>
      </c>
      <c r="J19" s="7"/>
    </row>
    <row r="20" spans="1:10" hidden="1" x14ac:dyDescent="0.25">
      <c r="A20" s="30" t="s">
        <v>502</v>
      </c>
      <c r="B20" s="30" t="s">
        <v>32</v>
      </c>
      <c r="C20" s="35" t="s">
        <v>112</v>
      </c>
      <c r="D20" s="35" t="s">
        <v>10</v>
      </c>
      <c r="E20" s="35" t="s">
        <v>113</v>
      </c>
      <c r="F20" s="35" t="s">
        <v>24</v>
      </c>
      <c r="G20" s="35" t="s">
        <v>13</v>
      </c>
      <c r="H20" s="30" t="str">
        <f t="shared" si="1"/>
        <v>LabVIEW 2019 SP1 f3 19.0.1</v>
      </c>
      <c r="I20" s="30"/>
      <c r="J20" s="7"/>
    </row>
    <row r="21" spans="1:10" hidden="1" x14ac:dyDescent="0.25">
      <c r="A21" s="30" t="s">
        <v>502</v>
      </c>
      <c r="B21" s="30" t="s">
        <v>104</v>
      </c>
      <c r="C21" s="35" t="s">
        <v>9</v>
      </c>
      <c r="D21" s="35" t="s">
        <v>10</v>
      </c>
      <c r="E21" s="35" t="s">
        <v>11</v>
      </c>
      <c r="F21" s="35" t="s">
        <v>12</v>
      </c>
      <c r="G21" s="35" t="s">
        <v>13</v>
      </c>
      <c r="H21" s="30" t="str">
        <f t="shared" ref="H21:H52" si="2">B21&amp;" "&amp;C21</f>
        <v>MathScript RT Module 15.0.0</v>
      </c>
      <c r="I21" s="36" t="s">
        <v>42</v>
      </c>
      <c r="J21" s="7"/>
    </row>
    <row r="22" spans="1:10" hidden="1" x14ac:dyDescent="0.25">
      <c r="A22" s="30" t="s">
        <v>502</v>
      </c>
      <c r="B22" s="30" t="s">
        <v>41</v>
      </c>
      <c r="C22" s="35" t="s">
        <v>94</v>
      </c>
      <c r="D22" s="35" t="s">
        <v>10</v>
      </c>
      <c r="E22" s="35" t="s">
        <v>11</v>
      </c>
      <c r="F22" s="35" t="s">
        <v>12</v>
      </c>
      <c r="G22" s="35" t="s">
        <v>13</v>
      </c>
      <c r="H22" s="30" t="str">
        <f t="shared" si="2"/>
        <v>Measurement &amp; Automation Explorer 15.3.0f0</v>
      </c>
      <c r="I22" s="37" t="s">
        <v>91</v>
      </c>
      <c r="J22" s="7"/>
    </row>
    <row r="23" spans="1:10" hidden="1" x14ac:dyDescent="0.25">
      <c r="A23" s="30" t="s">
        <v>502</v>
      </c>
      <c r="B23" s="30" t="s">
        <v>43</v>
      </c>
      <c r="C23" s="35"/>
      <c r="D23" s="35" t="s">
        <v>10</v>
      </c>
      <c r="E23" s="35" t="s">
        <v>114</v>
      </c>
      <c r="F23" s="35" t="s">
        <v>12</v>
      </c>
      <c r="G23" s="35" t="s">
        <v>13</v>
      </c>
      <c r="H23" s="30" t="str">
        <f t="shared" si="2"/>
        <v xml:space="preserve">Measurement Studio </v>
      </c>
      <c r="I23" s="36" t="s">
        <v>42</v>
      </c>
      <c r="J23" s="7"/>
    </row>
    <row r="24" spans="1:10" hidden="1" x14ac:dyDescent="0.25">
      <c r="A24" s="30" t="s">
        <v>502</v>
      </c>
      <c r="B24" s="30" t="s">
        <v>116</v>
      </c>
      <c r="C24" s="35" t="s">
        <v>45</v>
      </c>
      <c r="D24" s="35" t="s">
        <v>10</v>
      </c>
      <c r="E24" s="35" t="s">
        <v>11</v>
      </c>
      <c r="F24" s="35" t="s">
        <v>12</v>
      </c>
      <c r="G24" s="35" t="s">
        <v>13</v>
      </c>
      <c r="H24" s="30" t="str">
        <f t="shared" si="2"/>
        <v>Measurement Studio Common 15.0.40.49154</v>
      </c>
      <c r="I24" s="36" t="s">
        <v>42</v>
      </c>
      <c r="J24" s="7"/>
    </row>
    <row r="25" spans="1:10" hidden="1" x14ac:dyDescent="0.25">
      <c r="A25" s="30" t="s">
        <v>502</v>
      </c>
      <c r="B25" s="30" t="s">
        <v>116</v>
      </c>
      <c r="C25" s="35" t="s">
        <v>45</v>
      </c>
      <c r="D25" s="35" t="s">
        <v>107</v>
      </c>
      <c r="E25" s="35" t="s">
        <v>11</v>
      </c>
      <c r="F25" s="35" t="s">
        <v>12</v>
      </c>
      <c r="G25" s="35" t="s">
        <v>13</v>
      </c>
      <c r="H25" s="30" t="str">
        <f t="shared" si="2"/>
        <v>Measurement Studio Common 15.0.40.49154</v>
      </c>
      <c r="I25" s="36" t="s">
        <v>42</v>
      </c>
      <c r="J25" s="7"/>
    </row>
    <row r="26" spans="1:10" hidden="1" x14ac:dyDescent="0.25">
      <c r="A26" s="30" t="s">
        <v>502</v>
      </c>
      <c r="B26" s="30" t="s">
        <v>115</v>
      </c>
      <c r="C26" s="35"/>
      <c r="D26" s="35" t="s">
        <v>10</v>
      </c>
      <c r="E26" s="35" t="s">
        <v>114</v>
      </c>
      <c r="F26" s="35" t="s">
        <v>12</v>
      </c>
      <c r="G26" s="35" t="s">
        <v>13</v>
      </c>
      <c r="H26" s="30" t="str">
        <f t="shared" si="2"/>
        <v xml:space="preserve">Measurement Studio DotNET </v>
      </c>
      <c r="I26" s="36" t="s">
        <v>42</v>
      </c>
      <c r="J26" s="7"/>
    </row>
    <row r="27" spans="1:10" hidden="1" x14ac:dyDescent="0.25">
      <c r="A27" s="30" t="s">
        <v>502</v>
      </c>
      <c r="B27" s="30" t="s">
        <v>60</v>
      </c>
      <c r="C27" s="35" t="s">
        <v>30</v>
      </c>
      <c r="D27" s="35" t="s">
        <v>10</v>
      </c>
      <c r="E27" s="35" t="s">
        <v>11</v>
      </c>
      <c r="F27" s="35" t="s">
        <v>12</v>
      </c>
      <c r="G27" s="35" t="s">
        <v>13</v>
      </c>
      <c r="H27" s="30" t="str">
        <f t="shared" si="2"/>
        <v>NI 1588-2008 Network Management 15.0.0f0</v>
      </c>
      <c r="I27" s="36" t="s">
        <v>42</v>
      </c>
      <c r="J27" s="7"/>
    </row>
    <row r="28" spans="1:10" hidden="1" x14ac:dyDescent="0.25">
      <c r="A28" s="30" t="s">
        <v>502</v>
      </c>
      <c r="B28" s="30" t="s">
        <v>29</v>
      </c>
      <c r="C28" s="35" t="s">
        <v>30</v>
      </c>
      <c r="D28" s="35" t="s">
        <v>10</v>
      </c>
      <c r="E28" s="35" t="s">
        <v>11</v>
      </c>
      <c r="F28" s="35" t="s">
        <v>12</v>
      </c>
      <c r="G28" s="35" t="s">
        <v>13</v>
      </c>
      <c r="H28" s="30" t="str">
        <f t="shared" si="2"/>
        <v>NI I/O Trace 15.0.0f0</v>
      </c>
      <c r="I28" s="36" t="s">
        <v>42</v>
      </c>
      <c r="J28" s="7"/>
    </row>
    <row r="29" spans="1:10" hidden="1" x14ac:dyDescent="0.25">
      <c r="A29" s="30" t="s">
        <v>502</v>
      </c>
      <c r="B29" s="30" t="s">
        <v>52</v>
      </c>
      <c r="C29" s="35" t="s">
        <v>53</v>
      </c>
      <c r="D29" s="35" t="s">
        <v>10</v>
      </c>
      <c r="E29" s="35" t="s">
        <v>11</v>
      </c>
      <c r="F29" s="35" t="s">
        <v>12</v>
      </c>
      <c r="G29" s="35" t="s">
        <v>13</v>
      </c>
      <c r="H29" s="30" t="str">
        <f t="shared" si="2"/>
        <v>NI PXI Platform Services Configuration 15.0.0f1</v>
      </c>
      <c r="I29" s="36" t="s">
        <v>42</v>
      </c>
      <c r="J29" s="7"/>
    </row>
    <row r="30" spans="1:10" hidden="1" x14ac:dyDescent="0.25">
      <c r="A30" s="30" t="s">
        <v>502</v>
      </c>
      <c r="B30" s="30" t="s">
        <v>52</v>
      </c>
      <c r="C30" s="35" t="s">
        <v>117</v>
      </c>
      <c r="D30" s="35" t="s">
        <v>10</v>
      </c>
      <c r="E30" s="35" t="s">
        <v>119</v>
      </c>
      <c r="F30" s="35" t="s">
        <v>12</v>
      </c>
      <c r="G30" s="35" t="s">
        <v>13</v>
      </c>
      <c r="H30" s="30" t="str">
        <f t="shared" si="2"/>
        <v>NI PXI Platform Services Configuration 19.5.0f0</v>
      </c>
      <c r="I30" s="30"/>
      <c r="J30" s="7"/>
    </row>
    <row r="31" spans="1:10" hidden="1" x14ac:dyDescent="0.25">
      <c r="A31" s="30" t="s">
        <v>502</v>
      </c>
      <c r="B31" s="30" t="s">
        <v>55</v>
      </c>
      <c r="C31" s="35" t="s">
        <v>9</v>
      </c>
      <c r="D31" s="35" t="s">
        <v>10</v>
      </c>
      <c r="E31" s="35" t="s">
        <v>11</v>
      </c>
      <c r="F31" s="35" t="s">
        <v>12</v>
      </c>
      <c r="G31" s="35" t="s">
        <v>13</v>
      </c>
      <c r="H31" s="30" t="str">
        <f t="shared" si="2"/>
        <v>NI R Series Multifunction RIO 15.0.0</v>
      </c>
      <c r="I31" s="36" t="s">
        <v>42</v>
      </c>
      <c r="J31" s="7"/>
    </row>
    <row r="32" spans="1:10" hidden="1" x14ac:dyDescent="0.25">
      <c r="A32" s="30" t="s">
        <v>502</v>
      </c>
      <c r="B32" s="30" t="s">
        <v>20</v>
      </c>
      <c r="C32" s="35" t="s">
        <v>118</v>
      </c>
      <c r="D32" s="35" t="s">
        <v>10</v>
      </c>
      <c r="E32" s="35" t="s">
        <v>93</v>
      </c>
      <c r="F32" s="35" t="s">
        <v>12</v>
      </c>
      <c r="G32" s="35" t="s">
        <v>13</v>
      </c>
      <c r="H32" s="30" t="str">
        <f t="shared" si="2"/>
        <v>NI Script Editor 14.0</v>
      </c>
      <c r="I32" s="36" t="s">
        <v>42</v>
      </c>
      <c r="J32" s="7"/>
    </row>
    <row r="33" spans="1:10" hidden="1" x14ac:dyDescent="0.25">
      <c r="A33" s="30" t="s">
        <v>502</v>
      </c>
      <c r="B33" s="30" t="s">
        <v>65</v>
      </c>
      <c r="C33" s="35"/>
      <c r="D33" s="35" t="s">
        <v>10</v>
      </c>
      <c r="E33" s="35" t="s">
        <v>11</v>
      </c>
      <c r="F33" s="35" t="s">
        <v>12</v>
      </c>
      <c r="G33" s="35" t="s">
        <v>13</v>
      </c>
      <c r="H33" s="30" t="str">
        <f t="shared" si="2"/>
        <v xml:space="preserve">NI SignalExpress </v>
      </c>
      <c r="I33" s="36" t="s">
        <v>42</v>
      </c>
      <c r="J33" s="7"/>
    </row>
    <row r="34" spans="1:10" hidden="1" x14ac:dyDescent="0.25">
      <c r="A34" s="30" t="s">
        <v>502</v>
      </c>
      <c r="B34" s="30" t="s">
        <v>68</v>
      </c>
      <c r="C34" s="35" t="s">
        <v>117</v>
      </c>
      <c r="D34" s="35" t="s">
        <v>10</v>
      </c>
      <c r="E34" s="35" t="s">
        <v>119</v>
      </c>
      <c r="F34" s="35" t="s">
        <v>12</v>
      </c>
      <c r="G34" s="35" t="s">
        <v>13</v>
      </c>
      <c r="H34" s="30" t="str">
        <f t="shared" si="2"/>
        <v>NI System Configuration 19.5.0f0</v>
      </c>
      <c r="I34" s="30"/>
      <c r="J34" s="7"/>
    </row>
    <row r="35" spans="1:10" hidden="1" x14ac:dyDescent="0.25">
      <c r="A35" s="30" t="s">
        <v>502</v>
      </c>
      <c r="B35" s="30" t="s">
        <v>28</v>
      </c>
      <c r="C35" s="35" t="s">
        <v>9</v>
      </c>
      <c r="D35" s="35" t="s">
        <v>10</v>
      </c>
      <c r="E35" s="35" t="s">
        <v>11</v>
      </c>
      <c r="F35" s="35" t="s">
        <v>12</v>
      </c>
      <c r="G35" s="35" t="s">
        <v>13</v>
      </c>
      <c r="H35" s="30" t="str">
        <f t="shared" si="2"/>
        <v>NI-488.2 15.0.0</v>
      </c>
      <c r="I35" s="36" t="s">
        <v>42</v>
      </c>
      <c r="J35" s="7"/>
    </row>
    <row r="36" spans="1:10" hidden="1" x14ac:dyDescent="0.25">
      <c r="A36" s="30" t="s">
        <v>502</v>
      </c>
      <c r="B36" s="30" t="s">
        <v>28</v>
      </c>
      <c r="C36" s="35" t="s">
        <v>141</v>
      </c>
      <c r="D36" s="35" t="s">
        <v>10</v>
      </c>
      <c r="E36" s="35" t="s">
        <v>119</v>
      </c>
      <c r="F36" s="35" t="s">
        <v>24</v>
      </c>
      <c r="G36" s="35" t="s">
        <v>13</v>
      </c>
      <c r="H36" s="30" t="str">
        <f t="shared" si="2"/>
        <v>NI-488.2 19.5.0</v>
      </c>
      <c r="I36" s="30"/>
      <c r="J36" s="7"/>
    </row>
    <row r="37" spans="1:10" hidden="1" x14ac:dyDescent="0.25">
      <c r="A37" s="30" t="s">
        <v>502</v>
      </c>
      <c r="B37" s="30" t="s">
        <v>18</v>
      </c>
      <c r="C37" s="35" t="s">
        <v>9</v>
      </c>
      <c r="D37" s="35" t="s">
        <v>10</v>
      </c>
      <c r="E37" s="35" t="s">
        <v>11</v>
      </c>
      <c r="F37" s="35" t="s">
        <v>12</v>
      </c>
      <c r="G37" s="35" t="s">
        <v>13</v>
      </c>
      <c r="H37" s="30" t="str">
        <f t="shared" si="2"/>
        <v>NI-DAQmx ADE Support 15.0.0</v>
      </c>
      <c r="I37" s="36" t="s">
        <v>42</v>
      </c>
      <c r="J37" s="7"/>
    </row>
    <row r="38" spans="1:10" hidden="1" x14ac:dyDescent="0.25">
      <c r="A38" s="30" t="s">
        <v>502</v>
      </c>
      <c r="B38" s="30" t="s">
        <v>16</v>
      </c>
      <c r="C38" s="35" t="s">
        <v>17</v>
      </c>
      <c r="D38" s="35" t="s">
        <v>10</v>
      </c>
      <c r="E38" s="35" t="s">
        <v>11</v>
      </c>
      <c r="F38" s="35" t="s">
        <v>12</v>
      </c>
      <c r="G38" s="35" t="s">
        <v>13</v>
      </c>
      <c r="H38" s="30" t="str">
        <f t="shared" si="2"/>
        <v>NI-DAQmx Device Driver 15.0.0f2</v>
      </c>
      <c r="I38" s="36" t="s">
        <v>42</v>
      </c>
      <c r="J38" s="7"/>
    </row>
    <row r="39" spans="1:10" hidden="1" x14ac:dyDescent="0.25">
      <c r="A39" s="30" t="s">
        <v>502</v>
      </c>
      <c r="B39" s="30" t="s">
        <v>19</v>
      </c>
      <c r="C39" s="35" t="s">
        <v>9</v>
      </c>
      <c r="D39" s="35" t="s">
        <v>10</v>
      </c>
      <c r="E39" s="35" t="s">
        <v>11</v>
      </c>
      <c r="F39" s="35" t="s">
        <v>12</v>
      </c>
      <c r="G39" s="35" t="s">
        <v>13</v>
      </c>
      <c r="H39" s="30" t="str">
        <f t="shared" si="2"/>
        <v>NI-DAQmx MAX Configuration 15.0.0</v>
      </c>
      <c r="I39" s="36" t="s">
        <v>42</v>
      </c>
      <c r="J39" s="7"/>
    </row>
    <row r="40" spans="1:10" hidden="1" x14ac:dyDescent="0.25">
      <c r="A40" s="30" t="s">
        <v>502</v>
      </c>
      <c r="B40" s="30" t="s">
        <v>48</v>
      </c>
      <c r="C40" s="35" t="s">
        <v>102</v>
      </c>
      <c r="D40" s="35" t="s">
        <v>10</v>
      </c>
      <c r="E40" s="35" t="s">
        <v>11</v>
      </c>
      <c r="F40" s="35" t="s">
        <v>12</v>
      </c>
      <c r="G40" s="35" t="s">
        <v>13</v>
      </c>
      <c r="H40" s="30" t="str">
        <f t="shared" si="2"/>
        <v>NI-DCPower 15.0</v>
      </c>
      <c r="I40" s="36" t="s">
        <v>42</v>
      </c>
      <c r="J40" s="7"/>
    </row>
    <row r="41" spans="1:10" hidden="1" x14ac:dyDescent="0.25">
      <c r="A41" s="30" t="s">
        <v>502</v>
      </c>
      <c r="B41" s="30" t="s">
        <v>48</v>
      </c>
      <c r="C41" s="35" t="s">
        <v>102</v>
      </c>
      <c r="D41" s="35" t="s">
        <v>10</v>
      </c>
      <c r="E41" s="35" t="s">
        <v>11</v>
      </c>
      <c r="F41" s="35" t="s">
        <v>24</v>
      </c>
      <c r="G41" s="35" t="s">
        <v>13</v>
      </c>
      <c r="H41" s="30" t="str">
        <f t="shared" si="2"/>
        <v>NI-DCPower 15.0</v>
      </c>
      <c r="I41" s="36" t="s">
        <v>42</v>
      </c>
      <c r="J41" s="7"/>
    </row>
    <row r="42" spans="1:10" hidden="1" x14ac:dyDescent="0.25">
      <c r="A42" s="30" t="s">
        <v>502</v>
      </c>
      <c r="B42" s="30" t="s">
        <v>121</v>
      </c>
      <c r="C42" s="35" t="s">
        <v>102</v>
      </c>
      <c r="D42" s="35" t="s">
        <v>10</v>
      </c>
      <c r="E42" s="35" t="s">
        <v>11</v>
      </c>
      <c r="F42" s="35" t="s">
        <v>12</v>
      </c>
      <c r="G42" s="35" t="s">
        <v>13</v>
      </c>
      <c r="H42" s="30" t="str">
        <f t="shared" si="2"/>
        <v>NI-DCPower Configuration Support 15.0</v>
      </c>
      <c r="I42" s="36" t="s">
        <v>42</v>
      </c>
      <c r="J42" s="7"/>
    </row>
    <row r="43" spans="1:10" hidden="1" x14ac:dyDescent="0.25">
      <c r="A43" s="30" t="s">
        <v>502</v>
      </c>
      <c r="B43" s="30" t="s">
        <v>122</v>
      </c>
      <c r="C43" s="35" t="s">
        <v>102</v>
      </c>
      <c r="D43" s="35" t="s">
        <v>10</v>
      </c>
      <c r="E43" s="35" t="s">
        <v>11</v>
      </c>
      <c r="F43" s="35" t="s">
        <v>12</v>
      </c>
      <c r="G43" s="35" t="s">
        <v>13</v>
      </c>
      <c r="H43" s="30" t="str">
        <f t="shared" si="2"/>
        <v>NI-DCPower Development Support 15.0</v>
      </c>
      <c r="I43" s="36" t="s">
        <v>42</v>
      </c>
      <c r="J43" s="7"/>
    </row>
    <row r="44" spans="1:10" hidden="1" x14ac:dyDescent="0.25">
      <c r="A44" s="30" t="s">
        <v>502</v>
      </c>
      <c r="B44" s="30" t="s">
        <v>49</v>
      </c>
      <c r="C44" s="35" t="s">
        <v>102</v>
      </c>
      <c r="D44" s="35" t="s">
        <v>10</v>
      </c>
      <c r="E44" s="35" t="s">
        <v>11</v>
      </c>
      <c r="F44" s="35" t="s">
        <v>12</v>
      </c>
      <c r="G44" s="35" t="s">
        <v>13</v>
      </c>
      <c r="H44" s="30" t="str">
        <f t="shared" si="2"/>
        <v>NI-DCPower Soft Front Panel 15.0</v>
      </c>
      <c r="I44" s="36" t="s">
        <v>42</v>
      </c>
      <c r="J44" s="7"/>
    </row>
    <row r="45" spans="1:10" hidden="1" x14ac:dyDescent="0.25">
      <c r="A45" s="30" t="s">
        <v>502</v>
      </c>
      <c r="B45" s="38" t="s">
        <v>21</v>
      </c>
      <c r="C45" s="35" t="s">
        <v>102</v>
      </c>
      <c r="D45" s="35" t="s">
        <v>10</v>
      </c>
      <c r="E45" s="35" t="s">
        <v>11</v>
      </c>
      <c r="F45" s="35" t="s">
        <v>12</v>
      </c>
      <c r="G45" s="35" t="s">
        <v>13</v>
      </c>
      <c r="H45" s="30" t="str">
        <f t="shared" si="2"/>
        <v>NI-DMM 15.0</v>
      </c>
      <c r="I45" s="36" t="s">
        <v>42</v>
      </c>
      <c r="J45" s="7"/>
    </row>
    <row r="46" spans="1:10" hidden="1" x14ac:dyDescent="0.25">
      <c r="A46" s="30" t="s">
        <v>502</v>
      </c>
      <c r="B46" s="35" t="s">
        <v>21</v>
      </c>
      <c r="C46" s="35" t="s">
        <v>102</v>
      </c>
      <c r="D46" s="35" t="s">
        <v>10</v>
      </c>
      <c r="E46" s="35" t="s">
        <v>11</v>
      </c>
      <c r="F46" s="35" t="s">
        <v>24</v>
      </c>
      <c r="G46" s="35" t="s">
        <v>13</v>
      </c>
      <c r="H46" s="30" t="str">
        <f t="shared" si="2"/>
        <v>NI-DMM 15.0</v>
      </c>
      <c r="I46" s="36" t="s">
        <v>42</v>
      </c>
      <c r="J46" s="7"/>
    </row>
    <row r="47" spans="1:10" hidden="1" x14ac:dyDescent="0.25">
      <c r="A47" s="30" t="s">
        <v>502</v>
      </c>
      <c r="B47" s="30" t="s">
        <v>123</v>
      </c>
      <c r="C47" s="35" t="s">
        <v>102</v>
      </c>
      <c r="D47" s="35" t="s">
        <v>10</v>
      </c>
      <c r="E47" s="35" t="s">
        <v>11</v>
      </c>
      <c r="F47" s="35" t="s">
        <v>12</v>
      </c>
      <c r="G47" s="35" t="s">
        <v>13</v>
      </c>
      <c r="H47" s="30" t="str">
        <f t="shared" si="2"/>
        <v>NI-DMM Configuration Support 15.0</v>
      </c>
      <c r="I47" s="36" t="s">
        <v>42</v>
      </c>
      <c r="J47" s="7"/>
    </row>
    <row r="48" spans="1:10" hidden="1" x14ac:dyDescent="0.25">
      <c r="A48" s="30" t="s">
        <v>502</v>
      </c>
      <c r="B48" s="30" t="s">
        <v>124</v>
      </c>
      <c r="C48" s="35" t="s">
        <v>102</v>
      </c>
      <c r="D48" s="35" t="s">
        <v>10</v>
      </c>
      <c r="E48" s="35" t="s">
        <v>11</v>
      </c>
      <c r="F48" s="35" t="s">
        <v>12</v>
      </c>
      <c r="G48" s="35" t="s">
        <v>13</v>
      </c>
      <c r="H48" s="30" t="str">
        <f t="shared" si="2"/>
        <v>NI-DMM Development Support 15.0</v>
      </c>
      <c r="I48" s="36" t="s">
        <v>42</v>
      </c>
      <c r="J48" s="7"/>
    </row>
    <row r="49" spans="1:10" hidden="1" x14ac:dyDescent="0.25">
      <c r="A49" s="30" t="s">
        <v>502</v>
      </c>
      <c r="B49" s="30" t="s">
        <v>399</v>
      </c>
      <c r="C49" s="35" t="s">
        <v>102</v>
      </c>
      <c r="D49" s="35" t="s">
        <v>10</v>
      </c>
      <c r="E49" s="35" t="s">
        <v>11</v>
      </c>
      <c r="F49" s="35" t="s">
        <v>12</v>
      </c>
      <c r="G49" s="35" t="s">
        <v>13</v>
      </c>
      <c r="H49" s="30" t="str">
        <f t="shared" si="2"/>
        <v>NI-DMM Soft Front Panel 15.0</v>
      </c>
      <c r="I49" s="36" t="s">
        <v>42</v>
      </c>
      <c r="J49" s="7"/>
    </row>
    <row r="50" spans="1:10" hidden="1" x14ac:dyDescent="0.25">
      <c r="A50" s="30" t="s">
        <v>502</v>
      </c>
      <c r="B50" s="30" t="s">
        <v>26</v>
      </c>
      <c r="C50" s="35" t="s">
        <v>102</v>
      </c>
      <c r="D50" s="35" t="s">
        <v>10</v>
      </c>
      <c r="E50" s="35" t="s">
        <v>11</v>
      </c>
      <c r="F50" s="35" t="s">
        <v>12</v>
      </c>
      <c r="G50" s="35" t="s">
        <v>13</v>
      </c>
      <c r="H50" s="30" t="str">
        <f t="shared" si="2"/>
        <v>NI-FGEN 15.0</v>
      </c>
      <c r="I50" s="36" t="s">
        <v>42</v>
      </c>
      <c r="J50" s="7"/>
    </row>
    <row r="51" spans="1:10" hidden="1" x14ac:dyDescent="0.25">
      <c r="A51" s="30" t="s">
        <v>502</v>
      </c>
      <c r="B51" s="30" t="s">
        <v>26</v>
      </c>
      <c r="C51" s="35" t="s">
        <v>102</v>
      </c>
      <c r="D51" s="35" t="s">
        <v>10</v>
      </c>
      <c r="E51" s="35" t="s">
        <v>11</v>
      </c>
      <c r="F51" s="35" t="s">
        <v>24</v>
      </c>
      <c r="G51" s="35" t="s">
        <v>13</v>
      </c>
      <c r="H51" s="30" t="str">
        <f t="shared" si="2"/>
        <v>NI-FGEN 15.0</v>
      </c>
      <c r="I51" s="36" t="s">
        <v>42</v>
      </c>
      <c r="J51" s="7"/>
    </row>
    <row r="52" spans="1:10" hidden="1" x14ac:dyDescent="0.25">
      <c r="A52" s="30" t="s">
        <v>502</v>
      </c>
      <c r="B52" s="30" t="s">
        <v>125</v>
      </c>
      <c r="C52" s="35" t="s">
        <v>102</v>
      </c>
      <c r="D52" s="35" t="s">
        <v>10</v>
      </c>
      <c r="E52" s="35" t="s">
        <v>11</v>
      </c>
      <c r="F52" s="35" t="s">
        <v>12</v>
      </c>
      <c r="G52" s="35" t="s">
        <v>13</v>
      </c>
      <c r="H52" s="30" t="str">
        <f t="shared" si="2"/>
        <v>NI-FGEN Configuration Support 15.0</v>
      </c>
      <c r="I52" s="36" t="s">
        <v>42</v>
      </c>
      <c r="J52" s="7"/>
    </row>
    <row r="53" spans="1:10" hidden="1" x14ac:dyDescent="0.25">
      <c r="A53" s="30" t="s">
        <v>502</v>
      </c>
      <c r="B53" s="30" t="s">
        <v>126</v>
      </c>
      <c r="C53" s="35" t="s">
        <v>102</v>
      </c>
      <c r="D53" s="35" t="s">
        <v>10</v>
      </c>
      <c r="E53" s="35" t="s">
        <v>11</v>
      </c>
      <c r="F53" s="35" t="s">
        <v>12</v>
      </c>
      <c r="G53" s="35" t="s">
        <v>13</v>
      </c>
      <c r="H53" s="30" t="str">
        <f t="shared" ref="H53:H84" si="3">B53&amp;" "&amp;C53</f>
        <v>NI-FGEN Development Support 15.0</v>
      </c>
      <c r="I53" s="36" t="s">
        <v>42</v>
      </c>
      <c r="J53" s="7"/>
    </row>
    <row r="54" spans="1:10" hidden="1" x14ac:dyDescent="0.25">
      <c r="A54" s="30" t="s">
        <v>502</v>
      </c>
      <c r="B54" s="30" t="s">
        <v>401</v>
      </c>
      <c r="C54" s="35" t="s">
        <v>102</v>
      </c>
      <c r="D54" s="35" t="s">
        <v>10</v>
      </c>
      <c r="E54" s="35" t="s">
        <v>11</v>
      </c>
      <c r="F54" s="35" t="s">
        <v>12</v>
      </c>
      <c r="G54" s="35" t="s">
        <v>13</v>
      </c>
      <c r="H54" s="30" t="str">
        <f t="shared" si="3"/>
        <v>NI-FGEN Soft Front Panel 15.0</v>
      </c>
      <c r="I54" s="36" t="s">
        <v>42</v>
      </c>
      <c r="J54" s="7"/>
    </row>
    <row r="55" spans="1:10" hidden="1" x14ac:dyDescent="0.25">
      <c r="A55" s="30" t="s">
        <v>502</v>
      </c>
      <c r="B55" s="30" t="s">
        <v>59</v>
      </c>
      <c r="C55" s="35" t="s">
        <v>135</v>
      </c>
      <c r="D55" s="35" t="s">
        <v>10</v>
      </c>
      <c r="E55" s="35" t="s">
        <v>119</v>
      </c>
      <c r="F55" s="35" t="s">
        <v>12</v>
      </c>
      <c r="G55" s="35" t="s">
        <v>13</v>
      </c>
      <c r="H55" s="30" t="str">
        <f t="shared" si="3"/>
        <v>NI-PAL Software 19.0.0</v>
      </c>
      <c r="I55" s="39" t="s">
        <v>424</v>
      </c>
      <c r="J55" s="7"/>
    </row>
    <row r="56" spans="1:10" hidden="1" x14ac:dyDescent="0.25">
      <c r="A56" s="30" t="s">
        <v>502</v>
      </c>
      <c r="B56" s="38" t="s">
        <v>54</v>
      </c>
      <c r="C56" s="35" t="s">
        <v>9</v>
      </c>
      <c r="D56" s="35" t="s">
        <v>10</v>
      </c>
      <c r="E56" s="35" t="s">
        <v>11</v>
      </c>
      <c r="F56" s="35" t="s">
        <v>12</v>
      </c>
      <c r="G56" s="35" t="s">
        <v>13</v>
      </c>
      <c r="H56" s="30" t="str">
        <f t="shared" si="3"/>
        <v>NI-RIO 15.0.0</v>
      </c>
      <c r="I56" s="36" t="s">
        <v>42</v>
      </c>
      <c r="J56" s="7"/>
    </row>
    <row r="57" spans="1:10" hidden="1" x14ac:dyDescent="0.25">
      <c r="A57" s="30" t="s">
        <v>502</v>
      </c>
      <c r="B57" s="30" t="s">
        <v>61</v>
      </c>
      <c r="C57" s="35" t="s">
        <v>102</v>
      </c>
      <c r="D57" s="35" t="s">
        <v>10</v>
      </c>
      <c r="E57" s="35" t="s">
        <v>11</v>
      </c>
      <c r="F57" s="35" t="s">
        <v>12</v>
      </c>
      <c r="G57" s="35" t="s">
        <v>13</v>
      </c>
      <c r="H57" s="30" t="str">
        <f t="shared" si="3"/>
        <v>NI-SCOPE 15.0</v>
      </c>
      <c r="I57" s="36" t="s">
        <v>42</v>
      </c>
      <c r="J57" s="7"/>
    </row>
    <row r="58" spans="1:10" hidden="1" x14ac:dyDescent="0.25">
      <c r="A58" s="30" t="s">
        <v>502</v>
      </c>
      <c r="B58" s="30" t="s">
        <v>61</v>
      </c>
      <c r="C58" s="35" t="s">
        <v>102</v>
      </c>
      <c r="D58" s="35" t="s">
        <v>10</v>
      </c>
      <c r="E58" s="35" t="s">
        <v>11</v>
      </c>
      <c r="F58" s="35" t="s">
        <v>24</v>
      </c>
      <c r="G58" s="35" t="s">
        <v>13</v>
      </c>
      <c r="H58" s="30" t="str">
        <f t="shared" si="3"/>
        <v>NI-SCOPE 15.0</v>
      </c>
      <c r="I58" s="36" t="s">
        <v>42</v>
      </c>
      <c r="J58" s="7"/>
    </row>
    <row r="59" spans="1:10" hidden="1" x14ac:dyDescent="0.25">
      <c r="A59" s="30" t="s">
        <v>502</v>
      </c>
      <c r="B59" s="30" t="s">
        <v>127</v>
      </c>
      <c r="C59" s="35" t="s">
        <v>102</v>
      </c>
      <c r="D59" s="35" t="s">
        <v>10</v>
      </c>
      <c r="E59" s="35" t="s">
        <v>11</v>
      </c>
      <c r="F59" s="35" t="s">
        <v>12</v>
      </c>
      <c r="G59" s="35" t="s">
        <v>13</v>
      </c>
      <c r="H59" s="30" t="str">
        <f t="shared" si="3"/>
        <v>NI-SCOPE Configuration Support  15.0</v>
      </c>
      <c r="I59" s="36" t="s">
        <v>42</v>
      </c>
      <c r="J59" s="7"/>
    </row>
    <row r="60" spans="1:10" hidden="1" x14ac:dyDescent="0.25">
      <c r="A60" s="30" t="s">
        <v>502</v>
      </c>
      <c r="B60" s="30" t="s">
        <v>128</v>
      </c>
      <c r="C60" s="35" t="s">
        <v>102</v>
      </c>
      <c r="D60" s="35" t="s">
        <v>10</v>
      </c>
      <c r="E60" s="35" t="s">
        <v>11</v>
      </c>
      <c r="F60" s="35" t="s">
        <v>12</v>
      </c>
      <c r="G60" s="35" t="s">
        <v>13</v>
      </c>
      <c r="H60" s="30" t="str">
        <f t="shared" si="3"/>
        <v>NI-SCOPE Development Support 15.0</v>
      </c>
      <c r="I60" s="36" t="s">
        <v>42</v>
      </c>
      <c r="J60" s="7"/>
    </row>
    <row r="61" spans="1:10" hidden="1" x14ac:dyDescent="0.25">
      <c r="A61" s="30" t="s">
        <v>502</v>
      </c>
      <c r="B61" s="30" t="s">
        <v>400</v>
      </c>
      <c r="C61" s="35" t="s">
        <v>102</v>
      </c>
      <c r="D61" s="35" t="s">
        <v>10</v>
      </c>
      <c r="E61" s="35" t="s">
        <v>11</v>
      </c>
      <c r="F61" s="35" t="s">
        <v>12</v>
      </c>
      <c r="G61" s="35" t="s">
        <v>13</v>
      </c>
      <c r="H61" s="30" t="str">
        <f t="shared" si="3"/>
        <v>NI-SCOPE Soft Front Panel 15.0</v>
      </c>
      <c r="I61" s="36" t="s">
        <v>42</v>
      </c>
      <c r="J61" s="7"/>
    </row>
    <row r="62" spans="1:10" hidden="1" x14ac:dyDescent="0.25">
      <c r="A62" s="30" t="s">
        <v>502</v>
      </c>
      <c r="B62" s="30" t="s">
        <v>129</v>
      </c>
      <c r="C62" s="35" t="s">
        <v>146</v>
      </c>
      <c r="D62" s="35" t="s">
        <v>10</v>
      </c>
      <c r="E62" s="35" t="s">
        <v>130</v>
      </c>
      <c r="F62" s="35" t="s">
        <v>24</v>
      </c>
      <c r="G62" s="35" t="s">
        <v>13</v>
      </c>
      <c r="H62" s="30" t="str">
        <f t="shared" si="3"/>
        <v>NI-Serial 18.5.0f0</v>
      </c>
      <c r="I62" s="30"/>
      <c r="J62" s="7"/>
    </row>
    <row r="63" spans="1:10" hidden="1" x14ac:dyDescent="0.25">
      <c r="A63" s="30" t="s">
        <v>502</v>
      </c>
      <c r="B63" s="30" t="s">
        <v>64</v>
      </c>
      <c r="C63" s="35" t="s">
        <v>30</v>
      </c>
      <c r="D63" s="35" t="s">
        <v>10</v>
      </c>
      <c r="E63" s="35" t="s">
        <v>11</v>
      </c>
      <c r="F63" s="35" t="s">
        <v>12</v>
      </c>
      <c r="G63" s="35" t="s">
        <v>13</v>
      </c>
      <c r="H63" s="30" t="str">
        <f t="shared" si="3"/>
        <v>NI-Serial Configuration 15.0.0f0</v>
      </c>
      <c r="I63" s="36" t="s">
        <v>42</v>
      </c>
      <c r="J63" s="7"/>
    </row>
    <row r="64" spans="1:10" hidden="1" x14ac:dyDescent="0.25">
      <c r="A64" s="30" t="s">
        <v>502</v>
      </c>
      <c r="B64" s="30" t="s">
        <v>66</v>
      </c>
      <c r="C64" s="35" t="s">
        <v>102</v>
      </c>
      <c r="D64" s="35" t="s">
        <v>10</v>
      </c>
      <c r="E64" s="35" t="s">
        <v>11</v>
      </c>
      <c r="F64" s="35" t="s">
        <v>12</v>
      </c>
      <c r="G64" s="35" t="s">
        <v>13</v>
      </c>
      <c r="H64" s="30" t="str">
        <f t="shared" si="3"/>
        <v>NI-SWITCH 15.0</v>
      </c>
      <c r="I64" s="36" t="s">
        <v>42</v>
      </c>
      <c r="J64" s="7"/>
    </row>
    <row r="65" spans="1:10" hidden="1" x14ac:dyDescent="0.25">
      <c r="A65" s="30" t="s">
        <v>502</v>
      </c>
      <c r="B65" s="30" t="s">
        <v>131</v>
      </c>
      <c r="C65" s="35" t="s">
        <v>102</v>
      </c>
      <c r="D65" s="35" t="s">
        <v>10</v>
      </c>
      <c r="E65" s="35" t="s">
        <v>11</v>
      </c>
      <c r="F65" s="35" t="s">
        <v>12</v>
      </c>
      <c r="G65" s="35" t="s">
        <v>13</v>
      </c>
      <c r="H65" s="30" t="str">
        <f t="shared" si="3"/>
        <v>NI-SWITCH Configuration Support 15.0</v>
      </c>
      <c r="I65" s="36" t="s">
        <v>42</v>
      </c>
      <c r="J65" s="7"/>
    </row>
    <row r="66" spans="1:10" hidden="1" x14ac:dyDescent="0.25">
      <c r="A66" s="30" t="s">
        <v>502</v>
      </c>
      <c r="B66" s="30" t="s">
        <v>132</v>
      </c>
      <c r="C66" s="35" t="s">
        <v>102</v>
      </c>
      <c r="D66" s="35" t="s">
        <v>10</v>
      </c>
      <c r="E66" s="35" t="s">
        <v>11</v>
      </c>
      <c r="F66" s="35" t="s">
        <v>12</v>
      </c>
      <c r="G66" s="35" t="s">
        <v>13</v>
      </c>
      <c r="H66" s="30" t="str">
        <f t="shared" si="3"/>
        <v>NI-SWITCH Development Support 15.0</v>
      </c>
      <c r="I66" s="36" t="s">
        <v>42</v>
      </c>
      <c r="J66" s="7"/>
    </row>
    <row r="67" spans="1:10" hidden="1" x14ac:dyDescent="0.25">
      <c r="A67" s="30" t="s">
        <v>502</v>
      </c>
      <c r="B67" s="30" t="s">
        <v>67</v>
      </c>
      <c r="C67" s="35" t="s">
        <v>9</v>
      </c>
      <c r="D67" s="35" t="s">
        <v>10</v>
      </c>
      <c r="E67" s="35" t="s">
        <v>11</v>
      </c>
      <c r="F67" s="35" t="s">
        <v>12</v>
      </c>
      <c r="G67" s="35" t="s">
        <v>13</v>
      </c>
      <c r="H67" s="30" t="str">
        <f t="shared" si="3"/>
        <v>NI-SWITCH Soft Front Panel 15.0.0</v>
      </c>
      <c r="I67" s="36" t="s">
        <v>42</v>
      </c>
      <c r="J67" s="7"/>
    </row>
    <row r="68" spans="1:10" hidden="1" x14ac:dyDescent="0.25">
      <c r="A68" s="30" t="s">
        <v>502</v>
      </c>
      <c r="B68" s="30" t="s">
        <v>133</v>
      </c>
      <c r="C68" s="35" t="s">
        <v>102</v>
      </c>
      <c r="D68" s="35" t="s">
        <v>10</v>
      </c>
      <c r="E68" s="35" t="s">
        <v>11</v>
      </c>
      <c r="F68" s="35" t="s">
        <v>24</v>
      </c>
      <c r="G68" s="35" t="s">
        <v>13</v>
      </c>
      <c r="H68" s="30" t="str">
        <f t="shared" si="3"/>
        <v>NI-SWITCH Support 15.0</v>
      </c>
      <c r="I68" s="36" t="s">
        <v>42</v>
      </c>
      <c r="J68" s="7"/>
    </row>
    <row r="69" spans="1:10" hidden="1" x14ac:dyDescent="0.25">
      <c r="A69" s="30" t="s">
        <v>502</v>
      </c>
      <c r="B69" s="30" t="s">
        <v>56</v>
      </c>
      <c r="C69" s="35" t="s">
        <v>30</v>
      </c>
      <c r="D69" s="35" t="s">
        <v>10</v>
      </c>
      <c r="E69" s="35" t="s">
        <v>11</v>
      </c>
      <c r="F69" s="35" t="s">
        <v>12</v>
      </c>
      <c r="G69" s="35" t="s">
        <v>13</v>
      </c>
      <c r="H69" s="30" t="str">
        <f t="shared" si="3"/>
        <v>NI-Sync 15.0.0f0</v>
      </c>
      <c r="I69" s="36" t="s">
        <v>42</v>
      </c>
      <c r="J69" s="7"/>
    </row>
    <row r="70" spans="1:10" hidden="1" x14ac:dyDescent="0.25">
      <c r="A70" s="30" t="s">
        <v>502</v>
      </c>
      <c r="B70" s="30" t="s">
        <v>69</v>
      </c>
      <c r="C70" s="35" t="s">
        <v>102</v>
      </c>
      <c r="D70" s="35" t="s">
        <v>10</v>
      </c>
      <c r="E70" s="35" t="s">
        <v>11</v>
      </c>
      <c r="F70" s="35" t="s">
        <v>12</v>
      </c>
      <c r="G70" s="35" t="s">
        <v>13</v>
      </c>
      <c r="H70" s="30" t="str">
        <f t="shared" si="3"/>
        <v>NI-TClk 15.0</v>
      </c>
      <c r="I70" s="36" t="s">
        <v>42</v>
      </c>
      <c r="J70" s="7"/>
    </row>
    <row r="71" spans="1:10" hidden="1" x14ac:dyDescent="0.25">
      <c r="A71" s="30" t="s">
        <v>502</v>
      </c>
      <c r="B71" s="30" t="s">
        <v>57</v>
      </c>
      <c r="C71" s="35" t="s">
        <v>30</v>
      </c>
      <c r="D71" s="35" t="s">
        <v>10</v>
      </c>
      <c r="E71" s="35" t="s">
        <v>11</v>
      </c>
      <c r="F71" s="35" t="s">
        <v>12</v>
      </c>
      <c r="G71" s="35" t="s">
        <v>13</v>
      </c>
      <c r="H71" s="30" t="str">
        <f t="shared" si="3"/>
        <v>NI-TimeSync 15.0.0f0</v>
      </c>
      <c r="I71" s="36" t="s">
        <v>42</v>
      </c>
      <c r="J71" s="7"/>
    </row>
    <row r="72" spans="1:10" hidden="1" x14ac:dyDescent="0.25">
      <c r="A72" s="30" t="s">
        <v>502</v>
      </c>
      <c r="B72" s="30" t="s">
        <v>46</v>
      </c>
      <c r="C72" s="35" t="s">
        <v>95</v>
      </c>
      <c r="D72" s="35" t="s">
        <v>10</v>
      </c>
      <c r="E72" s="35" t="s">
        <v>11</v>
      </c>
      <c r="F72" s="35" t="s">
        <v>12</v>
      </c>
      <c r="G72" s="35" t="s">
        <v>13</v>
      </c>
      <c r="H72" s="30" t="str">
        <f t="shared" si="3"/>
        <v>NI-USI 15.0.1.6118</v>
      </c>
      <c r="I72" s="37" t="s">
        <v>91</v>
      </c>
      <c r="J72" s="7"/>
    </row>
    <row r="73" spans="1:10" hidden="1" x14ac:dyDescent="0.25">
      <c r="A73" s="30" t="s">
        <v>502</v>
      </c>
      <c r="B73" s="30" t="s">
        <v>70</v>
      </c>
      <c r="C73" s="35" t="s">
        <v>120</v>
      </c>
      <c r="D73" s="35" t="s">
        <v>10</v>
      </c>
      <c r="E73" s="35" t="s">
        <v>119</v>
      </c>
      <c r="F73" s="35" t="s">
        <v>12</v>
      </c>
      <c r="G73" s="35" t="s">
        <v>13</v>
      </c>
      <c r="H73" s="30" t="str">
        <f t="shared" si="3"/>
        <v>NI-VISA 19.5</v>
      </c>
      <c r="I73" s="30"/>
      <c r="J73" s="7"/>
    </row>
    <row r="74" spans="1:10" hidden="1" x14ac:dyDescent="0.25">
      <c r="A74" s="30" t="s">
        <v>502</v>
      </c>
      <c r="B74" s="30" t="s">
        <v>70</v>
      </c>
      <c r="C74" s="35" t="s">
        <v>120</v>
      </c>
      <c r="D74" s="35" t="s">
        <v>10</v>
      </c>
      <c r="E74" s="35" t="s">
        <v>119</v>
      </c>
      <c r="F74" s="35" t="s">
        <v>24</v>
      </c>
      <c r="G74" s="35" t="s">
        <v>13</v>
      </c>
      <c r="H74" s="30" t="str">
        <f t="shared" si="3"/>
        <v>NI-VISA 19.5</v>
      </c>
      <c r="I74" s="30"/>
      <c r="J74" s="7"/>
    </row>
    <row r="75" spans="1:10" hidden="1" x14ac:dyDescent="0.25">
      <c r="A75" s="30" t="s">
        <v>502</v>
      </c>
      <c r="B75" s="30" t="s">
        <v>73</v>
      </c>
      <c r="C75" s="35" t="s">
        <v>72</v>
      </c>
      <c r="D75" s="35" t="s">
        <v>10</v>
      </c>
      <c r="E75" s="35" t="s">
        <v>119</v>
      </c>
      <c r="F75" s="35" t="s">
        <v>12</v>
      </c>
      <c r="G75" s="35" t="s">
        <v>13</v>
      </c>
      <c r="H75" s="30" t="str">
        <f t="shared" si="3"/>
        <v>NIvisaic.exe 15.0.0.49152</v>
      </c>
      <c r="I75" s="36" t="s">
        <v>42</v>
      </c>
      <c r="J75" s="7"/>
    </row>
    <row r="76" spans="1:10" hidden="1" x14ac:dyDescent="0.25">
      <c r="A76" s="30" t="s">
        <v>502</v>
      </c>
      <c r="B76" s="30" t="s">
        <v>71</v>
      </c>
      <c r="C76" s="35" t="s">
        <v>72</v>
      </c>
      <c r="D76" s="35" t="s">
        <v>10</v>
      </c>
      <c r="E76" s="35" t="s">
        <v>119</v>
      </c>
      <c r="F76" s="35" t="s">
        <v>12</v>
      </c>
      <c r="G76" s="35" t="s">
        <v>13</v>
      </c>
      <c r="H76" s="30" t="str">
        <f t="shared" si="3"/>
        <v>NiVisaServer.exe 15.0.0.49152</v>
      </c>
      <c r="I76" s="36" t="s">
        <v>42</v>
      </c>
      <c r="J76" s="7"/>
    </row>
    <row r="77" spans="1:10" hidden="1" x14ac:dyDescent="0.25">
      <c r="A77" s="30" t="s">
        <v>502</v>
      </c>
      <c r="B77" s="30" t="s">
        <v>35</v>
      </c>
      <c r="C77" s="35" t="s">
        <v>92</v>
      </c>
      <c r="D77" s="35" t="s">
        <v>10</v>
      </c>
      <c r="E77" s="35" t="s">
        <v>11</v>
      </c>
      <c r="F77" s="35" t="s">
        <v>12</v>
      </c>
      <c r="G77" s="35" t="s">
        <v>13</v>
      </c>
      <c r="H77" s="30" t="str">
        <f t="shared" si="3"/>
        <v>Real-Time 15.0.1</v>
      </c>
      <c r="I77" s="40" t="s">
        <v>465</v>
      </c>
      <c r="J77" s="7"/>
    </row>
    <row r="78" spans="1:10" hidden="1" x14ac:dyDescent="0.25">
      <c r="A78" s="30" t="s">
        <v>502</v>
      </c>
      <c r="B78" s="30" t="s">
        <v>36</v>
      </c>
      <c r="C78" s="35" t="s">
        <v>92</v>
      </c>
      <c r="D78" s="35" t="s">
        <v>10</v>
      </c>
      <c r="E78" s="35" t="s">
        <v>11</v>
      </c>
      <c r="F78" s="35" t="s">
        <v>12</v>
      </c>
      <c r="G78" s="35" t="s">
        <v>13</v>
      </c>
      <c r="H78" s="30" t="str">
        <f t="shared" si="3"/>
        <v>Real-Time Trace Viewer - LabVIEW 2015 Support 15.0.1</v>
      </c>
      <c r="I78" s="40" t="s">
        <v>465</v>
      </c>
      <c r="J78" s="7"/>
    </row>
    <row r="79" spans="1:10" hidden="1" x14ac:dyDescent="0.25">
      <c r="A79" s="30" t="s">
        <v>502</v>
      </c>
      <c r="B79" s="30" t="s">
        <v>37</v>
      </c>
      <c r="C79" s="35" t="s">
        <v>9</v>
      </c>
      <c r="D79" s="35" t="s">
        <v>10</v>
      </c>
      <c r="E79" s="35" t="s">
        <v>11</v>
      </c>
      <c r="F79" s="35" t="s">
        <v>12</v>
      </c>
      <c r="G79" s="35" t="s">
        <v>13</v>
      </c>
      <c r="H79" s="30" t="str">
        <f t="shared" si="3"/>
        <v>Report Generation Toolkit For Microsoft Office 15.0.0</v>
      </c>
      <c r="I79" s="36" t="s">
        <v>42</v>
      </c>
      <c r="J79" s="7"/>
    </row>
    <row r="80" spans="1:10" hidden="1" x14ac:dyDescent="0.25">
      <c r="A80" s="30" t="s">
        <v>502</v>
      </c>
      <c r="B80" s="30" t="s">
        <v>38</v>
      </c>
      <c r="C80" s="35" t="s">
        <v>102</v>
      </c>
      <c r="D80" s="35" t="s">
        <v>10</v>
      </c>
      <c r="E80" s="35" t="s">
        <v>11</v>
      </c>
      <c r="F80" s="35" t="s">
        <v>12</v>
      </c>
      <c r="G80" s="35" t="s">
        <v>13</v>
      </c>
      <c r="H80" s="30" t="str">
        <f t="shared" si="3"/>
        <v>Statechart Module 15.0</v>
      </c>
      <c r="I80" s="36" t="s">
        <v>42</v>
      </c>
      <c r="J80" s="7"/>
    </row>
    <row r="81" spans="1:10" hidden="1" x14ac:dyDescent="0.25">
      <c r="A81" s="30" t="s">
        <v>502</v>
      </c>
      <c r="B81" s="30" t="s">
        <v>39</v>
      </c>
      <c r="C81" s="35" t="s">
        <v>9</v>
      </c>
      <c r="D81" s="35" t="s">
        <v>10</v>
      </c>
      <c r="E81" s="35" t="s">
        <v>11</v>
      </c>
      <c r="F81" s="35" t="s">
        <v>12</v>
      </c>
      <c r="G81" s="35" t="s">
        <v>13</v>
      </c>
      <c r="H81" s="30" t="str">
        <f t="shared" si="3"/>
        <v>Unit Test Framework Toolkit 15.0.0</v>
      </c>
      <c r="I81" s="36" t="s">
        <v>42</v>
      </c>
      <c r="J81" s="7"/>
    </row>
    <row r="82" spans="1:10" hidden="1" x14ac:dyDescent="0.25">
      <c r="A82" s="30" t="s">
        <v>502</v>
      </c>
      <c r="B82" s="30" t="s">
        <v>40</v>
      </c>
      <c r="C82" s="35" t="s">
        <v>9</v>
      </c>
      <c r="D82" s="35" t="s">
        <v>10</v>
      </c>
      <c r="E82" s="35" t="s">
        <v>11</v>
      </c>
      <c r="F82" s="35" t="s">
        <v>12</v>
      </c>
      <c r="G82" s="35" t="s">
        <v>13</v>
      </c>
      <c r="H82" s="30" t="str">
        <f t="shared" si="3"/>
        <v>VI Analyzer Toolkit 15.0.0</v>
      </c>
      <c r="I82" s="36" t="s">
        <v>42</v>
      </c>
      <c r="J82" s="7"/>
    </row>
    <row r="83" spans="1:10" hidden="1" x14ac:dyDescent="0.25">
      <c r="A83" s="28" t="s">
        <v>503</v>
      </c>
      <c r="B83" s="28" t="s">
        <v>8</v>
      </c>
      <c r="C83" s="29" t="s">
        <v>9</v>
      </c>
      <c r="D83" s="29" t="s">
        <v>10</v>
      </c>
      <c r="E83" s="29" t="s">
        <v>11</v>
      </c>
      <c r="F83" s="29" t="s">
        <v>12</v>
      </c>
      <c r="G83" s="29" t="s">
        <v>13</v>
      </c>
      <c r="H83" s="28" t="str">
        <f t="shared" si="3"/>
        <v>Advanced Signal Processing Toolkit 15.0.0</v>
      </c>
      <c r="I83" s="36" t="s">
        <v>42</v>
      </c>
      <c r="J83" s="7"/>
    </row>
    <row r="84" spans="1:10" hidden="1" x14ac:dyDescent="0.25">
      <c r="A84" s="28" t="s">
        <v>503</v>
      </c>
      <c r="B84" s="28" t="s">
        <v>15</v>
      </c>
      <c r="C84" s="29" t="s">
        <v>9</v>
      </c>
      <c r="D84" s="29" t="s">
        <v>10</v>
      </c>
      <c r="E84" s="29" t="s">
        <v>11</v>
      </c>
      <c r="F84" s="29" t="s">
        <v>12</v>
      </c>
      <c r="G84" s="29" t="s">
        <v>13</v>
      </c>
      <c r="H84" s="28" t="str">
        <f t="shared" si="3"/>
        <v>C Series Module Support 15.0.0</v>
      </c>
      <c r="I84" s="36" t="s">
        <v>42</v>
      </c>
      <c r="J84" s="7"/>
    </row>
    <row r="85" spans="1:10" hidden="1" x14ac:dyDescent="0.25">
      <c r="A85" s="28" t="s">
        <v>503</v>
      </c>
      <c r="B85" s="28" t="s">
        <v>14</v>
      </c>
      <c r="C85" s="29" t="s">
        <v>9</v>
      </c>
      <c r="D85" s="29" t="s">
        <v>10</v>
      </c>
      <c r="E85" s="29" t="s">
        <v>11</v>
      </c>
      <c r="F85" s="29" t="s">
        <v>12</v>
      </c>
      <c r="G85" s="29" t="s">
        <v>13</v>
      </c>
      <c r="H85" s="28" t="str">
        <f t="shared" ref="H85:H91" si="4">B85&amp;" "&amp;C85</f>
        <v>CompactRIO 15.0.0</v>
      </c>
      <c r="I85" s="36" t="s">
        <v>42</v>
      </c>
      <c r="J85" s="7"/>
    </row>
    <row r="86" spans="1:10" hidden="1" x14ac:dyDescent="0.25">
      <c r="A86" s="28" t="s">
        <v>503</v>
      </c>
      <c r="B86" s="28" t="s">
        <v>75</v>
      </c>
      <c r="C86" s="29" t="s">
        <v>87</v>
      </c>
      <c r="D86" s="29" t="s">
        <v>10</v>
      </c>
      <c r="E86" s="29" t="s">
        <v>11</v>
      </c>
      <c r="F86" s="29" t="s">
        <v>24</v>
      </c>
      <c r="G86" s="29" t="s">
        <v>13</v>
      </c>
      <c r="H86" s="28" t="str">
        <f t="shared" si="4"/>
        <v>CVI 15.0.0.408</v>
      </c>
      <c r="I86" s="37" t="s">
        <v>91</v>
      </c>
      <c r="J86" s="7"/>
    </row>
    <row r="87" spans="1:10" hidden="1" x14ac:dyDescent="0.25">
      <c r="A87" s="28" t="s">
        <v>503</v>
      </c>
      <c r="B87" s="28" t="s">
        <v>33</v>
      </c>
      <c r="C87" s="29" t="s">
        <v>9</v>
      </c>
      <c r="D87" s="29" t="s">
        <v>10</v>
      </c>
      <c r="E87" s="29" t="s">
        <v>11</v>
      </c>
      <c r="F87" s="29" t="s">
        <v>12</v>
      </c>
      <c r="G87" s="29" t="s">
        <v>13</v>
      </c>
      <c r="H87" s="28" t="str">
        <f t="shared" si="4"/>
        <v>Database Connectivity Toolkit 15.0.0</v>
      </c>
      <c r="I87" s="36" t="s">
        <v>42</v>
      </c>
      <c r="J87" s="7"/>
    </row>
    <row r="88" spans="1:10" hidden="1" x14ac:dyDescent="0.25">
      <c r="A88" s="28" t="s">
        <v>503</v>
      </c>
      <c r="B88" s="28" t="s">
        <v>88</v>
      </c>
      <c r="C88" s="29" t="s">
        <v>89</v>
      </c>
      <c r="D88" s="29" t="s">
        <v>10</v>
      </c>
      <c r="E88" s="29" t="s">
        <v>11</v>
      </c>
      <c r="F88" s="29" t="s">
        <v>12</v>
      </c>
      <c r="G88" s="29" t="s">
        <v>13</v>
      </c>
      <c r="H88" s="28" t="str">
        <f t="shared" si="4"/>
        <v>DataFinder Toolkit 15.0.06020</v>
      </c>
      <c r="I88" s="36" t="s">
        <v>42</v>
      </c>
      <c r="J88" s="7"/>
    </row>
    <row r="89" spans="1:10" hidden="1" x14ac:dyDescent="0.25">
      <c r="A89" s="28" t="s">
        <v>503</v>
      </c>
      <c r="B89" s="28" t="s">
        <v>34</v>
      </c>
      <c r="C89" s="29" t="s">
        <v>9</v>
      </c>
      <c r="D89" s="29" t="s">
        <v>10</v>
      </c>
      <c r="E89" s="29" t="s">
        <v>11</v>
      </c>
      <c r="F89" s="29" t="s">
        <v>12</v>
      </c>
      <c r="G89" s="29" t="s">
        <v>13</v>
      </c>
      <c r="H89" s="28" t="str">
        <f t="shared" si="4"/>
        <v>Digital Filter Design Toolkit 15.0.0</v>
      </c>
      <c r="I89" s="36" t="s">
        <v>42</v>
      </c>
      <c r="J89" s="7"/>
    </row>
    <row r="90" spans="1:10" hidden="1" x14ac:dyDescent="0.25">
      <c r="A90" s="28" t="s">
        <v>503</v>
      </c>
      <c r="B90" s="28" t="s">
        <v>58</v>
      </c>
      <c r="C90" s="29" t="s">
        <v>30</v>
      </c>
      <c r="D90" s="29" t="s">
        <v>10</v>
      </c>
      <c r="E90" s="29" t="s">
        <v>11</v>
      </c>
      <c r="F90" s="29" t="s">
        <v>12</v>
      </c>
      <c r="G90" s="29" t="s">
        <v>13</v>
      </c>
      <c r="H90" s="28" t="str">
        <f t="shared" si="4"/>
        <v>FlexRIO 15.0.0f0</v>
      </c>
      <c r="I90" s="36" t="s">
        <v>42</v>
      </c>
      <c r="J90" s="7"/>
    </row>
    <row r="91" spans="1:10" hidden="1" x14ac:dyDescent="0.25">
      <c r="A91" s="28" t="s">
        <v>503</v>
      </c>
      <c r="B91" s="28" t="s">
        <v>31</v>
      </c>
      <c r="C91" s="29" t="s">
        <v>102</v>
      </c>
      <c r="D91" s="29" t="s">
        <v>10</v>
      </c>
      <c r="E91" s="29" t="s">
        <v>11</v>
      </c>
      <c r="F91" s="29" t="s">
        <v>12</v>
      </c>
      <c r="G91" s="29" t="s">
        <v>13</v>
      </c>
      <c r="H91" s="28" t="str">
        <f t="shared" si="4"/>
        <v>IVI Compliance Package 15.0</v>
      </c>
      <c r="I91" s="36" t="s">
        <v>42</v>
      </c>
      <c r="J91" s="7"/>
    </row>
    <row r="92" spans="1:10" hidden="1" x14ac:dyDescent="0.25">
      <c r="A92" s="28" t="s">
        <v>503</v>
      </c>
      <c r="B92" s="28" t="s">
        <v>32</v>
      </c>
      <c r="C92" s="29" t="s">
        <v>105</v>
      </c>
      <c r="D92" s="29" t="s">
        <v>10</v>
      </c>
      <c r="E92" s="29" t="s">
        <v>106</v>
      </c>
      <c r="F92" s="29" t="s">
        <v>24</v>
      </c>
      <c r="G92" s="29" t="s">
        <v>13</v>
      </c>
      <c r="H92" s="28" t="str">
        <f t="shared" ref="H92:H99" si="5">B92&amp;" "&amp;E92&amp;" "&amp;C92</f>
        <v>LabVIEW 2012 SP1 f9 12.0.1</v>
      </c>
      <c r="I92" s="36" t="s">
        <v>42</v>
      </c>
      <c r="J92" s="7"/>
    </row>
    <row r="93" spans="1:10" hidden="1" x14ac:dyDescent="0.25">
      <c r="A93" s="28" t="s">
        <v>503</v>
      </c>
      <c r="B93" s="28" t="s">
        <v>32</v>
      </c>
      <c r="C93" s="29" t="s">
        <v>105</v>
      </c>
      <c r="D93" s="29" t="s">
        <v>107</v>
      </c>
      <c r="E93" s="29" t="s">
        <v>106</v>
      </c>
      <c r="F93" s="29" t="s">
        <v>24</v>
      </c>
      <c r="G93" s="29" t="s">
        <v>13</v>
      </c>
      <c r="H93" s="28" t="str">
        <f t="shared" si="5"/>
        <v>LabVIEW 2012 SP1 f9 12.0.1</v>
      </c>
      <c r="I93" s="36" t="s">
        <v>42</v>
      </c>
      <c r="J93" s="7"/>
    </row>
    <row r="94" spans="1:10" hidden="1" x14ac:dyDescent="0.25">
      <c r="A94" s="28" t="s">
        <v>503</v>
      </c>
      <c r="B94" s="28" t="s">
        <v>32</v>
      </c>
      <c r="C94" s="29" t="s">
        <v>137</v>
      </c>
      <c r="D94" s="29" t="s">
        <v>10</v>
      </c>
      <c r="E94" s="29" t="s">
        <v>108</v>
      </c>
      <c r="F94" s="29" t="s">
        <v>24</v>
      </c>
      <c r="G94" s="29" t="s">
        <v>13</v>
      </c>
      <c r="H94" s="28" t="str">
        <f t="shared" si="5"/>
        <v>LabVIEW 2013 SP1 f6 13.0.1</v>
      </c>
      <c r="I94" s="36" t="s">
        <v>42</v>
      </c>
      <c r="J94" s="7"/>
    </row>
    <row r="95" spans="1:10" hidden="1" x14ac:dyDescent="0.25">
      <c r="A95" s="28" t="s">
        <v>503</v>
      </c>
      <c r="B95" s="28" t="s">
        <v>32</v>
      </c>
      <c r="C95" s="29" t="s">
        <v>110</v>
      </c>
      <c r="D95" s="29" t="s">
        <v>10</v>
      </c>
      <c r="E95" s="29" t="s">
        <v>109</v>
      </c>
      <c r="F95" s="29" t="s">
        <v>24</v>
      </c>
      <c r="G95" s="29" t="s">
        <v>13</v>
      </c>
      <c r="H95" s="28" t="str">
        <f t="shared" si="5"/>
        <v>LabVIEW 2014 SP1 f11 14.0.1</v>
      </c>
      <c r="I95" s="40" t="s">
        <v>465</v>
      </c>
      <c r="J95" s="7"/>
    </row>
    <row r="96" spans="1:10" hidden="1" x14ac:dyDescent="0.25">
      <c r="A96" s="28" t="s">
        <v>503</v>
      </c>
      <c r="B96" s="28" t="s">
        <v>32</v>
      </c>
      <c r="C96" s="29" t="s">
        <v>92</v>
      </c>
      <c r="D96" s="29" t="s">
        <v>10</v>
      </c>
      <c r="E96" s="29" t="s">
        <v>103</v>
      </c>
      <c r="F96" s="29" t="s">
        <v>12</v>
      </c>
      <c r="G96" s="29" t="s">
        <v>13</v>
      </c>
      <c r="H96" s="28" t="str">
        <f t="shared" si="5"/>
        <v>LabVIEW 2015 SP1 f10 15.0.1</v>
      </c>
      <c r="I96" s="40" t="s">
        <v>465</v>
      </c>
      <c r="J96" s="7"/>
    </row>
    <row r="97" spans="1:10" hidden="1" x14ac:dyDescent="0.25">
      <c r="A97" s="28" t="s">
        <v>503</v>
      </c>
      <c r="B97" s="28" t="s">
        <v>32</v>
      </c>
      <c r="C97" s="29" t="s">
        <v>110</v>
      </c>
      <c r="D97" s="29" t="s">
        <v>107</v>
      </c>
      <c r="E97" s="29" t="s">
        <v>109</v>
      </c>
      <c r="F97" s="29" t="s">
        <v>24</v>
      </c>
      <c r="G97" s="29" t="s">
        <v>13</v>
      </c>
      <c r="H97" s="28" t="str">
        <f t="shared" si="5"/>
        <v>LabVIEW 2014 SP1 f11 14.0.1</v>
      </c>
      <c r="I97" s="40" t="s">
        <v>465</v>
      </c>
      <c r="J97" s="7"/>
    </row>
    <row r="98" spans="1:10" hidden="1" x14ac:dyDescent="0.25">
      <c r="A98" s="28" t="s">
        <v>503</v>
      </c>
      <c r="B98" s="28" t="s">
        <v>32</v>
      </c>
      <c r="C98" s="29" t="s">
        <v>92</v>
      </c>
      <c r="D98" s="29" t="s">
        <v>10</v>
      </c>
      <c r="E98" s="29" t="s">
        <v>111</v>
      </c>
      <c r="F98" s="29" t="s">
        <v>24</v>
      </c>
      <c r="G98" s="29" t="s">
        <v>13</v>
      </c>
      <c r="H98" s="28" t="str">
        <f t="shared" si="5"/>
        <v>LabVIEW 2015 SP1 15.0.1</v>
      </c>
      <c r="I98" s="37" t="s">
        <v>91</v>
      </c>
      <c r="J98" s="7"/>
    </row>
    <row r="99" spans="1:10" hidden="1" x14ac:dyDescent="0.25">
      <c r="A99" s="28" t="s">
        <v>503</v>
      </c>
      <c r="B99" s="28" t="s">
        <v>32</v>
      </c>
      <c r="C99" s="29" t="s">
        <v>112</v>
      </c>
      <c r="D99" s="29" t="s">
        <v>10</v>
      </c>
      <c r="E99" s="29" t="s">
        <v>148</v>
      </c>
      <c r="F99" s="29" t="s">
        <v>24</v>
      </c>
      <c r="G99" s="29" t="s">
        <v>13</v>
      </c>
      <c r="H99" s="28" t="str">
        <f t="shared" si="5"/>
        <v>LabVIEW 2019 SP1 f5 19.0.1</v>
      </c>
      <c r="I99" s="28"/>
      <c r="J99" s="7"/>
    </row>
    <row r="100" spans="1:10" hidden="1" x14ac:dyDescent="0.25">
      <c r="A100" s="28" t="s">
        <v>503</v>
      </c>
      <c r="B100" s="28" t="s">
        <v>41</v>
      </c>
      <c r="C100" s="29" t="s">
        <v>94</v>
      </c>
      <c r="D100" s="29" t="s">
        <v>10</v>
      </c>
      <c r="E100" s="29" t="s">
        <v>11</v>
      </c>
      <c r="F100" s="29" t="s">
        <v>12</v>
      </c>
      <c r="G100" s="29" t="s">
        <v>13</v>
      </c>
      <c r="H100" s="28" t="str">
        <f t="shared" ref="H100:H131" si="6">B100&amp;" "&amp;C100</f>
        <v>Measurement &amp; Automation Explorer 15.3.0f0</v>
      </c>
      <c r="I100" s="37" t="s">
        <v>91</v>
      </c>
      <c r="J100" s="7"/>
    </row>
    <row r="101" spans="1:10" hidden="1" x14ac:dyDescent="0.25">
      <c r="A101" s="28" t="s">
        <v>503</v>
      </c>
      <c r="B101" s="28" t="s">
        <v>43</v>
      </c>
      <c r="C101" s="29"/>
      <c r="D101" s="29" t="s">
        <v>10</v>
      </c>
      <c r="E101" s="29" t="s">
        <v>114</v>
      </c>
      <c r="F101" s="29" t="s">
        <v>12</v>
      </c>
      <c r="G101" s="29" t="s">
        <v>13</v>
      </c>
      <c r="H101" s="28" t="str">
        <f t="shared" si="6"/>
        <v xml:space="preserve">Measurement Studio </v>
      </c>
      <c r="I101" s="36" t="s">
        <v>42</v>
      </c>
      <c r="J101" s="7"/>
    </row>
    <row r="102" spans="1:10" hidden="1" x14ac:dyDescent="0.25">
      <c r="A102" s="28" t="s">
        <v>503</v>
      </c>
      <c r="B102" s="28" t="s">
        <v>116</v>
      </c>
      <c r="C102" s="29" t="s">
        <v>149</v>
      </c>
      <c r="D102" s="29" t="s">
        <v>10</v>
      </c>
      <c r="E102" s="29" t="s">
        <v>11</v>
      </c>
      <c r="F102" s="29" t="s">
        <v>12</v>
      </c>
      <c r="G102" s="29" t="s">
        <v>13</v>
      </c>
      <c r="H102" s="28" t="str">
        <f t="shared" si="6"/>
        <v>Measurement Studio Common 15.1.40.49152</v>
      </c>
      <c r="I102" s="28"/>
      <c r="J102" s="7"/>
    </row>
    <row r="103" spans="1:10" hidden="1" x14ac:dyDescent="0.25">
      <c r="A103" s="28" t="s">
        <v>503</v>
      </c>
      <c r="B103" s="28" t="s">
        <v>116</v>
      </c>
      <c r="C103" s="29" t="s">
        <v>149</v>
      </c>
      <c r="D103" s="29" t="s">
        <v>107</v>
      </c>
      <c r="E103" s="29" t="s">
        <v>11</v>
      </c>
      <c r="F103" s="29" t="s">
        <v>12</v>
      </c>
      <c r="G103" s="29" t="s">
        <v>13</v>
      </c>
      <c r="H103" s="28" t="str">
        <f t="shared" si="6"/>
        <v>Measurement Studio Common 15.1.40.49152</v>
      </c>
      <c r="I103" s="28"/>
      <c r="J103" s="7"/>
    </row>
    <row r="104" spans="1:10" hidden="1" x14ac:dyDescent="0.25">
      <c r="A104" s="28" t="s">
        <v>503</v>
      </c>
      <c r="B104" s="28" t="s">
        <v>115</v>
      </c>
      <c r="C104" s="29"/>
      <c r="D104" s="29" t="s">
        <v>10</v>
      </c>
      <c r="E104" s="29" t="s">
        <v>114</v>
      </c>
      <c r="F104" s="29" t="s">
        <v>12</v>
      </c>
      <c r="G104" s="29" t="s">
        <v>13</v>
      </c>
      <c r="H104" s="28" t="str">
        <f t="shared" si="6"/>
        <v xml:space="preserve">Measurement Studio DotNET </v>
      </c>
      <c r="I104" s="36" t="s">
        <v>42</v>
      </c>
      <c r="J104" s="7"/>
    </row>
    <row r="105" spans="1:10" hidden="1" x14ac:dyDescent="0.25">
      <c r="A105" s="28" t="s">
        <v>503</v>
      </c>
      <c r="B105" s="28" t="s">
        <v>60</v>
      </c>
      <c r="C105" s="29" t="s">
        <v>30</v>
      </c>
      <c r="D105" s="29" t="s">
        <v>10</v>
      </c>
      <c r="E105" s="29" t="s">
        <v>11</v>
      </c>
      <c r="F105" s="29" t="s">
        <v>12</v>
      </c>
      <c r="G105" s="29" t="s">
        <v>13</v>
      </c>
      <c r="H105" s="28" t="str">
        <f t="shared" si="6"/>
        <v>NI 1588-2008 Network Management 15.0.0f0</v>
      </c>
      <c r="I105" s="36" t="s">
        <v>42</v>
      </c>
      <c r="J105" s="7"/>
    </row>
    <row r="106" spans="1:10" hidden="1" x14ac:dyDescent="0.25">
      <c r="A106" s="28" t="s">
        <v>503</v>
      </c>
      <c r="B106" s="28" t="s">
        <v>29</v>
      </c>
      <c r="C106" s="29" t="s">
        <v>30</v>
      </c>
      <c r="D106" s="29" t="s">
        <v>10</v>
      </c>
      <c r="E106" s="29" t="s">
        <v>11</v>
      </c>
      <c r="F106" s="29" t="s">
        <v>12</v>
      </c>
      <c r="G106" s="29" t="s">
        <v>13</v>
      </c>
      <c r="H106" s="28" t="str">
        <f t="shared" si="6"/>
        <v>NI I/O Trace 15.0.0f0</v>
      </c>
      <c r="I106" s="36" t="s">
        <v>42</v>
      </c>
      <c r="J106" s="7"/>
    </row>
    <row r="107" spans="1:10" hidden="1" x14ac:dyDescent="0.25">
      <c r="A107" s="28" t="s">
        <v>503</v>
      </c>
      <c r="B107" s="28" t="s">
        <v>140</v>
      </c>
      <c r="C107" s="29" t="s">
        <v>117</v>
      </c>
      <c r="D107" s="29" t="s">
        <v>10</v>
      </c>
      <c r="E107" s="29" t="s">
        <v>119</v>
      </c>
      <c r="F107" s="29" t="s">
        <v>24</v>
      </c>
      <c r="G107" s="29" t="s">
        <v>13</v>
      </c>
      <c r="H107" s="28" t="str">
        <f t="shared" si="6"/>
        <v>NI PXI Platform Services 19.5.0f0</v>
      </c>
      <c r="I107" s="28"/>
      <c r="J107" s="7"/>
    </row>
    <row r="108" spans="1:10" hidden="1" x14ac:dyDescent="0.25">
      <c r="A108" s="28" t="s">
        <v>503</v>
      </c>
      <c r="B108" s="28" t="s">
        <v>52</v>
      </c>
      <c r="C108" s="29" t="s">
        <v>53</v>
      </c>
      <c r="D108" s="29" t="s">
        <v>10</v>
      </c>
      <c r="E108" s="29" t="s">
        <v>11</v>
      </c>
      <c r="F108" s="29" t="s">
        <v>12</v>
      </c>
      <c r="G108" s="29" t="s">
        <v>13</v>
      </c>
      <c r="H108" s="28" t="str">
        <f t="shared" si="6"/>
        <v>NI PXI Platform Services Configuration 15.0.0f1</v>
      </c>
      <c r="I108" s="36" t="s">
        <v>42</v>
      </c>
      <c r="J108" s="7"/>
    </row>
    <row r="109" spans="1:10" hidden="1" x14ac:dyDescent="0.25">
      <c r="A109" s="28" t="s">
        <v>503</v>
      </c>
      <c r="B109" s="28" t="s">
        <v>55</v>
      </c>
      <c r="C109" s="29" t="s">
        <v>9</v>
      </c>
      <c r="D109" s="29" t="s">
        <v>10</v>
      </c>
      <c r="E109" s="29" t="s">
        <v>11</v>
      </c>
      <c r="F109" s="29" t="s">
        <v>12</v>
      </c>
      <c r="G109" s="29" t="s">
        <v>13</v>
      </c>
      <c r="H109" s="28" t="str">
        <f t="shared" si="6"/>
        <v>NI R Series Multifunction RIO 15.0.0</v>
      </c>
      <c r="I109" s="36" t="s">
        <v>42</v>
      </c>
      <c r="J109" s="7"/>
    </row>
    <row r="110" spans="1:10" hidden="1" x14ac:dyDescent="0.25">
      <c r="A110" s="28" t="s">
        <v>503</v>
      </c>
      <c r="B110" s="28" t="s">
        <v>20</v>
      </c>
      <c r="C110" s="29" t="s">
        <v>118</v>
      </c>
      <c r="D110" s="29" t="s">
        <v>10</v>
      </c>
      <c r="E110" s="29" t="s">
        <v>93</v>
      </c>
      <c r="F110" s="29" t="s">
        <v>12</v>
      </c>
      <c r="G110" s="29" t="s">
        <v>13</v>
      </c>
      <c r="H110" s="28" t="str">
        <f t="shared" si="6"/>
        <v>NI Script Editor 14.0</v>
      </c>
      <c r="I110" s="36" t="s">
        <v>42</v>
      </c>
      <c r="J110" s="7"/>
    </row>
    <row r="111" spans="1:10" hidden="1" x14ac:dyDescent="0.25">
      <c r="A111" s="28" t="s">
        <v>503</v>
      </c>
      <c r="B111" s="28" t="s">
        <v>65</v>
      </c>
      <c r="C111" s="29" t="s">
        <v>102</v>
      </c>
      <c r="D111" s="29" t="s">
        <v>10</v>
      </c>
      <c r="E111" s="29" t="s">
        <v>11</v>
      </c>
      <c r="F111" s="29" t="s">
        <v>12</v>
      </c>
      <c r="G111" s="29" t="s">
        <v>13</v>
      </c>
      <c r="H111" s="28" t="str">
        <f t="shared" si="6"/>
        <v>NI SignalExpress 15.0</v>
      </c>
      <c r="I111" s="36" t="s">
        <v>42</v>
      </c>
      <c r="J111" s="7"/>
    </row>
    <row r="112" spans="1:10" hidden="1" x14ac:dyDescent="0.25">
      <c r="A112" s="28" t="s">
        <v>503</v>
      </c>
      <c r="B112" s="28" t="s">
        <v>68</v>
      </c>
      <c r="C112" s="29" t="s">
        <v>117</v>
      </c>
      <c r="D112" s="29" t="s">
        <v>10</v>
      </c>
      <c r="E112" s="29" t="s">
        <v>119</v>
      </c>
      <c r="F112" s="29" t="s">
        <v>12</v>
      </c>
      <c r="G112" s="29" t="s">
        <v>13</v>
      </c>
      <c r="H112" s="28" t="str">
        <f t="shared" si="6"/>
        <v>NI System Configuration 19.5.0f0</v>
      </c>
      <c r="I112" s="28"/>
      <c r="J112" s="7"/>
    </row>
    <row r="113" spans="1:10" hidden="1" x14ac:dyDescent="0.25">
      <c r="A113" s="28" t="s">
        <v>503</v>
      </c>
      <c r="B113" s="28" t="s">
        <v>28</v>
      </c>
      <c r="C113" s="29" t="s">
        <v>9</v>
      </c>
      <c r="D113" s="29" t="s">
        <v>10</v>
      </c>
      <c r="E113" s="29" t="s">
        <v>11</v>
      </c>
      <c r="F113" s="29" t="s">
        <v>12</v>
      </c>
      <c r="G113" s="29" t="s">
        <v>13</v>
      </c>
      <c r="H113" s="28" t="str">
        <f t="shared" si="6"/>
        <v>NI-488.2 15.0.0</v>
      </c>
      <c r="I113" s="36" t="s">
        <v>42</v>
      </c>
      <c r="J113" s="7"/>
    </row>
    <row r="114" spans="1:10" hidden="1" x14ac:dyDescent="0.25">
      <c r="A114" s="28" t="s">
        <v>503</v>
      </c>
      <c r="B114" s="28" t="s">
        <v>28</v>
      </c>
      <c r="C114" s="29" t="s">
        <v>141</v>
      </c>
      <c r="D114" s="29" t="s">
        <v>10</v>
      </c>
      <c r="E114" s="29" t="s">
        <v>119</v>
      </c>
      <c r="F114" s="29" t="s">
        <v>24</v>
      </c>
      <c r="G114" s="29" t="s">
        <v>13</v>
      </c>
      <c r="H114" s="28" t="str">
        <f t="shared" si="6"/>
        <v>NI-488.2 19.5.0</v>
      </c>
      <c r="I114" s="28"/>
      <c r="J114" s="7"/>
    </row>
    <row r="115" spans="1:10" hidden="1" x14ac:dyDescent="0.25">
      <c r="A115" s="28" t="s">
        <v>503</v>
      </c>
      <c r="B115" s="28" t="s">
        <v>18</v>
      </c>
      <c r="C115" s="29" t="s">
        <v>9</v>
      </c>
      <c r="D115" s="29" t="s">
        <v>10</v>
      </c>
      <c r="E115" s="29" t="s">
        <v>11</v>
      </c>
      <c r="F115" s="29" t="s">
        <v>12</v>
      </c>
      <c r="G115" s="29" t="s">
        <v>13</v>
      </c>
      <c r="H115" s="28" t="str">
        <f t="shared" si="6"/>
        <v>NI-DAQmx ADE Support 15.0.0</v>
      </c>
      <c r="I115" s="36" t="s">
        <v>42</v>
      </c>
      <c r="J115" s="7"/>
    </row>
    <row r="116" spans="1:10" hidden="1" x14ac:dyDescent="0.25">
      <c r="A116" s="28" t="s">
        <v>503</v>
      </c>
      <c r="B116" s="28" t="s">
        <v>16</v>
      </c>
      <c r="C116" s="29" t="s">
        <v>17</v>
      </c>
      <c r="D116" s="29" t="s">
        <v>10</v>
      </c>
      <c r="E116" s="29" t="s">
        <v>11</v>
      </c>
      <c r="F116" s="29" t="s">
        <v>12</v>
      </c>
      <c r="G116" s="29" t="s">
        <v>13</v>
      </c>
      <c r="H116" s="28" t="str">
        <f t="shared" si="6"/>
        <v>NI-DAQmx Device Driver 15.0.0f2</v>
      </c>
      <c r="I116" s="36" t="s">
        <v>42</v>
      </c>
      <c r="J116" s="7"/>
    </row>
    <row r="117" spans="1:10" hidden="1" x14ac:dyDescent="0.25">
      <c r="A117" s="28" t="s">
        <v>503</v>
      </c>
      <c r="B117" s="28" t="s">
        <v>19</v>
      </c>
      <c r="C117" s="29" t="s">
        <v>9</v>
      </c>
      <c r="D117" s="29" t="s">
        <v>10</v>
      </c>
      <c r="E117" s="29" t="s">
        <v>11</v>
      </c>
      <c r="F117" s="29" t="s">
        <v>12</v>
      </c>
      <c r="G117" s="29" t="s">
        <v>13</v>
      </c>
      <c r="H117" s="28" t="str">
        <f t="shared" si="6"/>
        <v>NI-DAQmx MAX Configuration 15.0.0</v>
      </c>
      <c r="I117" s="36" t="s">
        <v>42</v>
      </c>
      <c r="J117" s="7"/>
    </row>
    <row r="118" spans="1:10" hidden="1" x14ac:dyDescent="0.25">
      <c r="A118" s="28" t="s">
        <v>503</v>
      </c>
      <c r="B118" s="28" t="s">
        <v>48</v>
      </c>
      <c r="C118" s="29"/>
      <c r="D118" s="29" t="s">
        <v>10</v>
      </c>
      <c r="E118" s="29" t="s">
        <v>11</v>
      </c>
      <c r="F118" s="29" t="s">
        <v>12</v>
      </c>
      <c r="G118" s="29" t="s">
        <v>13</v>
      </c>
      <c r="H118" s="28" t="str">
        <f t="shared" si="6"/>
        <v xml:space="preserve">NI-DCPower </v>
      </c>
      <c r="I118" s="36" t="s">
        <v>42</v>
      </c>
      <c r="J118" s="7"/>
    </row>
    <row r="119" spans="1:10" hidden="1" x14ac:dyDescent="0.25">
      <c r="A119" s="28" t="s">
        <v>503</v>
      </c>
      <c r="B119" s="28" t="s">
        <v>48</v>
      </c>
      <c r="C119" s="29" t="s">
        <v>102</v>
      </c>
      <c r="D119" s="29" t="s">
        <v>10</v>
      </c>
      <c r="E119" s="29" t="s">
        <v>11</v>
      </c>
      <c r="F119" s="29" t="s">
        <v>24</v>
      </c>
      <c r="G119" s="29" t="s">
        <v>13</v>
      </c>
      <c r="H119" s="28" t="str">
        <f t="shared" si="6"/>
        <v>NI-DCPower 15.0</v>
      </c>
      <c r="I119" s="36" t="s">
        <v>42</v>
      </c>
      <c r="J119" s="7"/>
    </row>
    <row r="120" spans="1:10" hidden="1" x14ac:dyDescent="0.25">
      <c r="A120" s="28" t="s">
        <v>503</v>
      </c>
      <c r="B120" s="28" t="s">
        <v>121</v>
      </c>
      <c r="C120" s="29" t="s">
        <v>102</v>
      </c>
      <c r="D120" s="29" t="s">
        <v>10</v>
      </c>
      <c r="E120" s="29" t="s">
        <v>11</v>
      </c>
      <c r="F120" s="29" t="s">
        <v>12</v>
      </c>
      <c r="G120" s="29" t="s">
        <v>13</v>
      </c>
      <c r="H120" s="28" t="str">
        <f t="shared" si="6"/>
        <v>NI-DCPower Configuration Support 15.0</v>
      </c>
      <c r="I120" s="36" t="s">
        <v>42</v>
      </c>
      <c r="J120" s="7"/>
    </row>
    <row r="121" spans="1:10" hidden="1" x14ac:dyDescent="0.25">
      <c r="A121" s="28" t="s">
        <v>503</v>
      </c>
      <c r="B121" s="28" t="s">
        <v>122</v>
      </c>
      <c r="C121" s="29" t="s">
        <v>102</v>
      </c>
      <c r="D121" s="29" t="s">
        <v>10</v>
      </c>
      <c r="E121" s="29" t="s">
        <v>11</v>
      </c>
      <c r="F121" s="29" t="s">
        <v>12</v>
      </c>
      <c r="G121" s="29" t="s">
        <v>13</v>
      </c>
      <c r="H121" s="28" t="str">
        <f t="shared" si="6"/>
        <v>NI-DCPower Development Support 15.0</v>
      </c>
      <c r="I121" s="36" t="s">
        <v>42</v>
      </c>
      <c r="J121" s="7"/>
    </row>
    <row r="122" spans="1:10" hidden="1" x14ac:dyDescent="0.25">
      <c r="A122" s="28" t="s">
        <v>503</v>
      </c>
      <c r="B122" s="28" t="s">
        <v>49</v>
      </c>
      <c r="C122" s="29" t="s">
        <v>102</v>
      </c>
      <c r="D122" s="29" t="s">
        <v>10</v>
      </c>
      <c r="E122" s="29" t="s">
        <v>11</v>
      </c>
      <c r="F122" s="29" t="s">
        <v>12</v>
      </c>
      <c r="G122" s="29" t="s">
        <v>13</v>
      </c>
      <c r="H122" s="28" t="str">
        <f t="shared" si="6"/>
        <v>NI-DCPower Soft Front Panel 15.0</v>
      </c>
      <c r="I122" s="36" t="s">
        <v>42</v>
      </c>
      <c r="J122" s="7"/>
    </row>
    <row r="123" spans="1:10" hidden="1" x14ac:dyDescent="0.25">
      <c r="A123" s="28" t="s">
        <v>503</v>
      </c>
      <c r="B123" s="28" t="s">
        <v>21</v>
      </c>
      <c r="C123" s="29"/>
      <c r="D123" s="29" t="s">
        <v>10</v>
      </c>
      <c r="E123" s="29" t="s">
        <v>11</v>
      </c>
      <c r="F123" s="29" t="s">
        <v>12</v>
      </c>
      <c r="G123" s="29" t="s">
        <v>13</v>
      </c>
      <c r="H123" s="28" t="str">
        <f t="shared" si="6"/>
        <v xml:space="preserve">NI-DMM </v>
      </c>
      <c r="I123" s="36" t="s">
        <v>42</v>
      </c>
      <c r="J123" s="7"/>
    </row>
    <row r="124" spans="1:10" hidden="1" x14ac:dyDescent="0.25">
      <c r="A124" s="28" t="s">
        <v>503</v>
      </c>
      <c r="B124" s="28" t="s">
        <v>21</v>
      </c>
      <c r="C124" s="29" t="s">
        <v>102</v>
      </c>
      <c r="D124" s="29" t="s">
        <v>10</v>
      </c>
      <c r="E124" s="29" t="s">
        <v>11</v>
      </c>
      <c r="F124" s="29" t="s">
        <v>24</v>
      </c>
      <c r="G124" s="29" t="s">
        <v>13</v>
      </c>
      <c r="H124" s="28" t="str">
        <f t="shared" si="6"/>
        <v>NI-DMM 15.0</v>
      </c>
      <c r="I124" s="36" t="s">
        <v>42</v>
      </c>
      <c r="J124" s="7"/>
    </row>
    <row r="125" spans="1:10" hidden="1" x14ac:dyDescent="0.25">
      <c r="A125" s="28" t="s">
        <v>503</v>
      </c>
      <c r="B125" s="28" t="s">
        <v>123</v>
      </c>
      <c r="C125" s="29" t="s">
        <v>102</v>
      </c>
      <c r="D125" s="29" t="s">
        <v>10</v>
      </c>
      <c r="E125" s="29" t="s">
        <v>11</v>
      </c>
      <c r="F125" s="29" t="s">
        <v>12</v>
      </c>
      <c r="G125" s="29" t="s">
        <v>13</v>
      </c>
      <c r="H125" s="28" t="str">
        <f t="shared" si="6"/>
        <v>NI-DMM Configuration Support 15.0</v>
      </c>
      <c r="I125" s="36" t="s">
        <v>42</v>
      </c>
      <c r="J125" s="7"/>
    </row>
    <row r="126" spans="1:10" hidden="1" x14ac:dyDescent="0.25">
      <c r="A126" s="28" t="s">
        <v>503</v>
      </c>
      <c r="B126" s="28" t="s">
        <v>124</v>
      </c>
      <c r="C126" s="29" t="s">
        <v>102</v>
      </c>
      <c r="D126" s="29" t="s">
        <v>10</v>
      </c>
      <c r="E126" s="29" t="s">
        <v>11</v>
      </c>
      <c r="F126" s="29" t="s">
        <v>12</v>
      </c>
      <c r="G126" s="29" t="s">
        <v>13</v>
      </c>
      <c r="H126" s="28" t="str">
        <f t="shared" si="6"/>
        <v>NI-DMM Development Support 15.0</v>
      </c>
      <c r="I126" s="36" t="s">
        <v>42</v>
      </c>
      <c r="J126" s="7"/>
    </row>
    <row r="127" spans="1:10" hidden="1" x14ac:dyDescent="0.25">
      <c r="A127" s="28" t="s">
        <v>503</v>
      </c>
      <c r="B127" s="28" t="s">
        <v>26</v>
      </c>
      <c r="C127" s="29"/>
      <c r="D127" s="29" t="s">
        <v>10</v>
      </c>
      <c r="E127" s="29" t="s">
        <v>11</v>
      </c>
      <c r="F127" s="29" t="s">
        <v>12</v>
      </c>
      <c r="G127" s="29" t="s">
        <v>13</v>
      </c>
      <c r="H127" s="28" t="str">
        <f t="shared" si="6"/>
        <v xml:space="preserve">NI-FGEN </v>
      </c>
      <c r="I127" s="36" t="s">
        <v>42</v>
      </c>
      <c r="J127" s="7"/>
    </row>
    <row r="128" spans="1:10" hidden="1" x14ac:dyDescent="0.25">
      <c r="A128" s="28" t="s">
        <v>503</v>
      </c>
      <c r="B128" s="28" t="s">
        <v>26</v>
      </c>
      <c r="C128" s="29" t="s">
        <v>102</v>
      </c>
      <c r="D128" s="29" t="s">
        <v>10</v>
      </c>
      <c r="E128" s="29" t="s">
        <v>11</v>
      </c>
      <c r="F128" s="29" t="s">
        <v>24</v>
      </c>
      <c r="G128" s="29" t="s">
        <v>13</v>
      </c>
      <c r="H128" s="28" t="str">
        <f t="shared" si="6"/>
        <v>NI-FGEN 15.0</v>
      </c>
      <c r="I128" s="36" t="s">
        <v>42</v>
      </c>
      <c r="J128" s="7"/>
    </row>
    <row r="129" spans="1:10" hidden="1" x14ac:dyDescent="0.25">
      <c r="A129" s="28" t="s">
        <v>503</v>
      </c>
      <c r="B129" s="28" t="s">
        <v>125</v>
      </c>
      <c r="C129" s="29" t="s">
        <v>102</v>
      </c>
      <c r="D129" s="29" t="s">
        <v>10</v>
      </c>
      <c r="E129" s="29" t="s">
        <v>11</v>
      </c>
      <c r="F129" s="29" t="s">
        <v>12</v>
      </c>
      <c r="G129" s="29" t="s">
        <v>13</v>
      </c>
      <c r="H129" s="28" t="str">
        <f t="shared" si="6"/>
        <v>NI-FGEN Configuration Support 15.0</v>
      </c>
      <c r="I129" s="36" t="s">
        <v>42</v>
      </c>
      <c r="J129" s="7"/>
    </row>
    <row r="130" spans="1:10" hidden="1" x14ac:dyDescent="0.25">
      <c r="A130" s="28" t="s">
        <v>503</v>
      </c>
      <c r="B130" s="28" t="s">
        <v>126</v>
      </c>
      <c r="C130" s="29" t="s">
        <v>102</v>
      </c>
      <c r="D130" s="29" t="s">
        <v>10</v>
      </c>
      <c r="E130" s="29" t="s">
        <v>11</v>
      </c>
      <c r="F130" s="29" t="s">
        <v>12</v>
      </c>
      <c r="G130" s="29" t="s">
        <v>13</v>
      </c>
      <c r="H130" s="28" t="str">
        <f t="shared" si="6"/>
        <v>NI-FGEN Development Support 15.0</v>
      </c>
      <c r="I130" s="36" t="s">
        <v>42</v>
      </c>
      <c r="J130" s="7"/>
    </row>
    <row r="131" spans="1:10" hidden="1" x14ac:dyDescent="0.25">
      <c r="A131" s="28" t="s">
        <v>503</v>
      </c>
      <c r="B131" s="28" t="s">
        <v>401</v>
      </c>
      <c r="C131" s="29" t="s">
        <v>102</v>
      </c>
      <c r="D131" s="29" t="s">
        <v>10</v>
      </c>
      <c r="E131" s="29" t="s">
        <v>11</v>
      </c>
      <c r="F131" s="29" t="s">
        <v>12</v>
      </c>
      <c r="G131" s="29" t="s">
        <v>13</v>
      </c>
      <c r="H131" s="28" t="str">
        <f t="shared" si="6"/>
        <v>NI-FGEN Soft Front Panel 15.0</v>
      </c>
      <c r="I131" s="36" t="s">
        <v>42</v>
      </c>
      <c r="J131" s="7"/>
    </row>
    <row r="132" spans="1:10" hidden="1" x14ac:dyDescent="0.25">
      <c r="A132" s="28" t="s">
        <v>503</v>
      </c>
      <c r="B132" s="28" t="s">
        <v>50</v>
      </c>
      <c r="C132" s="29"/>
      <c r="D132" s="29" t="s">
        <v>10</v>
      </c>
      <c r="E132" s="29" t="s">
        <v>11</v>
      </c>
      <c r="F132" s="29" t="s">
        <v>12</v>
      </c>
      <c r="G132" s="29" t="s">
        <v>13</v>
      </c>
      <c r="H132" s="28" t="str">
        <f t="shared" ref="H132:H163" si="7">B132&amp;" "&amp;C132</f>
        <v xml:space="preserve">NI-HSDIO </v>
      </c>
      <c r="I132" s="36" t="s">
        <v>42</v>
      </c>
      <c r="J132" s="7"/>
    </row>
    <row r="133" spans="1:10" hidden="1" x14ac:dyDescent="0.25">
      <c r="A133" s="28" t="s">
        <v>503</v>
      </c>
      <c r="B133" s="28" t="s">
        <v>50</v>
      </c>
      <c r="C133" s="29" t="s">
        <v>102</v>
      </c>
      <c r="D133" s="29" t="s">
        <v>10</v>
      </c>
      <c r="E133" s="29" t="s">
        <v>11</v>
      </c>
      <c r="F133" s="29" t="s">
        <v>24</v>
      </c>
      <c r="G133" s="29" t="s">
        <v>13</v>
      </c>
      <c r="H133" s="28" t="str">
        <f t="shared" si="7"/>
        <v>NI-HSDIO 15.0</v>
      </c>
      <c r="I133" s="36" t="s">
        <v>42</v>
      </c>
      <c r="J133" s="7"/>
    </row>
    <row r="134" spans="1:10" hidden="1" x14ac:dyDescent="0.25">
      <c r="A134" s="28" t="s">
        <v>503</v>
      </c>
      <c r="B134" s="28" t="s">
        <v>150</v>
      </c>
      <c r="C134" s="29" t="s">
        <v>102</v>
      </c>
      <c r="D134" s="29" t="s">
        <v>10</v>
      </c>
      <c r="E134" s="29" t="s">
        <v>11</v>
      </c>
      <c r="F134" s="29" t="s">
        <v>12</v>
      </c>
      <c r="G134" s="29" t="s">
        <v>13</v>
      </c>
      <c r="H134" s="28" t="str">
        <f t="shared" si="7"/>
        <v>NI-HSDIO Configuration Support 15.0</v>
      </c>
      <c r="I134" s="36" t="s">
        <v>42</v>
      </c>
      <c r="J134" s="7"/>
    </row>
    <row r="135" spans="1:10" hidden="1" x14ac:dyDescent="0.25">
      <c r="A135" s="28" t="s">
        <v>503</v>
      </c>
      <c r="B135" s="28" t="s">
        <v>142</v>
      </c>
      <c r="C135" s="29" t="s">
        <v>102</v>
      </c>
      <c r="D135" s="29" t="s">
        <v>10</v>
      </c>
      <c r="E135" s="29" t="s">
        <v>11</v>
      </c>
      <c r="F135" s="29" t="s">
        <v>12</v>
      </c>
      <c r="G135" s="29" t="s">
        <v>13</v>
      </c>
      <c r="H135" s="28" t="str">
        <f t="shared" si="7"/>
        <v>NI-HSDIO Development Support 15.0</v>
      </c>
      <c r="I135" s="36" t="s">
        <v>42</v>
      </c>
      <c r="J135" s="7"/>
    </row>
    <row r="136" spans="1:10" hidden="1" x14ac:dyDescent="0.25">
      <c r="A136" s="28" t="s">
        <v>503</v>
      </c>
      <c r="B136" s="28" t="s">
        <v>51</v>
      </c>
      <c r="C136" s="29" t="s">
        <v>9</v>
      </c>
      <c r="D136" s="29" t="s">
        <v>10</v>
      </c>
      <c r="E136" s="29" t="s">
        <v>11</v>
      </c>
      <c r="F136" s="29" t="s">
        <v>12</v>
      </c>
      <c r="G136" s="29" t="s">
        <v>13</v>
      </c>
      <c r="H136" s="28" t="str">
        <f t="shared" si="7"/>
        <v>NI-HWS 15.0.0</v>
      </c>
      <c r="I136" s="36" t="s">
        <v>42</v>
      </c>
      <c r="J136" s="7"/>
    </row>
    <row r="137" spans="1:10" hidden="1" x14ac:dyDescent="0.25">
      <c r="A137" s="28" t="s">
        <v>503</v>
      </c>
      <c r="B137" s="28" t="s">
        <v>143</v>
      </c>
      <c r="C137" s="29" t="s">
        <v>144</v>
      </c>
      <c r="D137" s="29" t="s">
        <v>10</v>
      </c>
      <c r="E137" s="29" t="s">
        <v>11</v>
      </c>
      <c r="F137" s="29" t="s">
        <v>12</v>
      </c>
      <c r="G137" s="29" t="s">
        <v>13</v>
      </c>
      <c r="H137" s="28" t="str">
        <f t="shared" si="7"/>
        <v>NI-Industrial Communications for EtherCAT 15.0.0f3</v>
      </c>
      <c r="I137" s="41" t="s">
        <v>415</v>
      </c>
      <c r="J137" s="7"/>
    </row>
    <row r="138" spans="1:10" hidden="1" x14ac:dyDescent="0.25">
      <c r="A138" s="28" t="s">
        <v>503</v>
      </c>
      <c r="B138" s="28" t="s">
        <v>145</v>
      </c>
      <c r="C138" s="29" t="s">
        <v>135</v>
      </c>
      <c r="D138" s="29" t="s">
        <v>10</v>
      </c>
      <c r="E138" s="29" t="s">
        <v>119</v>
      </c>
      <c r="F138" s="29" t="s">
        <v>12</v>
      </c>
      <c r="G138" s="29" t="s">
        <v>13</v>
      </c>
      <c r="H138" s="28" t="str">
        <f t="shared" si="7"/>
        <v>NI-PAL 19.0.0</v>
      </c>
      <c r="I138" s="28"/>
      <c r="J138" s="7"/>
    </row>
    <row r="139" spans="1:10" hidden="1" x14ac:dyDescent="0.25">
      <c r="A139" s="28" t="s">
        <v>503</v>
      </c>
      <c r="B139" s="28" t="s">
        <v>54</v>
      </c>
      <c r="C139" s="29" t="s">
        <v>9</v>
      </c>
      <c r="D139" s="29" t="s">
        <v>10</v>
      </c>
      <c r="E139" s="29" t="s">
        <v>11</v>
      </c>
      <c r="F139" s="29" t="s">
        <v>12</v>
      </c>
      <c r="G139" s="29" t="s">
        <v>13</v>
      </c>
      <c r="H139" s="28" t="str">
        <f t="shared" si="7"/>
        <v>NI-RIO 15.0.0</v>
      </c>
      <c r="I139" s="36" t="s">
        <v>42</v>
      </c>
      <c r="J139" s="7"/>
    </row>
    <row r="140" spans="1:10" hidden="1" x14ac:dyDescent="0.25">
      <c r="A140" s="28" t="s">
        <v>503</v>
      </c>
      <c r="B140" s="28" t="s">
        <v>61</v>
      </c>
      <c r="C140" s="29" t="s">
        <v>102</v>
      </c>
      <c r="D140" s="29" t="s">
        <v>10</v>
      </c>
      <c r="E140" s="29" t="s">
        <v>11</v>
      </c>
      <c r="F140" s="29" t="s">
        <v>12</v>
      </c>
      <c r="G140" s="29" t="s">
        <v>13</v>
      </c>
      <c r="H140" s="28" t="str">
        <f t="shared" si="7"/>
        <v>NI-SCOPE 15.0</v>
      </c>
      <c r="I140" s="36" t="s">
        <v>42</v>
      </c>
      <c r="J140" s="7"/>
    </row>
    <row r="141" spans="1:10" hidden="1" x14ac:dyDescent="0.25">
      <c r="A141" s="28" t="s">
        <v>503</v>
      </c>
      <c r="B141" s="28" t="s">
        <v>61</v>
      </c>
      <c r="C141" s="29" t="s">
        <v>102</v>
      </c>
      <c r="D141" s="29" t="s">
        <v>10</v>
      </c>
      <c r="E141" s="29" t="s">
        <v>11</v>
      </c>
      <c r="F141" s="29" t="s">
        <v>24</v>
      </c>
      <c r="G141" s="29" t="s">
        <v>13</v>
      </c>
      <c r="H141" s="28" t="str">
        <f t="shared" si="7"/>
        <v>NI-SCOPE 15.0</v>
      </c>
      <c r="I141" s="36" t="s">
        <v>42</v>
      </c>
      <c r="J141" s="7"/>
    </row>
    <row r="142" spans="1:10" hidden="1" x14ac:dyDescent="0.25">
      <c r="A142" s="28" t="s">
        <v>503</v>
      </c>
      <c r="B142" s="28" t="s">
        <v>151</v>
      </c>
      <c r="C142" s="29" t="s">
        <v>102</v>
      </c>
      <c r="D142" s="29" t="s">
        <v>10</v>
      </c>
      <c r="E142" s="29" t="s">
        <v>11</v>
      </c>
      <c r="F142" s="29" t="s">
        <v>12</v>
      </c>
      <c r="G142" s="29" t="s">
        <v>13</v>
      </c>
      <c r="H142" s="28" t="str">
        <f t="shared" si="7"/>
        <v>NI-SCOPE Configuration Support 15.0</v>
      </c>
      <c r="I142" s="36" t="s">
        <v>42</v>
      </c>
      <c r="J142" s="7"/>
    </row>
    <row r="143" spans="1:10" hidden="1" x14ac:dyDescent="0.25">
      <c r="A143" s="28" t="s">
        <v>503</v>
      </c>
      <c r="B143" s="28" t="s">
        <v>128</v>
      </c>
      <c r="C143" s="29" t="s">
        <v>102</v>
      </c>
      <c r="D143" s="29" t="s">
        <v>10</v>
      </c>
      <c r="E143" s="29" t="s">
        <v>11</v>
      </c>
      <c r="F143" s="29" t="s">
        <v>12</v>
      </c>
      <c r="G143" s="29" t="s">
        <v>13</v>
      </c>
      <c r="H143" s="28" t="str">
        <f t="shared" si="7"/>
        <v>NI-SCOPE Development Support 15.0</v>
      </c>
      <c r="I143" s="36" t="s">
        <v>42</v>
      </c>
      <c r="J143" s="7"/>
    </row>
    <row r="144" spans="1:10" hidden="1" x14ac:dyDescent="0.25">
      <c r="A144" s="28" t="s">
        <v>503</v>
      </c>
      <c r="B144" s="28" t="s">
        <v>400</v>
      </c>
      <c r="C144" s="29" t="s">
        <v>102</v>
      </c>
      <c r="D144" s="29" t="s">
        <v>10</v>
      </c>
      <c r="E144" s="29" t="s">
        <v>11</v>
      </c>
      <c r="F144" s="29" t="s">
        <v>12</v>
      </c>
      <c r="G144" s="29" t="s">
        <v>13</v>
      </c>
      <c r="H144" s="28" t="str">
        <f t="shared" si="7"/>
        <v>NI-SCOPE Soft Front Panel 15.0</v>
      </c>
      <c r="I144" s="36" t="s">
        <v>42</v>
      </c>
      <c r="J144" s="7"/>
    </row>
    <row r="145" spans="1:10" hidden="1" x14ac:dyDescent="0.25">
      <c r="A145" s="28" t="s">
        <v>503</v>
      </c>
      <c r="B145" s="28" t="s">
        <v>129</v>
      </c>
      <c r="C145" s="29" t="s">
        <v>146</v>
      </c>
      <c r="D145" s="29" t="s">
        <v>10</v>
      </c>
      <c r="E145" s="29" t="s">
        <v>130</v>
      </c>
      <c r="F145" s="29" t="s">
        <v>24</v>
      </c>
      <c r="G145" s="29" t="s">
        <v>13</v>
      </c>
      <c r="H145" s="28" t="str">
        <f t="shared" si="7"/>
        <v>NI-Serial 18.5.0f0</v>
      </c>
      <c r="I145" s="28"/>
      <c r="J145" s="7"/>
    </row>
    <row r="146" spans="1:10" hidden="1" x14ac:dyDescent="0.25">
      <c r="A146" s="28" t="s">
        <v>503</v>
      </c>
      <c r="B146" s="28" t="s">
        <v>64</v>
      </c>
      <c r="C146" s="29" t="s">
        <v>30</v>
      </c>
      <c r="D146" s="29" t="s">
        <v>10</v>
      </c>
      <c r="E146" s="29" t="s">
        <v>11</v>
      </c>
      <c r="F146" s="29" t="s">
        <v>12</v>
      </c>
      <c r="G146" s="29" t="s">
        <v>13</v>
      </c>
      <c r="H146" s="28" t="str">
        <f t="shared" si="7"/>
        <v>NI-Serial Configuration 15.0.0f0</v>
      </c>
      <c r="I146" s="36" t="s">
        <v>42</v>
      </c>
      <c r="J146" s="7"/>
    </row>
    <row r="147" spans="1:10" hidden="1" x14ac:dyDescent="0.25">
      <c r="A147" s="28" t="s">
        <v>503</v>
      </c>
      <c r="B147" s="28" t="s">
        <v>66</v>
      </c>
      <c r="C147" s="29" t="s">
        <v>102</v>
      </c>
      <c r="D147" s="29" t="s">
        <v>10</v>
      </c>
      <c r="E147" s="29" t="s">
        <v>11</v>
      </c>
      <c r="F147" s="29" t="s">
        <v>12</v>
      </c>
      <c r="G147" s="29" t="s">
        <v>13</v>
      </c>
      <c r="H147" s="28" t="str">
        <f t="shared" si="7"/>
        <v>NI-SWITCH 15.0</v>
      </c>
      <c r="I147" s="36" t="s">
        <v>42</v>
      </c>
      <c r="J147" s="7"/>
    </row>
    <row r="148" spans="1:10" hidden="1" x14ac:dyDescent="0.25">
      <c r="A148" s="28" t="s">
        <v>503</v>
      </c>
      <c r="B148" s="28" t="s">
        <v>66</v>
      </c>
      <c r="C148" s="29" t="s">
        <v>102</v>
      </c>
      <c r="D148" s="29" t="s">
        <v>10</v>
      </c>
      <c r="E148" s="29" t="s">
        <v>11</v>
      </c>
      <c r="F148" s="29" t="s">
        <v>24</v>
      </c>
      <c r="G148" s="29" t="s">
        <v>13</v>
      </c>
      <c r="H148" s="28" t="str">
        <f t="shared" si="7"/>
        <v>NI-SWITCH 15.0</v>
      </c>
      <c r="I148" s="36" t="s">
        <v>42</v>
      </c>
      <c r="J148" s="7"/>
    </row>
    <row r="149" spans="1:10" hidden="1" x14ac:dyDescent="0.25">
      <c r="A149" s="28" t="s">
        <v>503</v>
      </c>
      <c r="B149" s="28" t="s">
        <v>131</v>
      </c>
      <c r="C149" s="29" t="s">
        <v>102</v>
      </c>
      <c r="D149" s="29" t="s">
        <v>10</v>
      </c>
      <c r="E149" s="29" t="s">
        <v>11</v>
      </c>
      <c r="F149" s="29" t="s">
        <v>12</v>
      </c>
      <c r="G149" s="29" t="s">
        <v>13</v>
      </c>
      <c r="H149" s="28" t="str">
        <f t="shared" si="7"/>
        <v>NI-SWITCH Configuration Support 15.0</v>
      </c>
      <c r="I149" s="36" t="s">
        <v>42</v>
      </c>
      <c r="J149" s="7"/>
    </row>
    <row r="150" spans="1:10" hidden="1" x14ac:dyDescent="0.25">
      <c r="A150" s="28" t="s">
        <v>503</v>
      </c>
      <c r="B150" s="28" t="s">
        <v>132</v>
      </c>
      <c r="C150" s="29" t="s">
        <v>102</v>
      </c>
      <c r="D150" s="29" t="s">
        <v>10</v>
      </c>
      <c r="E150" s="29" t="s">
        <v>11</v>
      </c>
      <c r="F150" s="29" t="s">
        <v>12</v>
      </c>
      <c r="G150" s="29" t="s">
        <v>13</v>
      </c>
      <c r="H150" s="28" t="str">
        <f t="shared" si="7"/>
        <v>NI-SWITCH Development Support 15.0</v>
      </c>
      <c r="I150" s="36" t="s">
        <v>42</v>
      </c>
      <c r="J150" s="7"/>
    </row>
    <row r="151" spans="1:10" hidden="1" x14ac:dyDescent="0.25">
      <c r="A151" s="28" t="s">
        <v>503</v>
      </c>
      <c r="B151" s="28" t="s">
        <v>67</v>
      </c>
      <c r="C151" s="29" t="s">
        <v>9</v>
      </c>
      <c r="D151" s="29" t="s">
        <v>10</v>
      </c>
      <c r="E151" s="29" t="s">
        <v>11</v>
      </c>
      <c r="F151" s="29" t="s">
        <v>12</v>
      </c>
      <c r="G151" s="29" t="s">
        <v>13</v>
      </c>
      <c r="H151" s="28" t="str">
        <f t="shared" si="7"/>
        <v>NI-SWITCH Soft Front Panel 15.0.0</v>
      </c>
      <c r="I151" s="36" t="s">
        <v>42</v>
      </c>
      <c r="J151" s="7"/>
    </row>
    <row r="152" spans="1:10" hidden="1" x14ac:dyDescent="0.25">
      <c r="A152" s="28" t="s">
        <v>503</v>
      </c>
      <c r="B152" s="28" t="s">
        <v>56</v>
      </c>
      <c r="C152" s="29" t="s">
        <v>30</v>
      </c>
      <c r="D152" s="29" t="s">
        <v>10</v>
      </c>
      <c r="E152" s="29" t="s">
        <v>11</v>
      </c>
      <c r="F152" s="29" t="s">
        <v>12</v>
      </c>
      <c r="G152" s="29" t="s">
        <v>13</v>
      </c>
      <c r="H152" s="28" t="str">
        <f t="shared" si="7"/>
        <v>NI-Sync 15.0.0f0</v>
      </c>
      <c r="I152" s="36" t="s">
        <v>42</v>
      </c>
      <c r="J152" s="7"/>
    </row>
    <row r="153" spans="1:10" hidden="1" x14ac:dyDescent="0.25">
      <c r="A153" s="28" t="s">
        <v>503</v>
      </c>
      <c r="B153" s="28" t="s">
        <v>69</v>
      </c>
      <c r="C153" s="29" t="s">
        <v>102</v>
      </c>
      <c r="D153" s="29" t="s">
        <v>10</v>
      </c>
      <c r="E153" s="29" t="s">
        <v>11</v>
      </c>
      <c r="F153" s="29" t="s">
        <v>12</v>
      </c>
      <c r="G153" s="29" t="s">
        <v>13</v>
      </c>
      <c r="H153" s="28" t="str">
        <f t="shared" si="7"/>
        <v>NI-TClk 15.0</v>
      </c>
      <c r="I153" s="36" t="s">
        <v>42</v>
      </c>
      <c r="J153" s="7"/>
    </row>
    <row r="154" spans="1:10" hidden="1" x14ac:dyDescent="0.25">
      <c r="A154" s="28" t="s">
        <v>503</v>
      </c>
      <c r="B154" s="28" t="s">
        <v>57</v>
      </c>
      <c r="C154" s="29" t="s">
        <v>30</v>
      </c>
      <c r="D154" s="29" t="s">
        <v>10</v>
      </c>
      <c r="E154" s="29" t="s">
        <v>11</v>
      </c>
      <c r="F154" s="29" t="s">
        <v>12</v>
      </c>
      <c r="G154" s="29" t="s">
        <v>13</v>
      </c>
      <c r="H154" s="28" t="str">
        <f t="shared" si="7"/>
        <v>NI-TimeSync 15.0.0f0</v>
      </c>
      <c r="I154" s="36" t="s">
        <v>42</v>
      </c>
      <c r="J154" s="7"/>
    </row>
    <row r="155" spans="1:10" hidden="1" x14ac:dyDescent="0.25">
      <c r="A155" s="28" t="s">
        <v>503</v>
      </c>
      <c r="B155" s="28" t="s">
        <v>46</v>
      </c>
      <c r="C155" s="29" t="s">
        <v>152</v>
      </c>
      <c r="D155" s="29" t="s">
        <v>10</v>
      </c>
      <c r="E155" s="29" t="s">
        <v>153</v>
      </c>
      <c r="F155" s="29" t="s">
        <v>12</v>
      </c>
      <c r="G155" s="29" t="s">
        <v>13</v>
      </c>
      <c r="H155" s="28" t="str">
        <f t="shared" si="7"/>
        <v>NI-USI 17.0.0.6654</v>
      </c>
      <c r="I155" s="28"/>
      <c r="J155" s="7"/>
    </row>
    <row r="156" spans="1:10" hidden="1" x14ac:dyDescent="0.25">
      <c r="A156" s="28" t="s">
        <v>503</v>
      </c>
      <c r="B156" s="28" t="s">
        <v>70</v>
      </c>
      <c r="C156" s="29" t="s">
        <v>120</v>
      </c>
      <c r="D156" s="29" t="s">
        <v>10</v>
      </c>
      <c r="E156" s="29" t="s">
        <v>119</v>
      </c>
      <c r="F156" s="29" t="s">
        <v>12</v>
      </c>
      <c r="G156" s="29" t="s">
        <v>13</v>
      </c>
      <c r="H156" s="28" t="str">
        <f t="shared" si="7"/>
        <v>NI-VISA 19.5</v>
      </c>
      <c r="I156" s="28"/>
      <c r="J156" s="7"/>
    </row>
    <row r="157" spans="1:10" hidden="1" x14ac:dyDescent="0.25">
      <c r="A157" s="28" t="s">
        <v>503</v>
      </c>
      <c r="B157" s="28" t="s">
        <v>70</v>
      </c>
      <c r="C157" s="29" t="s">
        <v>120</v>
      </c>
      <c r="D157" s="29" t="s">
        <v>10</v>
      </c>
      <c r="E157" s="29" t="s">
        <v>119</v>
      </c>
      <c r="F157" s="29" t="s">
        <v>24</v>
      </c>
      <c r="G157" s="29" t="s">
        <v>13</v>
      </c>
      <c r="H157" s="28" t="str">
        <f t="shared" si="7"/>
        <v>NI-VISA 19.5</v>
      </c>
      <c r="I157" s="28"/>
      <c r="J157" s="7"/>
    </row>
    <row r="158" spans="1:10" hidden="1" x14ac:dyDescent="0.25">
      <c r="A158" s="28" t="s">
        <v>503</v>
      </c>
      <c r="B158" s="28" t="s">
        <v>73</v>
      </c>
      <c r="C158" s="29" t="s">
        <v>72</v>
      </c>
      <c r="D158" s="29" t="s">
        <v>154</v>
      </c>
      <c r="E158" s="29" t="s">
        <v>11</v>
      </c>
      <c r="F158" s="29" t="s">
        <v>12</v>
      </c>
      <c r="G158" s="29" t="s">
        <v>13</v>
      </c>
      <c r="H158" s="28" t="str">
        <f t="shared" si="7"/>
        <v>NIvisaic.exe 15.0.0.49152</v>
      </c>
      <c r="I158" s="36" t="s">
        <v>42</v>
      </c>
      <c r="J158" s="7"/>
    </row>
    <row r="159" spans="1:10" hidden="1" x14ac:dyDescent="0.25">
      <c r="A159" s="28" t="s">
        <v>503</v>
      </c>
      <c r="B159" s="28" t="s">
        <v>71</v>
      </c>
      <c r="C159" s="29" t="s">
        <v>72</v>
      </c>
      <c r="D159" s="29" t="s">
        <v>10</v>
      </c>
      <c r="E159" s="29" t="s">
        <v>11</v>
      </c>
      <c r="F159" s="29" t="s">
        <v>12</v>
      </c>
      <c r="G159" s="29" t="s">
        <v>13</v>
      </c>
      <c r="H159" s="28" t="str">
        <f t="shared" si="7"/>
        <v>NiVisaServer.exe 15.0.0.49152</v>
      </c>
      <c r="I159" s="36" t="s">
        <v>42</v>
      </c>
      <c r="J159" s="7"/>
    </row>
    <row r="160" spans="1:10" hidden="1" x14ac:dyDescent="0.25">
      <c r="A160" s="28" t="s">
        <v>503</v>
      </c>
      <c r="B160" s="28" t="s">
        <v>35</v>
      </c>
      <c r="C160" s="29" t="s">
        <v>92</v>
      </c>
      <c r="D160" s="29" t="s">
        <v>10</v>
      </c>
      <c r="E160" s="29" t="s">
        <v>11</v>
      </c>
      <c r="F160" s="29" t="s">
        <v>12</v>
      </c>
      <c r="G160" s="29" t="s">
        <v>13</v>
      </c>
      <c r="H160" s="28" t="str">
        <f t="shared" si="7"/>
        <v>Real-Time 15.0.1</v>
      </c>
      <c r="I160" s="40" t="s">
        <v>465</v>
      </c>
      <c r="J160" s="7"/>
    </row>
    <row r="161" spans="1:10" hidden="1" x14ac:dyDescent="0.25">
      <c r="A161" s="28" t="s">
        <v>503</v>
      </c>
      <c r="B161" s="28" t="s">
        <v>36</v>
      </c>
      <c r="C161" s="29" t="s">
        <v>92</v>
      </c>
      <c r="D161" s="29" t="s">
        <v>10</v>
      </c>
      <c r="E161" s="29" t="s">
        <v>11</v>
      </c>
      <c r="F161" s="29" t="s">
        <v>12</v>
      </c>
      <c r="G161" s="29" t="s">
        <v>13</v>
      </c>
      <c r="H161" s="28" t="str">
        <f t="shared" si="7"/>
        <v>Real-Time Trace Viewer - LabVIEW 2015 Support 15.0.1</v>
      </c>
      <c r="I161" s="40" t="s">
        <v>465</v>
      </c>
      <c r="J161" s="7"/>
    </row>
    <row r="162" spans="1:10" hidden="1" x14ac:dyDescent="0.25">
      <c r="A162" s="28" t="s">
        <v>503</v>
      </c>
      <c r="B162" s="28" t="s">
        <v>37</v>
      </c>
      <c r="C162" s="29" t="s">
        <v>9</v>
      </c>
      <c r="D162" s="29" t="s">
        <v>10</v>
      </c>
      <c r="E162" s="29" t="s">
        <v>11</v>
      </c>
      <c r="F162" s="29" t="s">
        <v>12</v>
      </c>
      <c r="G162" s="29" t="s">
        <v>13</v>
      </c>
      <c r="H162" s="28" t="str">
        <f t="shared" si="7"/>
        <v>Report Generation Toolkit For Microsoft Office 15.0.0</v>
      </c>
      <c r="I162" s="36" t="s">
        <v>42</v>
      </c>
      <c r="J162" s="7"/>
    </row>
    <row r="163" spans="1:10" hidden="1" x14ac:dyDescent="0.25">
      <c r="A163" s="28" t="s">
        <v>503</v>
      </c>
      <c r="B163" s="28" t="s">
        <v>38</v>
      </c>
      <c r="C163" s="29" t="s">
        <v>102</v>
      </c>
      <c r="D163" s="29" t="s">
        <v>10</v>
      </c>
      <c r="E163" s="29" t="s">
        <v>11</v>
      </c>
      <c r="F163" s="29" t="s">
        <v>12</v>
      </c>
      <c r="G163" s="29" t="s">
        <v>13</v>
      </c>
      <c r="H163" s="28" t="str">
        <f t="shared" si="7"/>
        <v>Statechart Module 15.0</v>
      </c>
      <c r="I163" s="36" t="s">
        <v>42</v>
      </c>
      <c r="J163" s="7"/>
    </row>
    <row r="164" spans="1:10" hidden="1" x14ac:dyDescent="0.25">
      <c r="A164" s="28" t="s">
        <v>503</v>
      </c>
      <c r="B164" s="28" t="s">
        <v>39</v>
      </c>
      <c r="C164" s="29" t="s">
        <v>9</v>
      </c>
      <c r="D164" s="29" t="s">
        <v>10</v>
      </c>
      <c r="E164" s="29" t="s">
        <v>11</v>
      </c>
      <c r="F164" s="29" t="s">
        <v>12</v>
      </c>
      <c r="G164" s="29" t="s">
        <v>13</v>
      </c>
      <c r="H164" s="28" t="str">
        <f t="shared" ref="H164:H195" si="8">B164&amp;" "&amp;C164</f>
        <v>Unit Test Framework Toolkit 15.0.0</v>
      </c>
      <c r="I164" s="36" t="s">
        <v>42</v>
      </c>
      <c r="J164" s="7"/>
    </row>
    <row r="165" spans="1:10" hidden="1" x14ac:dyDescent="0.25">
      <c r="A165" s="28" t="s">
        <v>503</v>
      </c>
      <c r="B165" s="28" t="s">
        <v>40</v>
      </c>
      <c r="C165" s="29" t="s">
        <v>9</v>
      </c>
      <c r="D165" s="29" t="s">
        <v>10</v>
      </c>
      <c r="E165" s="29" t="s">
        <v>11</v>
      </c>
      <c r="F165" s="29" t="s">
        <v>12</v>
      </c>
      <c r="G165" s="29" t="s">
        <v>13</v>
      </c>
      <c r="H165" s="28" t="str">
        <f t="shared" si="8"/>
        <v>VI Analyzer Toolkit 15.0.0</v>
      </c>
      <c r="I165" s="36" t="s">
        <v>42</v>
      </c>
      <c r="J165" s="7"/>
    </row>
    <row r="166" spans="1:10" x14ac:dyDescent="0.25">
      <c r="A166" s="20" t="s">
        <v>542</v>
      </c>
      <c r="B166" s="20" t="s">
        <v>15</v>
      </c>
      <c r="C166" s="21" t="s">
        <v>97</v>
      </c>
      <c r="D166" s="21" t="s">
        <v>10</v>
      </c>
      <c r="E166" s="21">
        <v>2015</v>
      </c>
      <c r="F166" s="21" t="s">
        <v>12</v>
      </c>
      <c r="G166" s="21" t="s">
        <v>13</v>
      </c>
      <c r="H166" s="20" t="str">
        <f t="shared" si="8"/>
        <v>C Series Module Support 15.5.0</v>
      </c>
      <c r="I166" s="20"/>
      <c r="J166" s="7"/>
    </row>
    <row r="167" spans="1:10" x14ac:dyDescent="0.25">
      <c r="A167" s="20" t="s">
        <v>542</v>
      </c>
      <c r="B167" s="20" t="s">
        <v>200</v>
      </c>
      <c r="C167" s="21" t="s">
        <v>201</v>
      </c>
      <c r="D167" s="21" t="s">
        <v>10</v>
      </c>
      <c r="E167" s="21" t="s">
        <v>136</v>
      </c>
      <c r="F167" s="21" t="s">
        <v>12</v>
      </c>
      <c r="G167" s="21" t="s">
        <v>158</v>
      </c>
      <c r="H167" s="20" t="str">
        <f t="shared" si="8"/>
        <v>Caraya Unit Test Framework 0.6.3.54</v>
      </c>
      <c r="I167" s="120" t="s">
        <v>202</v>
      </c>
      <c r="J167" s="7"/>
    </row>
    <row r="168" spans="1:10" x14ac:dyDescent="0.25">
      <c r="A168" s="20" t="s">
        <v>542</v>
      </c>
      <c r="B168" s="20" t="s">
        <v>14</v>
      </c>
      <c r="C168" s="21" t="s">
        <v>97</v>
      </c>
      <c r="D168" s="21" t="s">
        <v>10</v>
      </c>
      <c r="E168" s="21">
        <v>2015</v>
      </c>
      <c r="F168" s="21" t="s">
        <v>12</v>
      </c>
      <c r="G168" s="21" t="s">
        <v>13</v>
      </c>
      <c r="H168" s="20" t="str">
        <f t="shared" si="8"/>
        <v>CompactRIO 15.5.0</v>
      </c>
      <c r="I168" s="20"/>
      <c r="J168" s="7"/>
    </row>
    <row r="169" spans="1:10" hidden="1" x14ac:dyDescent="0.25">
      <c r="A169" s="20" t="s">
        <v>542</v>
      </c>
      <c r="B169" s="20" t="s">
        <v>174</v>
      </c>
      <c r="C169" s="21" t="s">
        <v>170</v>
      </c>
      <c r="D169" s="21" t="s">
        <v>10</v>
      </c>
      <c r="E169" s="21" t="s">
        <v>11</v>
      </c>
      <c r="F169" s="21" t="s">
        <v>171</v>
      </c>
      <c r="G169" s="21" t="s">
        <v>13</v>
      </c>
      <c r="H169" s="20" t="str">
        <f t="shared" si="8"/>
        <v>CompactRIO Suport 15.5</v>
      </c>
      <c r="I169" s="20"/>
      <c r="J169" s="7"/>
    </row>
    <row r="170" spans="1:10" x14ac:dyDescent="0.25">
      <c r="A170" s="20" t="s">
        <v>542</v>
      </c>
      <c r="B170" s="20" t="s">
        <v>75</v>
      </c>
      <c r="C170" s="21" t="s">
        <v>364</v>
      </c>
      <c r="D170" s="21" t="s">
        <v>10</v>
      </c>
      <c r="E170" s="21" t="s">
        <v>119</v>
      </c>
      <c r="F170" s="21" t="s">
        <v>24</v>
      </c>
      <c r="G170" s="21" t="s">
        <v>13</v>
      </c>
      <c r="H170" s="20" t="str">
        <f t="shared" si="8"/>
        <v>CVI 19.0.0.49154</v>
      </c>
      <c r="I170" s="20"/>
      <c r="J170" s="7"/>
    </row>
    <row r="171" spans="1:10" x14ac:dyDescent="0.25">
      <c r="A171" s="20" t="s">
        <v>542</v>
      </c>
      <c r="B171" s="20" t="s">
        <v>33</v>
      </c>
      <c r="C171" s="21" t="s">
        <v>9</v>
      </c>
      <c r="D171" s="21" t="s">
        <v>10</v>
      </c>
      <c r="E171" s="21">
        <v>2015</v>
      </c>
      <c r="F171" s="21" t="s">
        <v>12</v>
      </c>
      <c r="G171" s="21" t="s">
        <v>13</v>
      </c>
      <c r="H171" s="20" t="str">
        <f t="shared" si="8"/>
        <v>Database Connectivity Toolkit 15.0.0</v>
      </c>
      <c r="I171" s="36" t="s">
        <v>42</v>
      </c>
      <c r="J171" s="7"/>
    </row>
    <row r="172" spans="1:10" x14ac:dyDescent="0.25">
      <c r="A172" s="20" t="s">
        <v>542</v>
      </c>
      <c r="B172" s="20" t="s">
        <v>203</v>
      </c>
      <c r="C172" s="21" t="s">
        <v>204</v>
      </c>
      <c r="D172" s="21" t="s">
        <v>10</v>
      </c>
      <c r="E172" s="21" t="s">
        <v>136</v>
      </c>
      <c r="F172" s="21" t="s">
        <v>12</v>
      </c>
      <c r="G172" s="21" t="s">
        <v>540</v>
      </c>
      <c r="H172" s="20" t="str">
        <f t="shared" si="8"/>
        <v>Delacor QMH 4.0.0.28</v>
      </c>
      <c r="I172" s="119" t="s">
        <v>202</v>
      </c>
      <c r="J172" s="7"/>
    </row>
    <row r="173" spans="1:10" x14ac:dyDescent="0.25">
      <c r="A173" s="20" t="s">
        <v>542</v>
      </c>
      <c r="B173" s="20" t="s">
        <v>205</v>
      </c>
      <c r="C173" s="21" t="s">
        <v>537</v>
      </c>
      <c r="D173" s="21" t="s">
        <v>10</v>
      </c>
      <c r="E173" s="21" t="s">
        <v>136</v>
      </c>
      <c r="F173" s="21" t="s">
        <v>12</v>
      </c>
      <c r="G173" s="21" t="s">
        <v>540</v>
      </c>
      <c r="H173" s="20" t="str">
        <f t="shared" si="8"/>
        <v>Delacor QMH Event Scripter 4.0.0.68</v>
      </c>
      <c r="I173" s="119" t="s">
        <v>202</v>
      </c>
      <c r="J173" s="7"/>
    </row>
    <row r="174" spans="1:10" x14ac:dyDescent="0.25">
      <c r="A174" s="20" t="s">
        <v>542</v>
      </c>
      <c r="B174" s="20" t="s">
        <v>206</v>
      </c>
      <c r="C174" s="21" t="s">
        <v>207</v>
      </c>
      <c r="D174" s="21" t="s">
        <v>10</v>
      </c>
      <c r="E174" s="21" t="s">
        <v>136</v>
      </c>
      <c r="F174" s="21" t="s">
        <v>12</v>
      </c>
      <c r="G174" s="21" t="s">
        <v>540</v>
      </c>
      <c r="H174" s="20" t="str">
        <f t="shared" si="8"/>
        <v>Delacor QMH Palette 3.0.0.1</v>
      </c>
      <c r="I174" s="119" t="s">
        <v>202</v>
      </c>
      <c r="J174" s="7"/>
    </row>
    <row r="175" spans="1:10" x14ac:dyDescent="0.25">
      <c r="A175" s="20" t="s">
        <v>542</v>
      </c>
      <c r="B175" s="20" t="s">
        <v>208</v>
      </c>
      <c r="C175" s="21" t="s">
        <v>209</v>
      </c>
      <c r="D175" s="21" t="s">
        <v>10</v>
      </c>
      <c r="E175" s="21" t="s">
        <v>136</v>
      </c>
      <c r="F175" s="21" t="s">
        <v>12</v>
      </c>
      <c r="G175" s="21" t="s">
        <v>540</v>
      </c>
      <c r="H175" s="20" t="str">
        <f t="shared" si="8"/>
        <v>Delacor QMH Project Template 4.0.0.47</v>
      </c>
      <c r="I175" s="119" t="s">
        <v>202</v>
      </c>
      <c r="J175" s="7"/>
    </row>
    <row r="176" spans="1:10" x14ac:dyDescent="0.25">
      <c r="A176" s="20" t="s">
        <v>542</v>
      </c>
      <c r="B176" s="20" t="s">
        <v>210</v>
      </c>
      <c r="C176" s="21" t="s">
        <v>211</v>
      </c>
      <c r="D176" s="21" t="s">
        <v>10</v>
      </c>
      <c r="E176" s="21" t="s">
        <v>136</v>
      </c>
      <c r="F176" s="21" t="s">
        <v>12</v>
      </c>
      <c r="G176" s="21" t="s">
        <v>540</v>
      </c>
      <c r="H176" s="20" t="str">
        <f t="shared" si="8"/>
        <v>Delacor QMH Thermal Chamber Examples 4.0.0.21</v>
      </c>
      <c r="I176" s="119" t="s">
        <v>202</v>
      </c>
      <c r="J176" s="7"/>
    </row>
    <row r="177" spans="1:10" x14ac:dyDescent="0.25">
      <c r="A177" s="20" t="s">
        <v>542</v>
      </c>
      <c r="B177" s="20" t="s">
        <v>212</v>
      </c>
      <c r="C177" s="21" t="s">
        <v>213</v>
      </c>
      <c r="D177" s="21" t="s">
        <v>10</v>
      </c>
      <c r="E177" s="21" t="s">
        <v>136</v>
      </c>
      <c r="F177" s="21" t="s">
        <v>12</v>
      </c>
      <c r="G177" s="21" t="s">
        <v>214</v>
      </c>
      <c r="H177" s="20" t="str">
        <f t="shared" si="8"/>
        <v>DMC UX Toolkit 1.0.0.2</v>
      </c>
      <c r="I177" s="119" t="s">
        <v>202</v>
      </c>
      <c r="J177" s="7"/>
    </row>
    <row r="178" spans="1:10" x14ac:dyDescent="0.25">
      <c r="A178" s="20" t="s">
        <v>542</v>
      </c>
      <c r="B178" s="20" t="s">
        <v>365</v>
      </c>
      <c r="C178" s="21">
        <v>15</v>
      </c>
      <c r="D178" s="21" t="s">
        <v>10</v>
      </c>
      <c r="E178" s="21" t="s">
        <v>11</v>
      </c>
      <c r="F178" s="21" t="s">
        <v>12</v>
      </c>
      <c r="G178" s="21" t="s">
        <v>13</v>
      </c>
      <c r="H178" s="20" t="str">
        <f t="shared" si="8"/>
        <v>FieldPoint 15</v>
      </c>
      <c r="I178" s="20"/>
      <c r="J178" s="7"/>
    </row>
    <row r="179" spans="1:10" x14ac:dyDescent="0.25">
      <c r="A179" s="20" t="s">
        <v>542</v>
      </c>
      <c r="B179" s="20" t="s">
        <v>58</v>
      </c>
      <c r="C179" s="21" t="s">
        <v>389</v>
      </c>
      <c r="D179" s="21" t="s">
        <v>10</v>
      </c>
      <c r="E179" s="21">
        <v>2015</v>
      </c>
      <c r="F179" s="21" t="s">
        <v>12</v>
      </c>
      <c r="G179" s="21" t="s">
        <v>13</v>
      </c>
      <c r="H179" s="20" t="str">
        <f t="shared" si="8"/>
        <v>FlexRIO 15.5.0f0</v>
      </c>
      <c r="I179" s="20"/>
      <c r="J179" s="7"/>
    </row>
    <row r="180" spans="1:10" x14ac:dyDescent="0.25">
      <c r="A180" s="20" t="s">
        <v>542</v>
      </c>
      <c r="B180" s="20" t="s">
        <v>397</v>
      </c>
      <c r="C180" s="21" t="s">
        <v>92</v>
      </c>
      <c r="D180" s="21" t="s">
        <v>10</v>
      </c>
      <c r="E180" s="21">
        <v>2015</v>
      </c>
      <c r="F180" s="21" t="s">
        <v>12</v>
      </c>
      <c r="G180" s="21" t="s">
        <v>13</v>
      </c>
      <c r="H180" s="20" t="str">
        <f t="shared" si="8"/>
        <v>FPGA 15.0.1</v>
      </c>
      <c r="I180" s="20"/>
      <c r="J180" s="7"/>
    </row>
    <row r="181" spans="1:10" x14ac:dyDescent="0.25">
      <c r="A181" s="20" t="s">
        <v>542</v>
      </c>
      <c r="B181" s="20" t="s">
        <v>215</v>
      </c>
      <c r="C181" s="21" t="s">
        <v>216</v>
      </c>
      <c r="D181" s="21" t="s">
        <v>10</v>
      </c>
      <c r="E181" s="21" t="s">
        <v>136</v>
      </c>
      <c r="F181" s="21" t="s">
        <v>12</v>
      </c>
      <c r="G181" s="21" t="s">
        <v>217</v>
      </c>
      <c r="H181" s="20" t="str">
        <f t="shared" si="8"/>
        <v>GPower All Toolsets 2017.0.0.11</v>
      </c>
      <c r="I181" s="119" t="s">
        <v>202</v>
      </c>
      <c r="J181" s="7"/>
    </row>
    <row r="182" spans="1:10" x14ac:dyDescent="0.25">
      <c r="A182" s="20" t="s">
        <v>542</v>
      </c>
      <c r="B182" s="20" t="s">
        <v>218</v>
      </c>
      <c r="C182" s="21" t="s">
        <v>162</v>
      </c>
      <c r="D182" s="21" t="s">
        <v>10</v>
      </c>
      <c r="E182" s="21" t="s">
        <v>136</v>
      </c>
      <c r="F182" s="21" t="s">
        <v>12</v>
      </c>
      <c r="G182" s="21" t="s">
        <v>217</v>
      </c>
      <c r="H182" s="20" t="str">
        <f t="shared" si="8"/>
        <v>GPower Array 2016.2.0.27</v>
      </c>
      <c r="I182" s="119" t="s">
        <v>202</v>
      </c>
      <c r="J182" s="7"/>
    </row>
    <row r="183" spans="1:10" x14ac:dyDescent="0.25">
      <c r="A183" s="20" t="s">
        <v>542</v>
      </c>
      <c r="B183" s="20" t="s">
        <v>161</v>
      </c>
      <c r="C183" s="21" t="s">
        <v>162</v>
      </c>
      <c r="D183" s="21" t="s">
        <v>10</v>
      </c>
      <c r="E183" s="21" t="s">
        <v>163</v>
      </c>
      <c r="F183" s="21" t="s">
        <v>12</v>
      </c>
      <c r="G183" s="21" t="s">
        <v>164</v>
      </c>
      <c r="H183" s="20" t="str">
        <f t="shared" si="8"/>
        <v>Gpower Array Library 2016.2.0.27</v>
      </c>
      <c r="I183" s="119" t="s">
        <v>202</v>
      </c>
      <c r="J183" s="7"/>
    </row>
    <row r="184" spans="1:10" x14ac:dyDescent="0.25">
      <c r="A184" s="20" t="s">
        <v>542</v>
      </c>
      <c r="B184" s="20" t="s">
        <v>219</v>
      </c>
      <c r="C184" s="21" t="s">
        <v>220</v>
      </c>
      <c r="D184" s="21" t="s">
        <v>10</v>
      </c>
      <c r="E184" s="21" t="s">
        <v>136</v>
      </c>
      <c r="F184" s="21" t="s">
        <v>12</v>
      </c>
      <c r="G184" s="21" t="s">
        <v>217</v>
      </c>
      <c r="H184" s="20" t="str">
        <f t="shared" si="8"/>
        <v>GPower Comparison 2016.0.0.4</v>
      </c>
      <c r="I184" s="119" t="s">
        <v>202</v>
      </c>
      <c r="J184" s="7"/>
    </row>
    <row r="185" spans="1:10" x14ac:dyDescent="0.25">
      <c r="A185" s="20" t="s">
        <v>542</v>
      </c>
      <c r="B185" s="20" t="s">
        <v>221</v>
      </c>
      <c r="C185" s="21" t="s">
        <v>222</v>
      </c>
      <c r="D185" s="21" t="s">
        <v>10</v>
      </c>
      <c r="E185" s="21" t="s">
        <v>136</v>
      </c>
      <c r="F185" s="21" t="s">
        <v>12</v>
      </c>
      <c r="G185" s="21" t="s">
        <v>217</v>
      </c>
      <c r="H185" s="20" t="str">
        <f t="shared" si="8"/>
        <v>GPower Error &amp; Warning 2014.0.0.38</v>
      </c>
      <c r="I185" s="119" t="s">
        <v>202</v>
      </c>
      <c r="J185" s="7"/>
    </row>
    <row r="186" spans="1:10" x14ac:dyDescent="0.25">
      <c r="A186" s="20" t="s">
        <v>542</v>
      </c>
      <c r="B186" s="20" t="s">
        <v>223</v>
      </c>
      <c r="C186" s="21" t="s">
        <v>224</v>
      </c>
      <c r="D186" s="21" t="s">
        <v>10</v>
      </c>
      <c r="E186" s="21" t="s">
        <v>136</v>
      </c>
      <c r="F186" s="21" t="s">
        <v>12</v>
      </c>
      <c r="G186" s="21" t="s">
        <v>217</v>
      </c>
      <c r="H186" s="20" t="str">
        <f t="shared" si="8"/>
        <v>GPower Events 2012.0.0.7</v>
      </c>
      <c r="I186" s="119" t="s">
        <v>202</v>
      </c>
      <c r="J186" s="7"/>
    </row>
    <row r="187" spans="1:10" x14ac:dyDescent="0.25">
      <c r="A187" s="20" t="s">
        <v>542</v>
      </c>
      <c r="B187" s="20" t="s">
        <v>225</v>
      </c>
      <c r="C187" s="21" t="s">
        <v>226</v>
      </c>
      <c r="D187" s="21" t="s">
        <v>10</v>
      </c>
      <c r="E187" s="21" t="s">
        <v>136</v>
      </c>
      <c r="F187" s="21" t="s">
        <v>12</v>
      </c>
      <c r="G187" s="21" t="s">
        <v>217</v>
      </c>
      <c r="H187" s="20" t="str">
        <f t="shared" si="8"/>
        <v>GPower Math 2012.1.0.6</v>
      </c>
      <c r="I187" s="119" t="s">
        <v>202</v>
      </c>
      <c r="J187" s="7"/>
    </row>
    <row r="188" spans="1:10" x14ac:dyDescent="0.25">
      <c r="A188" s="20" t="s">
        <v>542</v>
      </c>
      <c r="B188" s="20" t="s">
        <v>227</v>
      </c>
      <c r="C188" s="21" t="s">
        <v>228</v>
      </c>
      <c r="D188" s="21" t="s">
        <v>10</v>
      </c>
      <c r="E188" s="21" t="s">
        <v>136</v>
      </c>
      <c r="F188" s="21" t="s">
        <v>12</v>
      </c>
      <c r="G188" s="21" t="s">
        <v>217</v>
      </c>
      <c r="H188" s="20" t="str">
        <f t="shared" si="8"/>
        <v>GPower Numeric 2016.2.0.14</v>
      </c>
      <c r="I188" s="119" t="s">
        <v>202</v>
      </c>
      <c r="J188" s="7"/>
    </row>
    <row r="189" spans="1:10" x14ac:dyDescent="0.25">
      <c r="A189" s="20" t="s">
        <v>542</v>
      </c>
      <c r="B189" s="20" t="s">
        <v>229</v>
      </c>
      <c r="C189" s="21" t="s">
        <v>230</v>
      </c>
      <c r="D189" s="21" t="s">
        <v>10</v>
      </c>
      <c r="E189" s="21" t="s">
        <v>136</v>
      </c>
      <c r="F189" s="21" t="s">
        <v>12</v>
      </c>
      <c r="G189" s="21" t="s">
        <v>217</v>
      </c>
      <c r="H189" s="20" t="str">
        <f t="shared" si="8"/>
        <v>GPower Overflow 2014.0.0.4</v>
      </c>
      <c r="I189" s="119" t="s">
        <v>202</v>
      </c>
      <c r="J189" s="7"/>
    </row>
    <row r="190" spans="1:10" x14ac:dyDescent="0.25">
      <c r="A190" s="20" t="s">
        <v>542</v>
      </c>
      <c r="B190" s="20" t="s">
        <v>231</v>
      </c>
      <c r="C190" s="21" t="s">
        <v>232</v>
      </c>
      <c r="D190" s="21" t="s">
        <v>10</v>
      </c>
      <c r="E190" s="21" t="s">
        <v>136</v>
      </c>
      <c r="F190" s="21" t="s">
        <v>12</v>
      </c>
      <c r="G190" s="21" t="s">
        <v>217</v>
      </c>
      <c r="H190" s="20" t="str">
        <f t="shared" si="8"/>
        <v>GPower String 2016.1.0.11</v>
      </c>
      <c r="I190" s="119" t="s">
        <v>202</v>
      </c>
      <c r="J190" s="7"/>
    </row>
    <row r="191" spans="1:10" x14ac:dyDescent="0.25">
      <c r="A191" s="20" t="s">
        <v>542</v>
      </c>
      <c r="B191" s="20" t="s">
        <v>233</v>
      </c>
      <c r="C191" s="21" t="s">
        <v>234</v>
      </c>
      <c r="D191" s="21" t="s">
        <v>10</v>
      </c>
      <c r="E191" s="21" t="s">
        <v>136</v>
      </c>
      <c r="F191" s="21" t="s">
        <v>12</v>
      </c>
      <c r="G191" s="21" t="s">
        <v>217</v>
      </c>
      <c r="H191" s="20" t="str">
        <f t="shared" si="8"/>
        <v>GPower Timing 2017.0.0.26</v>
      </c>
      <c r="I191" s="119" t="s">
        <v>202</v>
      </c>
      <c r="J191" s="7"/>
    </row>
    <row r="192" spans="1:10" x14ac:dyDescent="0.25">
      <c r="A192" s="20" t="s">
        <v>542</v>
      </c>
      <c r="B192" s="20" t="s">
        <v>235</v>
      </c>
      <c r="C192" s="21" t="s">
        <v>236</v>
      </c>
      <c r="D192" s="21" t="s">
        <v>10</v>
      </c>
      <c r="E192" s="21" t="s">
        <v>136</v>
      </c>
      <c r="F192" s="21" t="s">
        <v>12</v>
      </c>
      <c r="G192" s="21" t="s">
        <v>217</v>
      </c>
      <c r="H192" s="20" t="str">
        <f t="shared" si="8"/>
        <v>GPower VI Launcher 2012.2.0.26</v>
      </c>
      <c r="I192" s="119" t="s">
        <v>202</v>
      </c>
      <c r="J192" s="7"/>
    </row>
    <row r="193" spans="1:10" x14ac:dyDescent="0.25">
      <c r="A193" s="20" t="s">
        <v>542</v>
      </c>
      <c r="B193" s="20" t="s">
        <v>237</v>
      </c>
      <c r="C193" s="21" t="s">
        <v>238</v>
      </c>
      <c r="D193" s="21" t="s">
        <v>10</v>
      </c>
      <c r="E193" s="21" t="s">
        <v>136</v>
      </c>
      <c r="F193" s="21" t="s">
        <v>12</v>
      </c>
      <c r="G193" s="21" t="s">
        <v>217</v>
      </c>
      <c r="H193" s="20" t="str">
        <f t="shared" si="8"/>
        <v>GPower VI Register 2016.0.0.31</v>
      </c>
      <c r="I193" s="119" t="s">
        <v>202</v>
      </c>
      <c r="J193" s="7"/>
    </row>
    <row r="194" spans="1:10" hidden="1" x14ac:dyDescent="0.25">
      <c r="A194" s="20" t="s">
        <v>542</v>
      </c>
      <c r="B194" s="20" t="s">
        <v>187</v>
      </c>
      <c r="C194" s="21" t="s">
        <v>9</v>
      </c>
      <c r="D194" s="21" t="s">
        <v>10</v>
      </c>
      <c r="E194" s="21" t="s">
        <v>11</v>
      </c>
      <c r="F194" s="21" t="s">
        <v>171</v>
      </c>
      <c r="G194" s="21" t="s">
        <v>13</v>
      </c>
      <c r="H194" s="20" t="str">
        <f t="shared" si="8"/>
        <v>Hardware Configuration and Web Support 15.0.0</v>
      </c>
      <c r="I194" s="20"/>
      <c r="J194" s="7"/>
    </row>
    <row r="195" spans="1:10" hidden="1" x14ac:dyDescent="0.25">
      <c r="A195" s="20" t="s">
        <v>542</v>
      </c>
      <c r="B195" s="20" t="s">
        <v>178</v>
      </c>
      <c r="C195" s="21" t="s">
        <v>9</v>
      </c>
      <c r="D195" s="21" t="s">
        <v>10</v>
      </c>
      <c r="E195" s="21" t="s">
        <v>11</v>
      </c>
      <c r="F195" s="21" t="s">
        <v>171</v>
      </c>
      <c r="G195" s="21" t="s">
        <v>13</v>
      </c>
      <c r="H195" s="20" t="str">
        <f t="shared" si="8"/>
        <v>HTTP Client with SSL Support 15.0.0</v>
      </c>
      <c r="I195" s="20"/>
      <c r="J195" s="7"/>
    </row>
    <row r="196" spans="1:10" hidden="1" x14ac:dyDescent="0.25">
      <c r="A196" s="20" t="s">
        <v>542</v>
      </c>
      <c r="B196" s="20" t="s">
        <v>179</v>
      </c>
      <c r="C196" s="21"/>
      <c r="D196" s="21" t="s">
        <v>10</v>
      </c>
      <c r="E196" s="21" t="s">
        <v>136</v>
      </c>
      <c r="F196" s="21" t="s">
        <v>171</v>
      </c>
      <c r="G196" s="21" t="s">
        <v>13</v>
      </c>
      <c r="H196" s="20" t="str">
        <f t="shared" ref="H196:H205" si="9">B196&amp;" "&amp;C196</f>
        <v xml:space="preserve">I/O Variable Remorte Configuration Web Server </v>
      </c>
      <c r="I196" s="20"/>
      <c r="J196" s="7"/>
    </row>
    <row r="197" spans="1:10" x14ac:dyDescent="0.25">
      <c r="A197" s="20" t="s">
        <v>542</v>
      </c>
      <c r="B197" s="20" t="s">
        <v>371</v>
      </c>
      <c r="C197" s="21" t="s">
        <v>372</v>
      </c>
      <c r="D197" s="21" t="s">
        <v>10</v>
      </c>
      <c r="E197" s="21" t="s">
        <v>119</v>
      </c>
      <c r="F197" s="21" t="s">
        <v>12</v>
      </c>
      <c r="G197" s="21" t="s">
        <v>13</v>
      </c>
      <c r="H197" s="20" t="str">
        <f t="shared" si="9"/>
        <v>Image Processing and Machine Vision 19.5.0.49152</v>
      </c>
      <c r="I197" s="39" t="s">
        <v>424</v>
      </c>
      <c r="J197" s="7"/>
    </row>
    <row r="198" spans="1:10" x14ac:dyDescent="0.25">
      <c r="A198" s="20" t="s">
        <v>542</v>
      </c>
      <c r="B198" s="20" t="s">
        <v>373</v>
      </c>
      <c r="C198" s="21" t="s">
        <v>372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9"/>
        <v>Image Services 19.5.0.49152</v>
      </c>
      <c r="I198" s="39" t="s">
        <v>424</v>
      </c>
      <c r="J198" s="7"/>
    </row>
    <row r="199" spans="1:10" x14ac:dyDescent="0.25">
      <c r="A199" s="20" t="s">
        <v>542</v>
      </c>
      <c r="B199" s="20" t="s">
        <v>376</v>
      </c>
      <c r="C199" s="21">
        <v>1.5</v>
      </c>
      <c r="D199" s="21" t="s">
        <v>10</v>
      </c>
      <c r="E199" s="21" t="s">
        <v>136</v>
      </c>
      <c r="F199" s="21" t="s">
        <v>12</v>
      </c>
      <c r="G199" s="21" t="s">
        <v>13</v>
      </c>
      <c r="H199" s="20" t="str">
        <f t="shared" si="9"/>
        <v>IVI Driver Toolset 1.5</v>
      </c>
      <c r="I199" s="20"/>
      <c r="J199" s="7"/>
    </row>
    <row r="200" spans="1:10" x14ac:dyDescent="0.25">
      <c r="A200" s="20" t="s">
        <v>542</v>
      </c>
      <c r="B200" s="20" t="s">
        <v>374</v>
      </c>
      <c r="C200" s="21" t="s">
        <v>375</v>
      </c>
      <c r="D200" s="21" t="s">
        <v>10</v>
      </c>
      <c r="E200" s="21">
        <v>2015</v>
      </c>
      <c r="F200" s="21" t="s">
        <v>12</v>
      </c>
      <c r="G200" s="21" t="s">
        <v>13</v>
      </c>
      <c r="H200" s="20" t="str">
        <f t="shared" si="9"/>
        <v>IVI Engine 15.0.0.f0</v>
      </c>
      <c r="I200" s="20"/>
      <c r="J200" s="7"/>
    </row>
    <row r="201" spans="1:10" x14ac:dyDescent="0.25">
      <c r="A201" s="20" t="s">
        <v>542</v>
      </c>
      <c r="B201" s="20" t="s">
        <v>239</v>
      </c>
      <c r="C201" s="21" t="s">
        <v>240</v>
      </c>
      <c r="D201" s="21" t="s">
        <v>10</v>
      </c>
      <c r="E201" s="21" t="s">
        <v>136</v>
      </c>
      <c r="F201" s="21" t="s">
        <v>12</v>
      </c>
      <c r="G201" s="21" t="s">
        <v>158</v>
      </c>
      <c r="H201" s="20" t="str">
        <f t="shared" si="9"/>
        <v>JKI State Machine 3.0.0.8</v>
      </c>
      <c r="I201" s="119" t="s">
        <v>202</v>
      </c>
      <c r="J201" s="7"/>
    </row>
    <row r="202" spans="1:10" x14ac:dyDescent="0.25">
      <c r="A202" s="20" t="s">
        <v>542</v>
      </c>
      <c r="B202" s="20" t="s">
        <v>241</v>
      </c>
      <c r="C202" s="21" t="s">
        <v>242</v>
      </c>
      <c r="D202" s="21" t="s">
        <v>10</v>
      </c>
      <c r="E202" s="21" t="s">
        <v>136</v>
      </c>
      <c r="F202" s="21" t="s">
        <v>12</v>
      </c>
      <c r="G202" s="21" t="s">
        <v>158</v>
      </c>
      <c r="H202" s="20" t="str">
        <f t="shared" si="9"/>
        <v>JKI State Machine Editor 2013.6.3.239</v>
      </c>
      <c r="I202" s="120" t="s">
        <v>202</v>
      </c>
      <c r="J202" s="7"/>
    </row>
    <row r="203" spans="1:10" x14ac:dyDescent="0.25">
      <c r="A203" s="20" t="s">
        <v>542</v>
      </c>
      <c r="B203" s="20" t="s">
        <v>243</v>
      </c>
      <c r="C203" s="21" t="s">
        <v>244</v>
      </c>
      <c r="D203" s="21" t="s">
        <v>10</v>
      </c>
      <c r="E203" s="21" t="s">
        <v>136</v>
      </c>
      <c r="F203" s="21" t="s">
        <v>12</v>
      </c>
      <c r="G203" s="21" t="s">
        <v>158</v>
      </c>
      <c r="H203" s="20" t="str">
        <f t="shared" si="9"/>
        <v>JKI State Machine Objects (SMO) 1.3.0.56</v>
      </c>
      <c r="I203" s="120" t="s">
        <v>202</v>
      </c>
      <c r="J203" s="7"/>
    </row>
    <row r="204" spans="1:10" x14ac:dyDescent="0.25">
      <c r="A204" s="20" t="s">
        <v>542</v>
      </c>
      <c r="B204" s="20" t="s">
        <v>157</v>
      </c>
      <c r="C204" s="21"/>
      <c r="D204" s="21"/>
      <c r="E204" s="21" t="s">
        <v>136</v>
      </c>
      <c r="F204" s="21" t="s">
        <v>12</v>
      </c>
      <c r="G204" s="21" t="s">
        <v>13</v>
      </c>
      <c r="H204" s="20" t="str">
        <f t="shared" si="9"/>
        <v xml:space="preserve">JKI VIPM </v>
      </c>
      <c r="I204" s="127" t="s">
        <v>536</v>
      </c>
      <c r="J204" s="7"/>
    </row>
    <row r="205" spans="1:10" x14ac:dyDescent="0.25">
      <c r="A205" s="20" t="s">
        <v>542</v>
      </c>
      <c r="B205" s="20" t="s">
        <v>245</v>
      </c>
      <c r="C205" s="21" t="s">
        <v>246</v>
      </c>
      <c r="D205" s="21" t="s">
        <v>10</v>
      </c>
      <c r="E205" s="21" t="s">
        <v>136</v>
      </c>
      <c r="F205" s="21" t="s">
        <v>12</v>
      </c>
      <c r="G205" s="21" t="s">
        <v>247</v>
      </c>
      <c r="H205" s="20" t="str">
        <f t="shared" si="9"/>
        <v>jki_rsc_toolkits_palette 1.1-1</v>
      </c>
      <c r="I205" s="120" t="s">
        <v>202</v>
      </c>
      <c r="J205" s="7"/>
    </row>
    <row r="206" spans="1:10" x14ac:dyDescent="0.25">
      <c r="A206" s="20" t="s">
        <v>542</v>
      </c>
      <c r="B206" s="20" t="s">
        <v>32</v>
      </c>
      <c r="C206" s="21" t="s">
        <v>105</v>
      </c>
      <c r="D206" s="21" t="s">
        <v>10</v>
      </c>
      <c r="E206" s="21" t="s">
        <v>106</v>
      </c>
      <c r="F206" s="21" t="s">
        <v>24</v>
      </c>
      <c r="G206" s="21" t="s">
        <v>13</v>
      </c>
      <c r="H206" s="20" t="str">
        <f t="shared" ref="H206:H214" si="10">B206&amp;" "&amp;E206&amp;" "&amp;C206</f>
        <v>LabVIEW 2012 SP1 f9 12.0.1</v>
      </c>
      <c r="I206" s="36" t="s">
        <v>42</v>
      </c>
      <c r="J206" s="7"/>
    </row>
    <row r="207" spans="1:10" x14ac:dyDescent="0.25">
      <c r="A207" s="20" t="s">
        <v>542</v>
      </c>
      <c r="B207" s="20" t="s">
        <v>32</v>
      </c>
      <c r="C207" s="21" t="s">
        <v>110</v>
      </c>
      <c r="D207" s="21" t="s">
        <v>10</v>
      </c>
      <c r="E207" s="21" t="s">
        <v>109</v>
      </c>
      <c r="F207" s="21" t="s">
        <v>24</v>
      </c>
      <c r="G207" s="21" t="s">
        <v>13</v>
      </c>
      <c r="H207" s="20" t="str">
        <f t="shared" si="10"/>
        <v>LabVIEW 2014 SP1 f11 14.0.1</v>
      </c>
      <c r="I207" s="40" t="s">
        <v>465</v>
      </c>
      <c r="J207" s="7"/>
    </row>
    <row r="208" spans="1:10" x14ac:dyDescent="0.25">
      <c r="A208" s="20" t="s">
        <v>542</v>
      </c>
      <c r="B208" s="20" t="s">
        <v>32</v>
      </c>
      <c r="C208" s="21" t="s">
        <v>404</v>
      </c>
      <c r="D208" s="21" t="s">
        <v>10</v>
      </c>
      <c r="E208" s="21" t="s">
        <v>405</v>
      </c>
      <c r="F208" s="21" t="s">
        <v>24</v>
      </c>
      <c r="G208" s="21" t="s">
        <v>13</v>
      </c>
      <c r="H208" s="20" t="str">
        <f t="shared" si="10"/>
        <v>LabVIEW 2016  f6 16.0.0</v>
      </c>
      <c r="I208" s="20"/>
      <c r="J208" s="7"/>
    </row>
    <row r="209" spans="1:10" x14ac:dyDescent="0.25">
      <c r="A209" s="20" t="s">
        <v>542</v>
      </c>
      <c r="B209" s="20" t="s">
        <v>32</v>
      </c>
      <c r="C209" s="21" t="s">
        <v>406</v>
      </c>
      <c r="D209" s="21" t="s">
        <v>10</v>
      </c>
      <c r="E209" s="21" t="s">
        <v>407</v>
      </c>
      <c r="F209" s="21" t="s">
        <v>24</v>
      </c>
      <c r="G209" s="21" t="s">
        <v>13</v>
      </c>
      <c r="H209" s="20" t="str">
        <f t="shared" si="10"/>
        <v>LabVIEW 2017 SP1 f3 17.0.1</v>
      </c>
      <c r="I209" s="20"/>
      <c r="J209" s="7"/>
    </row>
    <row r="210" spans="1:10" x14ac:dyDescent="0.25">
      <c r="A210" s="20" t="s">
        <v>542</v>
      </c>
      <c r="B210" s="20" t="s">
        <v>32</v>
      </c>
      <c r="C210" s="21" t="s">
        <v>402</v>
      </c>
      <c r="D210" s="21" t="s">
        <v>107</v>
      </c>
      <c r="E210" s="21" t="s">
        <v>403</v>
      </c>
      <c r="F210" s="21" t="s">
        <v>24</v>
      </c>
      <c r="G210" s="21" t="s">
        <v>13</v>
      </c>
      <c r="H210" s="20" t="str">
        <f t="shared" si="10"/>
        <v>LabVIEW 2018 SP1 18.0.1</v>
      </c>
      <c r="I210" s="39" t="s">
        <v>424</v>
      </c>
      <c r="J210" s="7"/>
    </row>
    <row r="211" spans="1:10" x14ac:dyDescent="0.25">
      <c r="A211" s="20" t="s">
        <v>542</v>
      </c>
      <c r="B211" s="20" t="s">
        <v>32</v>
      </c>
      <c r="C211" s="21" t="s">
        <v>112</v>
      </c>
      <c r="D211" s="21" t="s">
        <v>10</v>
      </c>
      <c r="E211" s="21" t="s">
        <v>408</v>
      </c>
      <c r="F211" s="21" t="s">
        <v>24</v>
      </c>
      <c r="G211" s="21" t="s">
        <v>13</v>
      </c>
      <c r="H211" s="20" t="str">
        <f t="shared" si="10"/>
        <v>LabVIEW 2019 SP1 f1 19.0.1</v>
      </c>
      <c r="I211" s="20"/>
      <c r="J211" s="7"/>
    </row>
    <row r="212" spans="1:10" x14ac:dyDescent="0.25">
      <c r="A212" s="20" t="s">
        <v>542</v>
      </c>
      <c r="B212" s="20" t="s">
        <v>32</v>
      </c>
      <c r="C212" s="21" t="s">
        <v>409</v>
      </c>
      <c r="D212" s="21" t="s">
        <v>10</v>
      </c>
      <c r="E212" s="21" t="s">
        <v>155</v>
      </c>
      <c r="F212" s="21" t="s">
        <v>12</v>
      </c>
      <c r="G212" s="21" t="s">
        <v>13</v>
      </c>
      <c r="H212" s="20" t="str">
        <f t="shared" si="10"/>
        <v>LabVIEW 2015 SP1 f7 15</v>
      </c>
      <c r="I212" s="20"/>
      <c r="J212" s="7"/>
    </row>
    <row r="213" spans="1:10" x14ac:dyDescent="0.25">
      <c r="A213" s="20" t="s">
        <v>542</v>
      </c>
      <c r="B213" s="20" t="s">
        <v>32</v>
      </c>
      <c r="C213" s="21" t="s">
        <v>92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LabVIEW 2015 15.0.1</v>
      </c>
      <c r="I213" s="37" t="s">
        <v>91</v>
      </c>
      <c r="J213" s="7"/>
    </row>
    <row r="214" spans="1:10" x14ac:dyDescent="0.25">
      <c r="A214" s="20" t="s">
        <v>542</v>
      </c>
      <c r="B214" s="20" t="s">
        <v>32</v>
      </c>
      <c r="C214" s="21" t="s">
        <v>92</v>
      </c>
      <c r="D214" s="21" t="s">
        <v>10</v>
      </c>
      <c r="E214" s="21" t="s">
        <v>111</v>
      </c>
      <c r="F214" s="21" t="s">
        <v>24</v>
      </c>
      <c r="G214" s="21" t="s">
        <v>13</v>
      </c>
      <c r="H214" s="20" t="str">
        <f t="shared" si="10"/>
        <v>LabVIEW 2015 SP1 15.0.1</v>
      </c>
      <c r="I214" s="37" t="s">
        <v>91</v>
      </c>
      <c r="J214" s="7"/>
    </row>
    <row r="215" spans="1:10" hidden="1" x14ac:dyDescent="0.25">
      <c r="A215" s="20" t="s">
        <v>542</v>
      </c>
      <c r="B215" s="20" t="s">
        <v>172</v>
      </c>
      <c r="C215" s="21" t="s">
        <v>92</v>
      </c>
      <c r="D215" s="21" t="s">
        <v>10</v>
      </c>
      <c r="E215" s="21" t="s">
        <v>11</v>
      </c>
      <c r="F215" s="21" t="s">
        <v>171</v>
      </c>
      <c r="G215" s="21" t="s">
        <v>13</v>
      </c>
      <c r="H215" s="20" t="str">
        <f t="shared" ref="H215:H246" si="11">B215&amp;" "&amp;C215</f>
        <v>LabVIEW Real-Time 15.0.1</v>
      </c>
      <c r="I215" s="20"/>
      <c r="J215" s="7"/>
    </row>
    <row r="216" spans="1:10" x14ac:dyDescent="0.25">
      <c r="A216" s="20" t="s">
        <v>542</v>
      </c>
      <c r="B216" s="20" t="s">
        <v>248</v>
      </c>
      <c r="C216" s="21" t="s">
        <v>249</v>
      </c>
      <c r="D216" s="21" t="s">
        <v>10</v>
      </c>
      <c r="E216" s="21" t="s">
        <v>136</v>
      </c>
      <c r="F216" s="21" t="s">
        <v>12</v>
      </c>
      <c r="G216" s="21" t="s">
        <v>250</v>
      </c>
      <c r="H216" s="20" t="str">
        <f t="shared" si="11"/>
        <v>LAVA Palette 1.0.0.1</v>
      </c>
      <c r="I216" s="119" t="s">
        <v>202</v>
      </c>
      <c r="J216" s="7"/>
    </row>
    <row r="217" spans="1:10" x14ac:dyDescent="0.25">
      <c r="A217" s="20" t="s">
        <v>542</v>
      </c>
      <c r="B217" s="20" t="s">
        <v>41</v>
      </c>
      <c r="C217" s="21" t="s">
        <v>117</v>
      </c>
      <c r="D217" s="21" t="s">
        <v>10</v>
      </c>
      <c r="E217" s="21" t="s">
        <v>119</v>
      </c>
      <c r="F217" s="21" t="s">
        <v>12</v>
      </c>
      <c r="G217" s="21" t="s">
        <v>13</v>
      </c>
      <c r="H217" s="20" t="str">
        <f t="shared" si="11"/>
        <v>Measurement &amp; Automation Explorer 19.5.0f0</v>
      </c>
      <c r="I217" s="20"/>
      <c r="J217" s="7"/>
    </row>
    <row r="218" spans="1:10" x14ac:dyDescent="0.25">
      <c r="A218" s="20" t="s">
        <v>542</v>
      </c>
      <c r="B218" s="20" t="s">
        <v>43</v>
      </c>
      <c r="C218" s="21"/>
      <c r="D218" s="21" t="s">
        <v>10</v>
      </c>
      <c r="E218" s="21" t="s">
        <v>377</v>
      </c>
      <c r="F218" s="21" t="s">
        <v>12</v>
      </c>
      <c r="G218" s="21" t="s">
        <v>13</v>
      </c>
      <c r="H218" s="20" t="str">
        <f t="shared" si="11"/>
        <v xml:space="preserve">Measurement Studio </v>
      </c>
      <c r="I218" s="20"/>
      <c r="J218" s="7"/>
    </row>
    <row r="219" spans="1:10" x14ac:dyDescent="0.25">
      <c r="A219" s="20" t="s">
        <v>542</v>
      </c>
      <c r="B219" s="20" t="s">
        <v>43</v>
      </c>
      <c r="C219" s="21"/>
      <c r="D219" s="21" t="s">
        <v>10</v>
      </c>
      <c r="E219" s="21" t="s">
        <v>130</v>
      </c>
      <c r="F219" s="21" t="s">
        <v>12</v>
      </c>
      <c r="G219" s="21" t="s">
        <v>13</v>
      </c>
      <c r="H219" s="20" t="str">
        <f t="shared" si="11"/>
        <v xml:space="preserve">Measurement Studio </v>
      </c>
      <c r="I219" s="20"/>
      <c r="J219" s="7"/>
    </row>
    <row r="220" spans="1:10" x14ac:dyDescent="0.25">
      <c r="A220" s="20" t="s">
        <v>542</v>
      </c>
      <c r="B220" s="20" t="s">
        <v>43</v>
      </c>
      <c r="C220" s="21"/>
      <c r="D220" s="21" t="s">
        <v>10</v>
      </c>
      <c r="E220" s="21" t="s">
        <v>114</v>
      </c>
      <c r="F220" s="21" t="s">
        <v>12</v>
      </c>
      <c r="G220" s="21" t="s">
        <v>13</v>
      </c>
      <c r="H220" s="20" t="str">
        <f t="shared" si="11"/>
        <v xml:space="preserve">Measurement Studio </v>
      </c>
      <c r="I220" s="36" t="s">
        <v>42</v>
      </c>
      <c r="J220" s="7"/>
    </row>
    <row r="221" spans="1:10" x14ac:dyDescent="0.25">
      <c r="A221" s="20" t="s">
        <v>542</v>
      </c>
      <c r="B221" s="20" t="s">
        <v>116</v>
      </c>
      <c r="C221" s="21" t="s">
        <v>378</v>
      </c>
      <c r="D221" s="21" t="s">
        <v>10</v>
      </c>
      <c r="E221" s="21" t="s">
        <v>377</v>
      </c>
      <c r="F221" s="21" t="s">
        <v>12</v>
      </c>
      <c r="G221" s="21" t="s">
        <v>13</v>
      </c>
      <c r="H221" s="20" t="str">
        <f t="shared" si="11"/>
        <v>Measurement Studio Common 12.0.20.258</v>
      </c>
      <c r="I221" s="20"/>
      <c r="J221" s="7"/>
    </row>
    <row r="222" spans="1:10" x14ac:dyDescent="0.25">
      <c r="A222" s="20" t="s">
        <v>542</v>
      </c>
      <c r="B222" s="20" t="s">
        <v>116</v>
      </c>
      <c r="C222" s="21" t="s">
        <v>380</v>
      </c>
      <c r="D222" s="21" t="s">
        <v>10</v>
      </c>
      <c r="E222" s="21" t="s">
        <v>130</v>
      </c>
      <c r="F222" s="21" t="s">
        <v>12</v>
      </c>
      <c r="G222" s="21" t="s">
        <v>13</v>
      </c>
      <c r="H222" s="20" t="str">
        <f t="shared" si="11"/>
        <v>Measurement Studio Common 13.5.35.173</v>
      </c>
      <c r="I222" s="20"/>
      <c r="J222" s="7"/>
    </row>
    <row r="223" spans="1:10" x14ac:dyDescent="0.25">
      <c r="A223" s="20" t="s">
        <v>542</v>
      </c>
      <c r="B223" s="20" t="s">
        <v>116</v>
      </c>
      <c r="C223" s="21" t="s">
        <v>380</v>
      </c>
      <c r="D223" s="21" t="s">
        <v>107</v>
      </c>
      <c r="E223" s="21" t="s">
        <v>130</v>
      </c>
      <c r="F223" s="21" t="s">
        <v>12</v>
      </c>
      <c r="G223" s="21" t="s">
        <v>13</v>
      </c>
      <c r="H223" s="20" t="str">
        <f t="shared" si="11"/>
        <v>Measurement Studio Common 13.5.35.173</v>
      </c>
      <c r="I223" s="20"/>
      <c r="J223" s="7"/>
    </row>
    <row r="224" spans="1:10" x14ac:dyDescent="0.25">
      <c r="A224" s="20" t="s">
        <v>542</v>
      </c>
      <c r="B224" s="20" t="s">
        <v>116</v>
      </c>
      <c r="C224" s="21" t="s">
        <v>45</v>
      </c>
      <c r="D224" s="21" t="s">
        <v>10</v>
      </c>
      <c r="E224" s="21" t="s">
        <v>11</v>
      </c>
      <c r="F224" s="21" t="s">
        <v>12</v>
      </c>
      <c r="G224" s="21" t="s">
        <v>13</v>
      </c>
      <c r="H224" s="20" t="str">
        <f t="shared" si="11"/>
        <v>Measurement Studio Common 15.0.40.49154</v>
      </c>
      <c r="I224" s="36" t="s">
        <v>42</v>
      </c>
      <c r="J224" s="7"/>
    </row>
    <row r="225" spans="1:10" x14ac:dyDescent="0.25">
      <c r="A225" s="20" t="s">
        <v>542</v>
      </c>
      <c r="B225" s="20" t="s">
        <v>116</v>
      </c>
      <c r="C225" s="21" t="s">
        <v>45</v>
      </c>
      <c r="D225" s="21" t="s">
        <v>107</v>
      </c>
      <c r="E225" s="21" t="s">
        <v>11</v>
      </c>
      <c r="F225" s="21" t="s">
        <v>12</v>
      </c>
      <c r="G225" s="21" t="s">
        <v>13</v>
      </c>
      <c r="H225" s="20" t="str">
        <f t="shared" si="11"/>
        <v>Measurement Studio Common 15.0.40.49154</v>
      </c>
      <c r="I225" s="36" t="s">
        <v>42</v>
      </c>
      <c r="J225" s="7"/>
    </row>
    <row r="226" spans="1:10" x14ac:dyDescent="0.25">
      <c r="A226" s="20" t="s">
        <v>542</v>
      </c>
      <c r="B226" s="20" t="s">
        <v>115</v>
      </c>
      <c r="C226" s="21"/>
      <c r="D226" s="21" t="s">
        <v>10</v>
      </c>
      <c r="E226" s="21" t="s">
        <v>377</v>
      </c>
      <c r="F226" s="21" t="s">
        <v>12</v>
      </c>
      <c r="G226" s="21" t="s">
        <v>13</v>
      </c>
      <c r="H226" s="20" t="str">
        <f t="shared" si="11"/>
        <v xml:space="preserve">Measurement Studio DotNET </v>
      </c>
      <c r="I226" s="20"/>
      <c r="J226" s="7"/>
    </row>
    <row r="227" spans="1:10" x14ac:dyDescent="0.25">
      <c r="A227" s="20" t="s">
        <v>542</v>
      </c>
      <c r="B227" s="20" t="s">
        <v>115</v>
      </c>
      <c r="C227" s="21"/>
      <c r="D227" s="21" t="s">
        <v>10</v>
      </c>
      <c r="E227" s="21" t="s">
        <v>130</v>
      </c>
      <c r="F227" s="21" t="s">
        <v>12</v>
      </c>
      <c r="G227" s="21" t="s">
        <v>13</v>
      </c>
      <c r="H227" s="20" t="str">
        <f t="shared" si="11"/>
        <v xml:space="preserve">Measurement Studio DotNET </v>
      </c>
      <c r="I227" s="20"/>
      <c r="J227" s="7"/>
    </row>
    <row r="228" spans="1:10" x14ac:dyDescent="0.25">
      <c r="A228" s="20" t="s">
        <v>542</v>
      </c>
      <c r="B228" s="20" t="s">
        <v>115</v>
      </c>
      <c r="C228" s="21"/>
      <c r="D228" s="21" t="s">
        <v>10</v>
      </c>
      <c r="E228" s="21" t="s">
        <v>114</v>
      </c>
      <c r="F228" s="21" t="s">
        <v>12</v>
      </c>
      <c r="G228" s="21" t="s">
        <v>13</v>
      </c>
      <c r="H228" s="20" t="str">
        <f t="shared" si="11"/>
        <v xml:space="preserve">Measurement Studio DotNET </v>
      </c>
      <c r="I228" s="36" t="s">
        <v>42</v>
      </c>
      <c r="J228" s="7"/>
    </row>
    <row r="229" spans="1:10" x14ac:dyDescent="0.25">
      <c r="A229" s="20" t="s">
        <v>542</v>
      </c>
      <c r="B229" s="20" t="s">
        <v>379</v>
      </c>
      <c r="C229" s="21"/>
      <c r="D229" s="21" t="s">
        <v>10</v>
      </c>
      <c r="E229" s="21" t="s">
        <v>377</v>
      </c>
      <c r="F229" s="21" t="s">
        <v>12</v>
      </c>
      <c r="G229" s="21" t="s">
        <v>13</v>
      </c>
      <c r="H229" s="20" t="str">
        <f t="shared" si="11"/>
        <v xml:space="preserve">Measurement Studio Vision </v>
      </c>
      <c r="I229" s="20"/>
      <c r="J229" s="7"/>
    </row>
    <row r="230" spans="1:10" x14ac:dyDescent="0.25">
      <c r="A230" s="20" t="s">
        <v>542</v>
      </c>
      <c r="B230" s="20" t="s">
        <v>379</v>
      </c>
      <c r="C230" s="21"/>
      <c r="D230" s="21" t="s">
        <v>10</v>
      </c>
      <c r="E230" s="21" t="s">
        <v>130</v>
      </c>
      <c r="F230" s="21" t="s">
        <v>12</v>
      </c>
      <c r="G230" s="21" t="s">
        <v>13</v>
      </c>
      <c r="H230" s="20" t="str">
        <f t="shared" si="11"/>
        <v xml:space="preserve">Measurement Studio Vision </v>
      </c>
      <c r="I230" s="20"/>
      <c r="J230" s="7"/>
    </row>
    <row r="231" spans="1:10" x14ac:dyDescent="0.25">
      <c r="A231" s="20" t="s">
        <v>542</v>
      </c>
      <c r="B231" s="20" t="s">
        <v>251</v>
      </c>
      <c r="C231" s="21" t="s">
        <v>252</v>
      </c>
      <c r="D231" s="21" t="s">
        <v>10</v>
      </c>
      <c r="E231" s="21" t="s">
        <v>136</v>
      </c>
      <c r="F231" s="21" t="s">
        <v>12</v>
      </c>
      <c r="G231" s="21" t="s">
        <v>253</v>
      </c>
      <c r="H231" s="20" t="str">
        <f t="shared" si="11"/>
        <v>MGI 1D Array 1.0.2.3</v>
      </c>
      <c r="I231" s="119" t="s">
        <v>202</v>
      </c>
      <c r="J231" s="7"/>
    </row>
    <row r="232" spans="1:10" x14ac:dyDescent="0.25">
      <c r="A232" s="20" t="s">
        <v>542</v>
      </c>
      <c r="B232" s="20" t="s">
        <v>254</v>
      </c>
      <c r="C232" s="21" t="s">
        <v>255</v>
      </c>
      <c r="D232" s="21" t="s">
        <v>10</v>
      </c>
      <c r="E232" s="21" t="s">
        <v>136</v>
      </c>
      <c r="F232" s="21" t="s">
        <v>12</v>
      </c>
      <c r="G232" s="21" t="s">
        <v>253</v>
      </c>
      <c r="H232" s="20" t="str">
        <f t="shared" si="11"/>
        <v>MGI 2D Array 1.1.1.5</v>
      </c>
      <c r="I232" s="119" t="s">
        <v>202</v>
      </c>
      <c r="J232" s="7"/>
    </row>
    <row r="233" spans="1:10" x14ac:dyDescent="0.25">
      <c r="A233" s="20" t="s">
        <v>542</v>
      </c>
      <c r="B233" s="20" t="s">
        <v>256</v>
      </c>
      <c r="C233" s="21" t="s">
        <v>257</v>
      </c>
      <c r="D233" s="21" t="s">
        <v>10</v>
      </c>
      <c r="E233" s="21" t="s">
        <v>136</v>
      </c>
      <c r="F233" s="21" t="s">
        <v>12</v>
      </c>
      <c r="G233" s="21" t="s">
        <v>253</v>
      </c>
      <c r="H233" s="20" t="str">
        <f t="shared" si="11"/>
        <v>MGI Actor Framework Message Maker 1.0.1.6</v>
      </c>
      <c r="I233" s="119" t="s">
        <v>202</v>
      </c>
      <c r="J233" s="7"/>
    </row>
    <row r="234" spans="1:10" x14ac:dyDescent="0.25">
      <c r="A234" s="20" t="s">
        <v>542</v>
      </c>
      <c r="B234" s="20" t="s">
        <v>258</v>
      </c>
      <c r="C234" s="21" t="s">
        <v>259</v>
      </c>
      <c r="D234" s="21" t="s">
        <v>10</v>
      </c>
      <c r="E234" s="21" t="s">
        <v>136</v>
      </c>
      <c r="F234" s="21" t="s">
        <v>12</v>
      </c>
      <c r="G234" s="21" t="s">
        <v>253</v>
      </c>
      <c r="H234" s="20" t="str">
        <f t="shared" si="11"/>
        <v>MGI Application Control 1.1.1.10</v>
      </c>
      <c r="I234" s="119" t="s">
        <v>202</v>
      </c>
      <c r="J234" s="7"/>
    </row>
    <row r="235" spans="1:10" x14ac:dyDescent="0.25">
      <c r="A235" s="20" t="s">
        <v>542</v>
      </c>
      <c r="B235" s="20" t="s">
        <v>260</v>
      </c>
      <c r="C235" s="21" t="s">
        <v>261</v>
      </c>
      <c r="D235" s="21" t="s">
        <v>10</v>
      </c>
      <c r="E235" s="21" t="s">
        <v>136</v>
      </c>
      <c r="F235" s="21" t="s">
        <v>12</v>
      </c>
      <c r="G235" s="21" t="s">
        <v>253</v>
      </c>
      <c r="H235" s="20" t="str">
        <f t="shared" si="11"/>
        <v>MGI Bezier 1.1.1.2</v>
      </c>
      <c r="I235" s="119" t="s">
        <v>202</v>
      </c>
      <c r="J235" s="7"/>
    </row>
    <row r="236" spans="1:10" x14ac:dyDescent="0.25">
      <c r="A236" s="20" t="s">
        <v>542</v>
      </c>
      <c r="B236" s="20" t="s">
        <v>262</v>
      </c>
      <c r="C236" s="21" t="s">
        <v>263</v>
      </c>
      <c r="D236" s="21" t="s">
        <v>10</v>
      </c>
      <c r="E236" s="21" t="s">
        <v>136</v>
      </c>
      <c r="F236" s="21" t="s">
        <v>12</v>
      </c>
      <c r="G236" s="21" t="s">
        <v>253</v>
      </c>
      <c r="H236" s="20" t="str">
        <f t="shared" si="11"/>
        <v>MGI Boolean 1.0.1.3</v>
      </c>
      <c r="I236" s="119" t="s">
        <v>202</v>
      </c>
      <c r="J236" s="7"/>
    </row>
    <row r="237" spans="1:10" x14ac:dyDescent="0.25">
      <c r="A237" s="20" t="s">
        <v>542</v>
      </c>
      <c r="B237" s="20" t="s">
        <v>264</v>
      </c>
      <c r="C237" s="21" t="s">
        <v>265</v>
      </c>
      <c r="D237" s="21" t="s">
        <v>10</v>
      </c>
      <c r="E237" s="21" t="s">
        <v>136</v>
      </c>
      <c r="F237" s="21" t="s">
        <v>12</v>
      </c>
      <c r="G237" s="21" t="s">
        <v>253</v>
      </c>
      <c r="H237" s="20" t="str">
        <f t="shared" si="11"/>
        <v>MGI Class Method Browser 1.0.0.20</v>
      </c>
      <c r="I237" s="119" t="s">
        <v>202</v>
      </c>
      <c r="J237" s="7"/>
    </row>
    <row r="238" spans="1:10" x14ac:dyDescent="0.25">
      <c r="A238" s="20" t="s">
        <v>542</v>
      </c>
      <c r="B238" s="20" t="s">
        <v>266</v>
      </c>
      <c r="C238" s="21" t="s">
        <v>267</v>
      </c>
      <c r="D238" s="21" t="s">
        <v>10</v>
      </c>
      <c r="E238" s="21" t="s">
        <v>136</v>
      </c>
      <c r="F238" s="21" t="s">
        <v>12</v>
      </c>
      <c r="G238" s="21" t="s">
        <v>253</v>
      </c>
      <c r="H238" s="20" t="str">
        <f t="shared" si="11"/>
        <v>MGI Cluster 1.1.0.1</v>
      </c>
      <c r="I238" s="119" t="s">
        <v>202</v>
      </c>
      <c r="J238" s="7"/>
    </row>
    <row r="239" spans="1:10" x14ac:dyDescent="0.25">
      <c r="A239" s="20" t="s">
        <v>542</v>
      </c>
      <c r="B239" s="20" t="s">
        <v>268</v>
      </c>
      <c r="C239" s="21" t="s">
        <v>261</v>
      </c>
      <c r="D239" s="21" t="s">
        <v>10</v>
      </c>
      <c r="E239" s="21" t="s">
        <v>136</v>
      </c>
      <c r="F239" s="21" t="s">
        <v>12</v>
      </c>
      <c r="G239" s="21" t="s">
        <v>253</v>
      </c>
      <c r="H239" s="20" t="str">
        <f t="shared" si="11"/>
        <v>MGI Coordinates 1.1.1.2</v>
      </c>
      <c r="I239" s="119" t="s">
        <v>202</v>
      </c>
      <c r="J239" s="7"/>
    </row>
    <row r="240" spans="1:10" x14ac:dyDescent="0.25">
      <c r="A240" s="20" t="s">
        <v>542</v>
      </c>
      <c r="B240" s="20" t="s">
        <v>269</v>
      </c>
      <c r="C240" s="21" t="s">
        <v>270</v>
      </c>
      <c r="D240" s="21" t="s">
        <v>10</v>
      </c>
      <c r="E240" s="21" t="s">
        <v>136</v>
      </c>
      <c r="F240" s="21" t="s">
        <v>12</v>
      </c>
      <c r="G240" s="21" t="s">
        <v>253</v>
      </c>
      <c r="H240" s="20" t="str">
        <f t="shared" si="11"/>
        <v>MGI Error Handling 1.1.1.3</v>
      </c>
      <c r="I240" s="119" t="s">
        <v>202</v>
      </c>
      <c r="J240" s="7"/>
    </row>
    <row r="241" spans="1:10" x14ac:dyDescent="0.25">
      <c r="A241" s="20" t="s">
        <v>542</v>
      </c>
      <c r="B241" s="20" t="s">
        <v>271</v>
      </c>
      <c r="C241" s="21" t="s">
        <v>272</v>
      </c>
      <c r="D241" s="21" t="s">
        <v>10</v>
      </c>
      <c r="E241" s="21" t="s">
        <v>136</v>
      </c>
      <c r="F241" s="21" t="s">
        <v>12</v>
      </c>
      <c r="G241" s="21" t="s">
        <v>253</v>
      </c>
      <c r="H241" s="20" t="str">
        <f t="shared" si="11"/>
        <v>MGI Error Reporter 1.0.2.5</v>
      </c>
      <c r="I241" s="119" t="s">
        <v>202</v>
      </c>
      <c r="J241" s="7"/>
    </row>
    <row r="242" spans="1:10" x14ac:dyDescent="0.25">
      <c r="A242" s="20" t="s">
        <v>542</v>
      </c>
      <c r="B242" s="20" t="s">
        <v>273</v>
      </c>
      <c r="C242" s="21" t="s">
        <v>274</v>
      </c>
      <c r="D242" s="21" t="s">
        <v>10</v>
      </c>
      <c r="E242" s="21" t="s">
        <v>136</v>
      </c>
      <c r="F242" s="21" t="s">
        <v>12</v>
      </c>
      <c r="G242" s="21" t="s">
        <v>253</v>
      </c>
      <c r="H242" s="20" t="str">
        <f t="shared" si="11"/>
        <v>MGI File 1.1.0.4</v>
      </c>
      <c r="I242" s="119" t="s">
        <v>202</v>
      </c>
      <c r="J242" s="7"/>
    </row>
    <row r="243" spans="1:10" x14ac:dyDescent="0.25">
      <c r="A243" s="20" t="s">
        <v>542</v>
      </c>
      <c r="B243" s="20" t="s">
        <v>275</v>
      </c>
      <c r="C243" s="21" t="s">
        <v>276</v>
      </c>
      <c r="D243" s="21" t="s">
        <v>10</v>
      </c>
      <c r="E243" s="21" t="s">
        <v>136</v>
      </c>
      <c r="F243" s="21" t="s">
        <v>12</v>
      </c>
      <c r="G243" s="21" t="s">
        <v>253</v>
      </c>
      <c r="H243" s="20" t="str">
        <f t="shared" si="11"/>
        <v>MGI Graph 1.0.2.6</v>
      </c>
      <c r="I243" s="119" t="s">
        <v>202</v>
      </c>
      <c r="J243" s="7"/>
    </row>
    <row r="244" spans="1:10" x14ac:dyDescent="0.25">
      <c r="A244" s="20" t="s">
        <v>542</v>
      </c>
      <c r="B244" s="20" t="s">
        <v>277</v>
      </c>
      <c r="C244" s="21" t="s">
        <v>278</v>
      </c>
      <c r="D244" s="21" t="s">
        <v>10</v>
      </c>
      <c r="E244" s="21" t="s">
        <v>136</v>
      </c>
      <c r="F244" s="21" t="s">
        <v>12</v>
      </c>
      <c r="G244" s="21" t="s">
        <v>253</v>
      </c>
      <c r="H244" s="20" t="str">
        <f t="shared" si="11"/>
        <v>MGI Library 1.2.0.4</v>
      </c>
      <c r="I244" s="119" t="s">
        <v>202</v>
      </c>
      <c r="J244" s="7"/>
    </row>
    <row r="245" spans="1:10" x14ac:dyDescent="0.25">
      <c r="A245" s="20" t="s">
        <v>542</v>
      </c>
      <c r="B245" s="20" t="s">
        <v>279</v>
      </c>
      <c r="C245" s="21" t="s">
        <v>267</v>
      </c>
      <c r="D245" s="21" t="s">
        <v>10</v>
      </c>
      <c r="E245" s="21" t="s">
        <v>136</v>
      </c>
      <c r="F245" s="21" t="s">
        <v>12</v>
      </c>
      <c r="G245" s="21" t="s">
        <v>253</v>
      </c>
      <c r="H245" s="20" t="str">
        <f t="shared" si="11"/>
        <v>MGI Matrix &amp; Vector 1.1.0.1</v>
      </c>
      <c r="I245" s="119" t="s">
        <v>202</v>
      </c>
      <c r="J245" s="7"/>
    </row>
    <row r="246" spans="1:10" x14ac:dyDescent="0.25">
      <c r="A246" s="20" t="s">
        <v>542</v>
      </c>
      <c r="B246" s="20" t="s">
        <v>280</v>
      </c>
      <c r="C246" s="21" t="s">
        <v>281</v>
      </c>
      <c r="D246" s="21" t="s">
        <v>10</v>
      </c>
      <c r="E246" s="21" t="s">
        <v>136</v>
      </c>
      <c r="F246" s="21" t="s">
        <v>12</v>
      </c>
      <c r="G246" s="21" t="s">
        <v>253</v>
      </c>
      <c r="H246" s="20" t="str">
        <f t="shared" si="11"/>
        <v>MGI Menu Building 1.0.1.4</v>
      </c>
      <c r="I246" s="119" t="s">
        <v>202</v>
      </c>
      <c r="J246" s="7"/>
    </row>
    <row r="247" spans="1:10" x14ac:dyDescent="0.25">
      <c r="A247" s="20" t="s">
        <v>542</v>
      </c>
      <c r="B247" s="20" t="s">
        <v>282</v>
      </c>
      <c r="C247" s="21" t="s">
        <v>283</v>
      </c>
      <c r="D247" s="21" t="s">
        <v>10</v>
      </c>
      <c r="E247" s="21" t="s">
        <v>136</v>
      </c>
      <c r="F247" s="21" t="s">
        <v>12</v>
      </c>
      <c r="G247" s="21" t="s">
        <v>253</v>
      </c>
      <c r="H247" s="20" t="str">
        <f t="shared" ref="H247:H278" si="12">B247&amp;" "&amp;C247</f>
        <v>MGI Monitored Actor 2.0.0.23</v>
      </c>
      <c r="I247" s="119" t="s">
        <v>202</v>
      </c>
      <c r="J247" s="7"/>
    </row>
    <row r="248" spans="1:10" x14ac:dyDescent="0.25">
      <c r="A248" s="20" t="s">
        <v>542</v>
      </c>
      <c r="B248" s="20" t="s">
        <v>284</v>
      </c>
      <c r="C248" s="21" t="s">
        <v>285</v>
      </c>
      <c r="D248" s="21" t="s">
        <v>10</v>
      </c>
      <c r="E248" s="21" t="s">
        <v>136</v>
      </c>
      <c r="F248" s="21" t="s">
        <v>12</v>
      </c>
      <c r="G248" s="21" t="s">
        <v>253</v>
      </c>
      <c r="H248" s="20" t="str">
        <f t="shared" si="12"/>
        <v>MGI Numeric 1.1.0.2</v>
      </c>
      <c r="I248" s="119" t="s">
        <v>202</v>
      </c>
      <c r="J248" s="7"/>
    </row>
    <row r="249" spans="1:10" x14ac:dyDescent="0.25">
      <c r="A249" s="20" t="s">
        <v>542</v>
      </c>
      <c r="B249" s="20" t="s">
        <v>286</v>
      </c>
      <c r="C249" s="21" t="s">
        <v>281</v>
      </c>
      <c r="D249" s="21" t="s">
        <v>10</v>
      </c>
      <c r="E249" s="21" t="s">
        <v>136</v>
      </c>
      <c r="F249" s="21" t="s">
        <v>12</v>
      </c>
      <c r="G249" s="21" t="s">
        <v>253</v>
      </c>
      <c r="H249" s="20" t="str">
        <f t="shared" si="12"/>
        <v>MGI Panel Manager 1.0.1.4</v>
      </c>
      <c r="I249" s="119" t="s">
        <v>202</v>
      </c>
      <c r="J249" s="7"/>
    </row>
    <row r="250" spans="1:10" x14ac:dyDescent="0.25">
      <c r="A250" s="20" t="s">
        <v>542</v>
      </c>
      <c r="B250" s="20" t="s">
        <v>287</v>
      </c>
      <c r="C250" s="21" t="s">
        <v>257</v>
      </c>
      <c r="D250" s="21" t="s">
        <v>10</v>
      </c>
      <c r="E250" s="21" t="s">
        <v>136</v>
      </c>
      <c r="F250" s="21" t="s">
        <v>12</v>
      </c>
      <c r="G250" s="21" t="s">
        <v>253</v>
      </c>
      <c r="H250" s="20" t="str">
        <f t="shared" si="12"/>
        <v>MGI Panel Manager - DQMH Panels 1.0.1.6</v>
      </c>
      <c r="I250" s="119" t="s">
        <v>202</v>
      </c>
      <c r="J250" s="7"/>
    </row>
    <row r="251" spans="1:10" x14ac:dyDescent="0.25">
      <c r="A251" s="20" t="s">
        <v>542</v>
      </c>
      <c r="B251" s="20" t="s">
        <v>288</v>
      </c>
      <c r="C251" s="21" t="s">
        <v>289</v>
      </c>
      <c r="D251" s="21" t="s">
        <v>10</v>
      </c>
      <c r="E251" s="21" t="s">
        <v>136</v>
      </c>
      <c r="F251" s="21" t="s">
        <v>12</v>
      </c>
      <c r="G251" s="21" t="s">
        <v>253</v>
      </c>
      <c r="H251" s="20" t="str">
        <f t="shared" si="12"/>
        <v>MGI Picture &amp; Image 1.0.2.1</v>
      </c>
      <c r="I251" s="119" t="s">
        <v>202</v>
      </c>
      <c r="J251" s="7"/>
    </row>
    <row r="252" spans="1:10" x14ac:dyDescent="0.25">
      <c r="A252" s="20" t="s">
        <v>542</v>
      </c>
      <c r="B252" s="20" t="s">
        <v>290</v>
      </c>
      <c r="C252" s="21" t="s">
        <v>291</v>
      </c>
      <c r="D252" s="21" t="s">
        <v>10</v>
      </c>
      <c r="E252" s="21" t="s">
        <v>136</v>
      </c>
      <c r="F252" s="21" t="s">
        <v>12</v>
      </c>
      <c r="G252" s="21" t="s">
        <v>253</v>
      </c>
      <c r="H252" s="20" t="str">
        <f t="shared" si="12"/>
        <v>MGI Read/Write Anything 2.1.4.4</v>
      </c>
      <c r="I252" s="119" t="s">
        <v>202</v>
      </c>
      <c r="J252" s="7"/>
    </row>
    <row r="253" spans="1:10" x14ac:dyDescent="0.25">
      <c r="A253" s="20" t="s">
        <v>542</v>
      </c>
      <c r="B253" s="20" t="s">
        <v>292</v>
      </c>
      <c r="C253" s="21" t="s">
        <v>293</v>
      </c>
      <c r="D253" s="21" t="s">
        <v>10</v>
      </c>
      <c r="E253" s="21" t="s">
        <v>136</v>
      </c>
      <c r="F253" s="21" t="s">
        <v>12</v>
      </c>
      <c r="G253" s="21" t="s">
        <v>253</v>
      </c>
      <c r="H253" s="20" t="str">
        <f t="shared" si="12"/>
        <v>MGI Robust XML 1.0.3.4</v>
      </c>
      <c r="I253" s="119" t="s">
        <v>202</v>
      </c>
      <c r="J253" s="7"/>
    </row>
    <row r="254" spans="1:10" x14ac:dyDescent="0.25">
      <c r="A254" s="20" t="s">
        <v>542</v>
      </c>
      <c r="B254" s="20" t="s">
        <v>294</v>
      </c>
      <c r="C254" s="21" t="s">
        <v>267</v>
      </c>
      <c r="D254" s="21" t="s">
        <v>10</v>
      </c>
      <c r="E254" s="21" t="s">
        <v>136</v>
      </c>
      <c r="F254" s="21" t="s">
        <v>12</v>
      </c>
      <c r="G254" s="21" t="s">
        <v>253</v>
      </c>
      <c r="H254" s="20" t="str">
        <f t="shared" si="12"/>
        <v>MGI Spline 1.1.0.1</v>
      </c>
      <c r="I254" s="119" t="s">
        <v>202</v>
      </c>
      <c r="J254" s="7"/>
    </row>
    <row r="255" spans="1:10" x14ac:dyDescent="0.25">
      <c r="A255" s="20" t="s">
        <v>542</v>
      </c>
      <c r="B255" s="20" t="s">
        <v>295</v>
      </c>
      <c r="C255" s="21" t="s">
        <v>255</v>
      </c>
      <c r="D255" s="21" t="s">
        <v>10</v>
      </c>
      <c r="E255" s="21" t="s">
        <v>136</v>
      </c>
      <c r="F255" s="21" t="s">
        <v>12</v>
      </c>
      <c r="G255" s="21" t="s">
        <v>253</v>
      </c>
      <c r="H255" s="20" t="str">
        <f t="shared" si="12"/>
        <v>MGI String 1.1.1.5</v>
      </c>
      <c r="I255" s="119" t="s">
        <v>202</v>
      </c>
      <c r="J255" s="7"/>
    </row>
    <row r="256" spans="1:10" x14ac:dyDescent="0.25">
      <c r="A256" s="20" t="s">
        <v>542</v>
      </c>
      <c r="B256" s="20" t="s">
        <v>296</v>
      </c>
      <c r="C256" s="21" t="s">
        <v>285</v>
      </c>
      <c r="D256" s="21" t="s">
        <v>10</v>
      </c>
      <c r="E256" s="21" t="s">
        <v>136</v>
      </c>
      <c r="F256" s="21" t="s">
        <v>12</v>
      </c>
      <c r="G256" s="21" t="s">
        <v>253</v>
      </c>
      <c r="H256" s="20" t="str">
        <f t="shared" si="12"/>
        <v>MGI Timing 1.1.0.2</v>
      </c>
      <c r="I256" s="119" t="s">
        <v>202</v>
      </c>
      <c r="J256" s="7"/>
    </row>
    <row r="257" spans="1:10" x14ac:dyDescent="0.25">
      <c r="A257" s="20" t="s">
        <v>542</v>
      </c>
      <c r="B257" s="20" t="s">
        <v>297</v>
      </c>
      <c r="C257" s="21" t="s">
        <v>298</v>
      </c>
      <c r="D257" s="21" t="s">
        <v>10</v>
      </c>
      <c r="E257" s="21" t="s">
        <v>136</v>
      </c>
      <c r="F257" s="21" t="s">
        <v>12</v>
      </c>
      <c r="G257" s="21" t="s">
        <v>253</v>
      </c>
      <c r="H257" s="20" t="str">
        <f t="shared" si="12"/>
        <v>MGI Tools 1.0.0.4</v>
      </c>
      <c r="I257" s="119" t="s">
        <v>202</v>
      </c>
      <c r="J257" s="7"/>
    </row>
    <row r="258" spans="1:10" x14ac:dyDescent="0.25">
      <c r="A258" s="20" t="s">
        <v>542</v>
      </c>
      <c r="B258" s="20" t="s">
        <v>299</v>
      </c>
      <c r="C258" s="21" t="s">
        <v>300</v>
      </c>
      <c r="D258" s="21" t="s">
        <v>10</v>
      </c>
      <c r="E258" s="21" t="s">
        <v>136</v>
      </c>
      <c r="F258" s="21" t="s">
        <v>12</v>
      </c>
      <c r="G258" s="21" t="s">
        <v>253</v>
      </c>
      <c r="H258" s="20" t="str">
        <f t="shared" si="12"/>
        <v>MGI Tree 1.0.4.4</v>
      </c>
      <c r="I258" s="119" t="s">
        <v>202</v>
      </c>
      <c r="J258" s="7"/>
    </row>
    <row r="259" spans="1:10" x14ac:dyDescent="0.25">
      <c r="A259" s="20" t="s">
        <v>542</v>
      </c>
      <c r="B259" s="20" t="s">
        <v>301</v>
      </c>
      <c r="C259" s="21" t="s">
        <v>302</v>
      </c>
      <c r="D259" s="21" t="s">
        <v>10</v>
      </c>
      <c r="E259" s="21" t="s">
        <v>136</v>
      </c>
      <c r="F259" s="21" t="s">
        <v>12</v>
      </c>
      <c r="G259" s="21" t="s">
        <v>253</v>
      </c>
      <c r="H259" s="20" t="str">
        <f t="shared" si="12"/>
        <v>MGI User Interface 1.0.1.11</v>
      </c>
      <c r="I259" s="119" t="s">
        <v>202</v>
      </c>
      <c r="J259" s="7"/>
    </row>
    <row r="260" spans="1:10" x14ac:dyDescent="0.25">
      <c r="A260" s="20" t="s">
        <v>542</v>
      </c>
      <c r="B260" s="20" t="s">
        <v>303</v>
      </c>
      <c r="C260" s="21" t="s">
        <v>304</v>
      </c>
      <c r="D260" s="21" t="s">
        <v>10</v>
      </c>
      <c r="E260" s="21" t="s">
        <v>136</v>
      </c>
      <c r="F260" s="21" t="s">
        <v>12</v>
      </c>
      <c r="G260" s="21" t="s">
        <v>253</v>
      </c>
      <c r="H260" s="20" t="str">
        <f t="shared" si="12"/>
        <v>MGI WSA Framework 1.0.0.27</v>
      </c>
      <c r="I260" s="119" t="s">
        <v>202</v>
      </c>
      <c r="J260" s="7"/>
    </row>
    <row r="261" spans="1:10" hidden="1" x14ac:dyDescent="0.25">
      <c r="A261" s="20" t="s">
        <v>542</v>
      </c>
      <c r="B261" s="20" t="s">
        <v>188</v>
      </c>
      <c r="C261" s="21" t="s">
        <v>9</v>
      </c>
      <c r="D261" s="21" t="s">
        <v>10</v>
      </c>
      <c r="E261" s="21" t="s">
        <v>11</v>
      </c>
      <c r="F261" s="21" t="s">
        <v>171</v>
      </c>
      <c r="G261" s="21" t="s">
        <v>13</v>
      </c>
      <c r="H261" s="20" t="str">
        <f t="shared" si="12"/>
        <v>Network Configuration Web Support 15.0.0</v>
      </c>
      <c r="I261" s="20"/>
      <c r="J261" s="7"/>
    </row>
    <row r="262" spans="1:10" hidden="1" x14ac:dyDescent="0.25">
      <c r="A262" s="20" t="s">
        <v>542</v>
      </c>
      <c r="B262" s="20" t="s">
        <v>180</v>
      </c>
      <c r="C262" s="21" t="s">
        <v>102</v>
      </c>
      <c r="D262" s="21" t="s">
        <v>10</v>
      </c>
      <c r="E262" s="21" t="s">
        <v>11</v>
      </c>
      <c r="F262" s="21" t="s">
        <v>171</v>
      </c>
      <c r="G262" s="21" t="s">
        <v>13</v>
      </c>
      <c r="H262" s="20" t="str">
        <f t="shared" si="12"/>
        <v>Network Streams 15.0</v>
      </c>
      <c r="I262" s="20"/>
      <c r="J262" s="7"/>
    </row>
    <row r="263" spans="1:10" hidden="1" x14ac:dyDescent="0.25">
      <c r="A263" s="20" t="s">
        <v>542</v>
      </c>
      <c r="B263" s="20" t="s">
        <v>181</v>
      </c>
      <c r="C263" s="21" t="s">
        <v>9</v>
      </c>
      <c r="D263" s="21" t="s">
        <v>10</v>
      </c>
      <c r="E263" s="21" t="s">
        <v>11</v>
      </c>
      <c r="F263" s="21" t="s">
        <v>171</v>
      </c>
      <c r="G263" s="21" t="s">
        <v>13</v>
      </c>
      <c r="H263" s="20" t="str">
        <f t="shared" si="12"/>
        <v>Network Variable Engine 15.0.0</v>
      </c>
      <c r="I263" s="20"/>
      <c r="J263" s="7"/>
    </row>
    <row r="264" spans="1:10" x14ac:dyDescent="0.25">
      <c r="A264" s="20" t="s">
        <v>542</v>
      </c>
      <c r="B264" s="20" t="s">
        <v>60</v>
      </c>
      <c r="C264" s="21" t="s">
        <v>30</v>
      </c>
      <c r="D264" s="21" t="s">
        <v>10</v>
      </c>
      <c r="E264" s="21">
        <v>2015</v>
      </c>
      <c r="F264" s="21" t="s">
        <v>12</v>
      </c>
      <c r="G264" s="21" t="s">
        <v>13</v>
      </c>
      <c r="H264" s="20" t="str">
        <f t="shared" si="12"/>
        <v>NI 1588-2008 Network Management 15.0.0f0</v>
      </c>
      <c r="I264" s="36" t="s">
        <v>42</v>
      </c>
      <c r="J264" s="7"/>
    </row>
    <row r="265" spans="1:10" x14ac:dyDescent="0.25">
      <c r="A265" s="20" t="s">
        <v>542</v>
      </c>
      <c r="B265" s="20" t="s">
        <v>305</v>
      </c>
      <c r="C265" s="21" t="s">
        <v>306</v>
      </c>
      <c r="D265" s="21" t="s">
        <v>10</v>
      </c>
      <c r="E265" s="21" t="s">
        <v>136</v>
      </c>
      <c r="F265" s="21" t="s">
        <v>12</v>
      </c>
      <c r="G265" s="21" t="s">
        <v>13</v>
      </c>
      <c r="H265" s="20" t="str">
        <f t="shared" si="12"/>
        <v>NI Asynchronous Message Communication (AMC) Library 3.3.1.22</v>
      </c>
      <c r="I265" s="119" t="s">
        <v>202</v>
      </c>
      <c r="J265" s="7"/>
    </row>
    <row r="266" spans="1:10" hidden="1" x14ac:dyDescent="0.25">
      <c r="A266" s="20" t="s">
        <v>542</v>
      </c>
      <c r="B266" s="20" t="s">
        <v>169</v>
      </c>
      <c r="C266" s="21" t="s">
        <v>170</v>
      </c>
      <c r="D266" s="21" t="s">
        <v>10</v>
      </c>
      <c r="E266" s="21" t="s">
        <v>130</v>
      </c>
      <c r="F266" s="21" t="s">
        <v>171</v>
      </c>
      <c r="G266" s="21" t="s">
        <v>13</v>
      </c>
      <c r="H266" s="20" t="str">
        <f t="shared" si="12"/>
        <v>NI CompactRIO 15.5</v>
      </c>
      <c r="I266" s="20"/>
      <c r="J266" s="7"/>
    </row>
    <row r="267" spans="1:10" x14ac:dyDescent="0.25">
      <c r="A267" s="20" t="s">
        <v>542</v>
      </c>
      <c r="B267" s="20" t="s">
        <v>165</v>
      </c>
      <c r="C267" s="21" t="s">
        <v>166</v>
      </c>
      <c r="D267" s="21" t="s">
        <v>10</v>
      </c>
      <c r="E267" s="21" t="s">
        <v>11</v>
      </c>
      <c r="F267" s="21" t="s">
        <v>12</v>
      </c>
      <c r="G267" s="21" t="s">
        <v>13</v>
      </c>
      <c r="H267" s="20" t="str">
        <f t="shared" si="12"/>
        <v>NI CompactRIO Information (CRI) Library 2015.0.0.1</v>
      </c>
      <c r="I267" s="119" t="s">
        <v>202</v>
      </c>
      <c r="J267" s="7"/>
    </row>
    <row r="268" spans="1:10" x14ac:dyDescent="0.25">
      <c r="A268" s="20" t="s">
        <v>542</v>
      </c>
      <c r="B268" s="20" t="s">
        <v>307</v>
      </c>
      <c r="C268" s="21" t="s">
        <v>308</v>
      </c>
      <c r="D268" s="21" t="s">
        <v>10</v>
      </c>
      <c r="E268" s="21" t="s">
        <v>136</v>
      </c>
      <c r="F268" s="21" t="s">
        <v>12</v>
      </c>
      <c r="G268" s="21" t="s">
        <v>13</v>
      </c>
      <c r="H268" s="20" t="str">
        <f t="shared" si="12"/>
        <v>NI GXML 1.4.2.8</v>
      </c>
      <c r="I268" s="120" t="s">
        <v>202</v>
      </c>
      <c r="J268" s="7"/>
    </row>
    <row r="269" spans="1:10" x14ac:dyDescent="0.25">
      <c r="A269" s="20" t="s">
        <v>542</v>
      </c>
      <c r="B269" s="20" t="s">
        <v>29</v>
      </c>
      <c r="C269" s="21" t="s">
        <v>146</v>
      </c>
      <c r="D269" s="21" t="s">
        <v>10</v>
      </c>
      <c r="E269" s="21" t="s">
        <v>130</v>
      </c>
      <c r="F269" s="21" t="s">
        <v>12</v>
      </c>
      <c r="G269" s="21" t="s">
        <v>13</v>
      </c>
      <c r="H269" s="20" t="str">
        <f t="shared" si="12"/>
        <v>NI I/O Trace 18.5.0f0</v>
      </c>
      <c r="I269" s="36" t="s">
        <v>42</v>
      </c>
      <c r="J269" s="7"/>
    </row>
    <row r="270" spans="1:10" x14ac:dyDescent="0.25">
      <c r="A270" s="20" t="s">
        <v>542</v>
      </c>
      <c r="B270" s="20" t="s">
        <v>309</v>
      </c>
      <c r="C270" s="21" t="s">
        <v>310</v>
      </c>
      <c r="D270" s="21" t="s">
        <v>10</v>
      </c>
      <c r="E270" s="21" t="s">
        <v>136</v>
      </c>
      <c r="F270" s="21" t="s">
        <v>12</v>
      </c>
      <c r="G270" s="21" t="s">
        <v>13</v>
      </c>
      <c r="H270" s="20" t="str">
        <f t="shared" si="12"/>
        <v>NI Keyed Array Library 2.0.0.11</v>
      </c>
      <c r="I270" s="120" t="s">
        <v>202</v>
      </c>
      <c r="J270" s="7"/>
    </row>
    <row r="271" spans="1:10" x14ac:dyDescent="0.25">
      <c r="A271" s="20" t="s">
        <v>542</v>
      </c>
      <c r="B271" s="20" t="s">
        <v>311</v>
      </c>
      <c r="C271" s="21" t="s">
        <v>312</v>
      </c>
      <c r="D271" s="21" t="s">
        <v>10</v>
      </c>
      <c r="E271" s="21" t="s">
        <v>136</v>
      </c>
      <c r="F271" s="21" t="s">
        <v>12</v>
      </c>
      <c r="G271" s="21" t="s">
        <v>13</v>
      </c>
      <c r="H271" s="20" t="str">
        <f t="shared" si="12"/>
        <v>NI Modbus Library 1.2.1.42</v>
      </c>
      <c r="I271" s="120" t="s">
        <v>202</v>
      </c>
      <c r="J271" s="7"/>
    </row>
    <row r="272" spans="1:10" x14ac:dyDescent="0.25">
      <c r="A272" s="20" t="s">
        <v>542</v>
      </c>
      <c r="B272" s="20" t="s">
        <v>140</v>
      </c>
      <c r="C272" s="21" t="s">
        <v>117</v>
      </c>
      <c r="D272" s="21" t="s">
        <v>10</v>
      </c>
      <c r="E272" s="21" t="s">
        <v>119</v>
      </c>
      <c r="F272" s="21" t="s">
        <v>24</v>
      </c>
      <c r="G272" s="21" t="s">
        <v>13</v>
      </c>
      <c r="H272" s="20" t="str">
        <f t="shared" si="12"/>
        <v>NI PXI Platform Services 19.5.0f0</v>
      </c>
      <c r="I272" s="20"/>
      <c r="J272" s="7"/>
    </row>
    <row r="273" spans="1:10" x14ac:dyDescent="0.25">
      <c r="A273" s="20" t="s">
        <v>542</v>
      </c>
      <c r="B273" s="20" t="s">
        <v>52</v>
      </c>
      <c r="C273" s="21" t="s">
        <v>386</v>
      </c>
      <c r="D273" s="21" t="s">
        <v>10</v>
      </c>
      <c r="E273" s="21" t="s">
        <v>130</v>
      </c>
      <c r="F273" s="21" t="s">
        <v>12</v>
      </c>
      <c r="G273" s="21" t="s">
        <v>13</v>
      </c>
      <c r="H273" s="20" t="str">
        <f t="shared" si="12"/>
        <v>NI PXI Platform Services Configuration 18.5.0f2</v>
      </c>
      <c r="I273" s="20"/>
      <c r="J273" s="7"/>
    </row>
    <row r="274" spans="1:10" x14ac:dyDescent="0.25">
      <c r="A274" s="20" t="s">
        <v>542</v>
      </c>
      <c r="B274" s="20" t="s">
        <v>55</v>
      </c>
      <c r="C274" s="21" t="s">
        <v>97</v>
      </c>
      <c r="D274" s="21" t="s">
        <v>10</v>
      </c>
      <c r="E274" s="21">
        <v>2015</v>
      </c>
      <c r="F274" s="21" t="s">
        <v>12</v>
      </c>
      <c r="G274" s="21" t="s">
        <v>13</v>
      </c>
      <c r="H274" s="20" t="str">
        <f t="shared" si="12"/>
        <v>NI R Series Multifunction RIO 15.5.0</v>
      </c>
      <c r="I274" s="20"/>
      <c r="J274" s="7"/>
    </row>
    <row r="275" spans="1:10" hidden="1" x14ac:dyDescent="0.25">
      <c r="A275" s="20" t="s">
        <v>542</v>
      </c>
      <c r="B275" s="20" t="s">
        <v>182</v>
      </c>
      <c r="C275" s="21" t="s">
        <v>183</v>
      </c>
      <c r="D275" s="21" t="s">
        <v>10</v>
      </c>
      <c r="E275" s="21" t="s">
        <v>136</v>
      </c>
      <c r="F275" s="21" t="s">
        <v>171</v>
      </c>
      <c r="G275" s="21" t="s">
        <v>13</v>
      </c>
      <c r="H275" s="20" t="str">
        <f t="shared" si="12"/>
        <v>NI Scan Engine 4.4</v>
      </c>
      <c r="I275" s="20"/>
      <c r="J275" s="7"/>
    </row>
    <row r="276" spans="1:10" hidden="1" x14ac:dyDescent="0.25">
      <c r="A276" s="20" t="s">
        <v>542</v>
      </c>
      <c r="B276" s="20" t="s">
        <v>193</v>
      </c>
      <c r="C276" s="21"/>
      <c r="D276" s="21" t="s">
        <v>10</v>
      </c>
      <c r="E276" s="21" t="s">
        <v>136</v>
      </c>
      <c r="F276" s="21" t="s">
        <v>171</v>
      </c>
      <c r="G276" s="21" t="s">
        <v>13</v>
      </c>
      <c r="H276" s="20" t="str">
        <f t="shared" si="12"/>
        <v xml:space="preserve">NI Serial 9870 and 9871 Scan Enginer Support </v>
      </c>
      <c r="I276" s="20"/>
      <c r="J276" s="7"/>
    </row>
    <row r="277" spans="1:10" x14ac:dyDescent="0.25">
      <c r="A277" s="20" t="s">
        <v>542</v>
      </c>
      <c r="B277" s="20" t="s">
        <v>159</v>
      </c>
      <c r="C277" s="21" t="s">
        <v>160</v>
      </c>
      <c r="D277" s="21" t="s">
        <v>10</v>
      </c>
      <c r="E277" s="21" t="s">
        <v>136</v>
      </c>
      <c r="F277" s="21" t="s">
        <v>12</v>
      </c>
      <c r="G277" s="21" t="s">
        <v>13</v>
      </c>
      <c r="H277" s="20" t="str">
        <f t="shared" si="12"/>
        <v>NI String Tools Library 2.0.0.5</v>
      </c>
      <c r="I277" s="120" t="s">
        <v>202</v>
      </c>
      <c r="J277" s="7"/>
    </row>
    <row r="278" spans="1:10" x14ac:dyDescent="0.25">
      <c r="A278" s="20" t="s">
        <v>542</v>
      </c>
      <c r="B278" s="20" t="s">
        <v>68</v>
      </c>
      <c r="C278" s="21" t="s">
        <v>117</v>
      </c>
      <c r="D278" s="21" t="s">
        <v>10</v>
      </c>
      <c r="E278" s="21" t="s">
        <v>119</v>
      </c>
      <c r="F278" s="21" t="s">
        <v>12</v>
      </c>
      <c r="G278" s="21" t="s">
        <v>13</v>
      </c>
      <c r="H278" s="20" t="str">
        <f t="shared" si="12"/>
        <v>NI System Configuration 19.5.0f0</v>
      </c>
      <c r="I278" s="20"/>
      <c r="J278" s="7"/>
    </row>
    <row r="279" spans="1:10" hidden="1" x14ac:dyDescent="0.25">
      <c r="A279" s="20" t="s">
        <v>542</v>
      </c>
      <c r="B279" s="20" t="s">
        <v>173</v>
      </c>
      <c r="C279" s="21"/>
      <c r="D279" s="21" t="s">
        <v>10</v>
      </c>
      <c r="E279" s="21" t="s">
        <v>136</v>
      </c>
      <c r="F279" s="21" t="s">
        <v>171</v>
      </c>
      <c r="G279" s="21" t="s">
        <v>13</v>
      </c>
      <c r="H279" s="20" t="str">
        <f t="shared" ref="H279:H310" si="13">B279&amp;" "&amp;C279</f>
        <v xml:space="preserve">NI System Configuration Remote Support </v>
      </c>
      <c r="I279" s="20"/>
      <c r="J279" s="7"/>
    </row>
    <row r="280" spans="1:10" hidden="1" x14ac:dyDescent="0.25">
      <c r="A280" s="20" t="s">
        <v>542</v>
      </c>
      <c r="B280" s="20" t="s">
        <v>184</v>
      </c>
      <c r="C280" s="21" t="s">
        <v>185</v>
      </c>
      <c r="D280" s="21" t="s">
        <v>10</v>
      </c>
      <c r="E280" s="21" t="s">
        <v>11</v>
      </c>
      <c r="F280" s="21" t="s">
        <v>171</v>
      </c>
      <c r="G280" s="21" t="s">
        <v>13</v>
      </c>
      <c r="H280" s="20" t="str">
        <f t="shared" si="13"/>
        <v>NI Systems Configuration 15.3.0</v>
      </c>
      <c r="I280" s="20"/>
      <c r="J280" s="7"/>
    </row>
    <row r="281" spans="1:10" hidden="1" x14ac:dyDescent="0.25">
      <c r="A281" s="20" t="s">
        <v>542</v>
      </c>
      <c r="B281" s="20" t="s">
        <v>186</v>
      </c>
      <c r="C281" s="21"/>
      <c r="D281" s="21" t="s">
        <v>10</v>
      </c>
      <c r="E281" s="21" t="s">
        <v>136</v>
      </c>
      <c r="F281" s="21" t="s">
        <v>171</v>
      </c>
      <c r="G281" s="21" t="s">
        <v>13</v>
      </c>
      <c r="H281" s="20" t="str">
        <f t="shared" si="13"/>
        <v xml:space="preserve">NI Web-based Configuration and Monitoring </v>
      </c>
      <c r="I281" s="20"/>
      <c r="J281" s="7"/>
    </row>
    <row r="282" spans="1:10" hidden="1" x14ac:dyDescent="0.25">
      <c r="A282" s="20" t="s">
        <v>542</v>
      </c>
      <c r="B282" s="20" t="s">
        <v>191</v>
      </c>
      <c r="C282" s="21" t="s">
        <v>9</v>
      </c>
      <c r="D282" s="21" t="s">
        <v>10</v>
      </c>
      <c r="E282" s="21" t="s">
        <v>11</v>
      </c>
      <c r="F282" s="21" t="s">
        <v>171</v>
      </c>
      <c r="G282" s="21" t="s">
        <v>13</v>
      </c>
      <c r="H282" s="20" t="str">
        <f t="shared" si="13"/>
        <v>NI Wireless Certificate Web Services 15.0.0</v>
      </c>
      <c r="I282" s="20"/>
      <c r="J282" s="7"/>
    </row>
    <row r="283" spans="1:10" x14ac:dyDescent="0.25">
      <c r="A283" s="20" t="s">
        <v>542</v>
      </c>
      <c r="B283" s="20" t="s">
        <v>28</v>
      </c>
      <c r="C283" s="21" t="s">
        <v>97</v>
      </c>
      <c r="D283" s="21" t="s">
        <v>10</v>
      </c>
      <c r="E283" s="21" t="s">
        <v>119</v>
      </c>
      <c r="F283" s="21" t="s">
        <v>12</v>
      </c>
      <c r="G283" s="21" t="s">
        <v>13</v>
      </c>
      <c r="H283" s="20" t="str">
        <f t="shared" si="13"/>
        <v>NI-488.2 15.5.0</v>
      </c>
      <c r="I283" s="20"/>
      <c r="J283" s="7"/>
    </row>
    <row r="284" spans="1:10" x14ac:dyDescent="0.25">
      <c r="A284" s="20" t="s">
        <v>542</v>
      </c>
      <c r="B284" s="20" t="s">
        <v>28</v>
      </c>
      <c r="C284" s="21" t="s">
        <v>141</v>
      </c>
      <c r="D284" s="21" t="s">
        <v>10</v>
      </c>
      <c r="E284" s="21" t="s">
        <v>119</v>
      </c>
      <c r="F284" s="21" t="s">
        <v>24</v>
      </c>
      <c r="G284" s="21" t="s">
        <v>13</v>
      </c>
      <c r="H284" s="20" t="str">
        <f t="shared" si="13"/>
        <v>NI-488.2 19.5.0</v>
      </c>
      <c r="I284" s="20"/>
      <c r="J284" s="7"/>
    </row>
    <row r="285" spans="1:10" x14ac:dyDescent="0.25">
      <c r="A285" s="20" t="s">
        <v>542</v>
      </c>
      <c r="B285" s="20" t="s">
        <v>363</v>
      </c>
      <c r="C285" s="21" t="s">
        <v>30</v>
      </c>
      <c r="D285" s="21" t="s">
        <v>10</v>
      </c>
      <c r="E285" s="21">
        <v>2015</v>
      </c>
      <c r="F285" s="21" t="s">
        <v>12</v>
      </c>
      <c r="G285" s="21" t="s">
        <v>13</v>
      </c>
      <c r="H285" s="20" t="str">
        <f t="shared" si="13"/>
        <v>NI-CAN 15.0.0f0</v>
      </c>
      <c r="I285" s="20"/>
      <c r="J285" s="7"/>
    </row>
    <row r="286" spans="1:10" x14ac:dyDescent="0.25">
      <c r="A286" s="20" t="s">
        <v>542</v>
      </c>
      <c r="B286" s="20" t="s">
        <v>18</v>
      </c>
      <c r="C286" s="21" t="s">
        <v>156</v>
      </c>
      <c r="D286" s="21" t="s">
        <v>10</v>
      </c>
      <c r="E286" s="21" t="s">
        <v>130</v>
      </c>
      <c r="F286" s="21" t="s">
        <v>12</v>
      </c>
      <c r="G286" s="21" t="s">
        <v>13</v>
      </c>
      <c r="H286" s="20" t="str">
        <f t="shared" si="13"/>
        <v>NI-DAQmx ADE Support 18.5.0</v>
      </c>
      <c r="I286" s="20"/>
      <c r="J286" s="7"/>
    </row>
    <row r="287" spans="1:10" x14ac:dyDescent="0.25">
      <c r="A287" s="20" t="s">
        <v>542</v>
      </c>
      <c r="B287" s="20" t="s">
        <v>16</v>
      </c>
      <c r="C287" s="21" t="s">
        <v>117</v>
      </c>
      <c r="D287" s="21" t="s">
        <v>10</v>
      </c>
      <c r="E287" s="21" t="s">
        <v>119</v>
      </c>
      <c r="F287" s="21" t="s">
        <v>12</v>
      </c>
      <c r="G287" s="21" t="s">
        <v>13</v>
      </c>
      <c r="H287" s="20" t="str">
        <f t="shared" si="13"/>
        <v>NI-DAQmx Device Driver 19.5.0f0</v>
      </c>
      <c r="I287" s="20"/>
      <c r="J287" s="7"/>
    </row>
    <row r="288" spans="1:10" x14ac:dyDescent="0.25">
      <c r="A288" s="20" t="s">
        <v>542</v>
      </c>
      <c r="B288" s="20" t="s">
        <v>19</v>
      </c>
      <c r="C288" s="21" t="s">
        <v>156</v>
      </c>
      <c r="D288" s="21" t="s">
        <v>10</v>
      </c>
      <c r="E288" s="21" t="s">
        <v>130</v>
      </c>
      <c r="F288" s="21" t="s">
        <v>12</v>
      </c>
      <c r="G288" s="21" t="s">
        <v>13</v>
      </c>
      <c r="H288" s="20" t="str">
        <f t="shared" si="13"/>
        <v>NI-DAQmx MAX Configuration 18.5.0</v>
      </c>
      <c r="I288" s="20"/>
      <c r="J288" s="7"/>
    </row>
    <row r="289" spans="1:10" x14ac:dyDescent="0.25">
      <c r="A289" s="20" t="s">
        <v>542</v>
      </c>
      <c r="B289" s="20" t="s">
        <v>366</v>
      </c>
      <c r="C289" s="21" t="s">
        <v>141</v>
      </c>
      <c r="D289" s="21" t="s">
        <v>10</v>
      </c>
      <c r="E289" s="21" t="s">
        <v>119</v>
      </c>
      <c r="F289" s="21" t="s">
        <v>12</v>
      </c>
      <c r="G289" s="21" t="s">
        <v>13</v>
      </c>
      <c r="H289" s="20" t="str">
        <f t="shared" si="13"/>
        <v>NI-IMAQ 19.5.0</v>
      </c>
      <c r="I289" s="20"/>
      <c r="J289" s="7"/>
    </row>
    <row r="290" spans="1:10" x14ac:dyDescent="0.25">
      <c r="A290" s="20" t="s">
        <v>542</v>
      </c>
      <c r="B290" s="20" t="s">
        <v>366</v>
      </c>
      <c r="C290" s="21" t="s">
        <v>141</v>
      </c>
      <c r="D290" s="21" t="s">
        <v>10</v>
      </c>
      <c r="E290" s="21" t="s">
        <v>119</v>
      </c>
      <c r="F290" s="21" t="s">
        <v>24</v>
      </c>
      <c r="G290" s="21" t="s">
        <v>13</v>
      </c>
      <c r="H290" s="20" t="str">
        <f t="shared" si="13"/>
        <v>NI-IMAQ 19.5.0</v>
      </c>
      <c r="I290" s="20"/>
      <c r="J290" s="7"/>
    </row>
    <row r="291" spans="1:10" x14ac:dyDescent="0.25">
      <c r="A291" s="20" t="s">
        <v>542</v>
      </c>
      <c r="B291" s="20" t="s">
        <v>367</v>
      </c>
      <c r="C291" s="21" t="s">
        <v>156</v>
      </c>
      <c r="D291" s="21" t="s">
        <v>10</v>
      </c>
      <c r="E291" s="21" t="s">
        <v>130</v>
      </c>
      <c r="F291" s="21" t="s">
        <v>12</v>
      </c>
      <c r="G291" s="21" t="s">
        <v>13</v>
      </c>
      <c r="H291" s="20" t="str">
        <f t="shared" si="13"/>
        <v>NI-IMAQ Development Support 18.5.0</v>
      </c>
      <c r="I291" s="20"/>
      <c r="J291" s="7"/>
    </row>
    <row r="292" spans="1:10" x14ac:dyDescent="0.25">
      <c r="A292" s="20" t="s">
        <v>542</v>
      </c>
      <c r="B292" s="20" t="s">
        <v>368</v>
      </c>
      <c r="C292" s="21" t="s">
        <v>156</v>
      </c>
      <c r="D292" s="21" t="s">
        <v>10</v>
      </c>
      <c r="E292" s="21" t="s">
        <v>130</v>
      </c>
      <c r="F292" s="21" t="s">
        <v>12</v>
      </c>
      <c r="G292" s="21" t="s">
        <v>13</v>
      </c>
      <c r="H292" s="20" t="str">
        <f t="shared" si="13"/>
        <v>NI-IMAQ I/O 18.5.0</v>
      </c>
      <c r="I292" s="20"/>
      <c r="J292" s="7"/>
    </row>
    <row r="293" spans="1:10" x14ac:dyDescent="0.25">
      <c r="A293" s="20" t="s">
        <v>542</v>
      </c>
      <c r="B293" s="20" t="s">
        <v>368</v>
      </c>
      <c r="C293" s="21" t="s">
        <v>156</v>
      </c>
      <c r="D293" s="21" t="s">
        <v>10</v>
      </c>
      <c r="E293" s="21" t="s">
        <v>130</v>
      </c>
      <c r="F293" s="21" t="s">
        <v>24</v>
      </c>
      <c r="G293" s="21" t="s">
        <v>13</v>
      </c>
      <c r="H293" s="20" t="str">
        <f t="shared" si="13"/>
        <v>NI-IMAQ I/O 18.5.0</v>
      </c>
      <c r="I293" s="20"/>
      <c r="J293" s="7"/>
    </row>
    <row r="294" spans="1:10" x14ac:dyDescent="0.25">
      <c r="A294" s="20" t="s">
        <v>542</v>
      </c>
      <c r="B294" s="20" t="s">
        <v>369</v>
      </c>
      <c r="C294" s="21" t="s">
        <v>156</v>
      </c>
      <c r="D294" s="21" t="s">
        <v>10</v>
      </c>
      <c r="E294" s="21" t="s">
        <v>130</v>
      </c>
      <c r="F294" s="21" t="s">
        <v>12</v>
      </c>
      <c r="G294" s="21" t="s">
        <v>13</v>
      </c>
      <c r="H294" s="20" t="str">
        <f t="shared" si="13"/>
        <v>NI-IMAQ I/O Development Support 18.5.0</v>
      </c>
      <c r="I294" s="20"/>
      <c r="J294" s="7"/>
    </row>
    <row r="295" spans="1:10" x14ac:dyDescent="0.25">
      <c r="A295" s="20" t="s">
        <v>542</v>
      </c>
      <c r="B295" s="20" t="s">
        <v>382</v>
      </c>
      <c r="C295" s="21" t="s">
        <v>156</v>
      </c>
      <c r="D295" s="21" t="s">
        <v>10</v>
      </c>
      <c r="E295" s="21" t="s">
        <v>130</v>
      </c>
      <c r="F295" s="21" t="s">
        <v>12</v>
      </c>
      <c r="G295" s="21" t="s">
        <v>13</v>
      </c>
      <c r="H295" s="20" t="str">
        <f t="shared" si="13"/>
        <v>NI-IMAQdx 18.5.0</v>
      </c>
      <c r="I295" s="20"/>
      <c r="J295" s="7"/>
    </row>
    <row r="296" spans="1:10" x14ac:dyDescent="0.25">
      <c r="A296" s="20" t="s">
        <v>542</v>
      </c>
      <c r="B296" s="20" t="s">
        <v>382</v>
      </c>
      <c r="C296" s="21" t="s">
        <v>156</v>
      </c>
      <c r="D296" s="21" t="s">
        <v>10</v>
      </c>
      <c r="E296" s="21" t="s">
        <v>130</v>
      </c>
      <c r="F296" s="21" t="s">
        <v>24</v>
      </c>
      <c r="G296" s="21" t="s">
        <v>13</v>
      </c>
      <c r="H296" s="20" t="str">
        <f t="shared" si="13"/>
        <v>NI-IMAQdx 18.5.0</v>
      </c>
      <c r="I296" s="20"/>
      <c r="J296" s="7"/>
    </row>
    <row r="297" spans="1:10" x14ac:dyDescent="0.25">
      <c r="A297" s="20" t="s">
        <v>542</v>
      </c>
      <c r="B297" s="20" t="s">
        <v>383</v>
      </c>
      <c r="C297" s="21" t="s">
        <v>156</v>
      </c>
      <c r="D297" s="21" t="s">
        <v>10</v>
      </c>
      <c r="E297" s="21" t="s">
        <v>130</v>
      </c>
      <c r="F297" s="21" t="s">
        <v>12</v>
      </c>
      <c r="G297" s="21" t="s">
        <v>13</v>
      </c>
      <c r="H297" s="20" t="str">
        <f t="shared" si="13"/>
        <v>NI-IMAQdx Development Support 18.5.0</v>
      </c>
      <c r="I297" s="20"/>
      <c r="J297" s="7"/>
    </row>
    <row r="298" spans="1:10" x14ac:dyDescent="0.25">
      <c r="A298" s="20" t="s">
        <v>542</v>
      </c>
      <c r="B298" s="20" t="s">
        <v>143</v>
      </c>
      <c r="C298" s="21" t="s">
        <v>102</v>
      </c>
      <c r="D298" s="21" t="s">
        <v>10</v>
      </c>
      <c r="E298" s="21" t="s">
        <v>11</v>
      </c>
      <c r="F298" s="21" t="s">
        <v>12</v>
      </c>
      <c r="G298" s="21" t="s">
        <v>13</v>
      </c>
      <c r="H298" s="20" t="str">
        <f t="shared" si="13"/>
        <v>NI-Industrial Communications for EtherCAT 15.0</v>
      </c>
      <c r="I298" s="41" t="s">
        <v>415</v>
      </c>
      <c r="J298" s="7"/>
    </row>
    <row r="299" spans="1:10" hidden="1" x14ac:dyDescent="0.25">
      <c r="A299" s="20" t="s">
        <v>542</v>
      </c>
      <c r="B299" s="20" t="s">
        <v>143</v>
      </c>
      <c r="C299" s="21"/>
      <c r="D299" s="21" t="s">
        <v>10</v>
      </c>
      <c r="E299" s="21" t="s">
        <v>136</v>
      </c>
      <c r="F299" s="21" t="s">
        <v>171</v>
      </c>
      <c r="G299" s="21" t="s">
        <v>13</v>
      </c>
      <c r="H299" s="20" t="str">
        <f t="shared" si="13"/>
        <v xml:space="preserve">NI-Industrial Communications for EtherCAT </v>
      </c>
      <c r="I299" s="20"/>
      <c r="J299" s="7"/>
    </row>
    <row r="300" spans="1:10" x14ac:dyDescent="0.25">
      <c r="A300" s="20" t="s">
        <v>542</v>
      </c>
      <c r="B300" s="20" t="s">
        <v>143</v>
      </c>
      <c r="C300" s="21" t="s">
        <v>144</v>
      </c>
      <c r="D300" s="21" t="s">
        <v>10</v>
      </c>
      <c r="E300" s="21">
        <v>2015</v>
      </c>
      <c r="F300" s="21" t="s">
        <v>12</v>
      </c>
      <c r="G300" s="21" t="s">
        <v>13</v>
      </c>
      <c r="H300" s="20" t="str">
        <f t="shared" si="13"/>
        <v>NI-Industrial Communications for EtherCAT 15.0.0f3</v>
      </c>
      <c r="I300" s="41" t="s">
        <v>415</v>
      </c>
      <c r="J300" s="7"/>
    </row>
    <row r="301" spans="1:10" x14ac:dyDescent="0.25">
      <c r="A301" s="20" t="s">
        <v>542</v>
      </c>
      <c r="B301" s="20" t="s">
        <v>59</v>
      </c>
      <c r="C301" s="21" t="s">
        <v>135</v>
      </c>
      <c r="D301" s="21" t="s">
        <v>10</v>
      </c>
      <c r="E301" s="21" t="s">
        <v>119</v>
      </c>
      <c r="F301" s="21" t="s">
        <v>12</v>
      </c>
      <c r="G301" s="21" t="s">
        <v>13</v>
      </c>
      <c r="H301" s="20" t="str">
        <f t="shared" si="13"/>
        <v>NI-PAL Software 19.0.0</v>
      </c>
      <c r="I301" s="20"/>
      <c r="J301" s="7"/>
    </row>
    <row r="302" spans="1:10" hidden="1" x14ac:dyDescent="0.25">
      <c r="A302" s="20" t="s">
        <v>542</v>
      </c>
      <c r="B302" s="20" t="s">
        <v>54</v>
      </c>
      <c r="C302" s="21" t="s">
        <v>170</v>
      </c>
      <c r="D302" s="21" t="s">
        <v>10</v>
      </c>
      <c r="E302" s="21" t="s">
        <v>11</v>
      </c>
      <c r="F302" s="21" t="s">
        <v>171</v>
      </c>
      <c r="G302" s="21" t="s">
        <v>13</v>
      </c>
      <c r="H302" s="20" t="str">
        <f t="shared" si="13"/>
        <v>NI-RIO 15.5</v>
      </c>
      <c r="I302" s="20"/>
      <c r="J302" s="7"/>
    </row>
    <row r="303" spans="1:10" x14ac:dyDescent="0.25">
      <c r="A303" s="20" t="s">
        <v>542</v>
      </c>
      <c r="B303" s="20" t="s">
        <v>54</v>
      </c>
      <c r="C303" s="21" t="s">
        <v>156</v>
      </c>
      <c r="D303" s="21" t="s">
        <v>10</v>
      </c>
      <c r="E303" s="21" t="s">
        <v>130</v>
      </c>
      <c r="F303" s="21" t="s">
        <v>12</v>
      </c>
      <c r="G303" s="21" t="s">
        <v>13</v>
      </c>
      <c r="H303" s="20" t="str">
        <f t="shared" si="13"/>
        <v>NI-RIO 18.5.0</v>
      </c>
      <c r="I303" s="20"/>
      <c r="J303" s="7"/>
    </row>
    <row r="304" spans="1:10" x14ac:dyDescent="0.25">
      <c r="A304" s="20" t="s">
        <v>542</v>
      </c>
      <c r="B304" s="20" t="s">
        <v>54</v>
      </c>
      <c r="C304" s="21" t="s">
        <v>156</v>
      </c>
      <c r="D304" s="21" t="s">
        <v>10</v>
      </c>
      <c r="E304" s="21" t="s">
        <v>130</v>
      </c>
      <c r="F304" s="21" t="s">
        <v>12</v>
      </c>
      <c r="G304" s="21" t="s">
        <v>13</v>
      </c>
      <c r="H304" s="20" t="str">
        <f t="shared" si="13"/>
        <v>NI-RIO 18.5.0</v>
      </c>
      <c r="I304" s="20"/>
      <c r="J304" s="7"/>
    </row>
    <row r="305" spans="1:10" hidden="1" x14ac:dyDescent="0.25">
      <c r="A305" s="20" t="s">
        <v>542</v>
      </c>
      <c r="B305" s="20" t="s">
        <v>192</v>
      </c>
      <c r="C305" s="21" t="s">
        <v>170</v>
      </c>
      <c r="D305" s="21" t="s">
        <v>10</v>
      </c>
      <c r="E305" s="21" t="s">
        <v>11</v>
      </c>
      <c r="F305" s="21" t="s">
        <v>171</v>
      </c>
      <c r="G305" s="21" t="s">
        <v>13</v>
      </c>
      <c r="H305" s="20" t="str">
        <f t="shared" si="13"/>
        <v>NI-RIO IO Scan 15.5</v>
      </c>
      <c r="I305" s="20"/>
      <c r="J305" s="7"/>
    </row>
    <row r="306" spans="1:10" x14ac:dyDescent="0.25">
      <c r="A306" s="20" t="s">
        <v>542</v>
      </c>
      <c r="B306" s="20" t="s">
        <v>64</v>
      </c>
      <c r="C306" s="21" t="s">
        <v>146</v>
      </c>
      <c r="D306" s="21" t="s">
        <v>10</v>
      </c>
      <c r="E306" s="21" t="s">
        <v>130</v>
      </c>
      <c r="F306" s="21" t="s">
        <v>12</v>
      </c>
      <c r="G306" s="21" t="s">
        <v>13</v>
      </c>
      <c r="H306" s="20" t="str">
        <f t="shared" si="13"/>
        <v>NI-Serial Configuration 18.5.0f0</v>
      </c>
      <c r="I306" s="20"/>
      <c r="J306" s="7"/>
    </row>
    <row r="307" spans="1:10" x14ac:dyDescent="0.25">
      <c r="A307" s="20" t="s">
        <v>542</v>
      </c>
      <c r="B307" s="20" t="s">
        <v>129</v>
      </c>
      <c r="C307" s="21" t="s">
        <v>146</v>
      </c>
      <c r="D307" s="21" t="s">
        <v>10</v>
      </c>
      <c r="E307" s="21" t="s">
        <v>130</v>
      </c>
      <c r="F307" s="21" t="s">
        <v>24</v>
      </c>
      <c r="G307" s="21" t="s">
        <v>13</v>
      </c>
      <c r="H307" s="20" t="str">
        <f t="shared" si="13"/>
        <v>NI-Serial 18.5.0f0</v>
      </c>
      <c r="I307" s="20"/>
      <c r="J307" s="7"/>
    </row>
    <row r="308" spans="1:10" x14ac:dyDescent="0.25">
      <c r="A308" s="20" t="s">
        <v>542</v>
      </c>
      <c r="B308" s="20" t="s">
        <v>56</v>
      </c>
      <c r="C308" s="21" t="s">
        <v>147</v>
      </c>
      <c r="D308" s="21" t="s">
        <v>10</v>
      </c>
      <c r="E308" s="21" t="s">
        <v>11</v>
      </c>
      <c r="F308" s="21" t="s">
        <v>24</v>
      </c>
      <c r="G308" s="21" t="s">
        <v>13</v>
      </c>
      <c r="H308" s="20" t="str">
        <f t="shared" si="13"/>
        <v>NI-Sync 15.0.1f0</v>
      </c>
      <c r="I308" s="20"/>
      <c r="J308" s="7"/>
    </row>
    <row r="309" spans="1:10" x14ac:dyDescent="0.25">
      <c r="A309" s="20" t="s">
        <v>542</v>
      </c>
      <c r="B309" s="20" t="s">
        <v>56</v>
      </c>
      <c r="C309" s="21" t="s">
        <v>147</v>
      </c>
      <c r="D309" s="21" t="s">
        <v>10</v>
      </c>
      <c r="E309" s="21">
        <v>2015</v>
      </c>
      <c r="F309" s="21" t="s">
        <v>12</v>
      </c>
      <c r="G309" s="21" t="s">
        <v>13</v>
      </c>
      <c r="H309" s="20" t="str">
        <f t="shared" si="13"/>
        <v>NI-Sync 15.0.1f0</v>
      </c>
      <c r="I309" s="20"/>
      <c r="J309" s="7"/>
    </row>
    <row r="310" spans="1:10" x14ac:dyDescent="0.25">
      <c r="A310" s="20" t="s">
        <v>542</v>
      </c>
      <c r="B310" s="20" t="s">
        <v>57</v>
      </c>
      <c r="C310" s="21" t="s">
        <v>30</v>
      </c>
      <c r="D310" s="21" t="s">
        <v>10</v>
      </c>
      <c r="E310" s="21">
        <v>2015</v>
      </c>
      <c r="F310" s="21" t="s">
        <v>12</v>
      </c>
      <c r="G310" s="21" t="s">
        <v>13</v>
      </c>
      <c r="H310" s="20" t="str">
        <f t="shared" si="13"/>
        <v>NI-TimeSync 15.0.0f0</v>
      </c>
      <c r="I310" s="20"/>
      <c r="J310" s="7"/>
    </row>
    <row r="311" spans="1:10" x14ac:dyDescent="0.25">
      <c r="A311" s="20" t="s">
        <v>542</v>
      </c>
      <c r="B311" s="20" t="s">
        <v>46</v>
      </c>
      <c r="C311" s="21" t="s">
        <v>381</v>
      </c>
      <c r="D311" s="21" t="s">
        <v>10</v>
      </c>
      <c r="E311" s="21" t="s">
        <v>130</v>
      </c>
      <c r="F311" s="21" t="s">
        <v>12</v>
      </c>
      <c r="G311" s="21" t="s">
        <v>13</v>
      </c>
      <c r="H311" s="20" t="str">
        <f t="shared" ref="H311:H341" si="14">B311&amp;" "&amp;C311</f>
        <v>NI-USI 18.5.5.7372</v>
      </c>
      <c r="I311" s="20"/>
      <c r="J311" s="7"/>
    </row>
    <row r="312" spans="1:10" hidden="1" x14ac:dyDescent="0.25">
      <c r="A312" s="20" t="s">
        <v>542</v>
      </c>
      <c r="B312" s="20" t="s">
        <v>70</v>
      </c>
      <c r="C312" s="21" t="s">
        <v>97</v>
      </c>
      <c r="D312" s="21" t="s">
        <v>10</v>
      </c>
      <c r="E312" s="21" t="s">
        <v>11</v>
      </c>
      <c r="F312" s="21" t="s">
        <v>171</v>
      </c>
      <c r="G312" s="21" t="s">
        <v>13</v>
      </c>
      <c r="H312" s="20" t="str">
        <f t="shared" si="14"/>
        <v>NI-VISA 15.5.0</v>
      </c>
      <c r="I312" s="20"/>
      <c r="J312" s="7"/>
    </row>
    <row r="313" spans="1:10" x14ac:dyDescent="0.25">
      <c r="A313" s="20" t="s">
        <v>542</v>
      </c>
      <c r="B313" s="20" t="s">
        <v>70</v>
      </c>
      <c r="C313" s="21">
        <v>19.5</v>
      </c>
      <c r="D313" s="21" t="s">
        <v>10</v>
      </c>
      <c r="E313" s="21" t="s">
        <v>119</v>
      </c>
      <c r="F313" s="21" t="s">
        <v>12</v>
      </c>
      <c r="G313" s="21" t="s">
        <v>13</v>
      </c>
      <c r="H313" s="20" t="str">
        <f t="shared" si="14"/>
        <v>NI-VISA 19.5</v>
      </c>
      <c r="I313" s="20"/>
      <c r="J313" s="7"/>
    </row>
    <row r="314" spans="1:10" x14ac:dyDescent="0.25">
      <c r="A314" s="20" t="s">
        <v>542</v>
      </c>
      <c r="B314" s="20" t="s">
        <v>70</v>
      </c>
      <c r="C314" s="21">
        <v>19.5</v>
      </c>
      <c r="D314" s="21" t="s">
        <v>10</v>
      </c>
      <c r="E314" s="21" t="s">
        <v>119</v>
      </c>
      <c r="F314" s="21" t="s">
        <v>24</v>
      </c>
      <c r="G314" s="21" t="s">
        <v>13</v>
      </c>
      <c r="H314" s="20" t="str">
        <f t="shared" si="14"/>
        <v>NI-VISA 19.5</v>
      </c>
      <c r="I314" s="20"/>
      <c r="J314" s="7"/>
    </row>
    <row r="315" spans="1:10" x14ac:dyDescent="0.25">
      <c r="A315" s="20" t="s">
        <v>542</v>
      </c>
      <c r="B315" s="20" t="s">
        <v>73</v>
      </c>
      <c r="C315" s="21" t="s">
        <v>385</v>
      </c>
      <c r="D315" s="21" t="s">
        <v>10</v>
      </c>
      <c r="E315" s="21" t="s">
        <v>130</v>
      </c>
      <c r="F315" s="21" t="s">
        <v>12</v>
      </c>
      <c r="G315" s="21" t="s">
        <v>13</v>
      </c>
      <c r="H315" s="20" t="str">
        <f t="shared" si="14"/>
        <v>NIvisaic.exe 18.5.0.49152</v>
      </c>
      <c r="I315" s="36" t="s">
        <v>42</v>
      </c>
      <c r="J315" s="7"/>
    </row>
    <row r="316" spans="1:10" x14ac:dyDescent="0.25">
      <c r="A316" s="20" t="s">
        <v>542</v>
      </c>
      <c r="B316" s="20" t="s">
        <v>71</v>
      </c>
      <c r="C316" s="21" t="s">
        <v>72</v>
      </c>
      <c r="D316" s="21" t="s">
        <v>10</v>
      </c>
      <c r="E316" s="21">
        <v>2015</v>
      </c>
      <c r="F316" s="21" t="s">
        <v>12</v>
      </c>
      <c r="G316" s="21" t="s">
        <v>13</v>
      </c>
      <c r="H316" s="20" t="str">
        <f t="shared" si="14"/>
        <v>NiVisaServer.exe 15.0.0.49152</v>
      </c>
      <c r="I316" s="36" t="s">
        <v>42</v>
      </c>
      <c r="J316" s="7"/>
    </row>
    <row r="317" spans="1:10" hidden="1" x14ac:dyDescent="0.25">
      <c r="A317" s="20" t="s">
        <v>542</v>
      </c>
      <c r="B317" s="20" t="s">
        <v>194</v>
      </c>
      <c r="C317" s="21" t="s">
        <v>9</v>
      </c>
      <c r="D317" s="21" t="s">
        <v>10</v>
      </c>
      <c r="E317" s="21" t="s">
        <v>11</v>
      </c>
      <c r="F317" s="21" t="s">
        <v>171</v>
      </c>
      <c r="G317" s="21" t="s">
        <v>13</v>
      </c>
      <c r="H317" s="20" t="str">
        <f t="shared" si="14"/>
        <v>NI-Watchdog 15.0.0</v>
      </c>
      <c r="I317" s="20"/>
      <c r="J317" s="7"/>
    </row>
    <row r="318" spans="1:10" x14ac:dyDescent="0.25">
      <c r="A318" s="20" t="s">
        <v>542</v>
      </c>
      <c r="B318" s="20" t="s">
        <v>396</v>
      </c>
      <c r="C318" s="21" t="s">
        <v>146</v>
      </c>
      <c r="D318" s="21" t="s">
        <v>10</v>
      </c>
      <c r="E318" s="21" t="s">
        <v>130</v>
      </c>
      <c r="F318" s="21" t="s">
        <v>12</v>
      </c>
      <c r="G318" s="21" t="s">
        <v>13</v>
      </c>
      <c r="H318" s="20" t="str">
        <f t="shared" si="14"/>
        <v>NI-XNET 18.5.0f0</v>
      </c>
      <c r="I318" s="20"/>
      <c r="J318" s="7"/>
    </row>
    <row r="319" spans="1:10" x14ac:dyDescent="0.25">
      <c r="A319" s="20" t="s">
        <v>542</v>
      </c>
      <c r="B319" s="20" t="s">
        <v>396</v>
      </c>
      <c r="C319" s="21" t="s">
        <v>388</v>
      </c>
      <c r="D319" s="21" t="s">
        <v>10</v>
      </c>
      <c r="E319" s="21" t="s">
        <v>130</v>
      </c>
      <c r="F319" s="21" t="s">
        <v>24</v>
      </c>
      <c r="G319" s="21" t="s">
        <v>13</v>
      </c>
      <c r="H319" s="20" t="str">
        <f t="shared" si="14"/>
        <v>NI-XNET 18.5.0f1</v>
      </c>
      <c r="I319" s="20"/>
      <c r="J319" s="7"/>
    </row>
    <row r="320" spans="1:10" x14ac:dyDescent="0.25">
      <c r="A320" s="20" t="s">
        <v>542</v>
      </c>
      <c r="B320" s="20" t="s">
        <v>313</v>
      </c>
      <c r="C320" s="21" t="s">
        <v>314</v>
      </c>
      <c r="D320" s="21" t="s">
        <v>10</v>
      </c>
      <c r="E320" s="21" t="s">
        <v>136</v>
      </c>
      <c r="F320" s="21" t="s">
        <v>12</v>
      </c>
      <c r="G320" s="21" t="s">
        <v>315</v>
      </c>
      <c r="H320" s="20" t="str">
        <f t="shared" si="14"/>
        <v>OpenG Application Control Library 4.1.0.7</v>
      </c>
      <c r="I320" s="119" t="s">
        <v>202</v>
      </c>
      <c r="J320" s="7"/>
    </row>
    <row r="321" spans="1:10" x14ac:dyDescent="0.25">
      <c r="A321" s="20" t="s">
        <v>542</v>
      </c>
      <c r="B321" s="20" t="s">
        <v>316</v>
      </c>
      <c r="C321" s="21" t="s">
        <v>317</v>
      </c>
      <c r="D321" s="21" t="s">
        <v>10</v>
      </c>
      <c r="E321" s="21" t="s">
        <v>136</v>
      </c>
      <c r="F321" s="21" t="s">
        <v>12</v>
      </c>
      <c r="G321" s="21" t="s">
        <v>315</v>
      </c>
      <c r="H321" s="20" t="str">
        <f t="shared" si="14"/>
        <v>OpenG Array Library 4.1.1.14</v>
      </c>
      <c r="I321" s="119" t="s">
        <v>202</v>
      </c>
      <c r="J321" s="7"/>
    </row>
    <row r="322" spans="1:10" x14ac:dyDescent="0.25">
      <c r="A322" s="20" t="s">
        <v>542</v>
      </c>
      <c r="B322" s="20" t="s">
        <v>318</v>
      </c>
      <c r="C322" s="21" t="s">
        <v>319</v>
      </c>
      <c r="D322" s="21" t="s">
        <v>10</v>
      </c>
      <c r="E322" s="21" t="s">
        <v>136</v>
      </c>
      <c r="F322" s="21" t="s">
        <v>12</v>
      </c>
      <c r="G322" s="21" t="s">
        <v>315</v>
      </c>
      <c r="H322" s="20" t="str">
        <f t="shared" si="14"/>
        <v>OpenG Boolean Library 4.0.0.7</v>
      </c>
      <c r="I322" s="119" t="s">
        <v>202</v>
      </c>
      <c r="J322" s="7"/>
    </row>
    <row r="323" spans="1:10" x14ac:dyDescent="0.25">
      <c r="A323" s="20" t="s">
        <v>542</v>
      </c>
      <c r="B323" s="20" t="s">
        <v>320</v>
      </c>
      <c r="C323" s="21" t="s">
        <v>321</v>
      </c>
      <c r="D323" s="21" t="s">
        <v>10</v>
      </c>
      <c r="E323" s="21" t="s">
        <v>136</v>
      </c>
      <c r="F323" s="21" t="s">
        <v>12</v>
      </c>
      <c r="G323" s="21" t="s">
        <v>315</v>
      </c>
      <c r="H323" s="20" t="str">
        <f t="shared" si="14"/>
        <v>OpenG Builder 3.0.1-2</v>
      </c>
      <c r="I323" s="119" t="s">
        <v>202</v>
      </c>
      <c r="J323" s="7"/>
    </row>
    <row r="324" spans="1:10" x14ac:dyDescent="0.25">
      <c r="A324" s="20" t="s">
        <v>542</v>
      </c>
      <c r="B324" s="20" t="s">
        <v>322</v>
      </c>
      <c r="C324" s="21" t="s">
        <v>319</v>
      </c>
      <c r="D324" s="21" t="s">
        <v>10</v>
      </c>
      <c r="E324" s="21" t="s">
        <v>136</v>
      </c>
      <c r="F324" s="21" t="s">
        <v>12</v>
      </c>
      <c r="G324" s="21" t="s">
        <v>315</v>
      </c>
      <c r="H324" s="20" t="str">
        <f t="shared" si="14"/>
        <v>OpenG Buttons Library 4.0.0.7</v>
      </c>
      <c r="I324" s="119" t="s">
        <v>202</v>
      </c>
      <c r="J324" s="7"/>
    </row>
    <row r="325" spans="1:10" x14ac:dyDescent="0.25">
      <c r="A325" s="20" t="s">
        <v>542</v>
      </c>
      <c r="B325" s="20" t="s">
        <v>323</v>
      </c>
      <c r="C325" s="21" t="s">
        <v>324</v>
      </c>
      <c r="D325" s="21" t="s">
        <v>10</v>
      </c>
      <c r="E325" s="21" t="s">
        <v>136</v>
      </c>
      <c r="F325" s="21" t="s">
        <v>12</v>
      </c>
      <c r="G325" s="21" t="s">
        <v>315</v>
      </c>
      <c r="H325" s="20" t="str">
        <f t="shared" si="14"/>
        <v>OpenG Compare VI To Disk Tool 4.0.0.9</v>
      </c>
      <c r="I325" s="119" t="s">
        <v>202</v>
      </c>
      <c r="J325" s="7"/>
    </row>
    <row r="326" spans="1:10" x14ac:dyDescent="0.25">
      <c r="A326" s="20" t="s">
        <v>542</v>
      </c>
      <c r="B326" s="20" t="s">
        <v>325</v>
      </c>
      <c r="C326" s="21" t="s">
        <v>326</v>
      </c>
      <c r="D326" s="21" t="s">
        <v>10</v>
      </c>
      <c r="E326" s="21" t="s">
        <v>136</v>
      </c>
      <c r="F326" s="21" t="s">
        <v>12</v>
      </c>
      <c r="G326" s="21" t="s">
        <v>315</v>
      </c>
      <c r="H326" s="20" t="str">
        <f t="shared" si="14"/>
        <v>OpenG Comparison Library 4.0.0.3</v>
      </c>
      <c r="I326" s="119" t="s">
        <v>202</v>
      </c>
      <c r="J326" s="7"/>
    </row>
    <row r="327" spans="1:10" x14ac:dyDescent="0.25">
      <c r="A327" s="20" t="s">
        <v>542</v>
      </c>
      <c r="B327" s="20" t="s">
        <v>327</v>
      </c>
      <c r="C327" s="21" t="s">
        <v>328</v>
      </c>
      <c r="D327" s="21" t="s">
        <v>10</v>
      </c>
      <c r="E327" s="21" t="s">
        <v>136</v>
      </c>
      <c r="F327" s="21" t="s">
        <v>12</v>
      </c>
      <c r="G327" s="21" t="s">
        <v>315</v>
      </c>
      <c r="H327" s="20" t="str">
        <f t="shared" si="14"/>
        <v>OpenG Dictionary Library 4.0.0.4</v>
      </c>
      <c r="I327" s="119" t="s">
        <v>202</v>
      </c>
      <c r="J327" s="7"/>
    </row>
    <row r="328" spans="1:10" x14ac:dyDescent="0.25">
      <c r="A328" s="20" t="s">
        <v>542</v>
      </c>
      <c r="B328" s="20" t="s">
        <v>329</v>
      </c>
      <c r="C328" s="21" t="s">
        <v>330</v>
      </c>
      <c r="D328" s="21" t="s">
        <v>10</v>
      </c>
      <c r="E328" s="21" t="s">
        <v>136</v>
      </c>
      <c r="F328" s="21" t="s">
        <v>12</v>
      </c>
      <c r="G328" s="21" t="s">
        <v>315</v>
      </c>
      <c r="H328" s="20" t="str">
        <f t="shared" si="14"/>
        <v>OpenG Error Library 4.2.0.23</v>
      </c>
      <c r="I328" s="119" t="s">
        <v>202</v>
      </c>
      <c r="J328" s="7"/>
    </row>
    <row r="329" spans="1:10" x14ac:dyDescent="0.25">
      <c r="A329" s="20" t="s">
        <v>542</v>
      </c>
      <c r="B329" s="20" t="s">
        <v>331</v>
      </c>
      <c r="C329" s="21" t="s">
        <v>332</v>
      </c>
      <c r="D329" s="21" t="s">
        <v>10</v>
      </c>
      <c r="E329" s="21" t="s">
        <v>136</v>
      </c>
      <c r="F329" s="21" t="s">
        <v>12</v>
      </c>
      <c r="G329" s="21" t="s">
        <v>315</v>
      </c>
      <c r="H329" s="20" t="str">
        <f t="shared" si="14"/>
        <v>OpenG File Library 4.0.1.22</v>
      </c>
      <c r="I329" s="119" t="s">
        <v>202</v>
      </c>
      <c r="J329" s="7"/>
    </row>
    <row r="330" spans="1:10" x14ac:dyDescent="0.25">
      <c r="A330" s="20" t="s">
        <v>542</v>
      </c>
      <c r="B330" s="20" t="s">
        <v>333</v>
      </c>
      <c r="C330" s="21" t="s">
        <v>328</v>
      </c>
      <c r="D330" s="21" t="s">
        <v>10</v>
      </c>
      <c r="E330" s="21" t="s">
        <v>136</v>
      </c>
      <c r="F330" s="21" t="s">
        <v>12</v>
      </c>
      <c r="G330" s="21" t="s">
        <v>334</v>
      </c>
      <c r="H330" s="20" t="str">
        <f t="shared" si="14"/>
        <v>OpenG LabPython Library 4.0.0.4</v>
      </c>
      <c r="I330" s="119" t="s">
        <v>202</v>
      </c>
      <c r="J330" s="7"/>
    </row>
    <row r="331" spans="1:10" x14ac:dyDescent="0.25">
      <c r="A331" s="20" t="s">
        <v>542</v>
      </c>
      <c r="B331" s="20" t="s">
        <v>335</v>
      </c>
      <c r="C331" s="21" t="s">
        <v>336</v>
      </c>
      <c r="D331" s="21" t="s">
        <v>10</v>
      </c>
      <c r="E331" s="21" t="s">
        <v>136</v>
      </c>
      <c r="F331" s="21" t="s">
        <v>12</v>
      </c>
      <c r="G331" s="21" t="s">
        <v>541</v>
      </c>
      <c r="H331" s="20" t="str">
        <f t="shared" si="14"/>
        <v>OpenG LabVIEW Data Library 4.2.0.21</v>
      </c>
      <c r="I331" s="119" t="s">
        <v>202</v>
      </c>
      <c r="J331" s="7"/>
    </row>
    <row r="332" spans="1:10" x14ac:dyDescent="0.25">
      <c r="A332" s="20" t="s">
        <v>542</v>
      </c>
      <c r="B332" s="20" t="s">
        <v>337</v>
      </c>
      <c r="C332" s="21" t="s">
        <v>338</v>
      </c>
      <c r="D332" s="21" t="s">
        <v>10</v>
      </c>
      <c r="E332" s="21" t="s">
        <v>136</v>
      </c>
      <c r="F332" s="21" t="s">
        <v>12</v>
      </c>
      <c r="G332" s="21" t="s">
        <v>315</v>
      </c>
      <c r="H332" s="20" t="str">
        <f t="shared" si="14"/>
        <v>OpenG LabVIEW ZIP Library 4.0.0-2</v>
      </c>
      <c r="I332" s="119" t="s">
        <v>202</v>
      </c>
      <c r="J332" s="7"/>
    </row>
    <row r="333" spans="1:10" x14ac:dyDescent="0.25">
      <c r="A333" s="20" t="s">
        <v>542</v>
      </c>
      <c r="B333" s="20" t="s">
        <v>339</v>
      </c>
      <c r="C333" s="21" t="s">
        <v>326</v>
      </c>
      <c r="D333" s="21" t="s">
        <v>10</v>
      </c>
      <c r="E333" s="21" t="s">
        <v>136</v>
      </c>
      <c r="F333" s="21" t="s">
        <v>12</v>
      </c>
      <c r="G333" s="21" t="s">
        <v>315</v>
      </c>
      <c r="H333" s="20" t="str">
        <f t="shared" si="14"/>
        <v>OpenG Large File Library 4.0.0.3</v>
      </c>
      <c r="I333" s="119" t="s">
        <v>202</v>
      </c>
      <c r="J333" s="7"/>
    </row>
    <row r="334" spans="1:10" x14ac:dyDescent="0.25">
      <c r="A334" s="20" t="s">
        <v>542</v>
      </c>
      <c r="B334" s="20" t="s">
        <v>340</v>
      </c>
      <c r="C334" s="21" t="s">
        <v>319</v>
      </c>
      <c r="D334" s="21" t="s">
        <v>10</v>
      </c>
      <c r="E334" s="21" t="s">
        <v>136</v>
      </c>
      <c r="F334" s="21" t="s">
        <v>12</v>
      </c>
      <c r="G334" s="21" t="s">
        <v>315</v>
      </c>
      <c r="H334" s="20" t="str">
        <f t="shared" si="14"/>
        <v>OpenG Locate File In Project Tool 4.0.0.7</v>
      </c>
      <c r="I334" s="119" t="s">
        <v>202</v>
      </c>
      <c r="J334" s="7"/>
    </row>
    <row r="335" spans="1:10" x14ac:dyDescent="0.25">
      <c r="A335" s="20" t="s">
        <v>542</v>
      </c>
      <c r="B335" s="20" t="s">
        <v>341</v>
      </c>
      <c r="C335" s="21" t="s">
        <v>342</v>
      </c>
      <c r="D335" s="21" t="s">
        <v>10</v>
      </c>
      <c r="E335" s="21" t="s">
        <v>136</v>
      </c>
      <c r="F335" s="21" t="s">
        <v>12</v>
      </c>
      <c r="G335" s="21" t="s">
        <v>315</v>
      </c>
      <c r="H335" s="20" t="str">
        <f t="shared" si="14"/>
        <v>OpenG MD5 Digest Library 4.1.1.10</v>
      </c>
      <c r="I335" s="119" t="s">
        <v>202</v>
      </c>
      <c r="J335" s="7"/>
    </row>
    <row r="336" spans="1:10" x14ac:dyDescent="0.25">
      <c r="A336" s="20" t="s">
        <v>542</v>
      </c>
      <c r="B336" s="20" t="s">
        <v>343</v>
      </c>
      <c r="C336" s="21" t="s">
        <v>344</v>
      </c>
      <c r="D336" s="21" t="s">
        <v>10</v>
      </c>
      <c r="E336" s="21" t="s">
        <v>136</v>
      </c>
      <c r="F336" s="21" t="s">
        <v>12</v>
      </c>
      <c r="G336" s="21" t="s">
        <v>315</v>
      </c>
      <c r="H336" s="20" t="str">
        <f t="shared" si="14"/>
        <v>OpenG Message Queue Library 4.0.0.15</v>
      </c>
      <c r="I336" s="119" t="s">
        <v>202</v>
      </c>
      <c r="J336" s="7"/>
    </row>
    <row r="337" spans="1:10" x14ac:dyDescent="0.25">
      <c r="A337" s="20" t="s">
        <v>542</v>
      </c>
      <c r="B337" s="20" t="s">
        <v>345</v>
      </c>
      <c r="C337" s="21" t="s">
        <v>346</v>
      </c>
      <c r="D337" s="21" t="s">
        <v>10</v>
      </c>
      <c r="E337" s="21" t="s">
        <v>136</v>
      </c>
      <c r="F337" s="21" t="s">
        <v>12</v>
      </c>
      <c r="G337" s="21" t="s">
        <v>315</v>
      </c>
      <c r="H337" s="20" t="str">
        <f t="shared" si="14"/>
        <v>OpenG Numeric Library 4.1.0.8</v>
      </c>
      <c r="I337" s="119" t="s">
        <v>202</v>
      </c>
      <c r="J337" s="7"/>
    </row>
    <row r="338" spans="1:10" x14ac:dyDescent="0.25">
      <c r="A338" s="20" t="s">
        <v>542</v>
      </c>
      <c r="B338" s="20" t="s">
        <v>347</v>
      </c>
      <c r="C338" s="21" t="s">
        <v>348</v>
      </c>
      <c r="D338" s="21" t="s">
        <v>10</v>
      </c>
      <c r="E338" s="21" t="s">
        <v>136</v>
      </c>
      <c r="F338" s="21" t="s">
        <v>12</v>
      </c>
      <c r="G338" s="21" t="s">
        <v>315</v>
      </c>
      <c r="H338" s="20" t="str">
        <f t="shared" si="14"/>
        <v>OpenG Picture Library 4.0.0.13</v>
      </c>
      <c r="I338" s="119" t="s">
        <v>202</v>
      </c>
      <c r="J338" s="7"/>
    </row>
    <row r="339" spans="1:10" x14ac:dyDescent="0.25">
      <c r="A339" s="20" t="s">
        <v>542</v>
      </c>
      <c r="B339" s="20" t="s">
        <v>349</v>
      </c>
      <c r="C339" s="21" t="s">
        <v>338</v>
      </c>
      <c r="D339" s="21" t="s">
        <v>10</v>
      </c>
      <c r="E339" s="21" t="s">
        <v>136</v>
      </c>
      <c r="F339" s="21" t="s">
        <v>12</v>
      </c>
      <c r="G339" s="21" t="s">
        <v>315</v>
      </c>
      <c r="H339" s="20" t="str">
        <f t="shared" si="14"/>
        <v>OpenG Port IO 4.0.0-2</v>
      </c>
      <c r="I339" s="119" t="s">
        <v>202</v>
      </c>
      <c r="J339" s="7"/>
    </row>
    <row r="340" spans="1:10" x14ac:dyDescent="0.25">
      <c r="A340" s="20" t="s">
        <v>542</v>
      </c>
      <c r="B340" s="20" t="s">
        <v>350</v>
      </c>
      <c r="C340" s="21" t="s">
        <v>344</v>
      </c>
      <c r="D340" s="21" t="s">
        <v>10</v>
      </c>
      <c r="E340" s="21" t="s">
        <v>136</v>
      </c>
      <c r="F340" s="21" t="s">
        <v>12</v>
      </c>
      <c r="G340" s="21" t="s">
        <v>315</v>
      </c>
      <c r="H340" s="20" t="str">
        <f t="shared" si="14"/>
        <v>OpenG Rename Folder of VIs Tool 4.0.0.15</v>
      </c>
      <c r="I340" s="119" t="s">
        <v>202</v>
      </c>
      <c r="J340" s="7"/>
    </row>
    <row r="341" spans="1:10" x14ac:dyDescent="0.25">
      <c r="A341" s="20" t="s">
        <v>542</v>
      </c>
      <c r="B341" s="20" t="s">
        <v>351</v>
      </c>
      <c r="C341" s="21" t="s">
        <v>352</v>
      </c>
      <c r="D341" s="21" t="s">
        <v>10</v>
      </c>
      <c r="E341" s="21" t="s">
        <v>136</v>
      </c>
      <c r="F341" s="21" t="s">
        <v>12</v>
      </c>
      <c r="G341" s="21" t="s">
        <v>315</v>
      </c>
      <c r="H341" s="20" t="str">
        <f t="shared" si="14"/>
        <v>OpenG String Library 4.1.0.12</v>
      </c>
      <c r="I341" s="119" t="s">
        <v>202</v>
      </c>
      <c r="J341" s="7"/>
    </row>
    <row r="342" spans="1:10" x14ac:dyDescent="0.25">
      <c r="A342" s="20" t="s">
        <v>542</v>
      </c>
      <c r="B342" s="20" t="s">
        <v>353</v>
      </c>
      <c r="C342" s="21" t="s">
        <v>354</v>
      </c>
      <c r="D342" s="21" t="s">
        <v>10</v>
      </c>
      <c r="E342" s="21" t="s">
        <v>136</v>
      </c>
      <c r="F342" s="21" t="s">
        <v>12</v>
      </c>
      <c r="G342" s="21" t="s">
        <v>315</v>
      </c>
      <c r="H342" s="20" t="str">
        <f t="shared" ref="H342:H368" si="15">B342&amp;" "&amp;C342</f>
        <v>OpenG Time Library 4.0.1.3</v>
      </c>
      <c r="I342" s="119" t="s">
        <v>202</v>
      </c>
      <c r="J342" s="7"/>
    </row>
    <row r="343" spans="1:10" x14ac:dyDescent="0.25">
      <c r="A343" s="20" t="s">
        <v>542</v>
      </c>
      <c r="B343" s="20" t="s">
        <v>355</v>
      </c>
      <c r="C343" s="21" t="s">
        <v>356</v>
      </c>
      <c r="D343" s="21" t="s">
        <v>10</v>
      </c>
      <c r="E343" s="21" t="s">
        <v>136</v>
      </c>
      <c r="F343" s="21" t="s">
        <v>12</v>
      </c>
      <c r="G343" s="21" t="s">
        <v>315</v>
      </c>
      <c r="H343" s="20" t="str">
        <f t="shared" si="15"/>
        <v>OpenG Toolkit 4.0.1.9</v>
      </c>
      <c r="I343" s="119" t="s">
        <v>202</v>
      </c>
      <c r="J343" s="7"/>
    </row>
    <row r="344" spans="1:10" x14ac:dyDescent="0.25">
      <c r="A344" s="20" t="s">
        <v>542</v>
      </c>
      <c r="B344" s="20" t="s">
        <v>357</v>
      </c>
      <c r="C344" s="21" t="s">
        <v>358</v>
      </c>
      <c r="D344" s="21" t="s">
        <v>10</v>
      </c>
      <c r="E344" s="21" t="s">
        <v>136</v>
      </c>
      <c r="F344" s="21" t="s">
        <v>12</v>
      </c>
      <c r="G344" s="21" t="s">
        <v>315</v>
      </c>
      <c r="H344" s="20" t="str">
        <f t="shared" si="15"/>
        <v>OpenG Variant Configuration File Library 4.0.0.5</v>
      </c>
      <c r="I344" s="119" t="s">
        <v>202</v>
      </c>
      <c r="J344" s="7"/>
    </row>
    <row r="345" spans="1:10" x14ac:dyDescent="0.25">
      <c r="A345" s="20" t="s">
        <v>542</v>
      </c>
      <c r="B345" s="20" t="s">
        <v>167</v>
      </c>
      <c r="C345" s="21" t="s">
        <v>168</v>
      </c>
      <c r="D345" s="21" t="s">
        <v>10</v>
      </c>
      <c r="E345" s="21" t="s">
        <v>136</v>
      </c>
      <c r="F345" s="21" t="s">
        <v>12</v>
      </c>
      <c r="G345" s="21" t="s">
        <v>167</v>
      </c>
      <c r="H345" s="20" t="str">
        <f t="shared" si="15"/>
        <v>OpenGDS 1.1.17</v>
      </c>
      <c r="I345" s="119" t="s">
        <v>202</v>
      </c>
      <c r="J345" s="7"/>
    </row>
    <row r="346" spans="1:10" x14ac:dyDescent="0.25">
      <c r="A346" s="20" t="s">
        <v>542</v>
      </c>
      <c r="B346" s="20" t="s">
        <v>35</v>
      </c>
      <c r="C346" s="21" t="s">
        <v>92</v>
      </c>
      <c r="D346" s="21" t="s">
        <v>10</v>
      </c>
      <c r="E346" s="21" t="s">
        <v>11</v>
      </c>
      <c r="F346" s="21" t="s">
        <v>12</v>
      </c>
      <c r="G346" s="21" t="s">
        <v>13</v>
      </c>
      <c r="H346" s="20" t="str">
        <f t="shared" si="15"/>
        <v>Real-Time 15.0.1</v>
      </c>
      <c r="I346" s="40" t="s">
        <v>465</v>
      </c>
      <c r="J346" s="7"/>
    </row>
    <row r="347" spans="1:10" x14ac:dyDescent="0.25">
      <c r="A347" s="20" t="s">
        <v>542</v>
      </c>
      <c r="B347" s="20" t="s">
        <v>35</v>
      </c>
      <c r="C347" s="21" t="s">
        <v>92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5"/>
        <v>Real-Time 15.0.1</v>
      </c>
      <c r="I347" s="40" t="s">
        <v>465</v>
      </c>
      <c r="J347" s="7"/>
    </row>
    <row r="348" spans="1:10" x14ac:dyDescent="0.25">
      <c r="A348" s="20" t="s">
        <v>542</v>
      </c>
      <c r="B348" s="20" t="s">
        <v>36</v>
      </c>
      <c r="C348" s="21" t="s">
        <v>92</v>
      </c>
      <c r="D348" s="21" t="s">
        <v>10</v>
      </c>
      <c r="E348" s="21">
        <v>2015</v>
      </c>
      <c r="F348" s="21" t="s">
        <v>12</v>
      </c>
      <c r="G348" s="21" t="s">
        <v>13</v>
      </c>
      <c r="H348" s="20" t="str">
        <f t="shared" si="15"/>
        <v>Real-Time Trace Viewer - LabVIEW 2015 Support 15.0.1</v>
      </c>
      <c r="I348" s="20"/>
      <c r="J348" s="7"/>
    </row>
    <row r="349" spans="1:10" x14ac:dyDescent="0.25">
      <c r="A349" s="20" t="s">
        <v>542</v>
      </c>
      <c r="B349" s="20" t="s">
        <v>37</v>
      </c>
      <c r="C349" s="21" t="s">
        <v>9</v>
      </c>
      <c r="D349" s="21" t="s">
        <v>10</v>
      </c>
      <c r="E349" s="21">
        <v>2015</v>
      </c>
      <c r="F349" s="21" t="s">
        <v>12</v>
      </c>
      <c r="G349" s="21" t="s">
        <v>13</v>
      </c>
      <c r="H349" s="20" t="str">
        <f t="shared" si="15"/>
        <v>Report Generation Toolkit For Microsoft Office 15.0.0</v>
      </c>
      <c r="I349" s="36" t="s">
        <v>42</v>
      </c>
      <c r="J349" s="7"/>
    </row>
    <row r="350" spans="1:10" hidden="1" x14ac:dyDescent="0.25">
      <c r="A350" s="20" t="s">
        <v>542</v>
      </c>
      <c r="B350" s="20" t="s">
        <v>175</v>
      </c>
      <c r="C350" s="21" t="s">
        <v>9</v>
      </c>
      <c r="D350" s="21" t="s">
        <v>10</v>
      </c>
      <c r="E350" s="21" t="s">
        <v>11</v>
      </c>
      <c r="F350" s="21" t="s">
        <v>171</v>
      </c>
      <c r="G350" s="21" t="s">
        <v>13</v>
      </c>
      <c r="H350" s="20" t="str">
        <f t="shared" si="15"/>
        <v>Run-Time Enginer for Web Services 15.0.0</v>
      </c>
      <c r="I350" s="20"/>
      <c r="J350" s="7"/>
    </row>
    <row r="351" spans="1:10" hidden="1" x14ac:dyDescent="0.25">
      <c r="A351" s="20" t="s">
        <v>542</v>
      </c>
      <c r="B351" s="20" t="s">
        <v>189</v>
      </c>
      <c r="C351" s="21" t="s">
        <v>9</v>
      </c>
      <c r="D351" s="21" t="s">
        <v>10</v>
      </c>
      <c r="E351" s="21" t="s">
        <v>11</v>
      </c>
      <c r="F351" s="21" t="s">
        <v>171</v>
      </c>
      <c r="G351" s="21" t="s">
        <v>13</v>
      </c>
      <c r="H351" s="20" t="str">
        <f t="shared" si="15"/>
        <v>Software Management Web Support 15.0.0</v>
      </c>
      <c r="I351" s="20"/>
      <c r="J351" s="7"/>
    </row>
    <row r="352" spans="1:10" hidden="1" x14ac:dyDescent="0.25">
      <c r="A352" s="20" t="s">
        <v>542</v>
      </c>
      <c r="B352" s="20" t="s">
        <v>176</v>
      </c>
      <c r="C352" s="21" t="s">
        <v>9</v>
      </c>
      <c r="D352" s="21" t="s">
        <v>10</v>
      </c>
      <c r="E352" s="21" t="s">
        <v>11</v>
      </c>
      <c r="F352" s="21" t="s">
        <v>171</v>
      </c>
      <c r="G352" s="21" t="s">
        <v>13</v>
      </c>
      <c r="H352" s="20" t="str">
        <f t="shared" si="15"/>
        <v>SSL Support for LabVIEW 15.0.0</v>
      </c>
      <c r="I352" s="20"/>
      <c r="J352" s="7"/>
    </row>
    <row r="353" spans="1:10" x14ac:dyDescent="0.25">
      <c r="A353" s="20" t="s">
        <v>542</v>
      </c>
      <c r="B353" s="20" t="s">
        <v>359</v>
      </c>
      <c r="C353" s="21" t="s">
        <v>360</v>
      </c>
      <c r="D353" s="21" t="s">
        <v>10</v>
      </c>
      <c r="E353" s="21" t="s">
        <v>136</v>
      </c>
      <c r="F353" s="21" t="s">
        <v>12</v>
      </c>
      <c r="G353" s="21" t="s">
        <v>13</v>
      </c>
      <c r="H353" s="20" t="str">
        <f t="shared" si="15"/>
        <v>Structure Error Handler 2.1.10.1</v>
      </c>
      <c r="I353" s="120" t="s">
        <v>202</v>
      </c>
      <c r="J353" s="7"/>
    </row>
    <row r="354" spans="1:10" hidden="1" x14ac:dyDescent="0.25">
      <c r="A354" s="20" t="s">
        <v>542</v>
      </c>
      <c r="B354" s="20" t="s">
        <v>190</v>
      </c>
      <c r="C354" s="21" t="s">
        <v>9</v>
      </c>
      <c r="D354" s="21" t="s">
        <v>10</v>
      </c>
      <c r="E354" s="21" t="s">
        <v>11</v>
      </c>
      <c r="F354" s="21" t="s">
        <v>171</v>
      </c>
      <c r="G354" s="21" t="s">
        <v>13</v>
      </c>
      <c r="H354" s="20" t="str">
        <f t="shared" si="15"/>
        <v>Time Configuration Web Support 15.0.0</v>
      </c>
      <c r="I354" s="20"/>
      <c r="J354" s="7"/>
    </row>
    <row r="355" spans="1:10" x14ac:dyDescent="0.25">
      <c r="A355" s="20" t="s">
        <v>542</v>
      </c>
      <c r="B355" s="20" t="s">
        <v>361</v>
      </c>
      <c r="C355" s="21" t="s">
        <v>362</v>
      </c>
      <c r="D355" s="21" t="s">
        <v>10</v>
      </c>
      <c r="E355" s="21" t="s">
        <v>136</v>
      </c>
      <c r="F355" s="21" t="s">
        <v>12</v>
      </c>
      <c r="G355" s="21" t="s">
        <v>250</v>
      </c>
      <c r="H355" s="20" t="str">
        <f t="shared" si="15"/>
        <v>UI Tools 1.4.1.74</v>
      </c>
      <c r="I355" s="119" t="s">
        <v>202</v>
      </c>
      <c r="J355" s="7"/>
    </row>
    <row r="356" spans="1:10" x14ac:dyDescent="0.25">
      <c r="A356" s="20" t="s">
        <v>542</v>
      </c>
      <c r="B356" s="20" t="s">
        <v>384</v>
      </c>
      <c r="C356" s="21" t="s">
        <v>385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5"/>
        <v>USB3 Vision Driver 18.5.0.49152</v>
      </c>
      <c r="I356" s="20"/>
      <c r="J356" s="7"/>
    </row>
    <row r="357" spans="1:10" hidden="1" x14ac:dyDescent="0.25">
      <c r="A357" s="20" t="s">
        <v>542</v>
      </c>
      <c r="B357" s="20" t="s">
        <v>195</v>
      </c>
      <c r="C357" s="21" t="s">
        <v>9</v>
      </c>
      <c r="D357" s="21" t="s">
        <v>10</v>
      </c>
      <c r="E357" s="21" t="s">
        <v>11</v>
      </c>
      <c r="F357" s="21" t="s">
        <v>171</v>
      </c>
      <c r="G357" s="21" t="s">
        <v>13</v>
      </c>
      <c r="H357" s="20" t="str">
        <f t="shared" si="15"/>
        <v>Variable Client Support for LabVIEW RT 15.0.0</v>
      </c>
      <c r="I357" s="20"/>
      <c r="J357" s="7"/>
    </row>
    <row r="358" spans="1:10" hidden="1" x14ac:dyDescent="0.25">
      <c r="A358" s="20" t="s">
        <v>542</v>
      </c>
      <c r="B358" s="20" t="s">
        <v>196</v>
      </c>
      <c r="C358" s="21" t="s">
        <v>197</v>
      </c>
      <c r="D358" s="21" t="s">
        <v>10</v>
      </c>
      <c r="E358" s="21" t="s">
        <v>11</v>
      </c>
      <c r="F358" s="21" t="s">
        <v>171</v>
      </c>
      <c r="G358" s="21" t="s">
        <v>13</v>
      </c>
      <c r="H358" s="20" t="str">
        <f t="shared" si="15"/>
        <v>Variable Legacy Protocol Support 5.7.1</v>
      </c>
      <c r="I358" s="20"/>
      <c r="J358" s="7"/>
    </row>
    <row r="359" spans="1:10" hidden="1" x14ac:dyDescent="0.25">
      <c r="A359" s="20" t="s">
        <v>542</v>
      </c>
      <c r="B359" s="20" t="s">
        <v>198</v>
      </c>
      <c r="C359" s="21" t="s">
        <v>197</v>
      </c>
      <c r="D359" s="21" t="s">
        <v>10</v>
      </c>
      <c r="E359" s="21" t="s">
        <v>11</v>
      </c>
      <c r="F359" s="21" t="s">
        <v>171</v>
      </c>
      <c r="G359" s="21" t="s">
        <v>13</v>
      </c>
      <c r="H359" s="20" t="str">
        <f t="shared" si="15"/>
        <v>Variable Legacy Server Support 5.7.1</v>
      </c>
      <c r="I359" s="20"/>
      <c r="J359" s="7"/>
    </row>
    <row r="360" spans="1:10" x14ac:dyDescent="0.25">
      <c r="A360" s="20" t="s">
        <v>542</v>
      </c>
      <c r="B360" s="20" t="s">
        <v>395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5"/>
        <v>Vision Assistant 18.5.0</v>
      </c>
      <c r="I360" s="20"/>
      <c r="J360" s="7"/>
    </row>
    <row r="361" spans="1:10" x14ac:dyDescent="0.25">
      <c r="A361" s="20" t="s">
        <v>542</v>
      </c>
      <c r="B361" s="20" t="s">
        <v>395</v>
      </c>
      <c r="C361" s="21" t="s">
        <v>156</v>
      </c>
      <c r="D361" s="21" t="s">
        <v>107</v>
      </c>
      <c r="E361" s="21" t="s">
        <v>130</v>
      </c>
      <c r="F361" s="21" t="s">
        <v>12</v>
      </c>
      <c r="G361" s="21" t="s">
        <v>13</v>
      </c>
      <c r="H361" s="20" t="str">
        <f t="shared" si="15"/>
        <v>Vision Assistant 18.5.0</v>
      </c>
      <c r="I361" s="20"/>
      <c r="J361" s="7"/>
    </row>
    <row r="362" spans="1:10" x14ac:dyDescent="0.25">
      <c r="A362" s="20" t="s">
        <v>542</v>
      </c>
      <c r="B362" s="20" t="s">
        <v>370</v>
      </c>
      <c r="C362" s="21" t="s">
        <v>141</v>
      </c>
      <c r="D362" s="21" t="s">
        <v>10</v>
      </c>
      <c r="E362" s="21" t="s">
        <v>119</v>
      </c>
      <c r="F362" s="21" t="s">
        <v>12</v>
      </c>
      <c r="G362" s="21" t="s">
        <v>13</v>
      </c>
      <c r="H362" s="20" t="str">
        <f t="shared" si="15"/>
        <v>Vision Common Resources 19.5.0</v>
      </c>
      <c r="I362" s="20"/>
      <c r="J362" s="7"/>
    </row>
    <row r="363" spans="1:10" x14ac:dyDescent="0.25">
      <c r="A363" s="20" t="s">
        <v>542</v>
      </c>
      <c r="B363" s="20" t="s">
        <v>390</v>
      </c>
      <c r="C363" s="21" t="s">
        <v>156</v>
      </c>
      <c r="D363" s="21" t="s">
        <v>10</v>
      </c>
      <c r="E363" s="21" t="s">
        <v>130</v>
      </c>
      <c r="F363" s="21" t="s">
        <v>12</v>
      </c>
      <c r="G363" s="21" t="s">
        <v>13</v>
      </c>
      <c r="H363" s="20" t="str">
        <f t="shared" si="15"/>
        <v>Vision Development Module 18.5.0</v>
      </c>
      <c r="I363" s="20"/>
      <c r="J363" s="7"/>
    </row>
    <row r="364" spans="1:10" x14ac:dyDescent="0.25">
      <c r="A364" s="20" t="s">
        <v>542</v>
      </c>
      <c r="B364" s="20" t="s">
        <v>390</v>
      </c>
      <c r="C364" s="21" t="s">
        <v>141</v>
      </c>
      <c r="D364" s="21" t="s">
        <v>10</v>
      </c>
      <c r="E364" s="21" t="s">
        <v>119</v>
      </c>
      <c r="F364" s="21" t="s">
        <v>12</v>
      </c>
      <c r="G364" s="21" t="s">
        <v>13</v>
      </c>
      <c r="H364" s="20" t="str">
        <f t="shared" si="15"/>
        <v>Vision Development Module 19.5.0</v>
      </c>
      <c r="I364" s="20"/>
      <c r="J364" s="7"/>
    </row>
    <row r="365" spans="1:10" x14ac:dyDescent="0.25">
      <c r="A365" s="20" t="s">
        <v>542</v>
      </c>
      <c r="B365" s="20" t="s">
        <v>393</v>
      </c>
      <c r="C365" s="21" t="s">
        <v>394</v>
      </c>
      <c r="D365" s="21" t="s">
        <v>10</v>
      </c>
      <c r="E365" s="21" t="s">
        <v>130</v>
      </c>
      <c r="F365" s="21" t="s">
        <v>12</v>
      </c>
      <c r="G365" s="21" t="s">
        <v>13</v>
      </c>
      <c r="H365" s="20" t="str">
        <f t="shared" si="15"/>
        <v>Vision Development Module Development Support 18.5.0 SP1</v>
      </c>
      <c r="I365" s="20"/>
      <c r="J365" s="7"/>
    </row>
    <row r="366" spans="1:10" x14ac:dyDescent="0.25">
      <c r="A366" s="20" t="s">
        <v>542</v>
      </c>
      <c r="B366" s="20" t="s">
        <v>391</v>
      </c>
      <c r="C366" s="21" t="s">
        <v>392</v>
      </c>
      <c r="D366" s="21" t="s">
        <v>10</v>
      </c>
      <c r="E366" s="21" t="s">
        <v>119</v>
      </c>
      <c r="F366" s="21" t="s">
        <v>24</v>
      </c>
      <c r="G366" s="21" t="s">
        <v>13</v>
      </c>
      <c r="H366" s="20" t="str">
        <f t="shared" si="15"/>
        <v>Vision Development Module Support 19.5.0 SP1</v>
      </c>
      <c r="I366" s="20"/>
      <c r="J366" s="7"/>
    </row>
    <row r="367" spans="1:10" hidden="1" x14ac:dyDescent="0.25">
      <c r="A367" s="20" t="s">
        <v>542</v>
      </c>
      <c r="B367" s="20" t="s">
        <v>199</v>
      </c>
      <c r="C367" s="21" t="s">
        <v>9</v>
      </c>
      <c r="D367" s="21" t="s">
        <v>10</v>
      </c>
      <c r="E367" s="21" t="s">
        <v>11</v>
      </c>
      <c r="F367" s="21" t="s">
        <v>171</v>
      </c>
      <c r="G367" s="21" t="s">
        <v>13</v>
      </c>
      <c r="H367" s="20" t="str">
        <f t="shared" si="15"/>
        <v>WebDAV Cleitn with SSL Support 15.0.0</v>
      </c>
      <c r="I367" s="20"/>
      <c r="J367" s="7"/>
    </row>
    <row r="368" spans="1:10" hidden="1" x14ac:dyDescent="0.25">
      <c r="A368" s="20" t="s">
        <v>542</v>
      </c>
      <c r="B368" s="20" t="s">
        <v>177</v>
      </c>
      <c r="C368" s="21" t="s">
        <v>9</v>
      </c>
      <c r="D368" s="21" t="s">
        <v>10</v>
      </c>
      <c r="E368" s="21" t="s">
        <v>11</v>
      </c>
      <c r="F368" s="21" t="s">
        <v>171</v>
      </c>
      <c r="G368" s="21" t="s">
        <v>13</v>
      </c>
      <c r="H368" s="20" t="str">
        <f t="shared" si="15"/>
        <v>WebDAV Server 15.0.0</v>
      </c>
      <c r="I368" s="20"/>
      <c r="J368" s="7"/>
    </row>
    <row r="369" spans="1:10" hidden="1" x14ac:dyDescent="0.25">
      <c r="A369" s="45" t="s">
        <v>504</v>
      </c>
      <c r="B369" s="45" t="s">
        <v>14</v>
      </c>
      <c r="C369" s="46" t="s">
        <v>478</v>
      </c>
      <c r="D369" s="46" t="s">
        <v>10</v>
      </c>
      <c r="E369" s="46" t="s">
        <v>130</v>
      </c>
      <c r="F369" s="46" t="s">
        <v>12</v>
      </c>
      <c r="G369" s="46" t="s">
        <v>13</v>
      </c>
      <c r="H369" s="45" t="str">
        <f t="shared" ref="H369:H370" si="16">B369&amp;" "&amp;C369</f>
        <v>CompactRIO 18.1.0</v>
      </c>
      <c r="I369" s="55" t="s">
        <v>477</v>
      </c>
      <c r="J369" s="7"/>
    </row>
    <row r="370" spans="1:10" hidden="1" x14ac:dyDescent="0.25">
      <c r="A370" s="45" t="s">
        <v>504</v>
      </c>
      <c r="B370" s="45" t="s">
        <v>33</v>
      </c>
      <c r="C370" s="46" t="s">
        <v>9</v>
      </c>
      <c r="D370" s="46" t="s">
        <v>10</v>
      </c>
      <c r="E370" s="46" t="s">
        <v>11</v>
      </c>
      <c r="F370" s="46" t="s">
        <v>12</v>
      </c>
      <c r="G370" s="46" t="s">
        <v>13</v>
      </c>
      <c r="H370" s="45" t="str">
        <f t="shared" si="16"/>
        <v>Database Connectivity Toolkit 15.0.0</v>
      </c>
      <c r="I370" s="45"/>
      <c r="J370" s="7"/>
    </row>
    <row r="371" spans="1:10" hidden="1" x14ac:dyDescent="0.25">
      <c r="A371" s="45" t="s">
        <v>504</v>
      </c>
      <c r="B371" s="45" t="s">
        <v>32</v>
      </c>
      <c r="C371" s="46" t="s">
        <v>105</v>
      </c>
      <c r="D371" s="46" t="s">
        <v>10</v>
      </c>
      <c r="E371" s="46" t="s">
        <v>106</v>
      </c>
      <c r="F371" s="46" t="s">
        <v>24</v>
      </c>
      <c r="G371" s="46" t="s">
        <v>13</v>
      </c>
      <c r="H371" s="45" t="str">
        <f t="shared" ref="H371:H377" si="17">B371&amp;" "&amp;E371&amp;" "&amp;C371</f>
        <v>LabVIEW 2012 SP1 f9 12.0.1</v>
      </c>
      <c r="I371" s="36" t="s">
        <v>42</v>
      </c>
      <c r="J371" s="7"/>
    </row>
    <row r="372" spans="1:10" hidden="1" x14ac:dyDescent="0.25">
      <c r="A372" s="45" t="s">
        <v>504</v>
      </c>
      <c r="B372" s="45" t="s">
        <v>32</v>
      </c>
      <c r="C372" s="46" t="s">
        <v>110</v>
      </c>
      <c r="D372" s="46" t="s">
        <v>10</v>
      </c>
      <c r="E372" s="46" t="s">
        <v>109</v>
      </c>
      <c r="F372" s="46" t="s">
        <v>24</v>
      </c>
      <c r="G372" s="46" t="s">
        <v>13</v>
      </c>
      <c r="H372" s="45" t="str">
        <f t="shared" si="17"/>
        <v>LabVIEW 2014 SP1 f11 14.0.1</v>
      </c>
      <c r="I372" s="40" t="s">
        <v>465</v>
      </c>
      <c r="J372" s="7"/>
    </row>
    <row r="373" spans="1:10" hidden="1" x14ac:dyDescent="0.25">
      <c r="A373" s="45" t="s">
        <v>504</v>
      </c>
      <c r="B373" s="45" t="s">
        <v>32</v>
      </c>
      <c r="C373" s="46" t="s">
        <v>404</v>
      </c>
      <c r="D373" s="46" t="s">
        <v>10</v>
      </c>
      <c r="E373" s="46" t="s">
        <v>468</v>
      </c>
      <c r="F373" s="46" t="s">
        <v>24</v>
      </c>
      <c r="G373" s="46" t="s">
        <v>13</v>
      </c>
      <c r="H373" s="45" t="str">
        <f t="shared" si="17"/>
        <v>LabVIEW 2016 f5 16.0.0</v>
      </c>
      <c r="I373" s="55" t="s">
        <v>477</v>
      </c>
      <c r="J373" s="7"/>
    </row>
    <row r="374" spans="1:10" hidden="1" x14ac:dyDescent="0.25">
      <c r="A374" s="45" t="s">
        <v>504</v>
      </c>
      <c r="B374" s="45" t="s">
        <v>32</v>
      </c>
      <c r="C374" s="46" t="s">
        <v>406</v>
      </c>
      <c r="D374" s="46" t="s">
        <v>10</v>
      </c>
      <c r="E374" s="46" t="s">
        <v>407</v>
      </c>
      <c r="F374" s="46" t="s">
        <v>24</v>
      </c>
      <c r="G374" s="46" t="s">
        <v>13</v>
      </c>
      <c r="H374" s="45" t="str">
        <f t="shared" si="17"/>
        <v>LabVIEW 2017 SP1 f3 17.0.1</v>
      </c>
      <c r="I374" s="45"/>
      <c r="J374" s="7"/>
    </row>
    <row r="375" spans="1:10" hidden="1" x14ac:dyDescent="0.25">
      <c r="A375" s="45" t="s">
        <v>504</v>
      </c>
      <c r="B375" s="45" t="s">
        <v>32</v>
      </c>
      <c r="C375" s="46" t="s">
        <v>493</v>
      </c>
      <c r="D375" s="46" t="s">
        <v>10</v>
      </c>
      <c r="E375" s="46" t="s">
        <v>469</v>
      </c>
      <c r="F375" s="46" t="s">
        <v>24</v>
      </c>
      <c r="G375" s="46" t="s">
        <v>13</v>
      </c>
      <c r="H375" s="45" t="str">
        <f t="shared" si="17"/>
        <v>LabVIEW 2018 f2 18.0.0</v>
      </c>
      <c r="I375" s="45"/>
      <c r="J375" s="7"/>
    </row>
    <row r="376" spans="1:10" hidden="1" x14ac:dyDescent="0.25">
      <c r="A376" s="45" t="s">
        <v>504</v>
      </c>
      <c r="B376" s="45" t="s">
        <v>32</v>
      </c>
      <c r="C376" s="46" t="s">
        <v>92</v>
      </c>
      <c r="D376" s="46" t="s">
        <v>10</v>
      </c>
      <c r="E376" s="46" t="s">
        <v>413</v>
      </c>
      <c r="F376" s="46" t="s">
        <v>12</v>
      </c>
      <c r="G376" s="46" t="s">
        <v>13</v>
      </c>
      <c r="H376" s="45" t="str">
        <f t="shared" si="17"/>
        <v>LabVIEW 2015 SP1 F10 15.0.1</v>
      </c>
      <c r="I376" s="45"/>
      <c r="J376" s="7"/>
    </row>
    <row r="377" spans="1:10" hidden="1" x14ac:dyDescent="0.25">
      <c r="A377" s="45" t="s">
        <v>504</v>
      </c>
      <c r="B377" s="45" t="s">
        <v>32</v>
      </c>
      <c r="C377" s="46" t="s">
        <v>92</v>
      </c>
      <c r="D377" s="46" t="s">
        <v>10</v>
      </c>
      <c r="E377" s="46" t="s">
        <v>103</v>
      </c>
      <c r="F377" s="46" t="s">
        <v>24</v>
      </c>
      <c r="G377" s="46" t="s">
        <v>13</v>
      </c>
      <c r="H377" s="45" t="str">
        <f t="shared" si="17"/>
        <v>LabVIEW 2015 SP1 f10 15.0.1</v>
      </c>
      <c r="I377" s="45"/>
      <c r="J377" s="7"/>
    </row>
    <row r="378" spans="1:10" hidden="1" x14ac:dyDescent="0.25">
      <c r="A378" s="45" t="s">
        <v>504</v>
      </c>
      <c r="B378" s="45" t="s">
        <v>470</v>
      </c>
      <c r="C378" s="46"/>
      <c r="D378" s="46" t="s">
        <v>10</v>
      </c>
      <c r="E378" s="46" t="s">
        <v>471</v>
      </c>
      <c r="F378" s="46" t="s">
        <v>24</v>
      </c>
      <c r="G378" s="46" t="s">
        <v>13</v>
      </c>
      <c r="H378" s="45" t="str">
        <f t="shared" ref="H378:H399" si="18">B378&amp;" "&amp;C378</f>
        <v xml:space="preserve">LabWindows/CVI  </v>
      </c>
      <c r="I378" s="45"/>
      <c r="J378" s="7"/>
    </row>
    <row r="379" spans="1:10" hidden="1" x14ac:dyDescent="0.25">
      <c r="A379" s="45" t="s">
        <v>504</v>
      </c>
      <c r="B379" s="45" t="s">
        <v>41</v>
      </c>
      <c r="C379" s="46" t="s">
        <v>472</v>
      </c>
      <c r="D379" s="46" t="s">
        <v>10</v>
      </c>
      <c r="E379" s="46" t="s">
        <v>130</v>
      </c>
      <c r="F379" s="46" t="s">
        <v>12</v>
      </c>
      <c r="G379" s="46" t="s">
        <v>13</v>
      </c>
      <c r="H379" s="45" t="str">
        <f t="shared" si="18"/>
        <v>Measurement &amp; Automation Explorer 18.0</v>
      </c>
      <c r="I379" s="55" t="s">
        <v>477</v>
      </c>
      <c r="J379" s="7"/>
    </row>
    <row r="380" spans="1:10" hidden="1" x14ac:dyDescent="0.25">
      <c r="A380" s="45" t="s">
        <v>504</v>
      </c>
      <c r="B380" s="45" t="s">
        <v>29</v>
      </c>
      <c r="C380" s="46" t="s">
        <v>467</v>
      </c>
      <c r="D380" s="46" t="s">
        <v>10</v>
      </c>
      <c r="E380" s="46" t="s">
        <v>130</v>
      </c>
      <c r="F380" s="46" t="s">
        <v>12</v>
      </c>
      <c r="G380" s="46" t="s">
        <v>13</v>
      </c>
      <c r="H380" s="45" t="str">
        <f t="shared" si="18"/>
        <v>NI I/O Trace 18.1</v>
      </c>
      <c r="I380" s="45"/>
      <c r="J380" s="7"/>
    </row>
    <row r="381" spans="1:10" hidden="1" x14ac:dyDescent="0.25">
      <c r="A381" s="45" t="s">
        <v>504</v>
      </c>
      <c r="B381" s="45" t="s">
        <v>140</v>
      </c>
      <c r="C381" s="46" t="s">
        <v>472</v>
      </c>
      <c r="D381" s="46" t="s">
        <v>10</v>
      </c>
      <c r="E381" s="46" t="s">
        <v>130</v>
      </c>
      <c r="F381" s="46" t="s">
        <v>24</v>
      </c>
      <c r="G381" s="46" t="s">
        <v>13</v>
      </c>
      <c r="H381" s="45" t="str">
        <f t="shared" si="18"/>
        <v>NI PXI Platform Services 18.0</v>
      </c>
      <c r="I381" s="55" t="s">
        <v>477</v>
      </c>
      <c r="J381" s="7"/>
    </row>
    <row r="382" spans="1:10" hidden="1" x14ac:dyDescent="0.25">
      <c r="A382" s="45" t="s">
        <v>504</v>
      </c>
      <c r="B382" s="45" t="s">
        <v>52</v>
      </c>
      <c r="C382" s="46" t="s">
        <v>472</v>
      </c>
      <c r="D382" s="46" t="s">
        <v>10</v>
      </c>
      <c r="E382" s="46" t="s">
        <v>130</v>
      </c>
      <c r="F382" s="46" t="s">
        <v>12</v>
      </c>
      <c r="G382" s="46" t="s">
        <v>13</v>
      </c>
      <c r="H382" s="45" t="str">
        <f t="shared" si="18"/>
        <v>NI PXI Platform Services Configuration 18.0</v>
      </c>
      <c r="I382" s="55" t="s">
        <v>477</v>
      </c>
      <c r="J382" s="7"/>
    </row>
    <row r="383" spans="1:10" hidden="1" x14ac:dyDescent="0.25">
      <c r="A383" s="45" t="s">
        <v>504</v>
      </c>
      <c r="B383" s="45" t="s">
        <v>475</v>
      </c>
      <c r="C383" s="46" t="s">
        <v>474</v>
      </c>
      <c r="D383" s="46" t="s">
        <v>10</v>
      </c>
      <c r="E383" s="46" t="s">
        <v>153</v>
      </c>
      <c r="F383" s="46" t="s">
        <v>24</v>
      </c>
      <c r="G383" s="46" t="s">
        <v>13</v>
      </c>
      <c r="H383" s="45" t="str">
        <f t="shared" si="18"/>
        <v>NI Serial 17.5</v>
      </c>
      <c r="I383" s="45"/>
      <c r="J383" s="7"/>
    </row>
    <row r="384" spans="1:10" hidden="1" x14ac:dyDescent="0.25">
      <c r="A384" s="45" t="s">
        <v>504</v>
      </c>
      <c r="B384" s="45" t="s">
        <v>68</v>
      </c>
      <c r="C384" s="46" t="s">
        <v>467</v>
      </c>
      <c r="D384" s="46" t="s">
        <v>10</v>
      </c>
      <c r="E384" s="46" t="s">
        <v>130</v>
      </c>
      <c r="F384" s="46" t="s">
        <v>12</v>
      </c>
      <c r="G384" s="46" t="s">
        <v>13</v>
      </c>
      <c r="H384" s="45" t="str">
        <f t="shared" si="18"/>
        <v>NI System Configuration 18.1</v>
      </c>
      <c r="I384" s="45"/>
      <c r="J384" s="7"/>
    </row>
    <row r="385" spans="1:10" hidden="1" x14ac:dyDescent="0.25">
      <c r="A385" s="45" t="s">
        <v>504</v>
      </c>
      <c r="B385" s="45" t="s">
        <v>28</v>
      </c>
      <c r="C385" s="46" t="s">
        <v>170</v>
      </c>
      <c r="D385" s="46" t="s">
        <v>10</v>
      </c>
      <c r="E385" s="46" t="s">
        <v>11</v>
      </c>
      <c r="F385" s="46" t="s">
        <v>24</v>
      </c>
      <c r="G385" s="46" t="s">
        <v>13</v>
      </c>
      <c r="H385" s="45" t="str">
        <f t="shared" si="18"/>
        <v>NI-488.2 15.5</v>
      </c>
      <c r="I385" s="45"/>
      <c r="J385" s="7"/>
    </row>
    <row r="386" spans="1:10" hidden="1" x14ac:dyDescent="0.25">
      <c r="A386" s="45" t="s">
        <v>504</v>
      </c>
      <c r="B386" s="45" t="s">
        <v>18</v>
      </c>
      <c r="C386" s="46" t="s">
        <v>467</v>
      </c>
      <c r="D386" s="46" t="s">
        <v>10</v>
      </c>
      <c r="E386" s="46" t="s">
        <v>130</v>
      </c>
      <c r="F386" s="46" t="s">
        <v>12</v>
      </c>
      <c r="G386" s="46" t="s">
        <v>13</v>
      </c>
      <c r="H386" s="45" t="str">
        <f t="shared" si="18"/>
        <v>NI-DAQmx ADE Support 18.1</v>
      </c>
      <c r="I386" s="55" t="s">
        <v>477</v>
      </c>
      <c r="J386" s="7"/>
    </row>
    <row r="387" spans="1:10" hidden="1" x14ac:dyDescent="0.25">
      <c r="A387" s="45" t="s">
        <v>504</v>
      </c>
      <c r="B387" s="45" t="s">
        <v>16</v>
      </c>
      <c r="C387" s="46" t="s">
        <v>467</v>
      </c>
      <c r="D387" s="46" t="s">
        <v>10</v>
      </c>
      <c r="E387" s="46" t="s">
        <v>130</v>
      </c>
      <c r="F387" s="46" t="s">
        <v>12</v>
      </c>
      <c r="G387" s="46" t="s">
        <v>13</v>
      </c>
      <c r="H387" s="45" t="str">
        <f t="shared" si="18"/>
        <v>NI-DAQmx Device Driver 18.1</v>
      </c>
      <c r="I387" s="55" t="s">
        <v>477</v>
      </c>
      <c r="J387" s="7"/>
    </row>
    <row r="388" spans="1:10" hidden="1" x14ac:dyDescent="0.25">
      <c r="A388" s="45" t="s">
        <v>504</v>
      </c>
      <c r="B388" s="45" t="s">
        <v>19</v>
      </c>
      <c r="C388" s="46" t="s">
        <v>467</v>
      </c>
      <c r="D388" s="46" t="s">
        <v>10</v>
      </c>
      <c r="E388" s="46" t="s">
        <v>130</v>
      </c>
      <c r="F388" s="46" t="s">
        <v>12</v>
      </c>
      <c r="G388" s="46" t="s">
        <v>13</v>
      </c>
      <c r="H388" s="45" t="str">
        <f t="shared" si="18"/>
        <v>NI-DAQmx MAX Configuration 18.1</v>
      </c>
      <c r="I388" s="55" t="s">
        <v>477</v>
      </c>
      <c r="J388" s="7"/>
    </row>
    <row r="389" spans="1:10" hidden="1" x14ac:dyDescent="0.25">
      <c r="A389" s="45" t="s">
        <v>504</v>
      </c>
      <c r="B389" s="45" t="s">
        <v>143</v>
      </c>
      <c r="C389" s="46" t="s">
        <v>472</v>
      </c>
      <c r="D389" s="46" t="s">
        <v>10</v>
      </c>
      <c r="E389" s="46" t="s">
        <v>130</v>
      </c>
      <c r="F389" s="46" t="s">
        <v>12</v>
      </c>
      <c r="G389" s="46" t="s">
        <v>13</v>
      </c>
      <c r="H389" s="45" t="str">
        <f t="shared" si="18"/>
        <v>NI-Industrial Communications for EtherCAT 18.0</v>
      </c>
      <c r="I389" s="45"/>
      <c r="J389" s="7"/>
    </row>
    <row r="390" spans="1:10" hidden="1" x14ac:dyDescent="0.25">
      <c r="A390" s="45" t="s">
        <v>504</v>
      </c>
      <c r="B390" s="45" t="s">
        <v>145</v>
      </c>
      <c r="C390" s="46" t="s">
        <v>473</v>
      </c>
      <c r="D390" s="46" t="s">
        <v>10</v>
      </c>
      <c r="E390" s="46" t="s">
        <v>130</v>
      </c>
      <c r="F390" s="46" t="s">
        <v>12</v>
      </c>
      <c r="G390" s="46" t="s">
        <v>13</v>
      </c>
      <c r="H390" s="45" t="str">
        <f t="shared" si="18"/>
        <v>NI-PAL 18.2</v>
      </c>
      <c r="I390" s="45"/>
      <c r="J390" s="7"/>
    </row>
    <row r="391" spans="1:10" hidden="1" x14ac:dyDescent="0.25">
      <c r="A391" s="45" t="s">
        <v>504</v>
      </c>
      <c r="B391" s="45" t="s">
        <v>54</v>
      </c>
      <c r="C391" s="46" t="s">
        <v>472</v>
      </c>
      <c r="D391" s="46" t="s">
        <v>10</v>
      </c>
      <c r="E391" s="46" t="s">
        <v>130</v>
      </c>
      <c r="F391" s="46" t="s">
        <v>12</v>
      </c>
      <c r="G391" s="46" t="s">
        <v>13</v>
      </c>
      <c r="H391" s="45" t="str">
        <f t="shared" si="18"/>
        <v>NI-RIO 18.0</v>
      </c>
      <c r="I391" s="45"/>
      <c r="J391" s="7"/>
    </row>
    <row r="392" spans="1:10" hidden="1" x14ac:dyDescent="0.25">
      <c r="A392" s="45" t="s">
        <v>504</v>
      </c>
      <c r="B392" s="45" t="s">
        <v>64</v>
      </c>
      <c r="C392" s="46" t="s">
        <v>474</v>
      </c>
      <c r="D392" s="46" t="s">
        <v>10</v>
      </c>
      <c r="E392" s="46" t="s">
        <v>153</v>
      </c>
      <c r="F392" s="46" t="s">
        <v>12</v>
      </c>
      <c r="G392" s="46" t="s">
        <v>13</v>
      </c>
      <c r="H392" s="45" t="str">
        <f t="shared" si="18"/>
        <v>NI-Serial Configuration 17.5</v>
      </c>
      <c r="I392" s="55" t="s">
        <v>477</v>
      </c>
      <c r="J392" s="7"/>
    </row>
    <row r="393" spans="1:10" hidden="1" x14ac:dyDescent="0.25">
      <c r="A393" s="45" t="s">
        <v>504</v>
      </c>
      <c r="B393" s="45" t="s">
        <v>46</v>
      </c>
      <c r="C393" s="46" t="s">
        <v>406</v>
      </c>
      <c r="D393" s="46" t="s">
        <v>10</v>
      </c>
      <c r="E393" s="46" t="s">
        <v>130</v>
      </c>
      <c r="F393" s="46" t="s">
        <v>12</v>
      </c>
      <c r="G393" s="46" t="s">
        <v>13</v>
      </c>
      <c r="H393" s="45" t="str">
        <f t="shared" si="18"/>
        <v>NI-USI 17.0.1</v>
      </c>
      <c r="I393" s="45"/>
      <c r="J393" s="7"/>
    </row>
    <row r="394" spans="1:10" hidden="1" x14ac:dyDescent="0.25">
      <c r="A394" s="45" t="s">
        <v>504</v>
      </c>
      <c r="B394" s="45" t="s">
        <v>70</v>
      </c>
      <c r="C394" s="46" t="s">
        <v>472</v>
      </c>
      <c r="D394" s="46" t="s">
        <v>10</v>
      </c>
      <c r="E394" s="46" t="s">
        <v>130</v>
      </c>
      <c r="F394" s="46" t="s">
        <v>12</v>
      </c>
      <c r="G394" s="46" t="s">
        <v>13</v>
      </c>
      <c r="H394" s="45" t="str">
        <f t="shared" si="18"/>
        <v>NI-VISA 18.0</v>
      </c>
      <c r="I394" s="45"/>
      <c r="J394" s="7"/>
    </row>
    <row r="395" spans="1:10" hidden="1" x14ac:dyDescent="0.25">
      <c r="A395" s="45" t="s">
        <v>504</v>
      </c>
      <c r="B395" s="45" t="s">
        <v>70</v>
      </c>
      <c r="C395" s="46" t="s">
        <v>472</v>
      </c>
      <c r="D395" s="46" t="s">
        <v>476</v>
      </c>
      <c r="E395" s="46" t="s">
        <v>130</v>
      </c>
      <c r="F395" s="46" t="s">
        <v>24</v>
      </c>
      <c r="G395" s="46" t="s">
        <v>13</v>
      </c>
      <c r="H395" s="45" t="str">
        <f t="shared" si="18"/>
        <v>NI-VISA 18.0</v>
      </c>
      <c r="I395" s="45"/>
      <c r="J395" s="7"/>
    </row>
    <row r="396" spans="1:10" hidden="1" x14ac:dyDescent="0.25">
      <c r="A396" s="45" t="s">
        <v>504</v>
      </c>
      <c r="B396" s="45" t="s">
        <v>73</v>
      </c>
      <c r="C396" s="46" t="s">
        <v>72</v>
      </c>
      <c r="D396" s="46" t="s">
        <v>10</v>
      </c>
      <c r="E396" s="46" t="s">
        <v>130</v>
      </c>
      <c r="F396" s="46" t="s">
        <v>12</v>
      </c>
      <c r="G396" s="46" t="s">
        <v>13</v>
      </c>
      <c r="H396" s="45" t="str">
        <f t="shared" si="18"/>
        <v>NIvisaic.exe 15.0.0.49152</v>
      </c>
      <c r="I396" s="45"/>
      <c r="J396" s="7"/>
    </row>
    <row r="397" spans="1:10" hidden="1" x14ac:dyDescent="0.25">
      <c r="A397" s="45" t="s">
        <v>504</v>
      </c>
      <c r="B397" s="45" t="s">
        <v>35</v>
      </c>
      <c r="C397" s="46" t="s">
        <v>92</v>
      </c>
      <c r="D397" s="46" t="s">
        <v>10</v>
      </c>
      <c r="E397" s="46" t="s">
        <v>11</v>
      </c>
      <c r="F397" s="46" t="s">
        <v>12</v>
      </c>
      <c r="G397" s="46" t="s">
        <v>13</v>
      </c>
      <c r="H397" s="45" t="str">
        <f t="shared" si="18"/>
        <v>Real-Time 15.0.1</v>
      </c>
      <c r="I397" s="45"/>
      <c r="J397" s="7"/>
    </row>
    <row r="398" spans="1:10" hidden="1" x14ac:dyDescent="0.25">
      <c r="A398" s="45" t="s">
        <v>504</v>
      </c>
      <c r="B398" s="45" t="s">
        <v>36</v>
      </c>
      <c r="C398" s="46" t="s">
        <v>92</v>
      </c>
      <c r="D398" s="46" t="s">
        <v>10</v>
      </c>
      <c r="E398" s="46" t="s">
        <v>11</v>
      </c>
      <c r="F398" s="46" t="s">
        <v>12</v>
      </c>
      <c r="G398" s="46" t="s">
        <v>13</v>
      </c>
      <c r="H398" s="45" t="str">
        <f t="shared" si="18"/>
        <v>Real-Time Trace Viewer - LabVIEW 2015 Support 15.0.1</v>
      </c>
      <c r="I398" s="45"/>
      <c r="J398" s="7"/>
    </row>
    <row r="399" spans="1:10" hidden="1" x14ac:dyDescent="0.25">
      <c r="A399" s="45" t="s">
        <v>504</v>
      </c>
      <c r="B399" s="45" t="s">
        <v>37</v>
      </c>
      <c r="C399" s="46" t="s">
        <v>9</v>
      </c>
      <c r="D399" s="46" t="s">
        <v>10</v>
      </c>
      <c r="E399" s="46" t="s">
        <v>11</v>
      </c>
      <c r="F399" s="46" t="s">
        <v>12</v>
      </c>
      <c r="G399" s="46" t="s">
        <v>13</v>
      </c>
      <c r="H399" s="45" t="str">
        <f t="shared" si="18"/>
        <v>Report Generation Toolkit For Microsoft Office 15.0.0</v>
      </c>
      <c r="I399" s="45"/>
      <c r="J399" s="7"/>
    </row>
    <row r="400" spans="1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</sheetData>
  <autoFilter ref="A3:I399" xr:uid="{F7F44E2F-0633-42B7-8978-CE6606F45AA2}">
    <filterColumn colId="0">
      <filters>
        <filter val="4-Vinnie"/>
      </filters>
    </filterColumn>
    <filterColumn colId="5">
      <filters>
        <filter val="Development"/>
        <filter val="Runtime"/>
      </filters>
    </filterColumn>
    <sortState xmlns:xlrd2="http://schemas.microsoft.com/office/spreadsheetml/2017/richdata2" ref="A4:I399">
      <sortCondition ref="A3:A399"/>
    </sortState>
  </autoFilter>
  <mergeCells count="1">
    <mergeCell ref="A1:I2"/>
  </mergeCells>
  <hyperlinks>
    <hyperlink ref="G320" r:id="rId1" display="http://openg.org/" xr:uid="{6E81D95D-CECE-42A5-B263-B7E0631FFB7E}"/>
    <hyperlink ref="G321" r:id="rId2" display="http://openg.org/" xr:uid="{558FD0B1-052C-40EC-A3F8-0219B7DBA0DC}"/>
    <hyperlink ref="G322" r:id="rId3" display="http://openg.org/" xr:uid="{B0F1E2BE-165B-4F15-AB20-B9F3A888E281}"/>
    <hyperlink ref="G323" r:id="rId4" display="http://openg.org/" xr:uid="{755FC467-5BD8-4FF9-8648-2AC3FCA3CF0D}"/>
    <hyperlink ref="G324" r:id="rId5" display="http://openg.org/" xr:uid="{7794F16A-2ACE-40B4-AF21-80597693A15B}"/>
    <hyperlink ref="G325" r:id="rId6" display="http://openg.org/" xr:uid="{5DE9ADD4-C251-4694-A878-06A49418A54F}"/>
    <hyperlink ref="G326" r:id="rId7" display="http://openg.org/" xr:uid="{875AE913-FB97-4EBF-BEEB-85619864F271}"/>
    <hyperlink ref="G327" r:id="rId8" display="http://openg.org/" xr:uid="{28B99E20-9E8C-4131-A4E9-33DB2539FB84}"/>
    <hyperlink ref="G328" r:id="rId9" display="http://openg.org/" xr:uid="{FA93AD93-7F8F-4B61-BB29-2C6CEE23FE73}"/>
    <hyperlink ref="G329" r:id="rId10" display="http://openg.org/" xr:uid="{5BB5B801-6B6B-426C-B0D9-36301CF18014}"/>
    <hyperlink ref="G332" r:id="rId11" display="http://openg.org/" xr:uid="{9FCD2A5C-286B-42EC-9A37-8D3F7CE408E7}"/>
    <hyperlink ref="G333" r:id="rId12" display="http://openg.org/" xr:uid="{962ED6B3-C457-4AE8-A729-15A88261BB91}"/>
    <hyperlink ref="G334" r:id="rId13" display="http://openg.org/" xr:uid="{D436587B-9322-4955-91B0-9C6F5B1BB2B6}"/>
    <hyperlink ref="G335" r:id="rId14" display="http://openg.org/" xr:uid="{C118761F-CFC7-4E41-B5FF-3D8DD1C838E4}"/>
    <hyperlink ref="G336" r:id="rId15" display="http://openg.org/" xr:uid="{7D94FB85-8413-4770-835A-47A52981549C}"/>
    <hyperlink ref="G337" r:id="rId16" display="http://openg.org/" xr:uid="{7628EA18-DBA8-4E62-B9EE-3515AF717C95}"/>
    <hyperlink ref="G338" r:id="rId17" display="http://openg.org/" xr:uid="{595C2BF7-4EDC-4D16-A5BC-DF54E1C05D45}"/>
    <hyperlink ref="G339" r:id="rId18" display="http://openg.org/" xr:uid="{F799727E-512B-406D-A3E2-01F3ED85D1B5}"/>
    <hyperlink ref="G340" r:id="rId19" display="http://openg.org/" xr:uid="{FCD1FDFB-5FEA-47B0-A069-B09EA9C5A7E4}"/>
    <hyperlink ref="G341" r:id="rId20" display="http://openg.org/" xr:uid="{21EFF205-5C16-4938-86CE-FE0D43E6A3BD}"/>
    <hyperlink ref="G343" r:id="rId21" display="http://openg.org/" xr:uid="{AC577CEB-1AA7-45DF-B4FE-B39E831E1813}"/>
    <hyperlink ref="G344" r:id="rId22" display="http://openg.org/" xr:uid="{C323D7C2-8C43-40A2-8394-E393C1B4DBA5}"/>
    <hyperlink ref="G342" r:id="rId23" display="http://openg.org/" xr:uid="{7B5A791E-9034-4FC8-BD3F-EC19A0C02923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204"/>
  <sheetViews>
    <sheetView zoomScaleNormal="100" workbookViewId="0">
      <pane ySplit="3" topLeftCell="A132" activePane="bottomLeft" state="frozen"/>
      <selection activeCell="A4" sqref="A4"/>
      <selection pane="bottomLeft" activeCell="B160" sqref="B160"/>
    </sheetView>
  </sheetViews>
  <sheetFormatPr defaultColWidth="9.8554687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201" bestFit="1" customWidth="1"/>
    <col min="5" max="5" width="11.140625" style="201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85546875" style="5"/>
  </cols>
  <sheetData>
    <row r="1" spans="1:10" x14ac:dyDescent="0.25">
      <c r="A1" s="150" t="s">
        <v>496</v>
      </c>
      <c r="B1" s="151"/>
      <c r="C1" s="151"/>
      <c r="D1" s="196"/>
      <c r="E1" s="196"/>
      <c r="F1" s="151"/>
      <c r="G1" s="151"/>
      <c r="H1" s="151"/>
      <c r="I1" s="152"/>
    </row>
    <row r="2" spans="1:10" ht="14.25" thickBot="1" x14ac:dyDescent="0.3">
      <c r="A2" s="153"/>
      <c r="B2" s="153"/>
      <c r="C2" s="153"/>
      <c r="D2" s="197"/>
      <c r="E2" s="197"/>
      <c r="F2" s="153"/>
      <c r="G2" s="153"/>
      <c r="H2" s="153"/>
      <c r="I2" s="154"/>
    </row>
    <row r="3" spans="1:10" ht="15" x14ac:dyDescent="0.25">
      <c r="A3" s="13" t="s">
        <v>98</v>
      </c>
      <c r="B3" s="1" t="s">
        <v>99</v>
      </c>
      <c r="C3" s="1" t="s">
        <v>3</v>
      </c>
      <c r="D3" s="198" t="s">
        <v>4</v>
      </c>
      <c r="E3" s="198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42" t="s">
        <v>543</v>
      </c>
      <c r="B4" s="42" t="s">
        <v>8</v>
      </c>
      <c r="C4" s="42" t="s">
        <v>9</v>
      </c>
      <c r="D4" s="42">
        <v>32</v>
      </c>
      <c r="E4" s="42">
        <v>2015</v>
      </c>
      <c r="F4" s="42" t="s">
        <v>12</v>
      </c>
      <c r="G4" s="42" t="s">
        <v>13</v>
      </c>
      <c r="H4" s="42" t="str">
        <f>B4&amp;" "&amp;C4</f>
        <v>Advanced Signal Processing Toolkit 15.0.0</v>
      </c>
      <c r="I4" s="36" t="s">
        <v>42</v>
      </c>
      <c r="J4" s="7"/>
    </row>
    <row r="5" spans="1:10" x14ac:dyDescent="0.25">
      <c r="A5" s="42" t="s">
        <v>543</v>
      </c>
      <c r="B5" s="42" t="s">
        <v>15</v>
      </c>
      <c r="C5" s="42" t="s">
        <v>478</v>
      </c>
      <c r="D5" s="42" t="s">
        <v>10</v>
      </c>
      <c r="E5" s="42" t="s">
        <v>130</v>
      </c>
      <c r="F5" s="42" t="s">
        <v>12</v>
      </c>
      <c r="G5" s="42" t="s">
        <v>13</v>
      </c>
      <c r="H5" s="42" t="s">
        <v>487</v>
      </c>
      <c r="I5" s="55" t="s">
        <v>477</v>
      </c>
      <c r="J5" s="7"/>
    </row>
    <row r="6" spans="1:10" x14ac:dyDescent="0.25">
      <c r="A6" s="42" t="s">
        <v>543</v>
      </c>
      <c r="B6" s="117" t="s">
        <v>200</v>
      </c>
      <c r="C6" s="118" t="s">
        <v>201</v>
      </c>
      <c r="D6" s="199" t="s">
        <v>10</v>
      </c>
      <c r="E6" s="199" t="s">
        <v>136</v>
      </c>
      <c r="F6" s="118" t="s">
        <v>12</v>
      </c>
      <c r="G6" s="118" t="s">
        <v>158</v>
      </c>
      <c r="H6" s="117" t="str">
        <f>B6&amp;" "&amp;C6</f>
        <v>Caraya Unit Test Framework 0.6.3.54</v>
      </c>
      <c r="I6" s="131" t="s">
        <v>202</v>
      </c>
      <c r="J6" s="7"/>
    </row>
    <row r="7" spans="1:10" x14ac:dyDescent="0.25">
      <c r="A7" s="42" t="s">
        <v>543</v>
      </c>
      <c r="B7" s="42" t="s">
        <v>14</v>
      </c>
      <c r="C7" s="42" t="s">
        <v>478</v>
      </c>
      <c r="D7" s="42" t="s">
        <v>10</v>
      </c>
      <c r="E7" s="42" t="s">
        <v>130</v>
      </c>
      <c r="F7" s="42" t="s">
        <v>12</v>
      </c>
      <c r="G7" s="42" t="s">
        <v>13</v>
      </c>
      <c r="H7" s="42" t="s">
        <v>477</v>
      </c>
      <c r="I7" s="55" t="s">
        <v>477</v>
      </c>
      <c r="J7" s="7"/>
    </row>
    <row r="8" spans="1:10" x14ac:dyDescent="0.25">
      <c r="A8" s="42" t="s">
        <v>543</v>
      </c>
      <c r="B8" s="42" t="s">
        <v>75</v>
      </c>
      <c r="C8" s="42" t="s">
        <v>9</v>
      </c>
      <c r="D8" s="42">
        <v>32</v>
      </c>
      <c r="E8" s="42">
        <v>2015</v>
      </c>
      <c r="F8" s="42" t="s">
        <v>12</v>
      </c>
      <c r="G8" s="42" t="s">
        <v>13</v>
      </c>
      <c r="H8" s="42" t="str">
        <f>B8&amp;" "&amp;C8</f>
        <v>CVI 15.0.0</v>
      </c>
      <c r="I8" s="36" t="s">
        <v>42</v>
      </c>
      <c r="J8" s="7"/>
    </row>
    <row r="9" spans="1:10" x14ac:dyDescent="0.25">
      <c r="A9" s="42" t="s">
        <v>543</v>
      </c>
      <c r="B9" s="42" t="s">
        <v>75</v>
      </c>
      <c r="C9" s="42" t="s">
        <v>87</v>
      </c>
      <c r="D9" s="42">
        <v>32</v>
      </c>
      <c r="E9" s="42">
        <v>2015</v>
      </c>
      <c r="F9" s="42" t="s">
        <v>24</v>
      </c>
      <c r="G9" s="42" t="s">
        <v>13</v>
      </c>
      <c r="H9" s="42" t="str">
        <f>B9&amp;" "&amp;C9</f>
        <v>CVI 15.0.0.408</v>
      </c>
      <c r="I9" s="37" t="s">
        <v>91</v>
      </c>
      <c r="J9" s="7"/>
    </row>
    <row r="10" spans="1:10" x14ac:dyDescent="0.25">
      <c r="A10" s="42" t="s">
        <v>543</v>
      </c>
      <c r="B10" s="42" t="s">
        <v>76</v>
      </c>
      <c r="C10" s="42"/>
      <c r="D10" s="42">
        <v>32</v>
      </c>
      <c r="E10" s="42">
        <v>2015</v>
      </c>
      <c r="F10" s="42" t="s">
        <v>12</v>
      </c>
      <c r="G10" s="42" t="s">
        <v>13</v>
      </c>
      <c r="H10" s="42" t="str">
        <f>B10&amp;" "&amp;C10</f>
        <v xml:space="preserve">CVI AddOns </v>
      </c>
      <c r="I10" s="36" t="s">
        <v>42</v>
      </c>
      <c r="J10" s="7"/>
    </row>
    <row r="11" spans="1:10" x14ac:dyDescent="0.25">
      <c r="A11" s="42" t="s">
        <v>543</v>
      </c>
      <c r="B11" s="42" t="s">
        <v>33</v>
      </c>
      <c r="C11" s="42" t="s">
        <v>9</v>
      </c>
      <c r="D11" s="42">
        <v>32</v>
      </c>
      <c r="E11" s="42">
        <v>2015</v>
      </c>
      <c r="F11" s="42" t="s">
        <v>12</v>
      </c>
      <c r="G11" s="42" t="s">
        <v>13</v>
      </c>
      <c r="H11" s="42" t="str">
        <f>B11&amp;" "&amp;C11</f>
        <v>Database Connectivity Toolkit 15.0.0</v>
      </c>
      <c r="I11" s="36" t="s">
        <v>42</v>
      </c>
      <c r="J11" s="7"/>
    </row>
    <row r="12" spans="1:10" x14ac:dyDescent="0.25">
      <c r="A12" s="42" t="s">
        <v>543</v>
      </c>
      <c r="B12" s="42" t="s">
        <v>88</v>
      </c>
      <c r="C12" s="42" t="s">
        <v>89</v>
      </c>
      <c r="D12" s="42">
        <v>32</v>
      </c>
      <c r="E12" s="42">
        <v>2015</v>
      </c>
      <c r="F12" s="42" t="s">
        <v>12</v>
      </c>
      <c r="G12" s="42" t="s">
        <v>13</v>
      </c>
      <c r="H12" s="42" t="str">
        <f>B12&amp;" "&amp;C12</f>
        <v>DataFinder Toolkit 15.0.06020</v>
      </c>
      <c r="I12" s="36" t="s">
        <v>42</v>
      </c>
      <c r="J12" s="7"/>
    </row>
    <row r="13" spans="1:10" x14ac:dyDescent="0.25">
      <c r="A13" s="42" t="s">
        <v>543</v>
      </c>
      <c r="B13" s="117" t="s">
        <v>203</v>
      </c>
      <c r="C13" s="118" t="s">
        <v>204</v>
      </c>
      <c r="D13" s="199" t="s">
        <v>10</v>
      </c>
      <c r="E13" s="199" t="s">
        <v>136</v>
      </c>
      <c r="F13" s="118" t="s">
        <v>12</v>
      </c>
      <c r="G13" s="118" t="s">
        <v>540</v>
      </c>
      <c r="H13" s="117" t="str">
        <f>B13&amp;" "&amp;C13</f>
        <v>Delacor QMH 4.0.0.28</v>
      </c>
      <c r="I13" s="131" t="s">
        <v>202</v>
      </c>
      <c r="J13" s="7"/>
    </row>
    <row r="14" spans="1:10" x14ac:dyDescent="0.25">
      <c r="A14" s="42" t="s">
        <v>543</v>
      </c>
      <c r="B14" s="117" t="s">
        <v>205</v>
      </c>
      <c r="C14" s="118" t="s">
        <v>537</v>
      </c>
      <c r="D14" s="199" t="s">
        <v>10</v>
      </c>
      <c r="E14" s="199" t="s">
        <v>136</v>
      </c>
      <c r="F14" s="118" t="s">
        <v>12</v>
      </c>
      <c r="G14" s="118" t="s">
        <v>540</v>
      </c>
      <c r="H14" s="117" t="str">
        <f>B14&amp;" "&amp;C14</f>
        <v>Delacor QMH Event Scripter 4.0.0.68</v>
      </c>
      <c r="I14" s="131" t="s">
        <v>202</v>
      </c>
      <c r="J14" s="7"/>
    </row>
    <row r="15" spans="1:10" x14ac:dyDescent="0.25">
      <c r="A15" s="42" t="s">
        <v>543</v>
      </c>
      <c r="B15" s="117" t="s">
        <v>206</v>
      </c>
      <c r="C15" s="118" t="s">
        <v>207</v>
      </c>
      <c r="D15" s="199" t="s">
        <v>10</v>
      </c>
      <c r="E15" s="199" t="s">
        <v>136</v>
      </c>
      <c r="F15" s="118" t="s">
        <v>12</v>
      </c>
      <c r="G15" s="118" t="s">
        <v>540</v>
      </c>
      <c r="H15" s="117" t="str">
        <f>B15&amp;" "&amp;C15</f>
        <v>Delacor QMH Palette 3.0.0.1</v>
      </c>
      <c r="I15" s="131" t="s">
        <v>202</v>
      </c>
      <c r="J15" s="7"/>
    </row>
    <row r="16" spans="1:10" x14ac:dyDescent="0.25">
      <c r="A16" s="42" t="s">
        <v>543</v>
      </c>
      <c r="B16" s="117" t="s">
        <v>208</v>
      </c>
      <c r="C16" s="118" t="s">
        <v>209</v>
      </c>
      <c r="D16" s="199" t="s">
        <v>10</v>
      </c>
      <c r="E16" s="199" t="s">
        <v>136</v>
      </c>
      <c r="F16" s="118" t="s">
        <v>12</v>
      </c>
      <c r="G16" s="118" t="s">
        <v>540</v>
      </c>
      <c r="H16" s="117" t="str">
        <f>B16&amp;" "&amp;C16</f>
        <v>Delacor QMH Project Template 4.0.0.47</v>
      </c>
      <c r="I16" s="131" t="s">
        <v>202</v>
      </c>
      <c r="J16" s="7"/>
    </row>
    <row r="17" spans="1:10" x14ac:dyDescent="0.25">
      <c r="A17" s="42" t="s">
        <v>543</v>
      </c>
      <c r="B17" s="117" t="s">
        <v>210</v>
      </c>
      <c r="C17" s="118" t="s">
        <v>211</v>
      </c>
      <c r="D17" s="199" t="s">
        <v>10</v>
      </c>
      <c r="E17" s="199" t="s">
        <v>136</v>
      </c>
      <c r="F17" s="118" t="s">
        <v>12</v>
      </c>
      <c r="G17" s="118" t="s">
        <v>540</v>
      </c>
      <c r="H17" s="117" t="str">
        <f>B17&amp;" "&amp;C17</f>
        <v>Delacor QMH Thermal Chamber Examples 4.0.0.21</v>
      </c>
      <c r="I17" s="131" t="s">
        <v>202</v>
      </c>
      <c r="J17" s="7"/>
    </row>
    <row r="18" spans="1:10" x14ac:dyDescent="0.25">
      <c r="A18" s="42" t="s">
        <v>543</v>
      </c>
      <c r="B18" s="42" t="s">
        <v>34</v>
      </c>
      <c r="C18" s="42" t="s">
        <v>9</v>
      </c>
      <c r="D18" s="42">
        <v>32</v>
      </c>
      <c r="E18" s="42">
        <v>2015</v>
      </c>
      <c r="F18" s="42" t="s">
        <v>12</v>
      </c>
      <c r="G18" s="42" t="s">
        <v>13</v>
      </c>
      <c r="H18" s="42" t="str">
        <f>B18&amp;" "&amp;C18</f>
        <v>Digital Filter Design Toolkit 15.0.0</v>
      </c>
      <c r="I18" s="36" t="s">
        <v>42</v>
      </c>
      <c r="J18" s="7"/>
    </row>
    <row r="19" spans="1:10" x14ac:dyDescent="0.25">
      <c r="A19" s="42" t="s">
        <v>543</v>
      </c>
      <c r="B19" s="42" t="s">
        <v>212</v>
      </c>
      <c r="C19" s="42" t="s">
        <v>213</v>
      </c>
      <c r="D19" s="200" t="s">
        <v>10</v>
      </c>
      <c r="E19" s="200" t="s">
        <v>11</v>
      </c>
      <c r="F19" s="42"/>
      <c r="G19" s="42"/>
      <c r="H19" s="42" t="str">
        <f>B19&amp;" "&amp;C19</f>
        <v>DMC UX Toolkit 1.0.0.2</v>
      </c>
      <c r="I19" s="131" t="s">
        <v>202</v>
      </c>
      <c r="J19" s="7"/>
    </row>
    <row r="20" spans="1:10" x14ac:dyDescent="0.25">
      <c r="A20" s="42" t="s">
        <v>543</v>
      </c>
      <c r="B20" s="42" t="s">
        <v>58</v>
      </c>
      <c r="C20" s="42" t="s">
        <v>30</v>
      </c>
      <c r="D20" s="42">
        <v>32</v>
      </c>
      <c r="E20" s="42">
        <v>2015</v>
      </c>
      <c r="F20" s="42" t="s">
        <v>12</v>
      </c>
      <c r="G20" s="42" t="s">
        <v>13</v>
      </c>
      <c r="H20" s="42" t="str">
        <f>B20&amp;" "&amp;C20</f>
        <v>FlexRIO 15.0.0f0</v>
      </c>
      <c r="I20" s="36" t="s">
        <v>42</v>
      </c>
      <c r="J20" s="7"/>
    </row>
    <row r="21" spans="1:10" x14ac:dyDescent="0.25">
      <c r="A21" s="42" t="s">
        <v>543</v>
      </c>
      <c r="B21" s="42" t="s">
        <v>437</v>
      </c>
      <c r="C21" s="42" t="s">
        <v>438</v>
      </c>
      <c r="D21" s="42" t="s">
        <v>10</v>
      </c>
      <c r="E21" s="42" t="s">
        <v>119</v>
      </c>
      <c r="F21" s="42" t="s">
        <v>12</v>
      </c>
      <c r="G21" s="42" t="s">
        <v>13</v>
      </c>
      <c r="H21" s="42" t="s">
        <v>453</v>
      </c>
      <c r="I21" s="39" t="s">
        <v>424</v>
      </c>
      <c r="J21" s="7"/>
    </row>
    <row r="22" spans="1:10" x14ac:dyDescent="0.25">
      <c r="A22" s="42" t="s">
        <v>543</v>
      </c>
      <c r="B22" s="117" t="s">
        <v>215</v>
      </c>
      <c r="C22" s="118" t="s">
        <v>216</v>
      </c>
      <c r="D22" s="199" t="s">
        <v>10</v>
      </c>
      <c r="E22" s="199" t="s">
        <v>136</v>
      </c>
      <c r="F22" s="118" t="s">
        <v>12</v>
      </c>
      <c r="G22" s="118" t="s">
        <v>217</v>
      </c>
      <c r="H22" s="117" t="str">
        <f>B22&amp;" "&amp;C22</f>
        <v>GPower All Toolsets 2017.0.0.11</v>
      </c>
      <c r="I22" s="131" t="s">
        <v>202</v>
      </c>
      <c r="J22" s="7"/>
    </row>
    <row r="23" spans="1:10" x14ac:dyDescent="0.25">
      <c r="A23" s="42" t="s">
        <v>543</v>
      </c>
      <c r="B23" s="117" t="s">
        <v>218</v>
      </c>
      <c r="C23" s="118" t="s">
        <v>162</v>
      </c>
      <c r="D23" s="199" t="s">
        <v>10</v>
      </c>
      <c r="E23" s="199" t="s">
        <v>136</v>
      </c>
      <c r="F23" s="118" t="s">
        <v>12</v>
      </c>
      <c r="G23" s="118" t="s">
        <v>217</v>
      </c>
      <c r="H23" s="117" t="str">
        <f>B23&amp;" "&amp;C23</f>
        <v>GPower Array 2016.2.0.27</v>
      </c>
      <c r="I23" s="131" t="s">
        <v>202</v>
      </c>
      <c r="J23" s="7"/>
    </row>
    <row r="24" spans="1:10" x14ac:dyDescent="0.25">
      <c r="A24" s="42" t="s">
        <v>543</v>
      </c>
      <c r="B24" s="117" t="s">
        <v>219</v>
      </c>
      <c r="C24" s="118" t="s">
        <v>220</v>
      </c>
      <c r="D24" s="199" t="s">
        <v>10</v>
      </c>
      <c r="E24" s="199" t="s">
        <v>136</v>
      </c>
      <c r="F24" s="118" t="s">
        <v>12</v>
      </c>
      <c r="G24" s="118" t="s">
        <v>217</v>
      </c>
      <c r="H24" s="117" t="str">
        <f>B24&amp;" "&amp;C24</f>
        <v>GPower Comparison 2016.0.0.4</v>
      </c>
      <c r="I24" s="131" t="s">
        <v>202</v>
      </c>
      <c r="J24" s="7"/>
    </row>
    <row r="25" spans="1:10" x14ac:dyDescent="0.25">
      <c r="A25" s="42" t="s">
        <v>543</v>
      </c>
      <c r="B25" s="117" t="s">
        <v>221</v>
      </c>
      <c r="C25" s="118" t="s">
        <v>222</v>
      </c>
      <c r="D25" s="199" t="s">
        <v>10</v>
      </c>
      <c r="E25" s="199" t="s">
        <v>136</v>
      </c>
      <c r="F25" s="118" t="s">
        <v>12</v>
      </c>
      <c r="G25" s="118" t="s">
        <v>217</v>
      </c>
      <c r="H25" s="117" t="str">
        <f>B25&amp;" "&amp;C25</f>
        <v>GPower Error &amp; Warning 2014.0.0.38</v>
      </c>
      <c r="I25" s="131" t="s">
        <v>202</v>
      </c>
      <c r="J25" s="7"/>
    </row>
    <row r="26" spans="1:10" x14ac:dyDescent="0.25">
      <c r="A26" s="42" t="s">
        <v>543</v>
      </c>
      <c r="B26" s="117" t="s">
        <v>223</v>
      </c>
      <c r="C26" s="118" t="s">
        <v>224</v>
      </c>
      <c r="D26" s="199" t="s">
        <v>10</v>
      </c>
      <c r="E26" s="199" t="s">
        <v>136</v>
      </c>
      <c r="F26" s="118" t="s">
        <v>12</v>
      </c>
      <c r="G26" s="118" t="s">
        <v>217</v>
      </c>
      <c r="H26" s="117" t="str">
        <f>B26&amp;" "&amp;C26</f>
        <v>GPower Events 2012.0.0.7</v>
      </c>
      <c r="I26" s="131" t="s">
        <v>202</v>
      </c>
      <c r="J26" s="7"/>
    </row>
    <row r="27" spans="1:10" x14ac:dyDescent="0.25">
      <c r="A27" s="42" t="s">
        <v>543</v>
      </c>
      <c r="B27" s="117" t="s">
        <v>225</v>
      </c>
      <c r="C27" s="118" t="s">
        <v>226</v>
      </c>
      <c r="D27" s="199" t="s">
        <v>10</v>
      </c>
      <c r="E27" s="199" t="s">
        <v>136</v>
      </c>
      <c r="F27" s="118" t="s">
        <v>12</v>
      </c>
      <c r="G27" s="118" t="s">
        <v>217</v>
      </c>
      <c r="H27" s="117" t="str">
        <f>B27&amp;" "&amp;C27</f>
        <v>GPower Math 2012.1.0.6</v>
      </c>
      <c r="I27" s="131" t="s">
        <v>202</v>
      </c>
      <c r="J27" s="7"/>
    </row>
    <row r="28" spans="1:10" x14ac:dyDescent="0.25">
      <c r="A28" s="42" t="s">
        <v>543</v>
      </c>
      <c r="B28" s="117" t="s">
        <v>227</v>
      </c>
      <c r="C28" s="118" t="s">
        <v>228</v>
      </c>
      <c r="D28" s="199" t="s">
        <v>10</v>
      </c>
      <c r="E28" s="199" t="s">
        <v>136</v>
      </c>
      <c r="F28" s="118" t="s">
        <v>12</v>
      </c>
      <c r="G28" s="118" t="s">
        <v>217</v>
      </c>
      <c r="H28" s="117" t="str">
        <f>B28&amp;" "&amp;C28</f>
        <v>GPower Numeric 2016.2.0.14</v>
      </c>
      <c r="I28" s="131" t="s">
        <v>202</v>
      </c>
      <c r="J28" s="7"/>
    </row>
    <row r="29" spans="1:10" x14ac:dyDescent="0.25">
      <c r="A29" s="42" t="s">
        <v>543</v>
      </c>
      <c r="B29" s="117" t="s">
        <v>229</v>
      </c>
      <c r="C29" s="118" t="s">
        <v>230</v>
      </c>
      <c r="D29" s="199" t="s">
        <v>10</v>
      </c>
      <c r="E29" s="199" t="s">
        <v>136</v>
      </c>
      <c r="F29" s="118" t="s">
        <v>12</v>
      </c>
      <c r="G29" s="118" t="s">
        <v>217</v>
      </c>
      <c r="H29" s="117" t="str">
        <f>B29&amp;" "&amp;C29</f>
        <v>GPower Overflow 2014.0.0.4</v>
      </c>
      <c r="I29" s="131" t="s">
        <v>202</v>
      </c>
      <c r="J29" s="7"/>
    </row>
    <row r="30" spans="1:10" x14ac:dyDescent="0.25">
      <c r="A30" s="42" t="s">
        <v>543</v>
      </c>
      <c r="B30" s="117" t="s">
        <v>231</v>
      </c>
      <c r="C30" s="118" t="s">
        <v>232</v>
      </c>
      <c r="D30" s="199" t="s">
        <v>10</v>
      </c>
      <c r="E30" s="199" t="s">
        <v>136</v>
      </c>
      <c r="F30" s="118" t="s">
        <v>12</v>
      </c>
      <c r="G30" s="118" t="s">
        <v>217</v>
      </c>
      <c r="H30" s="117" t="str">
        <f>B30&amp;" "&amp;C30</f>
        <v>GPower String 2016.1.0.11</v>
      </c>
      <c r="I30" s="131" t="s">
        <v>202</v>
      </c>
      <c r="J30" s="7"/>
    </row>
    <row r="31" spans="1:10" x14ac:dyDescent="0.25">
      <c r="A31" s="42" t="s">
        <v>543</v>
      </c>
      <c r="B31" s="117" t="s">
        <v>233</v>
      </c>
      <c r="C31" s="118" t="s">
        <v>234</v>
      </c>
      <c r="D31" s="199" t="s">
        <v>10</v>
      </c>
      <c r="E31" s="199" t="s">
        <v>136</v>
      </c>
      <c r="F31" s="118" t="s">
        <v>12</v>
      </c>
      <c r="G31" s="118" t="s">
        <v>217</v>
      </c>
      <c r="H31" s="117" t="str">
        <f>B31&amp;" "&amp;C31</f>
        <v>GPower Timing 2017.0.0.26</v>
      </c>
      <c r="I31" s="131" t="s">
        <v>202</v>
      </c>
      <c r="J31" s="7"/>
    </row>
    <row r="32" spans="1:10" x14ac:dyDescent="0.25">
      <c r="A32" s="42" t="s">
        <v>543</v>
      </c>
      <c r="B32" s="117" t="s">
        <v>235</v>
      </c>
      <c r="C32" s="118" t="s">
        <v>236</v>
      </c>
      <c r="D32" s="199" t="s">
        <v>10</v>
      </c>
      <c r="E32" s="199" t="s">
        <v>136</v>
      </c>
      <c r="F32" s="118" t="s">
        <v>12</v>
      </c>
      <c r="G32" s="118" t="s">
        <v>217</v>
      </c>
      <c r="H32" s="117" t="str">
        <f>B32&amp;" "&amp;C32</f>
        <v>GPower VI Launcher 2012.2.0.26</v>
      </c>
      <c r="I32" s="131" t="s">
        <v>202</v>
      </c>
      <c r="J32" s="7"/>
    </row>
    <row r="33" spans="1:10" x14ac:dyDescent="0.25">
      <c r="A33" s="42" t="s">
        <v>543</v>
      </c>
      <c r="B33" s="117" t="s">
        <v>237</v>
      </c>
      <c r="C33" s="118" t="s">
        <v>238</v>
      </c>
      <c r="D33" s="199" t="s">
        <v>10</v>
      </c>
      <c r="E33" s="199" t="s">
        <v>136</v>
      </c>
      <c r="F33" s="118" t="s">
        <v>12</v>
      </c>
      <c r="G33" s="118" t="s">
        <v>217</v>
      </c>
      <c r="H33" s="117" t="str">
        <f>B33&amp;" "&amp;C33</f>
        <v>GPower VI Register 2016.0.0.31</v>
      </c>
      <c r="I33" s="131" t="s">
        <v>202</v>
      </c>
      <c r="J33" s="7"/>
    </row>
    <row r="34" spans="1:10" x14ac:dyDescent="0.25">
      <c r="A34" s="42" t="s">
        <v>543</v>
      </c>
      <c r="B34" s="42" t="s">
        <v>371</v>
      </c>
      <c r="C34" s="42" t="s">
        <v>372</v>
      </c>
      <c r="D34" s="42" t="s">
        <v>10</v>
      </c>
      <c r="E34" s="42" t="s">
        <v>119</v>
      </c>
      <c r="F34" s="42" t="s">
        <v>12</v>
      </c>
      <c r="G34" s="42" t="s">
        <v>13</v>
      </c>
      <c r="H34" s="42" t="str">
        <f>B34&amp;" "&amp;C34</f>
        <v>Image Processing and Machine Vision 19.5.0.49152</v>
      </c>
      <c r="I34" s="39" t="s">
        <v>424</v>
      </c>
      <c r="J34" s="7"/>
    </row>
    <row r="35" spans="1:10" x14ac:dyDescent="0.25">
      <c r="A35" s="42" t="s">
        <v>543</v>
      </c>
      <c r="B35" s="42" t="s">
        <v>373</v>
      </c>
      <c r="C35" s="42" t="s">
        <v>372</v>
      </c>
      <c r="D35" s="42" t="s">
        <v>10</v>
      </c>
      <c r="E35" s="42" t="s">
        <v>119</v>
      </c>
      <c r="F35" s="42" t="s">
        <v>12</v>
      </c>
      <c r="G35" s="42" t="s">
        <v>13</v>
      </c>
      <c r="H35" s="42" t="str">
        <f>B35&amp;" "&amp;C35</f>
        <v>Image Services 19.5.0.49152</v>
      </c>
      <c r="I35" s="39" t="s">
        <v>424</v>
      </c>
      <c r="J35" s="7"/>
    </row>
    <row r="36" spans="1:10" x14ac:dyDescent="0.25">
      <c r="A36" s="42" t="s">
        <v>543</v>
      </c>
      <c r="B36" s="42" t="s">
        <v>31</v>
      </c>
      <c r="C36" s="43" t="s">
        <v>102</v>
      </c>
      <c r="D36" s="42">
        <v>32</v>
      </c>
      <c r="E36" s="42">
        <v>2015</v>
      </c>
      <c r="F36" s="42" t="s">
        <v>12</v>
      </c>
      <c r="G36" s="42" t="s">
        <v>13</v>
      </c>
      <c r="H36" s="42" t="str">
        <f>B36&amp;" "&amp;C36</f>
        <v>IVI Compliance Package 15.0</v>
      </c>
      <c r="I36" s="36" t="s">
        <v>42</v>
      </c>
      <c r="J36" s="7"/>
    </row>
    <row r="37" spans="1:10" x14ac:dyDescent="0.25">
      <c r="A37" s="42" t="s">
        <v>543</v>
      </c>
      <c r="B37" s="199" t="s">
        <v>239</v>
      </c>
      <c r="C37" s="199" t="s">
        <v>240</v>
      </c>
      <c r="D37" s="199" t="s">
        <v>10</v>
      </c>
      <c r="E37" s="199" t="s">
        <v>136</v>
      </c>
      <c r="F37" s="118" t="s">
        <v>12</v>
      </c>
      <c r="G37" s="118" t="s">
        <v>158</v>
      </c>
      <c r="H37" s="117" t="str">
        <f>B37&amp;" "&amp;C37</f>
        <v>JKI State Machine 3.0.0.8</v>
      </c>
      <c r="I37" s="131" t="s">
        <v>202</v>
      </c>
      <c r="J37" s="7"/>
    </row>
    <row r="38" spans="1:10" x14ac:dyDescent="0.25">
      <c r="A38" s="42" t="s">
        <v>543</v>
      </c>
      <c r="B38" s="117" t="s">
        <v>241</v>
      </c>
      <c r="C38" s="118" t="s">
        <v>242</v>
      </c>
      <c r="D38" s="199" t="s">
        <v>10</v>
      </c>
      <c r="E38" s="199" t="s">
        <v>136</v>
      </c>
      <c r="F38" s="118" t="s">
        <v>12</v>
      </c>
      <c r="G38" s="118" t="s">
        <v>158</v>
      </c>
      <c r="H38" s="117" t="str">
        <f>B38&amp;" "&amp;C38</f>
        <v>JKI State Machine Editor 2013.6.3.239</v>
      </c>
      <c r="I38" s="131" t="s">
        <v>202</v>
      </c>
      <c r="J38" s="7"/>
    </row>
    <row r="39" spans="1:10" x14ac:dyDescent="0.25">
      <c r="A39" s="42" t="s">
        <v>543</v>
      </c>
      <c r="B39" s="117" t="s">
        <v>243</v>
      </c>
      <c r="C39" s="118" t="s">
        <v>244</v>
      </c>
      <c r="D39" s="199" t="s">
        <v>10</v>
      </c>
      <c r="E39" s="199" t="s">
        <v>136</v>
      </c>
      <c r="F39" s="118" t="s">
        <v>12</v>
      </c>
      <c r="G39" s="118" t="s">
        <v>158</v>
      </c>
      <c r="H39" s="117" t="str">
        <f>B39&amp;" "&amp;C39</f>
        <v>JKI State Machine Objects (SMO) 1.3.0.56</v>
      </c>
      <c r="I39" s="131" t="s">
        <v>202</v>
      </c>
      <c r="J39" s="7"/>
    </row>
    <row r="40" spans="1:10" x14ac:dyDescent="0.25">
      <c r="A40" s="42" t="s">
        <v>543</v>
      </c>
      <c r="B40" s="117" t="s">
        <v>245</v>
      </c>
      <c r="C40" s="118" t="s">
        <v>246</v>
      </c>
      <c r="D40" s="199" t="s">
        <v>10</v>
      </c>
      <c r="E40" s="199" t="s">
        <v>136</v>
      </c>
      <c r="F40" s="118" t="s">
        <v>12</v>
      </c>
      <c r="G40" s="118" t="s">
        <v>247</v>
      </c>
      <c r="H40" s="117" t="str">
        <f>B40&amp;" "&amp;C40</f>
        <v>jki_rsc_toolkits_palette 1.1-1</v>
      </c>
      <c r="I40" s="131" t="s">
        <v>202</v>
      </c>
      <c r="J40" s="7"/>
    </row>
    <row r="41" spans="1:10" x14ac:dyDescent="0.25">
      <c r="A41" s="42" t="s">
        <v>543</v>
      </c>
      <c r="B41" s="42" t="s">
        <v>32</v>
      </c>
      <c r="C41" s="42" t="s">
        <v>92</v>
      </c>
      <c r="D41" s="42">
        <v>32</v>
      </c>
      <c r="E41" s="42" t="s">
        <v>111</v>
      </c>
      <c r="F41" s="42" t="s">
        <v>12</v>
      </c>
      <c r="G41" s="42" t="s">
        <v>13</v>
      </c>
      <c r="H41" s="42" t="str">
        <f>B41&amp;" "&amp;E41&amp;" "&amp;C41</f>
        <v>LabVIEW 2015 SP1 15.0.1</v>
      </c>
      <c r="I41" s="37" t="s">
        <v>91</v>
      </c>
      <c r="J41" s="7"/>
    </row>
    <row r="42" spans="1:10" x14ac:dyDescent="0.25">
      <c r="A42" s="42" t="s">
        <v>543</v>
      </c>
      <c r="B42" s="42" t="s">
        <v>32</v>
      </c>
      <c r="C42" s="42" t="s">
        <v>9</v>
      </c>
      <c r="D42" s="42">
        <v>64</v>
      </c>
      <c r="E42" s="42">
        <v>2015</v>
      </c>
      <c r="F42" s="42" t="s">
        <v>12</v>
      </c>
      <c r="G42" s="42" t="s">
        <v>13</v>
      </c>
      <c r="H42" s="42" t="str">
        <f>B42&amp;" "&amp;E42&amp;" "&amp;C42</f>
        <v>LabVIEW 2015 15.0.0</v>
      </c>
      <c r="I42" s="36" t="s">
        <v>42</v>
      </c>
      <c r="J42" s="7"/>
    </row>
    <row r="43" spans="1:10" x14ac:dyDescent="0.25">
      <c r="A43" s="42" t="s">
        <v>543</v>
      </c>
      <c r="B43" s="42" t="s">
        <v>32</v>
      </c>
      <c r="C43" s="42" t="s">
        <v>105</v>
      </c>
      <c r="D43" s="42">
        <v>32</v>
      </c>
      <c r="E43" s="42" t="s">
        <v>106</v>
      </c>
      <c r="F43" s="42" t="s">
        <v>24</v>
      </c>
      <c r="G43" s="42" t="s">
        <v>13</v>
      </c>
      <c r="H43" s="42" t="str">
        <f>B43&amp;" "&amp;E43&amp;" "&amp;C43</f>
        <v>LabVIEW 2012 SP1 f9 12.0.1</v>
      </c>
      <c r="I43" s="36" t="s">
        <v>42</v>
      </c>
      <c r="J43" s="7"/>
    </row>
    <row r="44" spans="1:10" x14ac:dyDescent="0.25">
      <c r="A44" s="42" t="s">
        <v>543</v>
      </c>
      <c r="B44" s="42" t="s">
        <v>32</v>
      </c>
      <c r="C44" s="42" t="s">
        <v>105</v>
      </c>
      <c r="D44" s="42">
        <v>64</v>
      </c>
      <c r="E44" s="42" t="s">
        <v>106</v>
      </c>
      <c r="F44" s="42" t="s">
        <v>24</v>
      </c>
      <c r="G44" s="42" t="s">
        <v>13</v>
      </c>
      <c r="H44" s="42" t="str">
        <f>B44&amp;" "&amp;E44&amp;" "&amp;C44</f>
        <v>LabVIEW 2012 SP1 f9 12.0.1</v>
      </c>
      <c r="I44" s="36" t="s">
        <v>42</v>
      </c>
      <c r="J44" s="7"/>
    </row>
    <row r="45" spans="1:10" x14ac:dyDescent="0.25">
      <c r="A45" s="42" t="s">
        <v>543</v>
      </c>
      <c r="B45" s="42" t="s">
        <v>32</v>
      </c>
      <c r="C45" s="42" t="s">
        <v>137</v>
      </c>
      <c r="D45" s="42">
        <v>32</v>
      </c>
      <c r="E45" s="42" t="s">
        <v>108</v>
      </c>
      <c r="F45" s="42" t="s">
        <v>24</v>
      </c>
      <c r="G45" s="42" t="s">
        <v>13</v>
      </c>
      <c r="H45" s="42" t="str">
        <f>B45&amp;" "&amp;E45&amp;" "&amp;C45</f>
        <v>LabVIEW 2013 SP1 f6 13.0.1</v>
      </c>
      <c r="I45" s="36" t="s">
        <v>42</v>
      </c>
      <c r="J45" s="7"/>
    </row>
    <row r="46" spans="1:10" x14ac:dyDescent="0.25">
      <c r="A46" s="42" t="s">
        <v>543</v>
      </c>
      <c r="B46" s="42" t="s">
        <v>32</v>
      </c>
      <c r="C46" s="42" t="s">
        <v>110</v>
      </c>
      <c r="D46" s="42">
        <v>32</v>
      </c>
      <c r="E46" s="42" t="s">
        <v>109</v>
      </c>
      <c r="F46" s="42" t="s">
        <v>24</v>
      </c>
      <c r="G46" s="42" t="s">
        <v>13</v>
      </c>
      <c r="H46" s="42" t="str">
        <f>B46&amp;" "&amp;E46&amp;" "&amp;C46</f>
        <v>LabVIEW 2014 SP1 f11 14.0.1</v>
      </c>
      <c r="I46" s="40" t="s">
        <v>465</v>
      </c>
      <c r="J46" s="7"/>
    </row>
    <row r="47" spans="1:10" x14ac:dyDescent="0.25">
      <c r="A47" s="42" t="s">
        <v>543</v>
      </c>
      <c r="B47" s="42" t="s">
        <v>32</v>
      </c>
      <c r="C47" s="42" t="s">
        <v>92</v>
      </c>
      <c r="D47" s="42">
        <v>32</v>
      </c>
      <c r="E47" s="42" t="s">
        <v>111</v>
      </c>
      <c r="F47" s="42" t="s">
        <v>24</v>
      </c>
      <c r="G47" s="42" t="s">
        <v>13</v>
      </c>
      <c r="H47" s="42" t="str">
        <f>B47&amp;" "&amp;E47&amp;" "&amp;C47</f>
        <v>LabVIEW 2015 SP1 15.0.1</v>
      </c>
      <c r="I47" s="37" t="s">
        <v>91</v>
      </c>
      <c r="J47" s="7"/>
    </row>
    <row r="48" spans="1:10" x14ac:dyDescent="0.25">
      <c r="A48" s="42" t="s">
        <v>543</v>
      </c>
      <c r="B48" s="42" t="s">
        <v>32</v>
      </c>
      <c r="C48" s="42" t="s">
        <v>135</v>
      </c>
      <c r="D48" s="42" t="s">
        <v>10</v>
      </c>
      <c r="E48" s="42" t="s">
        <v>119</v>
      </c>
      <c r="F48" s="42" t="s">
        <v>24</v>
      </c>
      <c r="G48" s="42" t="s">
        <v>13</v>
      </c>
      <c r="H48" s="42" t="s">
        <v>456</v>
      </c>
      <c r="I48" s="39" t="s">
        <v>424</v>
      </c>
      <c r="J48" s="7"/>
    </row>
    <row r="49" spans="1:10" x14ac:dyDescent="0.25">
      <c r="A49" s="42" t="s">
        <v>543</v>
      </c>
      <c r="B49" s="42" t="s">
        <v>32</v>
      </c>
      <c r="C49" s="42" t="s">
        <v>402</v>
      </c>
      <c r="D49" s="42" t="s">
        <v>10</v>
      </c>
      <c r="E49" s="42" t="s">
        <v>457</v>
      </c>
      <c r="F49" s="42" t="s">
        <v>24</v>
      </c>
      <c r="G49" s="42" t="s">
        <v>13</v>
      </c>
      <c r="H49" s="42" t="s">
        <v>455</v>
      </c>
      <c r="I49" s="39" t="s">
        <v>424</v>
      </c>
      <c r="J49" s="7"/>
    </row>
    <row r="50" spans="1:10" x14ac:dyDescent="0.25">
      <c r="A50" s="42" t="s">
        <v>543</v>
      </c>
      <c r="B50" s="42" t="s">
        <v>32</v>
      </c>
      <c r="C50" s="42" t="s">
        <v>110</v>
      </c>
      <c r="D50" s="42">
        <v>64</v>
      </c>
      <c r="E50" s="42" t="s">
        <v>109</v>
      </c>
      <c r="F50" s="42" t="s">
        <v>24</v>
      </c>
      <c r="G50" s="42" t="s">
        <v>13</v>
      </c>
      <c r="H50" s="42" t="str">
        <f>B50&amp;" "&amp;E50&amp;" "&amp;C50</f>
        <v>LabVIEW 2014 SP1 f11 14.0.1</v>
      </c>
      <c r="I50" s="40" t="s">
        <v>465</v>
      </c>
      <c r="J50" s="7"/>
    </row>
    <row r="51" spans="1:10" x14ac:dyDescent="0.25">
      <c r="A51" s="42" t="s">
        <v>543</v>
      </c>
      <c r="B51" s="42" t="s">
        <v>32</v>
      </c>
      <c r="C51" s="42" t="s">
        <v>9</v>
      </c>
      <c r="D51" s="42">
        <v>64</v>
      </c>
      <c r="E51" s="42" t="s">
        <v>414</v>
      </c>
      <c r="F51" s="42" t="s">
        <v>24</v>
      </c>
      <c r="G51" s="42" t="s">
        <v>13</v>
      </c>
      <c r="H51" s="42" t="str">
        <f>B51&amp;" "&amp;E51&amp;" "&amp;C51</f>
        <v>LabVIEW 2015 f2 15.0.0</v>
      </c>
      <c r="I51" s="40" t="s">
        <v>465</v>
      </c>
      <c r="J51" s="7"/>
    </row>
    <row r="52" spans="1:10" x14ac:dyDescent="0.25">
      <c r="A52" s="42" t="s">
        <v>543</v>
      </c>
      <c r="B52" s="42" t="s">
        <v>32</v>
      </c>
      <c r="C52" s="42" t="s">
        <v>404</v>
      </c>
      <c r="D52" s="42" t="s">
        <v>10</v>
      </c>
      <c r="E52" s="42" t="s">
        <v>468</v>
      </c>
      <c r="F52" s="42" t="s">
        <v>24</v>
      </c>
      <c r="G52" s="42" t="s">
        <v>13</v>
      </c>
      <c r="H52" s="42" t="str">
        <f>B52&amp;" "&amp;E52&amp;" "&amp;C52</f>
        <v>LabVIEW 2016 f5 16.0.0</v>
      </c>
      <c r="I52" s="55" t="s">
        <v>477</v>
      </c>
      <c r="J52" s="7"/>
    </row>
    <row r="53" spans="1:10" ht="15" x14ac:dyDescent="0.25">
      <c r="A53" s="42" t="s">
        <v>543</v>
      </c>
      <c r="B53" s="42" t="s">
        <v>32</v>
      </c>
      <c r="C53" s="42" t="s">
        <v>406</v>
      </c>
      <c r="D53" s="42" t="s">
        <v>10</v>
      </c>
      <c r="E53" s="42" t="s">
        <v>407</v>
      </c>
      <c r="F53" s="42" t="s">
        <v>24</v>
      </c>
      <c r="G53" s="42" t="s">
        <v>13</v>
      </c>
      <c r="H53" s="42" t="str">
        <f>B53&amp;" "&amp;E53&amp;" "&amp;C53</f>
        <v>LabVIEW 2017 SP1 f3 17.0.1</v>
      </c>
      <c r="I53" s="97" t="s">
        <v>499</v>
      </c>
      <c r="J53" s="7"/>
    </row>
    <row r="54" spans="1:10" x14ac:dyDescent="0.25">
      <c r="A54" s="42" t="s">
        <v>543</v>
      </c>
      <c r="B54" s="117" t="s">
        <v>248</v>
      </c>
      <c r="C54" s="118" t="s">
        <v>249</v>
      </c>
      <c r="D54" s="199" t="s">
        <v>10</v>
      </c>
      <c r="E54" s="199" t="s">
        <v>136</v>
      </c>
      <c r="F54" s="118" t="s">
        <v>12</v>
      </c>
      <c r="G54" s="118" t="s">
        <v>250</v>
      </c>
      <c r="H54" s="117" t="str">
        <f>B54&amp;" "&amp;C54</f>
        <v>LAVA Palette 1.0.0.1</v>
      </c>
      <c r="I54" s="131" t="s">
        <v>202</v>
      </c>
      <c r="J54" s="7"/>
    </row>
    <row r="55" spans="1:10" x14ac:dyDescent="0.25">
      <c r="A55" s="42" t="s">
        <v>543</v>
      </c>
      <c r="B55" s="42" t="s">
        <v>104</v>
      </c>
      <c r="C55" s="42" t="s">
        <v>9</v>
      </c>
      <c r="D55" s="42">
        <v>32</v>
      </c>
      <c r="E55" s="42">
        <v>2015</v>
      </c>
      <c r="F55" s="42" t="s">
        <v>12</v>
      </c>
      <c r="G55" s="42" t="s">
        <v>13</v>
      </c>
      <c r="H55" s="42" t="str">
        <f>B55&amp;" "&amp;C55</f>
        <v>MathScript RT Module 15.0.0</v>
      </c>
      <c r="I55" s="36" t="s">
        <v>42</v>
      </c>
      <c r="J55" s="7"/>
    </row>
    <row r="56" spans="1:10" x14ac:dyDescent="0.25">
      <c r="A56" s="42" t="s">
        <v>543</v>
      </c>
      <c r="B56" s="42" t="s">
        <v>41</v>
      </c>
      <c r="C56" s="42" t="s">
        <v>479</v>
      </c>
      <c r="D56" s="42" t="s">
        <v>10</v>
      </c>
      <c r="E56" s="42" t="s">
        <v>130</v>
      </c>
      <c r="F56" s="42" t="s">
        <v>12</v>
      </c>
      <c r="G56" s="42" t="s">
        <v>13</v>
      </c>
      <c r="H56" s="42" t="s">
        <v>490</v>
      </c>
      <c r="I56" s="55" t="s">
        <v>477</v>
      </c>
      <c r="J56" s="7"/>
    </row>
    <row r="57" spans="1:10" x14ac:dyDescent="0.25">
      <c r="A57" s="42" t="s">
        <v>543</v>
      </c>
      <c r="B57" s="42" t="s">
        <v>43</v>
      </c>
      <c r="C57" s="42"/>
      <c r="D57" s="42">
        <v>32</v>
      </c>
      <c r="E57" s="42">
        <v>2010</v>
      </c>
      <c r="F57" s="42" t="s">
        <v>12</v>
      </c>
      <c r="G57" s="42" t="s">
        <v>13</v>
      </c>
      <c r="H57" s="42" t="str">
        <f>B57&amp;" "&amp;C57</f>
        <v xml:space="preserve">Measurement Studio </v>
      </c>
      <c r="I57" s="36" t="s">
        <v>42</v>
      </c>
      <c r="J57" s="7"/>
    </row>
    <row r="58" spans="1:10" x14ac:dyDescent="0.25">
      <c r="A58" s="42" t="s">
        <v>543</v>
      </c>
      <c r="B58" s="42" t="s">
        <v>116</v>
      </c>
      <c r="C58" s="42" t="s">
        <v>45</v>
      </c>
      <c r="D58" s="42">
        <v>32</v>
      </c>
      <c r="E58" s="42">
        <v>2015</v>
      </c>
      <c r="F58" s="42" t="s">
        <v>12</v>
      </c>
      <c r="G58" s="42" t="s">
        <v>13</v>
      </c>
      <c r="H58" s="42" t="str">
        <f>B58&amp;" "&amp;C58</f>
        <v>Measurement Studio Common 15.0.40.49154</v>
      </c>
      <c r="I58" s="36" t="s">
        <v>42</v>
      </c>
      <c r="J58" s="7"/>
    </row>
    <row r="59" spans="1:10" x14ac:dyDescent="0.25">
      <c r="A59" s="42" t="s">
        <v>543</v>
      </c>
      <c r="B59" s="42" t="s">
        <v>116</v>
      </c>
      <c r="C59" s="42" t="s">
        <v>45</v>
      </c>
      <c r="D59" s="42">
        <v>64</v>
      </c>
      <c r="E59" s="42">
        <v>2015</v>
      </c>
      <c r="F59" s="42" t="s">
        <v>12</v>
      </c>
      <c r="G59" s="42" t="s">
        <v>13</v>
      </c>
      <c r="H59" s="42" t="str">
        <f>B59&amp;" "&amp;C59</f>
        <v>Measurement Studio Common 15.0.40.49154</v>
      </c>
      <c r="I59" s="36" t="s">
        <v>42</v>
      </c>
      <c r="J59" s="7"/>
    </row>
    <row r="60" spans="1:10" x14ac:dyDescent="0.25">
      <c r="A60" s="42" t="s">
        <v>543</v>
      </c>
      <c r="B60" s="42" t="s">
        <v>115</v>
      </c>
      <c r="C60" s="42"/>
      <c r="D60" s="42">
        <v>32</v>
      </c>
      <c r="E60" s="42">
        <v>2010</v>
      </c>
      <c r="F60" s="42" t="s">
        <v>12</v>
      </c>
      <c r="G60" s="42" t="s">
        <v>13</v>
      </c>
      <c r="H60" s="42" t="str">
        <f>B60&amp;" "&amp;C60</f>
        <v xml:space="preserve">Measurement Studio DotNET </v>
      </c>
      <c r="I60" s="36" t="s">
        <v>42</v>
      </c>
      <c r="J60" s="7"/>
    </row>
    <row r="61" spans="1:10" x14ac:dyDescent="0.25">
      <c r="A61" s="42" t="s">
        <v>543</v>
      </c>
      <c r="B61" s="117" t="s">
        <v>251</v>
      </c>
      <c r="C61" s="118" t="s">
        <v>252</v>
      </c>
      <c r="D61" s="199" t="s">
        <v>10</v>
      </c>
      <c r="E61" s="199" t="s">
        <v>136</v>
      </c>
      <c r="F61" s="118" t="s">
        <v>12</v>
      </c>
      <c r="G61" s="118" t="s">
        <v>253</v>
      </c>
      <c r="H61" s="117" t="str">
        <f>B61&amp;" "&amp;C61</f>
        <v>MGI 1D Array 1.0.2.3</v>
      </c>
      <c r="I61" s="131" t="s">
        <v>202</v>
      </c>
      <c r="J61" s="7"/>
    </row>
    <row r="62" spans="1:10" x14ac:dyDescent="0.25">
      <c r="A62" s="42" t="s">
        <v>543</v>
      </c>
      <c r="B62" s="117" t="s">
        <v>254</v>
      </c>
      <c r="C62" s="118" t="s">
        <v>255</v>
      </c>
      <c r="D62" s="199" t="s">
        <v>10</v>
      </c>
      <c r="E62" s="199" t="s">
        <v>136</v>
      </c>
      <c r="F62" s="118" t="s">
        <v>12</v>
      </c>
      <c r="G62" s="118" t="s">
        <v>253</v>
      </c>
      <c r="H62" s="117" t="str">
        <f>B62&amp;" "&amp;C62</f>
        <v>MGI 2D Array 1.1.1.5</v>
      </c>
      <c r="I62" s="131" t="s">
        <v>202</v>
      </c>
      <c r="J62" s="7"/>
    </row>
    <row r="63" spans="1:10" x14ac:dyDescent="0.25">
      <c r="A63" s="42" t="s">
        <v>543</v>
      </c>
      <c r="B63" s="117" t="s">
        <v>256</v>
      </c>
      <c r="C63" s="118" t="s">
        <v>257</v>
      </c>
      <c r="D63" s="199" t="s">
        <v>10</v>
      </c>
      <c r="E63" s="199" t="s">
        <v>136</v>
      </c>
      <c r="F63" s="118" t="s">
        <v>12</v>
      </c>
      <c r="G63" s="118" t="s">
        <v>253</v>
      </c>
      <c r="H63" s="117" t="str">
        <f>B63&amp;" "&amp;C63</f>
        <v>MGI Actor Framework Message Maker 1.0.1.6</v>
      </c>
      <c r="I63" s="131" t="s">
        <v>202</v>
      </c>
      <c r="J63" s="7"/>
    </row>
    <row r="64" spans="1:10" x14ac:dyDescent="0.25">
      <c r="A64" s="42" t="s">
        <v>543</v>
      </c>
      <c r="B64" s="117" t="s">
        <v>258</v>
      </c>
      <c r="C64" s="118" t="s">
        <v>259</v>
      </c>
      <c r="D64" s="199" t="s">
        <v>10</v>
      </c>
      <c r="E64" s="199" t="s">
        <v>136</v>
      </c>
      <c r="F64" s="118" t="s">
        <v>12</v>
      </c>
      <c r="G64" s="118" t="s">
        <v>253</v>
      </c>
      <c r="H64" s="117" t="str">
        <f>B64&amp;" "&amp;C64</f>
        <v>MGI Application Control 1.1.1.10</v>
      </c>
      <c r="I64" s="131" t="s">
        <v>202</v>
      </c>
      <c r="J64" s="7"/>
    </row>
    <row r="65" spans="1:10" x14ac:dyDescent="0.25">
      <c r="A65" s="42" t="s">
        <v>543</v>
      </c>
      <c r="B65" s="117" t="s">
        <v>260</v>
      </c>
      <c r="C65" s="118" t="s">
        <v>261</v>
      </c>
      <c r="D65" s="199" t="s">
        <v>10</v>
      </c>
      <c r="E65" s="199" t="s">
        <v>136</v>
      </c>
      <c r="F65" s="118" t="s">
        <v>12</v>
      </c>
      <c r="G65" s="118" t="s">
        <v>253</v>
      </c>
      <c r="H65" s="117" t="str">
        <f>B65&amp;" "&amp;C65</f>
        <v>MGI Bezier 1.1.1.2</v>
      </c>
      <c r="I65" s="131" t="s">
        <v>202</v>
      </c>
      <c r="J65" s="7"/>
    </row>
    <row r="66" spans="1:10" x14ac:dyDescent="0.25">
      <c r="A66" s="42" t="s">
        <v>543</v>
      </c>
      <c r="B66" s="117" t="s">
        <v>262</v>
      </c>
      <c r="C66" s="118" t="s">
        <v>263</v>
      </c>
      <c r="D66" s="199" t="s">
        <v>10</v>
      </c>
      <c r="E66" s="199" t="s">
        <v>136</v>
      </c>
      <c r="F66" s="118" t="s">
        <v>12</v>
      </c>
      <c r="G66" s="118" t="s">
        <v>253</v>
      </c>
      <c r="H66" s="117" t="str">
        <f>B66&amp;" "&amp;C66</f>
        <v>MGI Boolean 1.0.1.3</v>
      </c>
      <c r="I66" s="131" t="s">
        <v>202</v>
      </c>
      <c r="J66" s="7"/>
    </row>
    <row r="67" spans="1:10" x14ac:dyDescent="0.25">
      <c r="A67" s="42" t="s">
        <v>543</v>
      </c>
      <c r="B67" s="117" t="s">
        <v>264</v>
      </c>
      <c r="C67" s="118" t="s">
        <v>265</v>
      </c>
      <c r="D67" s="199" t="s">
        <v>10</v>
      </c>
      <c r="E67" s="199" t="s">
        <v>136</v>
      </c>
      <c r="F67" s="118" t="s">
        <v>12</v>
      </c>
      <c r="G67" s="118" t="s">
        <v>253</v>
      </c>
      <c r="H67" s="117" t="str">
        <f>B67&amp;" "&amp;C67</f>
        <v>MGI Class Method Browser 1.0.0.20</v>
      </c>
      <c r="I67" s="131" t="s">
        <v>202</v>
      </c>
      <c r="J67" s="7"/>
    </row>
    <row r="68" spans="1:10" x14ac:dyDescent="0.25">
      <c r="A68" s="42" t="s">
        <v>543</v>
      </c>
      <c r="B68" s="117" t="s">
        <v>266</v>
      </c>
      <c r="C68" s="118" t="s">
        <v>267</v>
      </c>
      <c r="D68" s="199" t="s">
        <v>10</v>
      </c>
      <c r="E68" s="199" t="s">
        <v>136</v>
      </c>
      <c r="F68" s="118" t="s">
        <v>12</v>
      </c>
      <c r="G68" s="118" t="s">
        <v>253</v>
      </c>
      <c r="H68" s="117" t="str">
        <f>B68&amp;" "&amp;C68</f>
        <v>MGI Cluster 1.1.0.1</v>
      </c>
      <c r="I68" s="131" t="s">
        <v>202</v>
      </c>
      <c r="J68" s="7"/>
    </row>
    <row r="69" spans="1:10" x14ac:dyDescent="0.25">
      <c r="A69" s="42" t="s">
        <v>543</v>
      </c>
      <c r="B69" s="117" t="s">
        <v>268</v>
      </c>
      <c r="C69" s="118" t="s">
        <v>261</v>
      </c>
      <c r="D69" s="199" t="s">
        <v>10</v>
      </c>
      <c r="E69" s="199" t="s">
        <v>136</v>
      </c>
      <c r="F69" s="118" t="s">
        <v>12</v>
      </c>
      <c r="G69" s="118" t="s">
        <v>253</v>
      </c>
      <c r="H69" s="117" t="str">
        <f>B69&amp;" "&amp;C69</f>
        <v>MGI Coordinates 1.1.1.2</v>
      </c>
      <c r="I69" s="131" t="s">
        <v>202</v>
      </c>
      <c r="J69" s="7"/>
    </row>
    <row r="70" spans="1:10" x14ac:dyDescent="0.25">
      <c r="A70" s="42" t="s">
        <v>543</v>
      </c>
      <c r="B70" s="117" t="s">
        <v>269</v>
      </c>
      <c r="C70" s="118" t="s">
        <v>270</v>
      </c>
      <c r="D70" s="199" t="s">
        <v>10</v>
      </c>
      <c r="E70" s="199" t="s">
        <v>136</v>
      </c>
      <c r="F70" s="118" t="s">
        <v>12</v>
      </c>
      <c r="G70" s="118" t="s">
        <v>253</v>
      </c>
      <c r="H70" s="117" t="str">
        <f>B70&amp;" "&amp;C70</f>
        <v>MGI Error Handling 1.1.1.3</v>
      </c>
      <c r="I70" s="131" t="s">
        <v>202</v>
      </c>
      <c r="J70" s="7"/>
    </row>
    <row r="71" spans="1:10" x14ac:dyDescent="0.25">
      <c r="A71" s="42" t="s">
        <v>543</v>
      </c>
      <c r="B71" s="117" t="s">
        <v>271</v>
      </c>
      <c r="C71" s="118" t="s">
        <v>272</v>
      </c>
      <c r="D71" s="199" t="s">
        <v>10</v>
      </c>
      <c r="E71" s="199" t="s">
        <v>136</v>
      </c>
      <c r="F71" s="118" t="s">
        <v>12</v>
      </c>
      <c r="G71" s="118" t="s">
        <v>253</v>
      </c>
      <c r="H71" s="117" t="str">
        <f>B71&amp;" "&amp;C71</f>
        <v>MGI Error Reporter 1.0.2.5</v>
      </c>
      <c r="I71" s="131" t="s">
        <v>202</v>
      </c>
      <c r="J71" s="7"/>
    </row>
    <row r="72" spans="1:10" x14ac:dyDescent="0.25">
      <c r="A72" s="42" t="s">
        <v>543</v>
      </c>
      <c r="B72" s="117" t="s">
        <v>273</v>
      </c>
      <c r="C72" s="118" t="s">
        <v>274</v>
      </c>
      <c r="D72" s="199" t="s">
        <v>10</v>
      </c>
      <c r="E72" s="199" t="s">
        <v>136</v>
      </c>
      <c r="F72" s="118" t="s">
        <v>12</v>
      </c>
      <c r="G72" s="118" t="s">
        <v>253</v>
      </c>
      <c r="H72" s="117" t="str">
        <f>B72&amp;" "&amp;C72</f>
        <v>MGI File 1.1.0.4</v>
      </c>
      <c r="I72" s="131" t="s">
        <v>202</v>
      </c>
      <c r="J72" s="7"/>
    </row>
    <row r="73" spans="1:10" x14ac:dyDescent="0.25">
      <c r="A73" s="42" t="s">
        <v>543</v>
      </c>
      <c r="B73" s="117" t="s">
        <v>275</v>
      </c>
      <c r="C73" s="118" t="s">
        <v>276</v>
      </c>
      <c r="D73" s="199" t="s">
        <v>10</v>
      </c>
      <c r="E73" s="199" t="s">
        <v>136</v>
      </c>
      <c r="F73" s="118" t="s">
        <v>12</v>
      </c>
      <c r="G73" s="118" t="s">
        <v>253</v>
      </c>
      <c r="H73" s="117" t="str">
        <f>B73&amp;" "&amp;C73</f>
        <v>MGI Graph 1.0.2.6</v>
      </c>
      <c r="I73" s="131" t="s">
        <v>202</v>
      </c>
      <c r="J73" s="7"/>
    </row>
    <row r="74" spans="1:10" x14ac:dyDescent="0.25">
      <c r="A74" s="42" t="s">
        <v>543</v>
      </c>
      <c r="B74" s="117" t="s">
        <v>277</v>
      </c>
      <c r="C74" s="118" t="s">
        <v>278</v>
      </c>
      <c r="D74" s="199" t="s">
        <v>10</v>
      </c>
      <c r="E74" s="199" t="s">
        <v>136</v>
      </c>
      <c r="F74" s="118" t="s">
        <v>12</v>
      </c>
      <c r="G74" s="118" t="s">
        <v>253</v>
      </c>
      <c r="H74" s="117" t="str">
        <f>B74&amp;" "&amp;C74</f>
        <v>MGI Library 1.2.0.4</v>
      </c>
      <c r="I74" s="131" t="s">
        <v>202</v>
      </c>
      <c r="J74" s="7"/>
    </row>
    <row r="75" spans="1:10" x14ac:dyDescent="0.25">
      <c r="A75" s="42" t="s">
        <v>543</v>
      </c>
      <c r="B75" s="117" t="s">
        <v>279</v>
      </c>
      <c r="C75" s="118" t="s">
        <v>267</v>
      </c>
      <c r="D75" s="199" t="s">
        <v>10</v>
      </c>
      <c r="E75" s="199" t="s">
        <v>136</v>
      </c>
      <c r="F75" s="118" t="s">
        <v>12</v>
      </c>
      <c r="G75" s="118" t="s">
        <v>253</v>
      </c>
      <c r="H75" s="117" t="str">
        <f>B75&amp;" "&amp;C75</f>
        <v>MGI Matrix &amp; Vector 1.1.0.1</v>
      </c>
      <c r="I75" s="131" t="s">
        <v>202</v>
      </c>
      <c r="J75" s="7"/>
    </row>
    <row r="76" spans="1:10" x14ac:dyDescent="0.25">
      <c r="A76" s="42" t="s">
        <v>543</v>
      </c>
      <c r="B76" s="117" t="s">
        <v>280</v>
      </c>
      <c r="C76" s="118" t="s">
        <v>281</v>
      </c>
      <c r="D76" s="199" t="s">
        <v>10</v>
      </c>
      <c r="E76" s="199" t="s">
        <v>136</v>
      </c>
      <c r="F76" s="118" t="s">
        <v>12</v>
      </c>
      <c r="G76" s="118" t="s">
        <v>253</v>
      </c>
      <c r="H76" s="117" t="str">
        <f>B76&amp;" "&amp;C76</f>
        <v>MGI Menu Building 1.0.1.4</v>
      </c>
      <c r="I76" s="131" t="s">
        <v>202</v>
      </c>
      <c r="J76" s="7"/>
    </row>
    <row r="77" spans="1:10" x14ac:dyDescent="0.25">
      <c r="A77" s="42" t="s">
        <v>543</v>
      </c>
      <c r="B77" s="117" t="s">
        <v>282</v>
      </c>
      <c r="C77" s="118" t="s">
        <v>283</v>
      </c>
      <c r="D77" s="199" t="s">
        <v>10</v>
      </c>
      <c r="E77" s="199" t="s">
        <v>136</v>
      </c>
      <c r="F77" s="118" t="s">
        <v>12</v>
      </c>
      <c r="G77" s="118" t="s">
        <v>253</v>
      </c>
      <c r="H77" s="117" t="str">
        <f>B77&amp;" "&amp;C77</f>
        <v>MGI Monitored Actor 2.0.0.23</v>
      </c>
      <c r="I77" s="131" t="s">
        <v>202</v>
      </c>
      <c r="J77" s="7"/>
    </row>
    <row r="78" spans="1:10" x14ac:dyDescent="0.25">
      <c r="A78" s="42" t="s">
        <v>543</v>
      </c>
      <c r="B78" s="117" t="s">
        <v>284</v>
      </c>
      <c r="C78" s="118" t="s">
        <v>285</v>
      </c>
      <c r="D78" s="199" t="s">
        <v>10</v>
      </c>
      <c r="E78" s="199" t="s">
        <v>136</v>
      </c>
      <c r="F78" s="118" t="s">
        <v>12</v>
      </c>
      <c r="G78" s="118" t="s">
        <v>253</v>
      </c>
      <c r="H78" s="117" t="str">
        <f>B78&amp;" "&amp;C78</f>
        <v>MGI Numeric 1.1.0.2</v>
      </c>
      <c r="I78" s="131" t="s">
        <v>202</v>
      </c>
      <c r="J78" s="7"/>
    </row>
    <row r="79" spans="1:10" x14ac:dyDescent="0.25">
      <c r="A79" s="42" t="s">
        <v>543</v>
      </c>
      <c r="B79" s="117" t="s">
        <v>286</v>
      </c>
      <c r="C79" s="118" t="s">
        <v>281</v>
      </c>
      <c r="D79" s="199" t="s">
        <v>10</v>
      </c>
      <c r="E79" s="199" t="s">
        <v>136</v>
      </c>
      <c r="F79" s="118" t="s">
        <v>12</v>
      </c>
      <c r="G79" s="118" t="s">
        <v>253</v>
      </c>
      <c r="H79" s="117" t="str">
        <f>B79&amp;" "&amp;C79</f>
        <v>MGI Panel Manager 1.0.1.4</v>
      </c>
      <c r="I79" s="131" t="s">
        <v>202</v>
      </c>
      <c r="J79" s="7"/>
    </row>
    <row r="80" spans="1:10" x14ac:dyDescent="0.25">
      <c r="A80" s="42" t="s">
        <v>543</v>
      </c>
      <c r="B80" s="117" t="s">
        <v>287</v>
      </c>
      <c r="C80" s="118" t="s">
        <v>257</v>
      </c>
      <c r="D80" s="199" t="s">
        <v>10</v>
      </c>
      <c r="E80" s="199" t="s">
        <v>136</v>
      </c>
      <c r="F80" s="118" t="s">
        <v>12</v>
      </c>
      <c r="G80" s="118" t="s">
        <v>253</v>
      </c>
      <c r="H80" s="117" t="str">
        <f>B80&amp;" "&amp;C80</f>
        <v>MGI Panel Manager - DQMH Panels 1.0.1.6</v>
      </c>
      <c r="I80" s="131" t="s">
        <v>202</v>
      </c>
      <c r="J80" s="7"/>
    </row>
    <row r="81" spans="1:10" x14ac:dyDescent="0.25">
      <c r="A81" s="42" t="s">
        <v>543</v>
      </c>
      <c r="B81" s="117" t="s">
        <v>288</v>
      </c>
      <c r="C81" s="118" t="s">
        <v>289</v>
      </c>
      <c r="D81" s="199" t="s">
        <v>10</v>
      </c>
      <c r="E81" s="199" t="s">
        <v>136</v>
      </c>
      <c r="F81" s="118" t="s">
        <v>12</v>
      </c>
      <c r="G81" s="118" t="s">
        <v>253</v>
      </c>
      <c r="H81" s="117" t="str">
        <f>B81&amp;" "&amp;C81</f>
        <v>MGI Picture &amp; Image 1.0.2.1</v>
      </c>
      <c r="I81" s="131" t="s">
        <v>202</v>
      </c>
      <c r="J81" s="7"/>
    </row>
    <row r="82" spans="1:10" x14ac:dyDescent="0.25">
      <c r="A82" s="42" t="s">
        <v>543</v>
      </c>
      <c r="B82" s="117" t="s">
        <v>290</v>
      </c>
      <c r="C82" s="118" t="s">
        <v>291</v>
      </c>
      <c r="D82" s="199" t="s">
        <v>10</v>
      </c>
      <c r="E82" s="199" t="s">
        <v>136</v>
      </c>
      <c r="F82" s="118" t="s">
        <v>12</v>
      </c>
      <c r="G82" s="118" t="s">
        <v>253</v>
      </c>
      <c r="H82" s="117" t="str">
        <f>B82&amp;" "&amp;C82</f>
        <v>MGI Read/Write Anything 2.1.4.4</v>
      </c>
      <c r="I82" s="131" t="s">
        <v>202</v>
      </c>
      <c r="J82" s="7"/>
    </row>
    <row r="83" spans="1:10" x14ac:dyDescent="0.25">
      <c r="A83" s="42" t="s">
        <v>543</v>
      </c>
      <c r="B83" s="117" t="s">
        <v>292</v>
      </c>
      <c r="C83" s="118" t="s">
        <v>293</v>
      </c>
      <c r="D83" s="199" t="s">
        <v>10</v>
      </c>
      <c r="E83" s="199" t="s">
        <v>136</v>
      </c>
      <c r="F83" s="118" t="s">
        <v>12</v>
      </c>
      <c r="G83" s="118" t="s">
        <v>253</v>
      </c>
      <c r="H83" s="117" t="str">
        <f>B83&amp;" "&amp;C83</f>
        <v>MGI Robust XML 1.0.3.4</v>
      </c>
      <c r="I83" s="131" t="s">
        <v>202</v>
      </c>
      <c r="J83" s="7"/>
    </row>
    <row r="84" spans="1:10" x14ac:dyDescent="0.25">
      <c r="A84" s="42" t="s">
        <v>543</v>
      </c>
      <c r="B84" s="117" t="s">
        <v>294</v>
      </c>
      <c r="C84" s="118" t="s">
        <v>267</v>
      </c>
      <c r="D84" s="199" t="s">
        <v>10</v>
      </c>
      <c r="E84" s="199" t="s">
        <v>136</v>
      </c>
      <c r="F84" s="118" t="s">
        <v>12</v>
      </c>
      <c r="G84" s="118" t="s">
        <v>253</v>
      </c>
      <c r="H84" s="117" t="str">
        <f>B84&amp;" "&amp;C84</f>
        <v>MGI Spline 1.1.0.1</v>
      </c>
      <c r="I84" s="131" t="s">
        <v>202</v>
      </c>
      <c r="J84" s="7"/>
    </row>
    <row r="85" spans="1:10" x14ac:dyDescent="0.25">
      <c r="A85" s="42" t="s">
        <v>543</v>
      </c>
      <c r="B85" s="117" t="s">
        <v>295</v>
      </c>
      <c r="C85" s="118" t="s">
        <v>255</v>
      </c>
      <c r="D85" s="199" t="s">
        <v>10</v>
      </c>
      <c r="E85" s="199" t="s">
        <v>136</v>
      </c>
      <c r="F85" s="118" t="s">
        <v>12</v>
      </c>
      <c r="G85" s="118" t="s">
        <v>253</v>
      </c>
      <c r="H85" s="117" t="str">
        <f>B85&amp;" "&amp;C85</f>
        <v>MGI String 1.1.1.5</v>
      </c>
      <c r="I85" s="131" t="s">
        <v>202</v>
      </c>
      <c r="J85" s="7"/>
    </row>
    <row r="86" spans="1:10" x14ac:dyDescent="0.25">
      <c r="A86" s="42" t="s">
        <v>543</v>
      </c>
      <c r="B86" s="117" t="s">
        <v>296</v>
      </c>
      <c r="C86" s="118" t="s">
        <v>285</v>
      </c>
      <c r="D86" s="199" t="s">
        <v>10</v>
      </c>
      <c r="E86" s="199" t="s">
        <v>136</v>
      </c>
      <c r="F86" s="118" t="s">
        <v>12</v>
      </c>
      <c r="G86" s="118" t="s">
        <v>253</v>
      </c>
      <c r="H86" s="117" t="str">
        <f>B86&amp;" "&amp;C86</f>
        <v>MGI Timing 1.1.0.2</v>
      </c>
      <c r="I86" s="131" t="s">
        <v>202</v>
      </c>
      <c r="J86" s="7"/>
    </row>
    <row r="87" spans="1:10" x14ac:dyDescent="0.25">
      <c r="A87" s="42" t="s">
        <v>543</v>
      </c>
      <c r="B87" s="117" t="s">
        <v>297</v>
      </c>
      <c r="C87" s="118" t="s">
        <v>298</v>
      </c>
      <c r="D87" s="199" t="s">
        <v>10</v>
      </c>
      <c r="E87" s="199" t="s">
        <v>136</v>
      </c>
      <c r="F87" s="118" t="s">
        <v>12</v>
      </c>
      <c r="G87" s="118" t="s">
        <v>253</v>
      </c>
      <c r="H87" s="117" t="str">
        <f>B87&amp;" "&amp;C87</f>
        <v>MGI Tools 1.0.0.4</v>
      </c>
      <c r="I87" s="131" t="s">
        <v>202</v>
      </c>
      <c r="J87" s="7"/>
    </row>
    <row r="88" spans="1:10" x14ac:dyDescent="0.25">
      <c r="A88" s="42" t="s">
        <v>543</v>
      </c>
      <c r="B88" s="117" t="s">
        <v>299</v>
      </c>
      <c r="C88" s="118" t="s">
        <v>300</v>
      </c>
      <c r="D88" s="199" t="s">
        <v>10</v>
      </c>
      <c r="E88" s="199" t="s">
        <v>136</v>
      </c>
      <c r="F88" s="118" t="s">
        <v>12</v>
      </c>
      <c r="G88" s="118" t="s">
        <v>253</v>
      </c>
      <c r="H88" s="117" t="str">
        <f>B88&amp;" "&amp;C88</f>
        <v>MGI Tree 1.0.4.4</v>
      </c>
      <c r="I88" s="131" t="s">
        <v>202</v>
      </c>
      <c r="J88" s="7"/>
    </row>
    <row r="89" spans="1:10" x14ac:dyDescent="0.25">
      <c r="A89" s="42" t="s">
        <v>543</v>
      </c>
      <c r="B89" s="117" t="s">
        <v>301</v>
      </c>
      <c r="C89" s="118" t="s">
        <v>302</v>
      </c>
      <c r="D89" s="199" t="s">
        <v>10</v>
      </c>
      <c r="E89" s="199" t="s">
        <v>136</v>
      </c>
      <c r="F89" s="118" t="s">
        <v>12</v>
      </c>
      <c r="G89" s="118" t="s">
        <v>253</v>
      </c>
      <c r="H89" s="117" t="str">
        <f>B89&amp;" "&amp;C89</f>
        <v>MGI User Interface 1.0.1.11</v>
      </c>
      <c r="I89" s="131" t="s">
        <v>202</v>
      </c>
      <c r="J89" s="7"/>
    </row>
    <row r="90" spans="1:10" x14ac:dyDescent="0.25">
      <c r="A90" s="42" t="s">
        <v>543</v>
      </c>
      <c r="B90" s="117" t="s">
        <v>303</v>
      </c>
      <c r="C90" s="118" t="s">
        <v>304</v>
      </c>
      <c r="D90" s="199" t="s">
        <v>10</v>
      </c>
      <c r="E90" s="199" t="s">
        <v>136</v>
      </c>
      <c r="F90" s="118" t="s">
        <v>12</v>
      </c>
      <c r="G90" s="118" t="s">
        <v>253</v>
      </c>
      <c r="H90" s="117" t="str">
        <f>B90&amp;" "&amp;C90</f>
        <v>MGI WSA Framework 1.0.0.27</v>
      </c>
      <c r="I90" s="131" t="s">
        <v>202</v>
      </c>
      <c r="J90" s="7"/>
    </row>
    <row r="91" spans="1:10" x14ac:dyDescent="0.25">
      <c r="A91" s="42" t="s">
        <v>543</v>
      </c>
      <c r="B91" s="42" t="s">
        <v>398</v>
      </c>
      <c r="C91" s="42" t="s">
        <v>30</v>
      </c>
      <c r="D91" s="42">
        <v>32</v>
      </c>
      <c r="E91" s="42">
        <v>2015</v>
      </c>
      <c r="F91" s="42" t="s">
        <v>12</v>
      </c>
      <c r="G91" s="42" t="s">
        <v>13</v>
      </c>
      <c r="H91" s="42" t="str">
        <f>B91&amp;" "&amp;C91</f>
        <v>NI 1588-2008 Network Management 15.0.0 15.0.0f0</v>
      </c>
      <c r="I91" s="36" t="s">
        <v>42</v>
      </c>
      <c r="J91" s="7"/>
    </row>
    <row r="92" spans="1:10" x14ac:dyDescent="0.25">
      <c r="A92" s="42" t="s">
        <v>543</v>
      </c>
      <c r="B92" s="117" t="s">
        <v>305</v>
      </c>
      <c r="C92" s="118" t="s">
        <v>306</v>
      </c>
      <c r="D92" s="199" t="s">
        <v>10</v>
      </c>
      <c r="E92" s="199" t="s">
        <v>136</v>
      </c>
      <c r="F92" s="118" t="s">
        <v>12</v>
      </c>
      <c r="G92" s="118" t="s">
        <v>13</v>
      </c>
      <c r="H92" s="117" t="s">
        <v>538</v>
      </c>
      <c r="I92" s="131" t="s">
        <v>202</v>
      </c>
      <c r="J92" s="7"/>
    </row>
    <row r="93" spans="1:10" x14ac:dyDescent="0.25">
      <c r="A93" s="42" t="s">
        <v>543</v>
      </c>
      <c r="B93" s="117" t="s">
        <v>165</v>
      </c>
      <c r="C93" s="118" t="s">
        <v>166</v>
      </c>
      <c r="D93" s="199" t="s">
        <v>10</v>
      </c>
      <c r="E93" s="199" t="s">
        <v>11</v>
      </c>
      <c r="F93" s="118" t="s">
        <v>12</v>
      </c>
      <c r="G93" s="118" t="s">
        <v>13</v>
      </c>
      <c r="H93" s="117" t="s">
        <v>539</v>
      </c>
      <c r="I93" s="131" t="s">
        <v>202</v>
      </c>
      <c r="J93" s="7"/>
    </row>
    <row r="94" spans="1:10" x14ac:dyDescent="0.25">
      <c r="A94" s="42" t="s">
        <v>543</v>
      </c>
      <c r="B94" s="117" t="s">
        <v>307</v>
      </c>
      <c r="C94" s="118" t="s">
        <v>308</v>
      </c>
      <c r="D94" s="199" t="s">
        <v>10</v>
      </c>
      <c r="E94" s="199" t="s">
        <v>136</v>
      </c>
      <c r="F94" s="118" t="s">
        <v>12</v>
      </c>
      <c r="G94" s="118" t="s">
        <v>13</v>
      </c>
      <c r="H94" s="117" t="str">
        <f>B94&amp;" "&amp;C94</f>
        <v>NI GXML 1.4.2.8</v>
      </c>
      <c r="I94" s="131" t="s">
        <v>202</v>
      </c>
      <c r="J94" s="7"/>
    </row>
    <row r="95" spans="1:10" x14ac:dyDescent="0.25">
      <c r="A95" s="42" t="s">
        <v>543</v>
      </c>
      <c r="B95" s="199" t="s">
        <v>309</v>
      </c>
      <c r="C95" s="199" t="s">
        <v>310</v>
      </c>
      <c r="D95" s="199" t="s">
        <v>10</v>
      </c>
      <c r="E95" s="199" t="s">
        <v>136</v>
      </c>
      <c r="F95" s="118" t="s">
        <v>12</v>
      </c>
      <c r="G95" s="118" t="s">
        <v>13</v>
      </c>
      <c r="H95" s="117" t="str">
        <f>B95&amp;" "&amp;C95</f>
        <v>NI Keyed Array Library 2.0.0.11</v>
      </c>
      <c r="I95" s="131" t="s">
        <v>202</v>
      </c>
      <c r="J95" s="7"/>
    </row>
    <row r="96" spans="1:10" x14ac:dyDescent="0.25">
      <c r="A96" s="42" t="s">
        <v>543</v>
      </c>
      <c r="B96" s="42" t="s">
        <v>29</v>
      </c>
      <c r="C96" s="42" t="s">
        <v>430</v>
      </c>
      <c r="D96" s="42">
        <v>32</v>
      </c>
      <c r="E96" s="42">
        <v>2019</v>
      </c>
      <c r="F96" s="42" t="s">
        <v>12</v>
      </c>
      <c r="G96" s="42" t="s">
        <v>13</v>
      </c>
      <c r="H96" s="42" t="str">
        <f>B96&amp;" "&amp;C96</f>
        <v>NI I/O Trace 19.0.0f0</v>
      </c>
      <c r="I96" s="36" t="s">
        <v>42</v>
      </c>
      <c r="J96" s="7"/>
    </row>
    <row r="97" spans="1:10" x14ac:dyDescent="0.25">
      <c r="A97" s="42" t="s">
        <v>543</v>
      </c>
      <c r="B97" s="117" t="s">
        <v>311</v>
      </c>
      <c r="C97" s="118" t="s">
        <v>312</v>
      </c>
      <c r="D97" s="199" t="s">
        <v>10</v>
      </c>
      <c r="E97" s="199" t="s">
        <v>136</v>
      </c>
      <c r="F97" s="118" t="s">
        <v>12</v>
      </c>
      <c r="G97" s="118" t="s">
        <v>13</v>
      </c>
      <c r="H97" s="117" t="str">
        <f>B97&amp;" "&amp;C97</f>
        <v>NI Modbus Library 1.2.1.42</v>
      </c>
      <c r="I97" s="131" t="s">
        <v>202</v>
      </c>
      <c r="J97" s="7"/>
    </row>
    <row r="98" spans="1:10" x14ac:dyDescent="0.25">
      <c r="A98" s="42" t="s">
        <v>543</v>
      </c>
      <c r="B98" s="199" t="s">
        <v>159</v>
      </c>
      <c r="C98" s="199" t="s">
        <v>160</v>
      </c>
      <c r="D98" s="199" t="s">
        <v>10</v>
      </c>
      <c r="E98" s="199" t="s">
        <v>136</v>
      </c>
      <c r="F98" s="118" t="s">
        <v>12</v>
      </c>
      <c r="G98" s="118" t="s">
        <v>13</v>
      </c>
      <c r="H98" s="117" t="str">
        <f>B98&amp;" "&amp;C98</f>
        <v>NI String Tools Library 2.0.0.5</v>
      </c>
      <c r="I98" s="131" t="s">
        <v>202</v>
      </c>
      <c r="J98" s="7"/>
    </row>
    <row r="99" spans="1:10" x14ac:dyDescent="0.25">
      <c r="A99" s="42" t="s">
        <v>543</v>
      </c>
      <c r="B99" s="42" t="s">
        <v>140</v>
      </c>
      <c r="C99" s="42" t="s">
        <v>53</v>
      </c>
      <c r="D99" s="42">
        <v>32</v>
      </c>
      <c r="E99" s="42">
        <v>2015</v>
      </c>
      <c r="F99" s="42" t="s">
        <v>24</v>
      </c>
      <c r="G99" s="42" t="s">
        <v>13</v>
      </c>
      <c r="H99" s="42" t="str">
        <f>B99&amp;" "&amp;C99</f>
        <v>NI PXI Platform Services 15.0.0f1</v>
      </c>
      <c r="I99" s="36" t="s">
        <v>42</v>
      </c>
      <c r="J99" s="7"/>
    </row>
    <row r="100" spans="1:10" x14ac:dyDescent="0.25">
      <c r="A100" s="42" t="s">
        <v>543</v>
      </c>
      <c r="B100" s="42" t="s">
        <v>52</v>
      </c>
      <c r="C100" s="42" t="s">
        <v>479</v>
      </c>
      <c r="D100" s="42" t="s">
        <v>10</v>
      </c>
      <c r="E100" s="42" t="s">
        <v>130</v>
      </c>
      <c r="F100" s="42" t="s">
        <v>12</v>
      </c>
      <c r="G100" s="42" t="s">
        <v>13</v>
      </c>
      <c r="H100" s="42" t="str">
        <f>B100&amp;" "&amp;C100</f>
        <v>NI PXI Platform Services Configuration 18.0.0f0</v>
      </c>
      <c r="I100" s="55" t="s">
        <v>477</v>
      </c>
      <c r="J100" s="7"/>
    </row>
    <row r="101" spans="1:10" x14ac:dyDescent="0.25">
      <c r="A101" s="42" t="s">
        <v>543</v>
      </c>
      <c r="B101" s="42" t="s">
        <v>55</v>
      </c>
      <c r="C101" s="42" t="s">
        <v>9</v>
      </c>
      <c r="D101" s="42">
        <v>32</v>
      </c>
      <c r="E101" s="42">
        <v>2015</v>
      </c>
      <c r="F101" s="42" t="s">
        <v>12</v>
      </c>
      <c r="G101" s="42" t="s">
        <v>13</v>
      </c>
      <c r="H101" s="42" t="str">
        <f>B101&amp;" "&amp;C101</f>
        <v>NI R Series Multifunction RIO 15.0.0</v>
      </c>
      <c r="I101" s="36" t="s">
        <v>42</v>
      </c>
      <c r="J101" s="7"/>
    </row>
    <row r="102" spans="1:10" x14ac:dyDescent="0.25">
      <c r="A102" s="42" t="s">
        <v>543</v>
      </c>
      <c r="B102" s="42" t="s">
        <v>20</v>
      </c>
      <c r="C102" s="43" t="s">
        <v>118</v>
      </c>
      <c r="D102" s="42">
        <v>32</v>
      </c>
      <c r="E102" s="42">
        <v>2014</v>
      </c>
      <c r="F102" s="42" t="s">
        <v>12</v>
      </c>
      <c r="G102" s="42" t="s">
        <v>13</v>
      </c>
      <c r="H102" s="42" t="str">
        <f>B102&amp;" "&amp;C102</f>
        <v>NI Script Editor 14.0</v>
      </c>
      <c r="I102" s="36" t="s">
        <v>42</v>
      </c>
      <c r="J102" s="7"/>
    </row>
    <row r="103" spans="1:10" x14ac:dyDescent="0.25">
      <c r="A103" s="42" t="s">
        <v>543</v>
      </c>
      <c r="B103" s="42" t="s">
        <v>65</v>
      </c>
      <c r="C103" s="43" t="s">
        <v>102</v>
      </c>
      <c r="D103" s="42">
        <v>32</v>
      </c>
      <c r="E103" s="42">
        <v>2015</v>
      </c>
      <c r="F103" s="42" t="s">
        <v>12</v>
      </c>
      <c r="G103" s="42" t="s">
        <v>13</v>
      </c>
      <c r="H103" s="42" t="str">
        <f>B103&amp;" "&amp;C103</f>
        <v>NI SignalExpress 15.0</v>
      </c>
      <c r="I103" s="36" t="s">
        <v>42</v>
      </c>
      <c r="J103" s="7"/>
    </row>
    <row r="104" spans="1:10" x14ac:dyDescent="0.25">
      <c r="A104" s="42" t="s">
        <v>543</v>
      </c>
      <c r="B104" s="42" t="s">
        <v>68</v>
      </c>
      <c r="C104" s="42" t="s">
        <v>430</v>
      </c>
      <c r="D104" s="42">
        <v>32</v>
      </c>
      <c r="E104" s="42">
        <v>2019</v>
      </c>
      <c r="F104" s="42" t="s">
        <v>12</v>
      </c>
      <c r="G104" s="42" t="s">
        <v>13</v>
      </c>
      <c r="H104" s="42" t="str">
        <f>B104&amp;" "&amp;C104</f>
        <v>NI System Configuration 19.0.0f0</v>
      </c>
      <c r="I104" s="39" t="s">
        <v>424</v>
      </c>
      <c r="J104" s="7"/>
    </row>
    <row r="105" spans="1:10" x14ac:dyDescent="0.25">
      <c r="A105" s="42" t="s">
        <v>543</v>
      </c>
      <c r="B105" s="42" t="s">
        <v>28</v>
      </c>
      <c r="C105" s="42" t="s">
        <v>135</v>
      </c>
      <c r="D105" s="42">
        <v>32</v>
      </c>
      <c r="E105" s="42">
        <v>2019</v>
      </c>
      <c r="F105" s="42" t="s">
        <v>24</v>
      </c>
      <c r="G105" s="42" t="s">
        <v>13</v>
      </c>
      <c r="H105" s="42" t="str">
        <f>B105&amp;" "&amp;C105</f>
        <v>NI-488.2 19.0.0</v>
      </c>
      <c r="I105" s="39" t="s">
        <v>424</v>
      </c>
      <c r="J105" s="7"/>
    </row>
    <row r="106" spans="1:10" x14ac:dyDescent="0.25">
      <c r="A106" s="42" t="s">
        <v>543</v>
      </c>
      <c r="B106" s="42" t="s">
        <v>28</v>
      </c>
      <c r="C106" s="42" t="s">
        <v>9</v>
      </c>
      <c r="D106" s="42">
        <v>32</v>
      </c>
      <c r="E106" s="42">
        <v>2015</v>
      </c>
      <c r="F106" s="42" t="s">
        <v>12</v>
      </c>
      <c r="G106" s="42" t="s">
        <v>13</v>
      </c>
      <c r="H106" s="42" t="str">
        <f>B106&amp;" "&amp;C106</f>
        <v>NI-488.2 15.0.0</v>
      </c>
      <c r="I106" s="36" t="s">
        <v>42</v>
      </c>
      <c r="J106" s="7"/>
    </row>
    <row r="107" spans="1:10" x14ac:dyDescent="0.25">
      <c r="A107" s="42" t="s">
        <v>543</v>
      </c>
      <c r="B107" s="117" t="s">
        <v>363</v>
      </c>
      <c r="C107" s="118" t="s">
        <v>30</v>
      </c>
      <c r="D107" s="118" t="s">
        <v>10</v>
      </c>
      <c r="E107" s="118">
        <v>2015</v>
      </c>
      <c r="F107" s="118" t="s">
        <v>12</v>
      </c>
      <c r="G107" s="118" t="s">
        <v>13</v>
      </c>
      <c r="H107" s="117" t="str">
        <f>B107&amp;" "&amp;C107</f>
        <v>NI-CAN 15.0.0f0</v>
      </c>
      <c r="I107" s="133" t="s">
        <v>545</v>
      </c>
      <c r="J107" s="7"/>
    </row>
    <row r="108" spans="1:10" x14ac:dyDescent="0.25">
      <c r="A108" s="42" t="s">
        <v>543</v>
      </c>
      <c r="B108" s="42" t="s">
        <v>18</v>
      </c>
      <c r="C108" s="42" t="s">
        <v>478</v>
      </c>
      <c r="D108" s="42" t="s">
        <v>10</v>
      </c>
      <c r="E108" s="42" t="s">
        <v>130</v>
      </c>
      <c r="F108" s="42" t="s">
        <v>12</v>
      </c>
      <c r="G108" s="42" t="s">
        <v>13</v>
      </c>
      <c r="H108" s="42" t="s">
        <v>488</v>
      </c>
      <c r="I108" s="55" t="s">
        <v>477</v>
      </c>
      <c r="J108" s="7"/>
    </row>
    <row r="109" spans="1:10" x14ac:dyDescent="0.25">
      <c r="A109" s="42" t="s">
        <v>543</v>
      </c>
      <c r="B109" s="42" t="s">
        <v>16</v>
      </c>
      <c r="C109" s="42" t="s">
        <v>451</v>
      </c>
      <c r="D109" s="42">
        <v>32</v>
      </c>
      <c r="E109" s="42">
        <v>2019</v>
      </c>
      <c r="F109" s="42" t="s">
        <v>12</v>
      </c>
      <c r="G109" s="42" t="s">
        <v>13</v>
      </c>
      <c r="H109" s="42" t="str">
        <f>B109&amp;" "&amp;C109</f>
        <v>NI-DAQmx Device Driver 19.0.0.f1</v>
      </c>
      <c r="I109" s="39" t="s">
        <v>424</v>
      </c>
      <c r="J109" s="7"/>
    </row>
    <row r="110" spans="1:10" x14ac:dyDescent="0.25">
      <c r="A110" s="42" t="s">
        <v>543</v>
      </c>
      <c r="B110" s="42" t="s">
        <v>19</v>
      </c>
      <c r="C110" s="42" t="s">
        <v>478</v>
      </c>
      <c r="D110" s="42" t="s">
        <v>10</v>
      </c>
      <c r="E110" s="42" t="s">
        <v>130</v>
      </c>
      <c r="F110" s="42" t="s">
        <v>12</v>
      </c>
      <c r="G110" s="42" t="s">
        <v>13</v>
      </c>
      <c r="H110" s="42" t="str">
        <f>B110&amp;" "&amp;C110</f>
        <v>NI-DAQmx MAX Configuration 18.1.0</v>
      </c>
      <c r="I110" s="55" t="s">
        <v>477</v>
      </c>
      <c r="J110" s="7"/>
    </row>
    <row r="111" spans="1:10" x14ac:dyDescent="0.25">
      <c r="A111" s="42" t="s">
        <v>543</v>
      </c>
      <c r="B111" s="42" t="s">
        <v>48</v>
      </c>
      <c r="C111" s="42"/>
      <c r="D111" s="42">
        <v>32</v>
      </c>
      <c r="E111" s="42">
        <v>2015</v>
      </c>
      <c r="F111" s="42" t="s">
        <v>12</v>
      </c>
      <c r="G111" s="42" t="s">
        <v>13</v>
      </c>
      <c r="H111" s="42" t="str">
        <f>B111&amp;" "&amp;C111</f>
        <v xml:space="preserve">NI-DCPower </v>
      </c>
      <c r="I111" s="36" t="s">
        <v>42</v>
      </c>
      <c r="J111" s="7"/>
    </row>
    <row r="112" spans="1:10" x14ac:dyDescent="0.25">
      <c r="A112" s="42" t="s">
        <v>543</v>
      </c>
      <c r="B112" s="42" t="s">
        <v>48</v>
      </c>
      <c r="C112" s="43" t="s">
        <v>102</v>
      </c>
      <c r="D112" s="42">
        <v>32</v>
      </c>
      <c r="E112" s="42">
        <v>2015</v>
      </c>
      <c r="F112" s="42" t="s">
        <v>24</v>
      </c>
      <c r="G112" s="42" t="s">
        <v>13</v>
      </c>
      <c r="H112" s="42" t="str">
        <f>B112&amp;" "&amp;C112</f>
        <v>NI-DCPower 15.0</v>
      </c>
      <c r="I112" s="36" t="s">
        <v>42</v>
      </c>
      <c r="J112" s="7"/>
    </row>
    <row r="113" spans="1:10" x14ac:dyDescent="0.25">
      <c r="A113" s="42" t="s">
        <v>543</v>
      </c>
      <c r="B113" s="42" t="s">
        <v>121</v>
      </c>
      <c r="C113" s="43" t="s">
        <v>102</v>
      </c>
      <c r="D113" s="42">
        <v>32</v>
      </c>
      <c r="E113" s="42">
        <v>2015</v>
      </c>
      <c r="F113" s="42" t="s">
        <v>12</v>
      </c>
      <c r="G113" s="42" t="s">
        <v>13</v>
      </c>
      <c r="H113" s="42" t="str">
        <f>B113&amp;" "&amp;C113</f>
        <v>NI-DCPower Configuration Support 15.0</v>
      </c>
      <c r="I113" s="36" t="s">
        <v>42</v>
      </c>
      <c r="J113" s="7"/>
    </row>
    <row r="114" spans="1:10" x14ac:dyDescent="0.25">
      <c r="A114" s="42" t="s">
        <v>543</v>
      </c>
      <c r="B114" s="42" t="s">
        <v>122</v>
      </c>
      <c r="C114" s="43" t="s">
        <v>102</v>
      </c>
      <c r="D114" s="42">
        <v>32</v>
      </c>
      <c r="E114" s="42">
        <v>2015</v>
      </c>
      <c r="F114" s="42" t="s">
        <v>12</v>
      </c>
      <c r="G114" s="42" t="s">
        <v>13</v>
      </c>
      <c r="H114" s="42" t="str">
        <f>B114&amp;" "&amp;C114</f>
        <v>NI-DCPower Development Support 15.0</v>
      </c>
      <c r="I114" s="36" t="s">
        <v>42</v>
      </c>
      <c r="J114" s="7"/>
    </row>
    <row r="115" spans="1:10" x14ac:dyDescent="0.25">
      <c r="A115" s="42" t="s">
        <v>543</v>
      </c>
      <c r="B115" s="42" t="s">
        <v>49</v>
      </c>
      <c r="C115" s="43" t="s">
        <v>102</v>
      </c>
      <c r="D115" s="42">
        <v>32</v>
      </c>
      <c r="E115" s="42">
        <v>2015</v>
      </c>
      <c r="F115" s="42" t="s">
        <v>12</v>
      </c>
      <c r="G115" s="42" t="s">
        <v>13</v>
      </c>
      <c r="H115" s="42" t="str">
        <f>B115&amp;" "&amp;C115</f>
        <v>NI-DCPower Soft Front Panel 15.0</v>
      </c>
      <c r="I115" s="36" t="s">
        <v>42</v>
      </c>
      <c r="J115" s="7"/>
    </row>
    <row r="116" spans="1:10" x14ac:dyDescent="0.25">
      <c r="A116" s="42" t="s">
        <v>543</v>
      </c>
      <c r="B116" s="42" t="s">
        <v>21</v>
      </c>
      <c r="C116" s="42"/>
      <c r="D116" s="42">
        <v>32</v>
      </c>
      <c r="E116" s="42">
        <v>2015</v>
      </c>
      <c r="F116" s="42" t="s">
        <v>12</v>
      </c>
      <c r="G116" s="42" t="s">
        <v>13</v>
      </c>
      <c r="H116" s="42" t="str">
        <f>B116&amp;" "&amp;C116</f>
        <v xml:space="preserve">NI-DMM </v>
      </c>
      <c r="I116" s="36" t="s">
        <v>42</v>
      </c>
      <c r="J116" s="7"/>
    </row>
    <row r="117" spans="1:10" x14ac:dyDescent="0.25">
      <c r="A117" s="42" t="s">
        <v>543</v>
      </c>
      <c r="B117" s="42" t="s">
        <v>21</v>
      </c>
      <c r="C117" s="43" t="s">
        <v>102</v>
      </c>
      <c r="D117" s="42">
        <v>32</v>
      </c>
      <c r="E117" s="42">
        <v>2015</v>
      </c>
      <c r="F117" s="42" t="s">
        <v>24</v>
      </c>
      <c r="G117" s="42" t="s">
        <v>13</v>
      </c>
      <c r="H117" s="42" t="str">
        <f>B117&amp;" "&amp;C117</f>
        <v>NI-DMM 15.0</v>
      </c>
      <c r="I117" s="36" t="s">
        <v>42</v>
      </c>
      <c r="J117" s="7"/>
    </row>
    <row r="118" spans="1:10" x14ac:dyDescent="0.25">
      <c r="A118" s="42" t="s">
        <v>543</v>
      </c>
      <c r="B118" s="42" t="s">
        <v>123</v>
      </c>
      <c r="C118" s="43" t="s">
        <v>102</v>
      </c>
      <c r="D118" s="42">
        <v>32</v>
      </c>
      <c r="E118" s="42">
        <v>2015</v>
      </c>
      <c r="F118" s="42" t="s">
        <v>12</v>
      </c>
      <c r="G118" s="42" t="s">
        <v>13</v>
      </c>
      <c r="H118" s="42" t="str">
        <f>B118&amp;" "&amp;C118</f>
        <v>NI-DMM Configuration Support 15.0</v>
      </c>
      <c r="I118" s="36" t="s">
        <v>42</v>
      </c>
      <c r="J118" s="7"/>
    </row>
    <row r="119" spans="1:10" x14ac:dyDescent="0.25">
      <c r="A119" s="42" t="s">
        <v>543</v>
      </c>
      <c r="B119" s="42" t="s">
        <v>124</v>
      </c>
      <c r="C119" s="43" t="s">
        <v>102</v>
      </c>
      <c r="D119" s="42">
        <v>32</v>
      </c>
      <c r="E119" s="42">
        <v>2015</v>
      </c>
      <c r="F119" s="42" t="s">
        <v>12</v>
      </c>
      <c r="G119" s="42" t="s">
        <v>13</v>
      </c>
      <c r="H119" s="42" t="str">
        <f>B119&amp;" "&amp;C119</f>
        <v>NI-DMM Development Support 15.0</v>
      </c>
      <c r="I119" s="36" t="s">
        <v>42</v>
      </c>
      <c r="J119" s="7"/>
    </row>
    <row r="120" spans="1:10" x14ac:dyDescent="0.25">
      <c r="A120" s="42" t="s">
        <v>543</v>
      </c>
      <c r="B120" s="42" t="s">
        <v>399</v>
      </c>
      <c r="C120" s="43" t="s">
        <v>102</v>
      </c>
      <c r="D120" s="42">
        <v>32</v>
      </c>
      <c r="E120" s="42">
        <v>2015</v>
      </c>
      <c r="F120" s="42" t="s">
        <v>12</v>
      </c>
      <c r="G120" s="42" t="s">
        <v>13</v>
      </c>
      <c r="H120" s="42" t="str">
        <f>B120&amp;" "&amp;C120</f>
        <v>NI-DMM Soft Front Panel 15.0</v>
      </c>
      <c r="I120" s="36" t="s">
        <v>42</v>
      </c>
      <c r="J120" s="7"/>
    </row>
    <row r="121" spans="1:10" x14ac:dyDescent="0.25">
      <c r="A121" s="42" t="s">
        <v>543</v>
      </c>
      <c r="B121" s="42" t="s">
        <v>26</v>
      </c>
      <c r="C121" s="42"/>
      <c r="D121" s="42">
        <v>32</v>
      </c>
      <c r="E121" s="42">
        <v>2015</v>
      </c>
      <c r="F121" s="42" t="s">
        <v>12</v>
      </c>
      <c r="G121" s="42" t="s">
        <v>13</v>
      </c>
      <c r="H121" s="42" t="str">
        <f>B121&amp;" "&amp;C121</f>
        <v xml:space="preserve">NI-FGEN </v>
      </c>
      <c r="I121" s="36" t="s">
        <v>42</v>
      </c>
      <c r="J121" s="7"/>
    </row>
    <row r="122" spans="1:10" x14ac:dyDescent="0.25">
      <c r="A122" s="42" t="s">
        <v>543</v>
      </c>
      <c r="B122" s="42" t="s">
        <v>26</v>
      </c>
      <c r="C122" s="43" t="s">
        <v>102</v>
      </c>
      <c r="D122" s="42">
        <v>32</v>
      </c>
      <c r="E122" s="42">
        <v>2015</v>
      </c>
      <c r="F122" s="42" t="s">
        <v>24</v>
      </c>
      <c r="G122" s="42" t="s">
        <v>13</v>
      </c>
      <c r="H122" s="42" t="str">
        <f>B122&amp;" "&amp;C122</f>
        <v>NI-FGEN 15.0</v>
      </c>
      <c r="I122" s="36" t="s">
        <v>42</v>
      </c>
      <c r="J122" s="7"/>
    </row>
    <row r="123" spans="1:10" x14ac:dyDescent="0.25">
      <c r="A123" s="42" t="s">
        <v>543</v>
      </c>
      <c r="B123" s="42" t="s">
        <v>125</v>
      </c>
      <c r="C123" s="43" t="s">
        <v>102</v>
      </c>
      <c r="D123" s="42">
        <v>32</v>
      </c>
      <c r="E123" s="42">
        <v>2015</v>
      </c>
      <c r="F123" s="42" t="s">
        <v>12</v>
      </c>
      <c r="G123" s="42" t="s">
        <v>13</v>
      </c>
      <c r="H123" s="42" t="str">
        <f>B123&amp;" "&amp;C123</f>
        <v>NI-FGEN Configuration Support 15.0</v>
      </c>
      <c r="I123" s="36" t="s">
        <v>42</v>
      </c>
      <c r="J123" s="7"/>
    </row>
    <row r="124" spans="1:10" x14ac:dyDescent="0.25">
      <c r="A124" s="42" t="s">
        <v>543</v>
      </c>
      <c r="B124" s="42" t="s">
        <v>126</v>
      </c>
      <c r="C124" s="43" t="s">
        <v>102</v>
      </c>
      <c r="D124" s="42">
        <v>32</v>
      </c>
      <c r="E124" s="42">
        <v>2015</v>
      </c>
      <c r="F124" s="42" t="s">
        <v>12</v>
      </c>
      <c r="G124" s="42" t="s">
        <v>13</v>
      </c>
      <c r="H124" s="42" t="str">
        <f>B124&amp;" "&amp;C124</f>
        <v>NI-FGEN Development Support 15.0</v>
      </c>
      <c r="I124" s="36" t="s">
        <v>42</v>
      </c>
      <c r="J124" s="7"/>
    </row>
    <row r="125" spans="1:10" x14ac:dyDescent="0.25">
      <c r="A125" s="42" t="s">
        <v>543</v>
      </c>
      <c r="B125" s="42" t="s">
        <v>401</v>
      </c>
      <c r="C125" s="43" t="s">
        <v>102</v>
      </c>
      <c r="D125" s="42">
        <v>32</v>
      </c>
      <c r="E125" s="42">
        <v>2015</v>
      </c>
      <c r="F125" s="42" t="s">
        <v>12</v>
      </c>
      <c r="G125" s="42" t="s">
        <v>13</v>
      </c>
      <c r="H125" s="42" t="str">
        <f>B125&amp;" "&amp;C125</f>
        <v>NI-FGEN Soft Front Panel 15.0</v>
      </c>
      <c r="I125" s="36" t="s">
        <v>42</v>
      </c>
      <c r="J125" s="7"/>
    </row>
    <row r="126" spans="1:10" x14ac:dyDescent="0.25">
      <c r="A126" s="42" t="s">
        <v>543</v>
      </c>
      <c r="B126" s="42" t="s">
        <v>50</v>
      </c>
      <c r="C126" s="42"/>
      <c r="D126" s="42">
        <v>32</v>
      </c>
      <c r="E126" s="42">
        <v>2015</v>
      </c>
      <c r="F126" s="42" t="s">
        <v>12</v>
      </c>
      <c r="G126" s="42" t="s">
        <v>13</v>
      </c>
      <c r="H126" s="42" t="str">
        <f>B126&amp;" "&amp;C126</f>
        <v xml:space="preserve">NI-HSDIO </v>
      </c>
      <c r="I126" s="36" t="s">
        <v>42</v>
      </c>
      <c r="J126" s="7"/>
    </row>
    <row r="127" spans="1:10" x14ac:dyDescent="0.25">
      <c r="A127" s="42" t="s">
        <v>543</v>
      </c>
      <c r="B127" s="42" t="s">
        <v>50</v>
      </c>
      <c r="C127" s="43" t="s">
        <v>102</v>
      </c>
      <c r="D127" s="42">
        <v>32</v>
      </c>
      <c r="E127" s="42">
        <v>2015</v>
      </c>
      <c r="F127" s="42" t="s">
        <v>24</v>
      </c>
      <c r="G127" s="42" t="s">
        <v>13</v>
      </c>
      <c r="H127" s="42" t="str">
        <f>B127&amp;" "&amp;C127</f>
        <v>NI-HSDIO 15.0</v>
      </c>
      <c r="I127" s="36" t="s">
        <v>42</v>
      </c>
      <c r="J127" s="7"/>
    </row>
    <row r="128" spans="1:10" x14ac:dyDescent="0.25">
      <c r="A128" s="42" t="s">
        <v>543</v>
      </c>
      <c r="B128" s="42" t="s">
        <v>150</v>
      </c>
      <c r="C128" s="43" t="s">
        <v>102</v>
      </c>
      <c r="D128" s="42">
        <v>32</v>
      </c>
      <c r="E128" s="42">
        <v>2015</v>
      </c>
      <c r="F128" s="42" t="s">
        <v>12</v>
      </c>
      <c r="G128" s="42" t="s">
        <v>13</v>
      </c>
      <c r="H128" s="42" t="str">
        <f>B128&amp;" "&amp;C128</f>
        <v>NI-HSDIO Configuration Support 15.0</v>
      </c>
      <c r="I128" s="36" t="s">
        <v>42</v>
      </c>
      <c r="J128" s="7"/>
    </row>
    <row r="129" spans="1:10" x14ac:dyDescent="0.25">
      <c r="A129" s="42" t="s">
        <v>543</v>
      </c>
      <c r="B129" s="42" t="s">
        <v>142</v>
      </c>
      <c r="C129" s="43" t="s">
        <v>102</v>
      </c>
      <c r="D129" s="42">
        <v>32</v>
      </c>
      <c r="E129" s="42">
        <v>2015</v>
      </c>
      <c r="F129" s="42" t="s">
        <v>12</v>
      </c>
      <c r="G129" s="42" t="s">
        <v>13</v>
      </c>
      <c r="H129" s="42" t="str">
        <f>B129&amp;" "&amp;C129</f>
        <v>NI-HSDIO Development Support 15.0</v>
      </c>
      <c r="I129" s="36" t="s">
        <v>42</v>
      </c>
      <c r="J129" s="7"/>
    </row>
    <row r="130" spans="1:10" x14ac:dyDescent="0.25">
      <c r="A130" s="42" t="s">
        <v>543</v>
      </c>
      <c r="B130" s="42" t="s">
        <v>51</v>
      </c>
      <c r="C130" s="42" t="s">
        <v>9</v>
      </c>
      <c r="D130" s="42">
        <v>32</v>
      </c>
      <c r="E130" s="42">
        <v>2015</v>
      </c>
      <c r="F130" s="42" t="s">
        <v>12</v>
      </c>
      <c r="G130" s="42" t="s">
        <v>13</v>
      </c>
      <c r="H130" s="42" t="str">
        <f>B130&amp;" "&amp;C130</f>
        <v>NI-HWS 15.0.0</v>
      </c>
      <c r="I130" s="36" t="s">
        <v>42</v>
      </c>
      <c r="J130" s="7"/>
    </row>
    <row r="131" spans="1:10" x14ac:dyDescent="0.25">
      <c r="A131" s="42" t="s">
        <v>543</v>
      </c>
      <c r="B131" s="42" t="s">
        <v>366</v>
      </c>
      <c r="C131" s="42" t="s">
        <v>135</v>
      </c>
      <c r="D131" s="42" t="s">
        <v>10</v>
      </c>
      <c r="E131" s="42" t="s">
        <v>119</v>
      </c>
      <c r="F131" s="42" t="s">
        <v>12</v>
      </c>
      <c r="G131" s="42" t="s">
        <v>13</v>
      </c>
      <c r="H131" s="42" t="str">
        <f>B131&amp;" "&amp;C131</f>
        <v>NI-IMAQ 19.0.0</v>
      </c>
      <c r="I131" s="39" t="s">
        <v>424</v>
      </c>
      <c r="J131" s="7"/>
    </row>
    <row r="132" spans="1:10" x14ac:dyDescent="0.25">
      <c r="A132" s="42" t="s">
        <v>543</v>
      </c>
      <c r="B132" s="42" t="s">
        <v>366</v>
      </c>
      <c r="C132" s="42" t="s">
        <v>135</v>
      </c>
      <c r="D132" s="42" t="s">
        <v>10</v>
      </c>
      <c r="E132" s="42" t="s">
        <v>119</v>
      </c>
      <c r="F132" s="42" t="s">
        <v>24</v>
      </c>
      <c r="G132" s="42" t="s">
        <v>13</v>
      </c>
      <c r="H132" s="42" t="str">
        <f>B132&amp;" "&amp;C132</f>
        <v>NI-IMAQ 19.0.0</v>
      </c>
      <c r="I132" s="39" t="s">
        <v>424</v>
      </c>
      <c r="J132" s="7"/>
    </row>
    <row r="133" spans="1:10" x14ac:dyDescent="0.25">
      <c r="A133" s="42" t="s">
        <v>543</v>
      </c>
      <c r="B133" s="42" t="s">
        <v>368</v>
      </c>
      <c r="C133" s="42" t="s">
        <v>135</v>
      </c>
      <c r="D133" s="42" t="s">
        <v>10</v>
      </c>
      <c r="E133" s="42" t="s">
        <v>119</v>
      </c>
      <c r="F133" s="42" t="s">
        <v>12</v>
      </c>
      <c r="G133" s="42" t="s">
        <v>13</v>
      </c>
      <c r="H133" s="42" t="str">
        <f>B133&amp;" "&amp;C133</f>
        <v>NI-IMAQ I/O 19.0.0</v>
      </c>
      <c r="I133" s="39" t="s">
        <v>424</v>
      </c>
      <c r="J133" s="7"/>
    </row>
    <row r="134" spans="1:10" x14ac:dyDescent="0.25">
      <c r="A134" s="42" t="s">
        <v>543</v>
      </c>
      <c r="B134" s="42" t="s">
        <v>368</v>
      </c>
      <c r="C134" s="42" t="s">
        <v>135</v>
      </c>
      <c r="D134" s="42" t="s">
        <v>10</v>
      </c>
      <c r="E134" s="42" t="s">
        <v>119</v>
      </c>
      <c r="F134" s="42" t="s">
        <v>24</v>
      </c>
      <c r="G134" s="42" t="s">
        <v>13</v>
      </c>
      <c r="H134" s="42" t="str">
        <f>B134&amp;" "&amp;C134</f>
        <v>NI-IMAQ I/O 19.0.0</v>
      </c>
      <c r="I134" s="39" t="s">
        <v>424</v>
      </c>
      <c r="J134" s="7"/>
    </row>
    <row r="135" spans="1:10" x14ac:dyDescent="0.25">
      <c r="A135" s="42" t="s">
        <v>543</v>
      </c>
      <c r="B135" s="42" t="s">
        <v>382</v>
      </c>
      <c r="C135" s="42" t="s">
        <v>135</v>
      </c>
      <c r="D135" s="42" t="s">
        <v>10</v>
      </c>
      <c r="E135" s="42" t="s">
        <v>119</v>
      </c>
      <c r="F135" s="42" t="s">
        <v>12</v>
      </c>
      <c r="G135" s="42" t="s">
        <v>13</v>
      </c>
      <c r="H135" s="42" t="str">
        <f>B135&amp;" "&amp;C135</f>
        <v>NI-IMAQdx 19.0.0</v>
      </c>
      <c r="I135" s="39" t="s">
        <v>424</v>
      </c>
      <c r="J135" s="7"/>
    </row>
    <row r="136" spans="1:10" x14ac:dyDescent="0.25">
      <c r="A136" s="42" t="s">
        <v>543</v>
      </c>
      <c r="B136" s="42" t="s">
        <v>382</v>
      </c>
      <c r="C136" s="42" t="s">
        <v>135</v>
      </c>
      <c r="D136" s="42" t="s">
        <v>10</v>
      </c>
      <c r="E136" s="42" t="s">
        <v>119</v>
      </c>
      <c r="F136" s="42" t="s">
        <v>24</v>
      </c>
      <c r="G136" s="42" t="s">
        <v>13</v>
      </c>
      <c r="H136" s="42" t="str">
        <f>B136&amp;" "&amp;C136</f>
        <v>NI-IMAQdx 19.0.0</v>
      </c>
      <c r="I136" s="39" t="s">
        <v>424</v>
      </c>
      <c r="J136" s="7"/>
    </row>
    <row r="137" spans="1:10" x14ac:dyDescent="0.25">
      <c r="A137" s="42" t="s">
        <v>543</v>
      </c>
      <c r="B137" s="42" t="s">
        <v>143</v>
      </c>
      <c r="C137" s="42" t="s">
        <v>494</v>
      </c>
      <c r="D137" s="42">
        <v>32</v>
      </c>
      <c r="E137" s="42">
        <v>2015</v>
      </c>
      <c r="F137" s="42" t="s">
        <v>12</v>
      </c>
      <c r="G137" s="42" t="s">
        <v>13</v>
      </c>
      <c r="H137" s="42" t="str">
        <f>B137&amp;" "&amp;C137</f>
        <v>NI-Industrial Communications for EtherCAT 18.0.0f1</v>
      </c>
      <c r="I137" s="41" t="s">
        <v>415</v>
      </c>
      <c r="J137" s="7"/>
    </row>
    <row r="138" spans="1:10" x14ac:dyDescent="0.25">
      <c r="A138" s="42" t="s">
        <v>543</v>
      </c>
      <c r="B138" s="42" t="s">
        <v>59</v>
      </c>
      <c r="C138" s="42" t="s">
        <v>135</v>
      </c>
      <c r="D138" s="42">
        <v>32</v>
      </c>
      <c r="E138" s="42">
        <v>2019</v>
      </c>
      <c r="F138" s="42" t="s">
        <v>12</v>
      </c>
      <c r="G138" s="42" t="s">
        <v>13</v>
      </c>
      <c r="H138" s="42" t="str">
        <f>B138&amp;" "&amp;C138</f>
        <v>NI-PAL Software 19.0.0</v>
      </c>
      <c r="I138" s="39" t="s">
        <v>424</v>
      </c>
      <c r="J138" s="7"/>
    </row>
    <row r="139" spans="1:10" x14ac:dyDescent="0.25">
      <c r="A139" s="42" t="s">
        <v>543</v>
      </c>
      <c r="B139" s="42" t="s">
        <v>54</v>
      </c>
      <c r="C139" s="42" t="s">
        <v>9</v>
      </c>
      <c r="D139" s="42">
        <v>32</v>
      </c>
      <c r="E139" s="42">
        <v>2015</v>
      </c>
      <c r="F139" s="42" t="s">
        <v>12</v>
      </c>
      <c r="G139" s="42" t="s">
        <v>13</v>
      </c>
      <c r="H139" s="42" t="str">
        <f>B139&amp;" "&amp;C139</f>
        <v>NI-RIO 15.0.0</v>
      </c>
      <c r="I139" s="36" t="s">
        <v>42</v>
      </c>
      <c r="J139" s="7"/>
    </row>
    <row r="140" spans="1:10" x14ac:dyDescent="0.25">
      <c r="A140" s="42" t="s">
        <v>543</v>
      </c>
      <c r="B140" s="42" t="s">
        <v>61</v>
      </c>
      <c r="C140" s="42" t="s">
        <v>102</v>
      </c>
      <c r="D140" s="42">
        <v>32</v>
      </c>
      <c r="E140" s="42">
        <v>2015</v>
      </c>
      <c r="F140" s="42" t="s">
        <v>12</v>
      </c>
      <c r="G140" s="42" t="s">
        <v>13</v>
      </c>
      <c r="H140" s="42" t="str">
        <f>B140&amp;" "&amp;C140</f>
        <v>NI-SCOPE 15.0</v>
      </c>
      <c r="I140" s="36" t="s">
        <v>42</v>
      </c>
      <c r="J140" s="7"/>
    </row>
    <row r="141" spans="1:10" x14ac:dyDescent="0.25">
      <c r="A141" s="42" t="s">
        <v>543</v>
      </c>
      <c r="B141" s="42" t="s">
        <v>61</v>
      </c>
      <c r="C141" s="43" t="s">
        <v>102</v>
      </c>
      <c r="D141" s="42">
        <v>32</v>
      </c>
      <c r="E141" s="42">
        <v>2015</v>
      </c>
      <c r="F141" s="42" t="s">
        <v>24</v>
      </c>
      <c r="G141" s="42" t="s">
        <v>13</v>
      </c>
      <c r="H141" s="42" t="str">
        <f>B141&amp;" "&amp;C141</f>
        <v>NI-SCOPE 15.0</v>
      </c>
      <c r="I141" s="36" t="s">
        <v>42</v>
      </c>
      <c r="J141" s="7"/>
    </row>
    <row r="142" spans="1:10" x14ac:dyDescent="0.25">
      <c r="A142" s="42" t="s">
        <v>543</v>
      </c>
      <c r="B142" s="42" t="s">
        <v>151</v>
      </c>
      <c r="C142" s="43" t="s">
        <v>102</v>
      </c>
      <c r="D142" s="42">
        <v>32</v>
      </c>
      <c r="E142" s="42">
        <v>2015</v>
      </c>
      <c r="F142" s="42" t="s">
        <v>12</v>
      </c>
      <c r="G142" s="42" t="s">
        <v>13</v>
      </c>
      <c r="H142" s="42" t="str">
        <f>B142&amp;" "&amp;C142</f>
        <v>NI-SCOPE Configuration Support 15.0</v>
      </c>
      <c r="I142" s="36" t="s">
        <v>42</v>
      </c>
      <c r="J142" s="7"/>
    </row>
    <row r="143" spans="1:10" x14ac:dyDescent="0.25">
      <c r="A143" s="42" t="s">
        <v>543</v>
      </c>
      <c r="B143" s="42" t="s">
        <v>128</v>
      </c>
      <c r="C143" s="43" t="s">
        <v>102</v>
      </c>
      <c r="D143" s="42">
        <v>32</v>
      </c>
      <c r="E143" s="42">
        <v>2015</v>
      </c>
      <c r="F143" s="42" t="s">
        <v>12</v>
      </c>
      <c r="G143" s="42" t="s">
        <v>13</v>
      </c>
      <c r="H143" s="42" t="str">
        <f>B143&amp;" "&amp;C143</f>
        <v>NI-SCOPE Development Support 15.0</v>
      </c>
      <c r="I143" s="36" t="s">
        <v>42</v>
      </c>
      <c r="J143" s="7"/>
    </row>
    <row r="144" spans="1:10" x14ac:dyDescent="0.25">
      <c r="A144" s="42" t="s">
        <v>543</v>
      </c>
      <c r="B144" s="42" t="s">
        <v>400</v>
      </c>
      <c r="C144" s="43" t="s">
        <v>102</v>
      </c>
      <c r="D144" s="42">
        <v>32</v>
      </c>
      <c r="E144" s="42">
        <v>2015</v>
      </c>
      <c r="F144" s="42" t="s">
        <v>12</v>
      </c>
      <c r="G144" s="42" t="s">
        <v>13</v>
      </c>
      <c r="H144" s="42" t="str">
        <f>B144&amp;" "&amp;C144</f>
        <v>NI-SCOPE Soft Front Panel 15.0</v>
      </c>
      <c r="I144" s="36" t="s">
        <v>42</v>
      </c>
      <c r="J144" s="7"/>
    </row>
    <row r="145" spans="1:10" x14ac:dyDescent="0.25">
      <c r="A145" s="42" t="s">
        <v>543</v>
      </c>
      <c r="B145" s="42" t="s">
        <v>129</v>
      </c>
      <c r="C145" s="42" t="s">
        <v>430</v>
      </c>
      <c r="D145" s="42">
        <v>32</v>
      </c>
      <c r="E145" s="42">
        <v>2019</v>
      </c>
      <c r="F145" s="42" t="s">
        <v>24</v>
      </c>
      <c r="G145" s="42" t="s">
        <v>13</v>
      </c>
      <c r="H145" s="42" t="str">
        <f>B145&amp;" "&amp;C145</f>
        <v>NI-Serial 19.0.0f0</v>
      </c>
      <c r="I145" s="39" t="s">
        <v>424</v>
      </c>
      <c r="J145" s="7"/>
    </row>
    <row r="146" spans="1:10" x14ac:dyDescent="0.25">
      <c r="A146" s="42" t="s">
        <v>543</v>
      </c>
      <c r="B146" s="42" t="s">
        <v>64</v>
      </c>
      <c r="C146" s="42" t="s">
        <v>481</v>
      </c>
      <c r="D146" s="42" t="s">
        <v>10</v>
      </c>
      <c r="E146" s="42" t="s">
        <v>153</v>
      </c>
      <c r="F146" s="42" t="s">
        <v>12</v>
      </c>
      <c r="G146" s="42" t="s">
        <v>13</v>
      </c>
      <c r="H146" s="42" t="s">
        <v>489</v>
      </c>
      <c r="I146" s="55" t="s">
        <v>477</v>
      </c>
      <c r="J146" s="7"/>
    </row>
    <row r="147" spans="1:10" x14ac:dyDescent="0.25">
      <c r="A147" s="42" t="s">
        <v>543</v>
      </c>
      <c r="B147" s="42" t="s">
        <v>66</v>
      </c>
      <c r="C147" s="43" t="s">
        <v>102</v>
      </c>
      <c r="D147" s="42">
        <v>32</v>
      </c>
      <c r="E147" s="42">
        <v>2015</v>
      </c>
      <c r="F147" s="42" t="s">
        <v>12</v>
      </c>
      <c r="G147" s="42" t="s">
        <v>13</v>
      </c>
      <c r="H147" s="42" t="str">
        <f>B147&amp;" "&amp;C147</f>
        <v>NI-SWITCH 15.0</v>
      </c>
      <c r="I147" s="36" t="s">
        <v>42</v>
      </c>
      <c r="J147" s="7"/>
    </row>
    <row r="148" spans="1:10" x14ac:dyDescent="0.25">
      <c r="A148" s="42" t="s">
        <v>543</v>
      </c>
      <c r="B148" s="42" t="s">
        <v>66</v>
      </c>
      <c r="C148" s="43" t="s">
        <v>102</v>
      </c>
      <c r="D148" s="42">
        <v>32</v>
      </c>
      <c r="E148" s="42">
        <v>2015</v>
      </c>
      <c r="F148" s="42" t="s">
        <v>24</v>
      </c>
      <c r="G148" s="42" t="s">
        <v>13</v>
      </c>
      <c r="H148" s="42" t="str">
        <f>B148&amp;" "&amp;C148</f>
        <v>NI-SWITCH 15.0</v>
      </c>
      <c r="I148" s="36" t="s">
        <v>42</v>
      </c>
      <c r="J148" s="7"/>
    </row>
    <row r="149" spans="1:10" x14ac:dyDescent="0.25">
      <c r="A149" s="42" t="s">
        <v>543</v>
      </c>
      <c r="B149" s="42" t="s">
        <v>131</v>
      </c>
      <c r="C149" s="43" t="s">
        <v>102</v>
      </c>
      <c r="D149" s="42">
        <v>32</v>
      </c>
      <c r="E149" s="42">
        <v>2015</v>
      </c>
      <c r="F149" s="42" t="s">
        <v>12</v>
      </c>
      <c r="G149" s="42" t="s">
        <v>13</v>
      </c>
      <c r="H149" s="42" t="str">
        <f>B149&amp;" "&amp;C149</f>
        <v>NI-SWITCH Configuration Support 15.0</v>
      </c>
      <c r="I149" s="36" t="s">
        <v>42</v>
      </c>
      <c r="J149" s="7"/>
    </row>
    <row r="150" spans="1:10" x14ac:dyDescent="0.25">
      <c r="A150" s="42" t="s">
        <v>543</v>
      </c>
      <c r="B150" s="42" t="s">
        <v>132</v>
      </c>
      <c r="C150" s="43" t="s">
        <v>102</v>
      </c>
      <c r="D150" s="42">
        <v>32</v>
      </c>
      <c r="E150" s="42">
        <v>2015</v>
      </c>
      <c r="F150" s="42" t="s">
        <v>12</v>
      </c>
      <c r="G150" s="42" t="s">
        <v>13</v>
      </c>
      <c r="H150" s="42" t="str">
        <f>B150&amp;" "&amp;C150</f>
        <v>NI-SWITCH Development Support 15.0</v>
      </c>
      <c r="I150" s="36" t="s">
        <v>42</v>
      </c>
      <c r="J150" s="7"/>
    </row>
    <row r="151" spans="1:10" x14ac:dyDescent="0.25">
      <c r="A151" s="42" t="s">
        <v>543</v>
      </c>
      <c r="B151" s="42" t="s">
        <v>67</v>
      </c>
      <c r="C151" s="43" t="s">
        <v>478</v>
      </c>
      <c r="D151" s="42" t="s">
        <v>10</v>
      </c>
      <c r="E151" s="42" t="s">
        <v>130</v>
      </c>
      <c r="F151" s="42" t="s">
        <v>12</v>
      </c>
      <c r="G151" s="42" t="s">
        <v>13</v>
      </c>
      <c r="H151" s="42" t="s">
        <v>491</v>
      </c>
      <c r="I151" s="55" t="s">
        <v>477</v>
      </c>
      <c r="J151" s="7"/>
    </row>
    <row r="152" spans="1:10" x14ac:dyDescent="0.25">
      <c r="A152" s="42" t="s">
        <v>543</v>
      </c>
      <c r="B152" s="42" t="s">
        <v>56</v>
      </c>
      <c r="C152" s="43" t="s">
        <v>480</v>
      </c>
      <c r="D152" s="42" t="s">
        <v>10</v>
      </c>
      <c r="E152" s="42" t="s">
        <v>130</v>
      </c>
      <c r="F152" s="42" t="s">
        <v>12</v>
      </c>
      <c r="G152" s="42" t="s">
        <v>13</v>
      </c>
      <c r="H152" s="42" t="s">
        <v>492</v>
      </c>
      <c r="I152" s="55" t="s">
        <v>477</v>
      </c>
      <c r="J152" s="7"/>
    </row>
    <row r="153" spans="1:10" x14ac:dyDescent="0.25">
      <c r="A153" s="42" t="s">
        <v>543</v>
      </c>
      <c r="B153" s="42" t="s">
        <v>69</v>
      </c>
      <c r="C153" s="43" t="s">
        <v>102</v>
      </c>
      <c r="D153" s="42">
        <v>32</v>
      </c>
      <c r="E153" s="42">
        <v>2015</v>
      </c>
      <c r="F153" s="42" t="s">
        <v>12</v>
      </c>
      <c r="G153" s="42" t="s">
        <v>13</v>
      </c>
      <c r="H153" s="42" t="str">
        <f>B153&amp;" "&amp;C153</f>
        <v>NI-TClk 15.0</v>
      </c>
      <c r="I153" s="36" t="s">
        <v>42</v>
      </c>
      <c r="J153" s="7"/>
    </row>
    <row r="154" spans="1:10" x14ac:dyDescent="0.25">
      <c r="A154" s="42" t="s">
        <v>543</v>
      </c>
      <c r="B154" s="42" t="s">
        <v>57</v>
      </c>
      <c r="C154" s="43" t="s">
        <v>30</v>
      </c>
      <c r="D154" s="42">
        <v>32</v>
      </c>
      <c r="E154" s="42">
        <v>2015</v>
      </c>
      <c r="F154" s="42" t="s">
        <v>12</v>
      </c>
      <c r="G154" s="42" t="s">
        <v>13</v>
      </c>
      <c r="H154" s="42" t="str">
        <f>B154&amp;" "&amp;C154</f>
        <v>NI-TimeSync 15.0.0f0</v>
      </c>
      <c r="I154" s="36" t="s">
        <v>42</v>
      </c>
      <c r="J154" s="7"/>
    </row>
    <row r="155" spans="1:10" x14ac:dyDescent="0.25">
      <c r="A155" s="42" t="s">
        <v>543</v>
      </c>
      <c r="B155" s="42" t="s">
        <v>46</v>
      </c>
      <c r="C155" s="43" t="s">
        <v>95</v>
      </c>
      <c r="D155" s="42">
        <v>32</v>
      </c>
      <c r="E155" s="42">
        <v>2015</v>
      </c>
      <c r="F155" s="42" t="s">
        <v>12</v>
      </c>
      <c r="G155" s="42" t="s">
        <v>13</v>
      </c>
      <c r="H155" s="42" t="str">
        <f>B155&amp;" "&amp;C155</f>
        <v>NI-USI 15.0.1.6118</v>
      </c>
      <c r="I155" s="37" t="s">
        <v>91</v>
      </c>
      <c r="J155" s="7"/>
    </row>
    <row r="156" spans="1:10" x14ac:dyDescent="0.25">
      <c r="A156" s="42" t="s">
        <v>543</v>
      </c>
      <c r="B156" s="42" t="s">
        <v>70</v>
      </c>
      <c r="C156" s="43" t="s">
        <v>170</v>
      </c>
      <c r="D156" s="42">
        <v>32</v>
      </c>
      <c r="E156" s="42">
        <v>2015</v>
      </c>
      <c r="F156" s="42" t="s">
        <v>12</v>
      </c>
      <c r="G156" s="42" t="s">
        <v>13</v>
      </c>
      <c r="H156" s="42" t="str">
        <f>B156&amp;" "&amp;C156</f>
        <v>NI-VISA 15.5</v>
      </c>
      <c r="I156" s="40" t="s">
        <v>465</v>
      </c>
      <c r="J156" s="7"/>
    </row>
    <row r="157" spans="1:10" x14ac:dyDescent="0.25">
      <c r="A157" s="42" t="s">
        <v>543</v>
      </c>
      <c r="B157" s="42" t="s">
        <v>70</v>
      </c>
      <c r="C157" s="43" t="s">
        <v>170</v>
      </c>
      <c r="D157" s="42">
        <v>32</v>
      </c>
      <c r="E157" s="42">
        <v>2015</v>
      </c>
      <c r="F157" s="42" t="s">
        <v>24</v>
      </c>
      <c r="G157" s="42" t="s">
        <v>13</v>
      </c>
      <c r="H157" s="42" t="str">
        <f>B157&amp;" "&amp;C157</f>
        <v>NI-VISA 15.5</v>
      </c>
      <c r="I157" s="40" t="s">
        <v>465</v>
      </c>
      <c r="J157" s="7"/>
    </row>
    <row r="158" spans="1:10" x14ac:dyDescent="0.25">
      <c r="A158" s="42" t="s">
        <v>543</v>
      </c>
      <c r="B158" s="42" t="s">
        <v>73</v>
      </c>
      <c r="C158" s="42" t="s">
        <v>72</v>
      </c>
      <c r="D158" s="42">
        <v>32</v>
      </c>
      <c r="E158" s="42">
        <v>2015</v>
      </c>
      <c r="F158" s="42" t="s">
        <v>12</v>
      </c>
      <c r="G158" s="42" t="s">
        <v>13</v>
      </c>
      <c r="H158" s="42" t="str">
        <f>B158&amp;" "&amp;C158</f>
        <v>NIvisaic.exe 15.0.0.49152</v>
      </c>
      <c r="I158" s="36" t="s">
        <v>42</v>
      </c>
      <c r="J158" s="7"/>
    </row>
    <row r="159" spans="1:10" x14ac:dyDescent="0.25">
      <c r="A159" s="42" t="s">
        <v>543</v>
      </c>
      <c r="B159" s="42" t="s">
        <v>71</v>
      </c>
      <c r="C159" s="42" t="s">
        <v>72</v>
      </c>
      <c r="D159" s="42">
        <v>32</v>
      </c>
      <c r="E159" s="42">
        <v>2015</v>
      </c>
      <c r="F159" s="42" t="s">
        <v>12</v>
      </c>
      <c r="G159" s="42" t="s">
        <v>13</v>
      </c>
      <c r="H159" s="42" t="str">
        <f>B159&amp;" "&amp;C159</f>
        <v>NiVisaServer.exe 15.0.0.49152</v>
      </c>
      <c r="I159" s="36" t="s">
        <v>42</v>
      </c>
      <c r="J159" s="7"/>
    </row>
    <row r="160" spans="1:10" x14ac:dyDescent="0.25">
      <c r="A160" s="42" t="s">
        <v>543</v>
      </c>
      <c r="B160" s="42" t="s">
        <v>396</v>
      </c>
      <c r="C160" s="42" t="s">
        <v>426</v>
      </c>
      <c r="D160" s="42" t="s">
        <v>10</v>
      </c>
      <c r="E160" s="42" t="s">
        <v>119</v>
      </c>
      <c r="F160" s="42" t="s">
        <v>24</v>
      </c>
      <c r="G160" s="42" t="s">
        <v>13</v>
      </c>
      <c r="H160" s="42" t="s">
        <v>454</v>
      </c>
      <c r="I160" s="41" t="s">
        <v>424</v>
      </c>
      <c r="J160" s="7"/>
    </row>
    <row r="161" spans="1:10" x14ac:dyDescent="0.25">
      <c r="A161" s="42" t="s">
        <v>543</v>
      </c>
      <c r="B161" s="117" t="s">
        <v>548</v>
      </c>
      <c r="C161" s="118" t="s">
        <v>549</v>
      </c>
      <c r="D161" s="199" t="s">
        <v>10</v>
      </c>
      <c r="E161" s="199" t="s">
        <v>136</v>
      </c>
      <c r="F161" s="118" t="s">
        <v>12</v>
      </c>
      <c r="G161" s="118" t="s">
        <v>315</v>
      </c>
      <c r="H161" s="42" t="str">
        <f>B161&amp;" "&amp;C161</f>
        <v>Open Source GOOP Development Suite 1.1.17.56</v>
      </c>
      <c r="I161" s="131" t="s">
        <v>202</v>
      </c>
      <c r="J161" s="7"/>
    </row>
    <row r="162" spans="1:10" x14ac:dyDescent="0.25">
      <c r="A162" s="42" t="s">
        <v>543</v>
      </c>
      <c r="B162" s="117" t="s">
        <v>313</v>
      </c>
      <c r="C162" s="118" t="s">
        <v>314</v>
      </c>
      <c r="D162" s="199" t="s">
        <v>10</v>
      </c>
      <c r="E162" s="199" t="s">
        <v>136</v>
      </c>
      <c r="F162" s="118" t="s">
        <v>12</v>
      </c>
      <c r="G162" s="118" t="s">
        <v>315</v>
      </c>
      <c r="H162" s="42" t="str">
        <f t="shared" ref="H162:H186" si="0">B162&amp;" "&amp;C162</f>
        <v>OpenG Application Control Library 4.1.0.7</v>
      </c>
      <c r="I162" s="131" t="s">
        <v>202</v>
      </c>
      <c r="J162" s="7"/>
    </row>
    <row r="163" spans="1:10" x14ac:dyDescent="0.25">
      <c r="A163" s="42" t="s">
        <v>543</v>
      </c>
      <c r="B163" s="117" t="s">
        <v>316</v>
      </c>
      <c r="C163" s="118" t="s">
        <v>317</v>
      </c>
      <c r="D163" s="199" t="s">
        <v>10</v>
      </c>
      <c r="E163" s="199" t="s">
        <v>136</v>
      </c>
      <c r="F163" s="118" t="s">
        <v>12</v>
      </c>
      <c r="G163" s="118" t="s">
        <v>315</v>
      </c>
      <c r="H163" s="42" t="str">
        <f t="shared" si="0"/>
        <v>OpenG Array Library 4.1.1.14</v>
      </c>
      <c r="I163" s="131" t="s">
        <v>202</v>
      </c>
      <c r="J163" s="7"/>
    </row>
    <row r="164" spans="1:10" x14ac:dyDescent="0.25">
      <c r="A164" s="42" t="s">
        <v>543</v>
      </c>
      <c r="B164" s="117" t="s">
        <v>318</v>
      </c>
      <c r="C164" s="118" t="s">
        <v>319</v>
      </c>
      <c r="D164" s="199" t="s">
        <v>10</v>
      </c>
      <c r="E164" s="199" t="s">
        <v>136</v>
      </c>
      <c r="F164" s="118" t="s">
        <v>12</v>
      </c>
      <c r="G164" s="118" t="s">
        <v>315</v>
      </c>
      <c r="H164" s="42" t="str">
        <f t="shared" si="0"/>
        <v>OpenG Boolean Library 4.0.0.7</v>
      </c>
      <c r="I164" s="131" t="s">
        <v>202</v>
      </c>
      <c r="J164" s="7"/>
    </row>
    <row r="165" spans="1:10" x14ac:dyDescent="0.25">
      <c r="A165" s="42" t="s">
        <v>543</v>
      </c>
      <c r="B165" s="117" t="s">
        <v>320</v>
      </c>
      <c r="C165" s="118" t="s">
        <v>321</v>
      </c>
      <c r="D165" s="199" t="s">
        <v>10</v>
      </c>
      <c r="E165" s="199" t="s">
        <v>136</v>
      </c>
      <c r="F165" s="118" t="s">
        <v>12</v>
      </c>
      <c r="G165" s="118" t="s">
        <v>315</v>
      </c>
      <c r="H165" s="42" t="str">
        <f t="shared" si="0"/>
        <v>OpenG Builder 3.0.1-2</v>
      </c>
      <c r="I165" s="131" t="s">
        <v>202</v>
      </c>
      <c r="J165" s="7"/>
    </row>
    <row r="166" spans="1:10" x14ac:dyDescent="0.25">
      <c r="A166" s="42" t="s">
        <v>543</v>
      </c>
      <c r="B166" s="117" t="s">
        <v>322</v>
      </c>
      <c r="C166" s="118" t="s">
        <v>319</v>
      </c>
      <c r="D166" s="199" t="s">
        <v>10</v>
      </c>
      <c r="E166" s="199" t="s">
        <v>136</v>
      </c>
      <c r="F166" s="118" t="s">
        <v>12</v>
      </c>
      <c r="G166" s="118" t="s">
        <v>315</v>
      </c>
      <c r="H166" s="42" t="str">
        <f t="shared" si="0"/>
        <v>OpenG Buttons Library 4.0.0.7</v>
      </c>
      <c r="I166" s="131" t="s">
        <v>202</v>
      </c>
      <c r="J166" s="7"/>
    </row>
    <row r="167" spans="1:10" x14ac:dyDescent="0.25">
      <c r="A167" s="42" t="s">
        <v>543</v>
      </c>
      <c r="B167" s="117" t="s">
        <v>323</v>
      </c>
      <c r="C167" s="118" t="s">
        <v>324</v>
      </c>
      <c r="D167" s="199" t="s">
        <v>10</v>
      </c>
      <c r="E167" s="199" t="s">
        <v>136</v>
      </c>
      <c r="F167" s="118" t="s">
        <v>12</v>
      </c>
      <c r="G167" s="118" t="s">
        <v>315</v>
      </c>
      <c r="H167" s="42" t="str">
        <f t="shared" si="0"/>
        <v>OpenG Compare VI To Disk Tool 4.0.0.9</v>
      </c>
      <c r="I167" s="131" t="s">
        <v>202</v>
      </c>
      <c r="J167" s="7"/>
    </row>
    <row r="168" spans="1:10" x14ac:dyDescent="0.25">
      <c r="A168" s="42" t="s">
        <v>543</v>
      </c>
      <c r="B168" s="117" t="s">
        <v>325</v>
      </c>
      <c r="C168" s="118" t="s">
        <v>326</v>
      </c>
      <c r="D168" s="199" t="s">
        <v>10</v>
      </c>
      <c r="E168" s="199" t="s">
        <v>136</v>
      </c>
      <c r="F168" s="118" t="s">
        <v>12</v>
      </c>
      <c r="G168" s="118" t="s">
        <v>315</v>
      </c>
      <c r="H168" s="42" t="str">
        <f t="shared" si="0"/>
        <v>OpenG Comparison Library 4.0.0.3</v>
      </c>
      <c r="I168" s="131" t="s">
        <v>202</v>
      </c>
      <c r="J168" s="7"/>
    </row>
    <row r="169" spans="1:10" x14ac:dyDescent="0.25">
      <c r="A169" s="42" t="s">
        <v>543</v>
      </c>
      <c r="B169" s="117" t="s">
        <v>327</v>
      </c>
      <c r="C169" s="118" t="s">
        <v>328</v>
      </c>
      <c r="D169" s="199" t="s">
        <v>10</v>
      </c>
      <c r="E169" s="199" t="s">
        <v>136</v>
      </c>
      <c r="F169" s="118" t="s">
        <v>12</v>
      </c>
      <c r="G169" s="118" t="s">
        <v>315</v>
      </c>
      <c r="H169" s="42" t="str">
        <f t="shared" si="0"/>
        <v>OpenG Dictionary Library 4.0.0.4</v>
      </c>
      <c r="I169" s="131" t="s">
        <v>202</v>
      </c>
      <c r="J169" s="7"/>
    </row>
    <row r="170" spans="1:10" x14ac:dyDescent="0.25">
      <c r="A170" s="42" t="s">
        <v>543</v>
      </c>
      <c r="B170" s="117" t="s">
        <v>329</v>
      </c>
      <c r="C170" s="118" t="s">
        <v>330</v>
      </c>
      <c r="D170" s="199" t="s">
        <v>10</v>
      </c>
      <c r="E170" s="199" t="s">
        <v>136</v>
      </c>
      <c r="F170" s="118" t="s">
        <v>12</v>
      </c>
      <c r="G170" s="118" t="s">
        <v>315</v>
      </c>
      <c r="H170" s="42" t="str">
        <f t="shared" si="0"/>
        <v>OpenG Error Library 4.2.0.23</v>
      </c>
      <c r="I170" s="131" t="s">
        <v>202</v>
      </c>
      <c r="J170" s="7"/>
    </row>
    <row r="171" spans="1:10" x14ac:dyDescent="0.25">
      <c r="A171" s="42" t="s">
        <v>543</v>
      </c>
      <c r="B171" s="117" t="s">
        <v>331</v>
      </c>
      <c r="C171" s="118" t="s">
        <v>332</v>
      </c>
      <c r="D171" s="199" t="s">
        <v>10</v>
      </c>
      <c r="E171" s="199" t="s">
        <v>136</v>
      </c>
      <c r="F171" s="118" t="s">
        <v>12</v>
      </c>
      <c r="G171" s="118" t="s">
        <v>315</v>
      </c>
      <c r="H171" s="42" t="str">
        <f t="shared" si="0"/>
        <v>OpenG File Library 4.0.1.22</v>
      </c>
      <c r="I171" s="131" t="s">
        <v>202</v>
      </c>
      <c r="J171" s="7"/>
    </row>
    <row r="172" spans="1:10" x14ac:dyDescent="0.25">
      <c r="A172" s="42" t="s">
        <v>543</v>
      </c>
      <c r="B172" s="117" t="s">
        <v>333</v>
      </c>
      <c r="C172" s="118" t="s">
        <v>328</v>
      </c>
      <c r="D172" s="199" t="s">
        <v>10</v>
      </c>
      <c r="E172" s="199" t="s">
        <v>136</v>
      </c>
      <c r="F172" s="118" t="s">
        <v>12</v>
      </c>
      <c r="G172" s="118" t="s">
        <v>334</v>
      </c>
      <c r="H172" s="42" t="str">
        <f t="shared" si="0"/>
        <v>OpenG LabPython Library 4.0.0.4</v>
      </c>
      <c r="I172" s="131" t="s">
        <v>202</v>
      </c>
      <c r="J172" s="7"/>
    </row>
    <row r="173" spans="1:10" x14ac:dyDescent="0.25">
      <c r="A173" s="42" t="s">
        <v>543</v>
      </c>
      <c r="B173" s="117" t="s">
        <v>335</v>
      </c>
      <c r="C173" s="118" t="s">
        <v>336</v>
      </c>
      <c r="D173" s="199" t="s">
        <v>10</v>
      </c>
      <c r="E173" s="199" t="s">
        <v>136</v>
      </c>
      <c r="F173" s="118" t="s">
        <v>12</v>
      </c>
      <c r="G173" s="118" t="s">
        <v>250</v>
      </c>
      <c r="H173" s="42" t="str">
        <f t="shared" si="0"/>
        <v>OpenG LabVIEW Data Library 4.2.0.21</v>
      </c>
      <c r="I173" s="131" t="s">
        <v>202</v>
      </c>
      <c r="J173" s="7"/>
    </row>
    <row r="174" spans="1:10" x14ac:dyDescent="0.25">
      <c r="A174" s="42" t="s">
        <v>543</v>
      </c>
      <c r="B174" s="117" t="s">
        <v>337</v>
      </c>
      <c r="C174" s="118" t="s">
        <v>338</v>
      </c>
      <c r="D174" s="199" t="s">
        <v>10</v>
      </c>
      <c r="E174" s="199" t="s">
        <v>136</v>
      </c>
      <c r="F174" s="118" t="s">
        <v>12</v>
      </c>
      <c r="G174" s="118" t="s">
        <v>315</v>
      </c>
      <c r="H174" s="42" t="str">
        <f t="shared" si="0"/>
        <v>OpenG LabVIEW ZIP Library 4.0.0-2</v>
      </c>
      <c r="I174" s="131" t="s">
        <v>202</v>
      </c>
      <c r="J174" s="7"/>
    </row>
    <row r="175" spans="1:10" x14ac:dyDescent="0.25">
      <c r="A175" s="42" t="s">
        <v>543</v>
      </c>
      <c r="B175" s="117" t="s">
        <v>339</v>
      </c>
      <c r="C175" s="118" t="s">
        <v>326</v>
      </c>
      <c r="D175" s="199" t="s">
        <v>10</v>
      </c>
      <c r="E175" s="199" t="s">
        <v>136</v>
      </c>
      <c r="F175" s="118" t="s">
        <v>12</v>
      </c>
      <c r="G175" s="118" t="s">
        <v>315</v>
      </c>
      <c r="H175" s="42" t="str">
        <f t="shared" si="0"/>
        <v>OpenG Large File Library 4.0.0.3</v>
      </c>
      <c r="I175" s="131" t="s">
        <v>202</v>
      </c>
      <c r="J175" s="7"/>
    </row>
    <row r="176" spans="1:10" x14ac:dyDescent="0.25">
      <c r="A176" s="42" t="s">
        <v>543</v>
      </c>
      <c r="B176" s="117" t="s">
        <v>340</v>
      </c>
      <c r="C176" s="118" t="s">
        <v>319</v>
      </c>
      <c r="D176" s="199" t="s">
        <v>10</v>
      </c>
      <c r="E176" s="199" t="s">
        <v>136</v>
      </c>
      <c r="F176" s="118" t="s">
        <v>12</v>
      </c>
      <c r="G176" s="118" t="s">
        <v>315</v>
      </c>
      <c r="H176" s="42" t="str">
        <f t="shared" si="0"/>
        <v>OpenG Locate File In Project Tool 4.0.0.7</v>
      </c>
      <c r="I176" s="131" t="s">
        <v>202</v>
      </c>
      <c r="J176" s="7"/>
    </row>
    <row r="177" spans="1:10" x14ac:dyDescent="0.25">
      <c r="A177" s="42" t="s">
        <v>543</v>
      </c>
      <c r="B177" s="117" t="s">
        <v>341</v>
      </c>
      <c r="C177" s="118" t="s">
        <v>342</v>
      </c>
      <c r="D177" s="199" t="s">
        <v>10</v>
      </c>
      <c r="E177" s="199" t="s">
        <v>136</v>
      </c>
      <c r="F177" s="118" t="s">
        <v>12</v>
      </c>
      <c r="G177" s="118" t="s">
        <v>315</v>
      </c>
      <c r="H177" s="42" t="str">
        <f t="shared" si="0"/>
        <v>OpenG MD5 Digest Library 4.1.1.10</v>
      </c>
      <c r="I177" s="131" t="s">
        <v>202</v>
      </c>
      <c r="J177" s="7"/>
    </row>
    <row r="178" spans="1:10" x14ac:dyDescent="0.25">
      <c r="A178" s="42" t="s">
        <v>543</v>
      </c>
      <c r="B178" s="117" t="s">
        <v>343</v>
      </c>
      <c r="C178" s="118" t="s">
        <v>344</v>
      </c>
      <c r="D178" s="199" t="s">
        <v>10</v>
      </c>
      <c r="E178" s="199" t="s">
        <v>136</v>
      </c>
      <c r="F178" s="118" t="s">
        <v>12</v>
      </c>
      <c r="G178" s="118" t="s">
        <v>315</v>
      </c>
      <c r="H178" s="42" t="str">
        <f t="shared" si="0"/>
        <v>OpenG Message Queue Library 4.0.0.15</v>
      </c>
      <c r="I178" s="131" t="s">
        <v>202</v>
      </c>
      <c r="J178" s="7"/>
    </row>
    <row r="179" spans="1:10" x14ac:dyDescent="0.25">
      <c r="A179" s="42" t="s">
        <v>543</v>
      </c>
      <c r="B179" s="117" t="s">
        <v>345</v>
      </c>
      <c r="C179" s="118" t="s">
        <v>346</v>
      </c>
      <c r="D179" s="199" t="s">
        <v>10</v>
      </c>
      <c r="E179" s="199" t="s">
        <v>136</v>
      </c>
      <c r="F179" s="118" t="s">
        <v>12</v>
      </c>
      <c r="G179" s="118" t="s">
        <v>315</v>
      </c>
      <c r="H179" s="42" t="str">
        <f t="shared" si="0"/>
        <v>OpenG Numeric Library 4.1.0.8</v>
      </c>
      <c r="I179" s="131" t="s">
        <v>202</v>
      </c>
      <c r="J179" s="7"/>
    </row>
    <row r="180" spans="1:10" x14ac:dyDescent="0.25">
      <c r="A180" s="42" t="s">
        <v>543</v>
      </c>
      <c r="B180" s="117" t="s">
        <v>347</v>
      </c>
      <c r="C180" s="118" t="s">
        <v>348</v>
      </c>
      <c r="D180" s="199" t="s">
        <v>10</v>
      </c>
      <c r="E180" s="199" t="s">
        <v>136</v>
      </c>
      <c r="F180" s="118" t="s">
        <v>12</v>
      </c>
      <c r="G180" s="118" t="s">
        <v>315</v>
      </c>
      <c r="H180" s="42" t="str">
        <f t="shared" si="0"/>
        <v>OpenG Picture Library 4.0.0.13</v>
      </c>
      <c r="I180" s="131" t="s">
        <v>202</v>
      </c>
      <c r="J180" s="7"/>
    </row>
    <row r="181" spans="1:10" x14ac:dyDescent="0.25">
      <c r="A181" s="42" t="s">
        <v>543</v>
      </c>
      <c r="B181" s="117" t="s">
        <v>349</v>
      </c>
      <c r="C181" s="118" t="s">
        <v>338</v>
      </c>
      <c r="D181" s="199" t="s">
        <v>10</v>
      </c>
      <c r="E181" s="199" t="s">
        <v>136</v>
      </c>
      <c r="F181" s="118" t="s">
        <v>12</v>
      </c>
      <c r="G181" s="118" t="s">
        <v>315</v>
      </c>
      <c r="H181" s="42" t="str">
        <f t="shared" si="0"/>
        <v>OpenG Port IO 4.0.0-2</v>
      </c>
      <c r="I181" s="131" t="s">
        <v>202</v>
      </c>
      <c r="J181" s="7"/>
    </row>
    <row r="182" spans="1:10" x14ac:dyDescent="0.25">
      <c r="A182" s="42" t="s">
        <v>543</v>
      </c>
      <c r="B182" s="117" t="s">
        <v>350</v>
      </c>
      <c r="C182" s="118" t="s">
        <v>344</v>
      </c>
      <c r="D182" s="199" t="s">
        <v>10</v>
      </c>
      <c r="E182" s="199" t="s">
        <v>136</v>
      </c>
      <c r="F182" s="118" t="s">
        <v>12</v>
      </c>
      <c r="G182" s="118" t="s">
        <v>315</v>
      </c>
      <c r="H182" s="42" t="str">
        <f t="shared" si="0"/>
        <v>OpenG Rename Folder of VIs Tool 4.0.0.15</v>
      </c>
      <c r="I182" s="131" t="s">
        <v>202</v>
      </c>
      <c r="J182" s="7"/>
    </row>
    <row r="183" spans="1:10" x14ac:dyDescent="0.25">
      <c r="A183" s="42" t="s">
        <v>543</v>
      </c>
      <c r="B183" s="117" t="s">
        <v>351</v>
      </c>
      <c r="C183" s="118" t="s">
        <v>352</v>
      </c>
      <c r="D183" s="199" t="s">
        <v>10</v>
      </c>
      <c r="E183" s="199" t="s">
        <v>136</v>
      </c>
      <c r="F183" s="118" t="s">
        <v>12</v>
      </c>
      <c r="G183" s="118" t="s">
        <v>315</v>
      </c>
      <c r="H183" s="42" t="str">
        <f t="shared" si="0"/>
        <v>OpenG String Library 4.1.0.12</v>
      </c>
      <c r="I183" s="131" t="s">
        <v>202</v>
      </c>
      <c r="J183" s="7"/>
    </row>
    <row r="184" spans="1:10" x14ac:dyDescent="0.25">
      <c r="A184" s="42" t="s">
        <v>543</v>
      </c>
      <c r="B184" s="117" t="s">
        <v>355</v>
      </c>
      <c r="C184" s="118" t="s">
        <v>356</v>
      </c>
      <c r="D184" s="199" t="s">
        <v>10</v>
      </c>
      <c r="E184" s="199" t="s">
        <v>136</v>
      </c>
      <c r="F184" s="118" t="s">
        <v>12</v>
      </c>
      <c r="G184" s="118" t="s">
        <v>315</v>
      </c>
      <c r="H184" s="42" t="str">
        <f t="shared" si="0"/>
        <v>OpenG Toolkit 4.0.1.9</v>
      </c>
      <c r="I184" s="131" t="s">
        <v>202</v>
      </c>
      <c r="J184" s="7"/>
    </row>
    <row r="185" spans="1:10" x14ac:dyDescent="0.25">
      <c r="A185" s="42" t="s">
        <v>543</v>
      </c>
      <c r="B185" s="117" t="s">
        <v>357</v>
      </c>
      <c r="C185" s="118" t="s">
        <v>358</v>
      </c>
      <c r="D185" s="199" t="s">
        <v>10</v>
      </c>
      <c r="E185" s="199" t="s">
        <v>136</v>
      </c>
      <c r="F185" s="118" t="s">
        <v>12</v>
      </c>
      <c r="G185" s="118" t="s">
        <v>315</v>
      </c>
      <c r="H185" s="42" t="str">
        <f t="shared" si="0"/>
        <v>OpenG Variant Configuration File Library 4.0.0.5</v>
      </c>
      <c r="I185" s="131" t="s">
        <v>202</v>
      </c>
      <c r="J185" s="7"/>
    </row>
    <row r="186" spans="1:10" x14ac:dyDescent="0.25">
      <c r="A186" s="42" t="s">
        <v>543</v>
      </c>
      <c r="B186" s="117" t="s">
        <v>167</v>
      </c>
      <c r="C186" s="118" t="s">
        <v>168</v>
      </c>
      <c r="D186" s="199" t="s">
        <v>10</v>
      </c>
      <c r="E186" s="199" t="s">
        <v>136</v>
      </c>
      <c r="F186" s="118" t="s">
        <v>12</v>
      </c>
      <c r="G186" s="118" t="s">
        <v>167</v>
      </c>
      <c r="H186" s="42" t="str">
        <f t="shared" si="0"/>
        <v>OpenGDS 1.1.17</v>
      </c>
      <c r="I186" s="131" t="s">
        <v>202</v>
      </c>
      <c r="J186" s="7"/>
    </row>
    <row r="187" spans="1:10" x14ac:dyDescent="0.25">
      <c r="A187" s="42" t="s">
        <v>543</v>
      </c>
      <c r="B187" s="42" t="s">
        <v>78</v>
      </c>
      <c r="C187" s="42" t="s">
        <v>79</v>
      </c>
      <c r="D187" s="42">
        <v>32</v>
      </c>
      <c r="E187" s="42">
        <v>2015</v>
      </c>
      <c r="F187" s="42" t="s">
        <v>12</v>
      </c>
      <c r="G187" s="42" t="s">
        <v>13</v>
      </c>
      <c r="H187" s="42" t="str">
        <f>B187&amp;" "&amp;C187</f>
        <v>PID Toolkit 2.1.0</v>
      </c>
      <c r="I187" s="36" t="s">
        <v>42</v>
      </c>
      <c r="J187" s="7"/>
    </row>
    <row r="188" spans="1:10" x14ac:dyDescent="0.25">
      <c r="A188" s="42" t="s">
        <v>543</v>
      </c>
      <c r="B188" s="42" t="s">
        <v>80</v>
      </c>
      <c r="C188" s="42" t="s">
        <v>81</v>
      </c>
      <c r="D188" s="42">
        <v>32</v>
      </c>
      <c r="E188" s="42">
        <v>2015</v>
      </c>
      <c r="F188" s="42" t="s">
        <v>12</v>
      </c>
      <c r="G188" s="42" t="s">
        <v>13</v>
      </c>
      <c r="H188" s="42" t="str">
        <f>B188&amp;" "&amp;C188</f>
        <v>Profiler Toolkit 1.0.0</v>
      </c>
      <c r="I188" s="36" t="s">
        <v>42</v>
      </c>
      <c r="J188" s="7"/>
    </row>
    <row r="189" spans="1:10" x14ac:dyDescent="0.25">
      <c r="A189" s="42" t="s">
        <v>543</v>
      </c>
      <c r="B189" s="42" t="s">
        <v>35</v>
      </c>
      <c r="C189" s="42" t="s">
        <v>9</v>
      </c>
      <c r="D189" s="42">
        <v>32</v>
      </c>
      <c r="E189" s="42">
        <v>2015</v>
      </c>
      <c r="F189" s="42" t="s">
        <v>12</v>
      </c>
      <c r="G189" s="42" t="s">
        <v>13</v>
      </c>
      <c r="H189" s="42" t="str">
        <f>B189&amp;" "&amp;C189</f>
        <v>Real-Time 15.0.0</v>
      </c>
      <c r="I189" s="36" t="s">
        <v>42</v>
      </c>
      <c r="J189" s="7"/>
    </row>
    <row r="190" spans="1:10" x14ac:dyDescent="0.25">
      <c r="A190" s="42" t="s">
        <v>543</v>
      </c>
      <c r="B190" s="42" t="s">
        <v>35</v>
      </c>
      <c r="C190" s="42" t="s">
        <v>92</v>
      </c>
      <c r="D190" s="42">
        <v>32</v>
      </c>
      <c r="E190" s="42">
        <v>2015</v>
      </c>
      <c r="F190" s="42" t="s">
        <v>12</v>
      </c>
      <c r="G190" s="42" t="s">
        <v>13</v>
      </c>
      <c r="H190" s="42" t="str">
        <f>B190&amp;" "&amp;C190</f>
        <v>Real-Time 15.0.1</v>
      </c>
      <c r="I190" s="40" t="s">
        <v>465</v>
      </c>
      <c r="J190" s="7"/>
    </row>
    <row r="191" spans="1:10" x14ac:dyDescent="0.25">
      <c r="A191" s="42" t="s">
        <v>543</v>
      </c>
      <c r="B191" s="42" t="s">
        <v>82</v>
      </c>
      <c r="C191" s="42" t="s">
        <v>9</v>
      </c>
      <c r="D191" s="42">
        <v>32</v>
      </c>
      <c r="E191" s="42">
        <v>2015</v>
      </c>
      <c r="F191" s="42" t="s">
        <v>12</v>
      </c>
      <c r="G191" s="42" t="s">
        <v>13</v>
      </c>
      <c r="H191" s="42" t="str">
        <f>B191&amp;" "&amp;C191</f>
        <v>Real-Time Trace Viewer - CVI Support 15.0.0</v>
      </c>
      <c r="I191" s="36" t="s">
        <v>42</v>
      </c>
      <c r="J191" s="7"/>
    </row>
    <row r="192" spans="1:10" x14ac:dyDescent="0.25">
      <c r="A192" s="42" t="s">
        <v>543</v>
      </c>
      <c r="B192" s="42" t="s">
        <v>36</v>
      </c>
      <c r="C192" s="42" t="s">
        <v>92</v>
      </c>
      <c r="D192" s="42">
        <v>32</v>
      </c>
      <c r="E192" s="42">
        <v>2015</v>
      </c>
      <c r="F192" s="42" t="s">
        <v>12</v>
      </c>
      <c r="G192" s="42" t="s">
        <v>13</v>
      </c>
      <c r="H192" s="42" t="str">
        <f>B192&amp;" "&amp;C192</f>
        <v>Real-Time Trace Viewer - LabVIEW 2015 Support 15.0.1</v>
      </c>
      <c r="I192" s="40" t="s">
        <v>465</v>
      </c>
      <c r="J192" s="7"/>
    </row>
    <row r="193" spans="1:10" x14ac:dyDescent="0.25">
      <c r="A193" s="42" t="s">
        <v>543</v>
      </c>
      <c r="B193" s="42" t="s">
        <v>37</v>
      </c>
      <c r="C193" s="42" t="s">
        <v>9</v>
      </c>
      <c r="D193" s="42">
        <v>32</v>
      </c>
      <c r="E193" s="42">
        <v>2015</v>
      </c>
      <c r="F193" s="42" t="s">
        <v>12</v>
      </c>
      <c r="G193" s="42" t="s">
        <v>13</v>
      </c>
      <c r="H193" s="42" t="str">
        <f>B193&amp;" "&amp;C193</f>
        <v>Report Generation Toolkit For Microsoft Office 15.0.0</v>
      </c>
      <c r="I193" s="36" t="s">
        <v>42</v>
      </c>
      <c r="J193" s="7"/>
    </row>
    <row r="194" spans="1:10" x14ac:dyDescent="0.25">
      <c r="A194" s="42" t="s">
        <v>543</v>
      </c>
      <c r="B194" s="42" t="s">
        <v>83</v>
      </c>
      <c r="C194" s="42" t="s">
        <v>84</v>
      </c>
      <c r="D194" s="42">
        <v>32</v>
      </c>
      <c r="E194" s="42">
        <v>2015</v>
      </c>
      <c r="F194" s="42" t="s">
        <v>12</v>
      </c>
      <c r="G194" s="42" t="s">
        <v>13</v>
      </c>
      <c r="H194" s="42" t="str">
        <f>B194&amp;" "&amp;C194</f>
        <v>Signal Processing Toolkit 7.0.2</v>
      </c>
      <c r="I194" s="36" t="s">
        <v>42</v>
      </c>
      <c r="J194" s="7"/>
    </row>
    <row r="195" spans="1:10" x14ac:dyDescent="0.25">
      <c r="A195" s="42" t="s">
        <v>543</v>
      </c>
      <c r="B195" s="42" t="s">
        <v>85</v>
      </c>
      <c r="C195" s="42" t="s">
        <v>86</v>
      </c>
      <c r="D195" s="42">
        <v>32</v>
      </c>
      <c r="E195" s="42">
        <v>2015</v>
      </c>
      <c r="F195" s="42" t="s">
        <v>12</v>
      </c>
      <c r="G195" s="42" t="s">
        <v>13</v>
      </c>
      <c r="H195" s="42" t="str">
        <f>B195&amp;" "&amp;C195</f>
        <v>SQL Toolkit 2.3.0</v>
      </c>
      <c r="I195" s="36" t="s">
        <v>42</v>
      </c>
      <c r="J195" s="7"/>
    </row>
    <row r="196" spans="1:10" x14ac:dyDescent="0.25">
      <c r="A196" s="42" t="s">
        <v>543</v>
      </c>
      <c r="B196" s="42" t="s">
        <v>38</v>
      </c>
      <c r="C196" s="42" t="s">
        <v>9</v>
      </c>
      <c r="D196" s="42">
        <v>32</v>
      </c>
      <c r="E196" s="42">
        <v>2015</v>
      </c>
      <c r="F196" s="42" t="s">
        <v>12</v>
      </c>
      <c r="G196" s="42" t="s">
        <v>13</v>
      </c>
      <c r="H196" s="42" t="str">
        <f>B196&amp;" "&amp;C196</f>
        <v>Statechart Module 15.0.0</v>
      </c>
      <c r="I196" s="36" t="s">
        <v>42</v>
      </c>
      <c r="J196" s="7"/>
    </row>
    <row r="197" spans="1:10" x14ac:dyDescent="0.25">
      <c r="A197" s="42" t="s">
        <v>543</v>
      </c>
      <c r="B197" s="117" t="s">
        <v>359</v>
      </c>
      <c r="C197" s="118" t="s">
        <v>360</v>
      </c>
      <c r="D197" s="199" t="s">
        <v>10</v>
      </c>
      <c r="E197" s="199" t="s">
        <v>136</v>
      </c>
      <c r="F197" s="118" t="s">
        <v>12</v>
      </c>
      <c r="G197" s="118" t="s">
        <v>13</v>
      </c>
      <c r="H197" s="117" t="str">
        <f>B197&amp;" "&amp;C197</f>
        <v>Structure Error Handler 2.1.10.1</v>
      </c>
      <c r="I197" s="131" t="s">
        <v>202</v>
      </c>
      <c r="J197" s="7"/>
    </row>
    <row r="198" spans="1:10" x14ac:dyDescent="0.25">
      <c r="A198" s="42" t="s">
        <v>543</v>
      </c>
      <c r="B198" s="42" t="s">
        <v>39</v>
      </c>
      <c r="C198" s="42" t="s">
        <v>9</v>
      </c>
      <c r="D198" s="42">
        <v>32</v>
      </c>
      <c r="E198" s="42">
        <v>2015</v>
      </c>
      <c r="F198" s="42" t="s">
        <v>12</v>
      </c>
      <c r="G198" s="42" t="s">
        <v>13</v>
      </c>
      <c r="H198" s="42" t="str">
        <f>B198&amp;" "&amp;C198</f>
        <v>Unit Test Framework Toolkit 15.0.0</v>
      </c>
      <c r="I198" s="36" t="s">
        <v>42</v>
      </c>
      <c r="J198" s="7"/>
    </row>
    <row r="199" spans="1:10" x14ac:dyDescent="0.25">
      <c r="A199" s="42" t="s">
        <v>543</v>
      </c>
      <c r="B199" s="42" t="s">
        <v>384</v>
      </c>
      <c r="C199" s="42" t="s">
        <v>429</v>
      </c>
      <c r="D199" s="42" t="s">
        <v>10</v>
      </c>
      <c r="E199" s="42" t="s">
        <v>119</v>
      </c>
      <c r="F199" s="42" t="s">
        <v>12</v>
      </c>
      <c r="G199" s="42" t="s">
        <v>13</v>
      </c>
      <c r="H199" s="42" t="str">
        <f>B199&amp;" "&amp;C199</f>
        <v>USB3 Vision Driver 19.0.0.49152</v>
      </c>
      <c r="I199" s="39" t="s">
        <v>424</v>
      </c>
      <c r="J199" s="7"/>
    </row>
    <row r="200" spans="1:10" x14ac:dyDescent="0.25">
      <c r="A200" s="42" t="s">
        <v>543</v>
      </c>
      <c r="B200" s="42" t="s">
        <v>40</v>
      </c>
      <c r="C200" s="42" t="s">
        <v>9</v>
      </c>
      <c r="D200" s="42">
        <v>32</v>
      </c>
      <c r="E200" s="42">
        <v>2015</v>
      </c>
      <c r="F200" s="42" t="s">
        <v>12</v>
      </c>
      <c r="G200" s="42" t="s">
        <v>13</v>
      </c>
      <c r="H200" s="42" t="str">
        <f>B200&amp;" "&amp;C200</f>
        <v>VI Analyzer Toolkit 15.0.0</v>
      </c>
      <c r="I200" s="194" t="s">
        <v>42</v>
      </c>
      <c r="J200" s="7"/>
    </row>
    <row r="201" spans="1:10" x14ac:dyDescent="0.25">
      <c r="A201" s="42" t="s">
        <v>543</v>
      </c>
      <c r="B201" s="42" t="s">
        <v>370</v>
      </c>
      <c r="C201" s="42" t="s">
        <v>135</v>
      </c>
      <c r="D201" s="42" t="s">
        <v>10</v>
      </c>
      <c r="E201" s="42" t="s">
        <v>119</v>
      </c>
      <c r="F201" s="42" t="s">
        <v>12</v>
      </c>
      <c r="G201" s="42" t="s">
        <v>13</v>
      </c>
      <c r="H201" s="132" t="str">
        <f>B201&amp;" "&amp;C201</f>
        <v>Vision Common Resources 19.0.0</v>
      </c>
      <c r="I201" s="39" t="s">
        <v>424</v>
      </c>
      <c r="J201" s="7"/>
    </row>
    <row r="202" spans="1:10" x14ac:dyDescent="0.25">
      <c r="A202" s="42" t="s">
        <v>543</v>
      </c>
      <c r="B202" s="42" t="s">
        <v>390</v>
      </c>
      <c r="C202" s="42" t="s">
        <v>135</v>
      </c>
      <c r="D202" s="42" t="s">
        <v>10</v>
      </c>
      <c r="E202" s="42" t="s">
        <v>119</v>
      </c>
      <c r="F202" s="42" t="s">
        <v>12</v>
      </c>
      <c r="G202" s="42" t="s">
        <v>13</v>
      </c>
      <c r="H202" s="132" t="str">
        <f>B202&amp;" "&amp;C202</f>
        <v>Vision Development Module 19.0.0</v>
      </c>
      <c r="I202" s="39" t="s">
        <v>424</v>
      </c>
    </row>
    <row r="203" spans="1:10" x14ac:dyDescent="0.25">
      <c r="A203" s="42" t="s">
        <v>543</v>
      </c>
      <c r="B203" s="42" t="s">
        <v>391</v>
      </c>
      <c r="C203" s="42" t="s">
        <v>135</v>
      </c>
      <c r="D203" s="42" t="s">
        <v>10</v>
      </c>
      <c r="E203" s="42" t="s">
        <v>119</v>
      </c>
      <c r="F203" s="42" t="s">
        <v>24</v>
      </c>
      <c r="G203" s="42" t="s">
        <v>13</v>
      </c>
      <c r="H203" s="132" t="str">
        <f>B203&amp;" "&amp;C203</f>
        <v>Vision Development Module Support 19.0.0</v>
      </c>
      <c r="I203" s="39" t="s">
        <v>424</v>
      </c>
    </row>
    <row r="204" spans="1:10" x14ac:dyDescent="0.25">
      <c r="A204" s="42" t="s">
        <v>543</v>
      </c>
      <c r="B204" s="199" t="s">
        <v>361</v>
      </c>
      <c r="C204" s="199" t="s">
        <v>362</v>
      </c>
      <c r="D204" s="199" t="s">
        <v>10</v>
      </c>
      <c r="E204" s="199" t="s">
        <v>136</v>
      </c>
      <c r="F204" s="118" t="s">
        <v>12</v>
      </c>
      <c r="G204" s="118" t="s">
        <v>13</v>
      </c>
      <c r="H204" s="117" t="str">
        <f>B204&amp;" "&amp;C204</f>
        <v>UI Tools 1.4.1.74</v>
      </c>
      <c r="I204" s="131" t="s">
        <v>202</v>
      </c>
    </row>
  </sheetData>
  <autoFilter ref="A3:I203" xr:uid="{F7F44E2F-0633-42B7-8978-CE6606F45AA2}">
    <sortState xmlns:xlrd2="http://schemas.microsoft.com/office/spreadsheetml/2017/richdata2" ref="A4:I203">
      <sortCondition ref="B3:B201"/>
    </sortState>
  </autoFilter>
  <mergeCells count="1">
    <mergeCell ref="A1:I2"/>
  </mergeCells>
  <phoneticPr fontId="11" type="noConversion"/>
  <hyperlinks>
    <hyperlink ref="G162" r:id="rId1" display="http://openg.org/" xr:uid="{94DE825F-40B6-4387-9F1C-951610EE4F8C}"/>
    <hyperlink ref="G163" r:id="rId2" display="http://openg.org/" xr:uid="{EC864293-D4B6-440C-92F2-E872DCE7F5EA}"/>
    <hyperlink ref="G164" r:id="rId3" display="http://openg.org/" xr:uid="{59926EC3-CCF4-4382-BF24-5D6957296D07}"/>
    <hyperlink ref="G165" r:id="rId4" display="http://openg.org/" xr:uid="{9C65155C-ABD2-420D-98E0-1AF047922082}"/>
    <hyperlink ref="G166" r:id="rId5" display="http://openg.org/" xr:uid="{9067E9C6-C468-498D-9061-A8BF6CFC9A17}"/>
    <hyperlink ref="G167" r:id="rId6" display="http://openg.org/" xr:uid="{FE6117BC-4981-48CF-A505-E29D04BB793C}"/>
    <hyperlink ref="G168" r:id="rId7" display="http://openg.org/" xr:uid="{93E65643-0CA7-486F-B28B-F9627208B269}"/>
    <hyperlink ref="G169" r:id="rId8" display="http://openg.org/" xr:uid="{B0CC4F5B-CDAF-4F0A-9EBB-05EE260E63E9}"/>
    <hyperlink ref="G170" r:id="rId9" display="http://openg.org/" xr:uid="{B00C33B9-481E-411C-B359-7B94C6327F21}"/>
    <hyperlink ref="G171" r:id="rId10" display="http://openg.org/" xr:uid="{6920A437-0038-4AAA-B76B-D2E62C680F6E}"/>
    <hyperlink ref="G174" r:id="rId11" display="http://openg.org/" xr:uid="{53120ABC-DD9C-4D9D-848A-50323FAD5B45}"/>
    <hyperlink ref="G175" r:id="rId12" display="http://openg.org/" xr:uid="{5E14D255-D0ED-452E-8F71-27A08007DDFC}"/>
    <hyperlink ref="G176" r:id="rId13" display="http://openg.org/" xr:uid="{CDAEF7E2-09B1-4EE7-90A7-7EF1E88858D5}"/>
    <hyperlink ref="G177" r:id="rId14" display="http://openg.org/" xr:uid="{4DD43253-860F-4470-BF5C-0174B9451262}"/>
    <hyperlink ref="G178" r:id="rId15" display="http://openg.org/" xr:uid="{E67E3B58-E38E-4895-BDDA-504251B6DFD9}"/>
    <hyperlink ref="G179" r:id="rId16" display="http://openg.org/" xr:uid="{832FC967-DEAC-40E0-94A0-6A47A8DDD64D}"/>
    <hyperlink ref="G180" r:id="rId17" display="http://openg.org/" xr:uid="{E055781F-D0E1-4D3B-AC3A-145833888C6B}"/>
    <hyperlink ref="G181" r:id="rId18" display="http://openg.org/" xr:uid="{AF0FB1F7-C1AE-4E39-9955-2C1FC9EF7F19}"/>
    <hyperlink ref="G182" r:id="rId19" display="http://openg.org/" xr:uid="{2906DFDA-015E-4631-A934-B0CDE2A5B82B}"/>
    <hyperlink ref="G183" r:id="rId20" display="http://openg.org/" xr:uid="{6362BA8C-A9A3-4616-9F30-86912C5AAF23}"/>
    <hyperlink ref="G184" r:id="rId21" display="http://openg.org/" xr:uid="{2CAE8D70-C655-4B7C-8F0A-439D83EE0F22}"/>
    <hyperlink ref="G185" r:id="rId22" display="http://openg.org/" xr:uid="{7E6C4E7C-31ED-4338-BBB3-0B490FE7FE38}"/>
    <hyperlink ref="G161" r:id="rId23" display="http://openg.org/" xr:uid="{0A753B69-547E-47A0-9F68-FD1C4FA17AC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5412E-67A0-4436-B27C-26CC56C27032}">
  <sheetPr filterMode="1"/>
  <dimension ref="A1:J405"/>
  <sheetViews>
    <sheetView showZeros="0" tabSelected="1" workbookViewId="0">
      <selection activeCell="A407" sqref="A407"/>
    </sheetView>
  </sheetViews>
  <sheetFormatPr defaultRowHeight="15" x14ac:dyDescent="0.25"/>
  <cols>
    <col min="1" max="1" width="9.7109375" style="193" bestFit="1" customWidth="1"/>
    <col min="2" max="2" width="44.140625" style="193" bestFit="1" customWidth="1"/>
    <col min="3" max="3" width="12.42578125" style="193" bestFit="1" customWidth="1"/>
    <col min="4" max="4" width="12.28515625" style="193" bestFit="1" customWidth="1"/>
    <col min="5" max="5" width="11.140625" style="193" bestFit="1" customWidth="1"/>
    <col min="6" max="6" width="26.7109375" style="193" bestFit="1" customWidth="1"/>
    <col min="7" max="7" width="15.28515625" style="193" bestFit="1" customWidth="1"/>
    <col min="8" max="8" width="51" style="193" bestFit="1" customWidth="1"/>
    <col min="9" max="9" width="44" style="193" bestFit="1" customWidth="1"/>
    <col min="10" max="10" width="18.5703125" style="193" bestFit="1" customWidth="1"/>
    <col min="11" max="16384" width="9.140625" style="193"/>
  </cols>
  <sheetData>
    <row r="1" spans="1:10" x14ac:dyDescent="0.25">
      <c r="A1" s="31" t="s">
        <v>98</v>
      </c>
      <c r="B1" s="32" t="s">
        <v>99</v>
      </c>
      <c r="C1" s="32" t="s">
        <v>3</v>
      </c>
      <c r="D1" s="32" t="s">
        <v>4</v>
      </c>
      <c r="E1" s="32" t="s">
        <v>5</v>
      </c>
      <c r="F1" s="32" t="s">
        <v>100</v>
      </c>
      <c r="G1" s="32" t="s">
        <v>6</v>
      </c>
      <c r="H1" s="33" t="s">
        <v>101</v>
      </c>
      <c r="I1" s="34" t="s">
        <v>7</v>
      </c>
      <c r="J1" s="193" t="s">
        <v>553</v>
      </c>
    </row>
    <row r="2" spans="1:10" hidden="1" x14ac:dyDescent="0.25">
      <c r="A2" s="149" t="str">
        <f>Scott!A4</f>
        <v>3-Scott</v>
      </c>
      <c r="B2" s="149" t="str">
        <f>Scott!B4</f>
        <v>Advanced Signal Processing Toolkit</v>
      </c>
      <c r="C2" s="149" t="str">
        <f>Scott!C4</f>
        <v>15.0.0</v>
      </c>
      <c r="D2" s="149">
        <f>Scott!D4</f>
        <v>32</v>
      </c>
      <c r="E2" s="149">
        <f>Scott!E4</f>
        <v>2015</v>
      </c>
      <c r="F2" s="149" t="str">
        <f>Scott!F4</f>
        <v>Development</v>
      </c>
      <c r="G2" s="149" t="str">
        <f>Scott!G4</f>
        <v>NI</v>
      </c>
      <c r="H2" s="149" t="str">
        <f>Scott!H4</f>
        <v>Advanced Signal Processing Toolkit 15.0.0</v>
      </c>
      <c r="I2" s="149" t="str">
        <f>Scott!I4</f>
        <v>NI Developer Suite 2015 DS2 Install</v>
      </c>
      <c r="J2" s="195" t="s">
        <v>550</v>
      </c>
    </row>
    <row r="3" spans="1:10" hidden="1" x14ac:dyDescent="0.25">
      <c r="A3" s="148" t="str">
        <f>Originals!A166</f>
        <v>4-Vinnie</v>
      </c>
      <c r="B3" s="148" t="str">
        <f>Originals!B166</f>
        <v>C Series Module Support</v>
      </c>
      <c r="C3" s="148" t="str">
        <f>Originals!C166</f>
        <v>15.5.0</v>
      </c>
      <c r="D3" s="148" t="str">
        <f>Originals!D166</f>
        <v>32</v>
      </c>
      <c r="E3" s="148">
        <f>Originals!E166</f>
        <v>2015</v>
      </c>
      <c r="F3" s="148" t="str">
        <f>Originals!F166</f>
        <v>Development</v>
      </c>
      <c r="G3" s="148" t="str">
        <f>Originals!G166</f>
        <v>NI</v>
      </c>
      <c r="H3" s="148" t="str">
        <f>Originals!H166</f>
        <v>C Series Module Support 15.5.0</v>
      </c>
      <c r="I3" s="148">
        <f>Originals!I166</f>
        <v>0</v>
      </c>
      <c r="J3" s="195" t="s">
        <v>550</v>
      </c>
    </row>
    <row r="4" spans="1:10" hidden="1" x14ac:dyDescent="0.25">
      <c r="A4" s="149" t="str">
        <f>Scott!A5</f>
        <v>3-Scott</v>
      </c>
      <c r="B4" s="149" t="str">
        <f>Scott!B5</f>
        <v>C Series Module Support</v>
      </c>
      <c r="C4" s="149" t="str">
        <f>Scott!C5</f>
        <v>18.1.0</v>
      </c>
      <c r="D4" s="149" t="str">
        <f>Scott!D5</f>
        <v>32</v>
      </c>
      <c r="E4" s="149" t="str">
        <f>Scott!E5</f>
        <v>2018</v>
      </c>
      <c r="F4" s="149" t="str">
        <f>Scott!F5</f>
        <v>Development</v>
      </c>
      <c r="G4" s="149" t="str">
        <f>Scott!G5</f>
        <v>NI</v>
      </c>
      <c r="H4" s="149" t="str">
        <f>Scott!H5</f>
        <v>C Series Module Support 18.1.0</v>
      </c>
      <c r="I4" s="149" t="str">
        <f>Scott!I5</f>
        <v>CompactRIO 18.1.0</v>
      </c>
      <c r="J4" s="195" t="s">
        <v>550</v>
      </c>
    </row>
    <row r="5" spans="1:10" hidden="1" x14ac:dyDescent="0.25">
      <c r="A5" s="148" t="str">
        <f>Originals!A167</f>
        <v>4-Vinnie</v>
      </c>
      <c r="B5" s="148" t="str">
        <f>Originals!B167</f>
        <v>Caraya Unit Test Framework</v>
      </c>
      <c r="C5" s="148" t="str">
        <f>Originals!C167</f>
        <v>0.6.3.54</v>
      </c>
      <c r="D5" s="148" t="str">
        <f>Originals!D167</f>
        <v>32</v>
      </c>
      <c r="E5" s="148" t="str">
        <f>Originals!E167</f>
        <v>N/A</v>
      </c>
      <c r="F5" s="148" t="str">
        <f>Originals!F167</f>
        <v>Development</v>
      </c>
      <c r="G5" s="148" t="str">
        <f>Originals!G167</f>
        <v>JKI</v>
      </c>
      <c r="H5" s="148" t="str">
        <f>Originals!H167</f>
        <v>Caraya Unit Test Framework 0.6.3.54</v>
      </c>
      <c r="I5" s="148" t="str">
        <f>Originals!I167</f>
        <v>VIPM Community</v>
      </c>
      <c r="J5" s="195" t="s">
        <v>550</v>
      </c>
    </row>
    <row r="6" spans="1:10" hidden="1" x14ac:dyDescent="0.25">
      <c r="A6" s="149" t="str">
        <f>Scott!A6</f>
        <v>3-Scott</v>
      </c>
      <c r="B6" s="149" t="str">
        <f>Scott!B6</f>
        <v>Caraya Unit Test Framework</v>
      </c>
      <c r="C6" s="149" t="str">
        <f>Scott!C6</f>
        <v>0.6.3.54</v>
      </c>
      <c r="D6" s="149" t="str">
        <f>Scott!D6</f>
        <v>32</v>
      </c>
      <c r="E6" s="149" t="str">
        <f>Scott!E6</f>
        <v>N/A</v>
      </c>
      <c r="F6" s="149" t="str">
        <f>Scott!F6</f>
        <v>Development</v>
      </c>
      <c r="G6" s="149" t="str">
        <f>Scott!G6</f>
        <v>JKI</v>
      </c>
      <c r="H6" s="149" t="str">
        <f>Scott!H6</f>
        <v>Caraya Unit Test Framework 0.6.3.54</v>
      </c>
      <c r="I6" s="149" t="str">
        <f>Scott!I6</f>
        <v>VIPM Community</v>
      </c>
      <c r="J6" s="195" t="s">
        <v>550</v>
      </c>
    </row>
    <row r="7" spans="1:10" hidden="1" x14ac:dyDescent="0.25">
      <c r="A7" s="148" t="str">
        <f>Originals!A168</f>
        <v>4-Vinnie</v>
      </c>
      <c r="B7" s="148" t="str">
        <f>Originals!B168</f>
        <v>CompactRIO</v>
      </c>
      <c r="C7" s="148" t="str">
        <f>Originals!C168</f>
        <v>15.5.0</v>
      </c>
      <c r="D7" s="148" t="str">
        <f>Originals!D168</f>
        <v>32</v>
      </c>
      <c r="E7" s="148">
        <f>Originals!E168</f>
        <v>2015</v>
      </c>
      <c r="F7" s="148" t="str">
        <f>Originals!F168</f>
        <v>Development</v>
      </c>
      <c r="G7" s="148" t="str">
        <f>Originals!G168</f>
        <v>NI</v>
      </c>
      <c r="H7" s="148" t="str">
        <f>Originals!H168</f>
        <v>CompactRIO 15.5.0</v>
      </c>
      <c r="I7" s="148">
        <f>Originals!I168</f>
        <v>0</v>
      </c>
      <c r="J7" s="195" t="s">
        <v>550</v>
      </c>
    </row>
    <row r="8" spans="1:10" hidden="1" x14ac:dyDescent="0.25">
      <c r="A8" s="149" t="str">
        <f>Scott!A7</f>
        <v>3-Scott</v>
      </c>
      <c r="B8" s="149" t="str">
        <f>Scott!B7</f>
        <v>CompactRIO</v>
      </c>
      <c r="C8" s="149" t="str">
        <f>Scott!C7</f>
        <v>18.1.0</v>
      </c>
      <c r="D8" s="149" t="str">
        <f>Scott!D7</f>
        <v>32</v>
      </c>
      <c r="E8" s="149" t="str">
        <f>Scott!E7</f>
        <v>2018</v>
      </c>
      <c r="F8" s="149" t="str">
        <f>Scott!F7</f>
        <v>Development</v>
      </c>
      <c r="G8" s="149" t="str">
        <f>Scott!G7</f>
        <v>NI</v>
      </c>
      <c r="H8" s="149" t="str">
        <f>Scott!H7</f>
        <v>CompactRIO 18.1.0</v>
      </c>
      <c r="I8" s="149" t="str">
        <f>Scott!I7</f>
        <v>CompactRIO 18.1.0</v>
      </c>
      <c r="J8" s="195" t="s">
        <v>550</v>
      </c>
    </row>
    <row r="9" spans="1:10" hidden="1" x14ac:dyDescent="0.25">
      <c r="A9" s="148" t="str">
        <f>Originals!A169</f>
        <v>4-Vinnie</v>
      </c>
      <c r="B9" s="148" t="str">
        <f>Originals!B169</f>
        <v>CompactRIO Suport</v>
      </c>
      <c r="C9" s="148" t="str">
        <f>Originals!C169</f>
        <v>15.5</v>
      </c>
      <c r="D9" s="148" t="str">
        <f>Originals!D169</f>
        <v>32</v>
      </c>
      <c r="E9" s="148" t="str">
        <f>Originals!E169</f>
        <v>2015</v>
      </c>
      <c r="F9" s="148" t="str">
        <f>Originals!F169</f>
        <v>C-RIO</v>
      </c>
      <c r="G9" s="148" t="str">
        <f>Originals!G169</f>
        <v>NI</v>
      </c>
      <c r="H9" s="148" t="str">
        <f>Originals!H169</f>
        <v>CompactRIO Suport 15.5</v>
      </c>
      <c r="I9" s="148">
        <f>Originals!I169</f>
        <v>0</v>
      </c>
    </row>
    <row r="10" spans="1:10" hidden="1" x14ac:dyDescent="0.25">
      <c r="A10" s="148" t="str">
        <f>Originals!A170</f>
        <v>4-Vinnie</v>
      </c>
      <c r="B10" s="148" t="str">
        <f>Originals!B170</f>
        <v>CVI</v>
      </c>
      <c r="C10" s="148" t="str">
        <f>Originals!C170</f>
        <v>19.0.0.49154</v>
      </c>
      <c r="D10" s="148" t="str">
        <f>Originals!D170</f>
        <v>32</v>
      </c>
      <c r="E10" s="148" t="str">
        <f>Originals!E170</f>
        <v>2019</v>
      </c>
      <c r="F10" s="148" t="str">
        <f>Originals!F170</f>
        <v>Runtime</v>
      </c>
      <c r="G10" s="148" t="str">
        <f>Originals!G170</f>
        <v>NI</v>
      </c>
      <c r="H10" s="148" t="str">
        <f>Originals!H170</f>
        <v>CVI 19.0.0.49154</v>
      </c>
      <c r="I10" s="148">
        <f>Originals!I170</f>
        <v>0</v>
      </c>
    </row>
    <row r="11" spans="1:10" hidden="1" x14ac:dyDescent="0.25">
      <c r="A11" s="149" t="str">
        <f>Scott!A8</f>
        <v>3-Scott</v>
      </c>
      <c r="B11" s="149" t="str">
        <f>Scott!B8</f>
        <v>CVI</v>
      </c>
      <c r="C11" s="149" t="str">
        <f>Scott!C8</f>
        <v>15.0.0</v>
      </c>
      <c r="D11" s="149">
        <f>Scott!D8</f>
        <v>32</v>
      </c>
      <c r="E11" s="149">
        <f>Scott!E8</f>
        <v>2015</v>
      </c>
      <c r="F11" s="149" t="str">
        <f>Scott!F8</f>
        <v>Development</v>
      </c>
      <c r="G11" s="149" t="str">
        <f>Scott!G8</f>
        <v>NI</v>
      </c>
      <c r="H11" s="149" t="str">
        <f>Scott!H8</f>
        <v>CVI 15.0.0</v>
      </c>
      <c r="I11" s="149" t="str">
        <f>Scott!I8</f>
        <v>NI Developer Suite 2015 DS2 Install</v>
      </c>
      <c r="J11" s="195" t="s">
        <v>550</v>
      </c>
    </row>
    <row r="12" spans="1:10" hidden="1" x14ac:dyDescent="0.25">
      <c r="A12" s="149" t="str">
        <f>Scott!A9</f>
        <v>3-Scott</v>
      </c>
      <c r="B12" s="149" t="str">
        <f>Scott!B9</f>
        <v>CVI</v>
      </c>
      <c r="C12" s="149" t="str">
        <f>Scott!C9</f>
        <v>15.0.0.408</v>
      </c>
      <c r="D12" s="149">
        <f>Scott!D9</f>
        <v>32</v>
      </c>
      <c r="E12" s="149">
        <f>Scott!E9</f>
        <v>2015</v>
      </c>
      <c r="F12" s="149" t="str">
        <f>Scott!F9</f>
        <v>Runtime</v>
      </c>
      <c r="G12" s="149" t="str">
        <f>Scott!G9</f>
        <v>NI</v>
      </c>
      <c r="H12" s="149" t="str">
        <f>Scott!H9</f>
        <v>CVI 15.0.0.408</v>
      </c>
      <c r="I12" s="149" t="str">
        <f>Scott!I9</f>
        <v>LabVIEW 2015 SP1</v>
      </c>
    </row>
    <row r="13" spans="1:10" hidden="1" x14ac:dyDescent="0.25">
      <c r="A13" s="149" t="str">
        <f>Scott!A10</f>
        <v>3-Scott</v>
      </c>
      <c r="B13" s="149" t="str">
        <f>Scott!B10</f>
        <v>CVI AddOns</v>
      </c>
      <c r="C13" s="149">
        <f>Scott!C10</f>
        <v>0</v>
      </c>
      <c r="D13" s="149">
        <f>Scott!D10</f>
        <v>32</v>
      </c>
      <c r="E13" s="149">
        <f>Scott!E10</f>
        <v>2015</v>
      </c>
      <c r="F13" s="149" t="str">
        <f>Scott!F10</f>
        <v>Development</v>
      </c>
      <c r="G13" s="149" t="str">
        <f>Scott!G10</f>
        <v>NI</v>
      </c>
      <c r="H13" s="149" t="str">
        <f>Scott!H10</f>
        <v xml:space="preserve">CVI AddOns </v>
      </c>
      <c r="I13" s="149" t="str">
        <f>Scott!I10</f>
        <v>NI Developer Suite 2015 DS2 Install</v>
      </c>
      <c r="J13" s="195" t="s">
        <v>550</v>
      </c>
    </row>
    <row r="14" spans="1:10" hidden="1" x14ac:dyDescent="0.25">
      <c r="A14" s="148" t="str">
        <f>Originals!A171</f>
        <v>4-Vinnie</v>
      </c>
      <c r="B14" s="148" t="str">
        <f>Originals!B171</f>
        <v>Database Connectivity Toolkit</v>
      </c>
      <c r="C14" s="148" t="str">
        <f>Originals!C171</f>
        <v>15.0.0</v>
      </c>
      <c r="D14" s="148" t="str">
        <f>Originals!D171</f>
        <v>32</v>
      </c>
      <c r="E14" s="148">
        <f>Originals!E171</f>
        <v>2015</v>
      </c>
      <c r="F14" s="148" t="str">
        <f>Originals!F171</f>
        <v>Development</v>
      </c>
      <c r="G14" s="148" t="str">
        <f>Originals!G171</f>
        <v>NI</v>
      </c>
      <c r="H14" s="148" t="str">
        <f>Originals!H171</f>
        <v>Database Connectivity Toolkit 15.0.0</v>
      </c>
      <c r="I14" s="148" t="str">
        <f>Originals!I171</f>
        <v>NI Developer Suite 2015 DS2 Install</v>
      </c>
      <c r="J14" s="195" t="s">
        <v>550</v>
      </c>
    </row>
    <row r="15" spans="1:10" hidden="1" x14ac:dyDescent="0.25">
      <c r="A15" s="149" t="str">
        <f>Scott!A11</f>
        <v>3-Scott</v>
      </c>
      <c r="B15" s="149" t="str">
        <f>Scott!B11</f>
        <v>Database Connectivity Toolkit</v>
      </c>
      <c r="C15" s="149" t="str">
        <f>Scott!C11</f>
        <v>15.0.0</v>
      </c>
      <c r="D15" s="149">
        <f>Scott!D11</f>
        <v>32</v>
      </c>
      <c r="E15" s="149">
        <f>Scott!E11</f>
        <v>2015</v>
      </c>
      <c r="F15" s="149" t="str">
        <f>Scott!F11</f>
        <v>Development</v>
      </c>
      <c r="G15" s="149" t="str">
        <f>Scott!G11</f>
        <v>NI</v>
      </c>
      <c r="H15" s="149" t="str">
        <f>Scott!H11</f>
        <v>Database Connectivity Toolkit 15.0.0</v>
      </c>
      <c r="I15" s="149" t="str">
        <f>Scott!I11</f>
        <v>NI Developer Suite 2015 DS2 Install</v>
      </c>
      <c r="J15" s="195" t="s">
        <v>550</v>
      </c>
    </row>
    <row r="16" spans="1:10" hidden="1" x14ac:dyDescent="0.25">
      <c r="A16" s="149" t="str">
        <f>Scott!A12</f>
        <v>3-Scott</v>
      </c>
      <c r="B16" s="149" t="str">
        <f>Scott!B12</f>
        <v>DataFinder Toolkit</v>
      </c>
      <c r="C16" s="149" t="str">
        <f>Scott!C12</f>
        <v>15.0.06020</v>
      </c>
      <c r="D16" s="149">
        <f>Scott!D12</f>
        <v>32</v>
      </c>
      <c r="E16" s="149">
        <f>Scott!E12</f>
        <v>2015</v>
      </c>
      <c r="F16" s="149" t="str">
        <f>Scott!F12</f>
        <v>Development</v>
      </c>
      <c r="G16" s="149" t="str">
        <f>Scott!G12</f>
        <v>NI</v>
      </c>
      <c r="H16" s="149" t="str">
        <f>Scott!H12</f>
        <v>DataFinder Toolkit 15.0.06020</v>
      </c>
      <c r="I16" s="149" t="str">
        <f>Scott!I12</f>
        <v>NI Developer Suite 2015 DS2 Install</v>
      </c>
      <c r="J16" s="195" t="s">
        <v>550</v>
      </c>
    </row>
    <row r="17" spans="1:10" hidden="1" x14ac:dyDescent="0.25">
      <c r="A17" s="148" t="str">
        <f>Originals!A172</f>
        <v>4-Vinnie</v>
      </c>
      <c r="B17" s="148" t="str">
        <f>Originals!B172</f>
        <v>Delacor QMH</v>
      </c>
      <c r="C17" s="148" t="str">
        <f>Originals!C172</f>
        <v>4.0.0.28</v>
      </c>
      <c r="D17" s="148" t="str">
        <f>Originals!D172</f>
        <v>32</v>
      </c>
      <c r="E17" s="148" t="str">
        <f>Originals!E172</f>
        <v>N/A</v>
      </c>
      <c r="F17" s="148" t="str">
        <f>Originals!F172</f>
        <v>Development</v>
      </c>
      <c r="G17" s="148" t="str">
        <f>Originals!G172</f>
        <v>DQMH Consortium</v>
      </c>
      <c r="H17" s="148" t="str">
        <f>Originals!H172</f>
        <v>Delacor QMH 4.0.0.28</v>
      </c>
      <c r="I17" s="148" t="str">
        <f>Originals!I172</f>
        <v>VIPM Community</v>
      </c>
      <c r="J17" s="195" t="s">
        <v>550</v>
      </c>
    </row>
    <row r="18" spans="1:10" hidden="1" x14ac:dyDescent="0.25">
      <c r="A18" s="149" t="str">
        <f>Scott!A13</f>
        <v>3-Scott</v>
      </c>
      <c r="B18" s="149" t="str">
        <f>Scott!B13</f>
        <v>Delacor QMH</v>
      </c>
      <c r="C18" s="149" t="str">
        <f>Scott!C13</f>
        <v>4.0.0.28</v>
      </c>
      <c r="D18" s="149" t="str">
        <f>Scott!D13</f>
        <v>32</v>
      </c>
      <c r="E18" s="149" t="str">
        <f>Scott!E13</f>
        <v>N/A</v>
      </c>
      <c r="F18" s="149" t="str">
        <f>Scott!F13</f>
        <v>Development</v>
      </c>
      <c r="G18" s="149" t="str">
        <f>Scott!G13</f>
        <v>DQMH Consortium</v>
      </c>
      <c r="H18" s="149" t="str">
        <f>Scott!H13</f>
        <v>Delacor QMH 4.0.0.28</v>
      </c>
      <c r="I18" s="149" t="str">
        <f>Scott!I13</f>
        <v>VIPM Community</v>
      </c>
      <c r="J18" s="195" t="s">
        <v>550</v>
      </c>
    </row>
    <row r="19" spans="1:10" hidden="1" x14ac:dyDescent="0.25">
      <c r="A19" s="148" t="str">
        <f>Originals!A173</f>
        <v>4-Vinnie</v>
      </c>
      <c r="B19" s="148" t="str">
        <f>Originals!B173</f>
        <v>Delacor QMH Event Scripter</v>
      </c>
      <c r="C19" s="148" t="str">
        <f>Originals!C173</f>
        <v>4.0.0.68</v>
      </c>
      <c r="D19" s="148" t="str">
        <f>Originals!D173</f>
        <v>32</v>
      </c>
      <c r="E19" s="148" t="str">
        <f>Originals!E173</f>
        <v>N/A</v>
      </c>
      <c r="F19" s="148" t="str">
        <f>Originals!F173</f>
        <v>Development</v>
      </c>
      <c r="G19" s="148" t="str">
        <f>Originals!G173</f>
        <v>DQMH Consortium</v>
      </c>
      <c r="H19" s="148" t="str">
        <f>Originals!H173</f>
        <v>Delacor QMH Event Scripter 4.0.0.68</v>
      </c>
      <c r="I19" s="148" t="str">
        <f>Originals!I173</f>
        <v>VIPM Community</v>
      </c>
      <c r="J19" s="195" t="s">
        <v>550</v>
      </c>
    </row>
    <row r="20" spans="1:10" hidden="1" x14ac:dyDescent="0.25">
      <c r="A20" s="149" t="str">
        <f>Scott!A14</f>
        <v>3-Scott</v>
      </c>
      <c r="B20" s="149" t="str">
        <f>Scott!B14</f>
        <v>Delacor QMH Event Scripter</v>
      </c>
      <c r="C20" s="149" t="str">
        <f>Scott!C14</f>
        <v>4.0.0.68</v>
      </c>
      <c r="D20" s="149" t="str">
        <f>Scott!D14</f>
        <v>32</v>
      </c>
      <c r="E20" s="149" t="str">
        <f>Scott!E14</f>
        <v>N/A</v>
      </c>
      <c r="F20" s="149" t="str">
        <f>Scott!F14</f>
        <v>Development</v>
      </c>
      <c r="G20" s="149" t="str">
        <f>Scott!G14</f>
        <v>DQMH Consortium</v>
      </c>
      <c r="H20" s="149" t="str">
        <f>Scott!H14</f>
        <v>Delacor QMH Event Scripter 4.0.0.68</v>
      </c>
      <c r="I20" s="149" t="str">
        <f>Scott!I14</f>
        <v>VIPM Community</v>
      </c>
      <c r="J20" s="195" t="s">
        <v>550</v>
      </c>
    </row>
    <row r="21" spans="1:10" hidden="1" x14ac:dyDescent="0.25">
      <c r="A21" s="148" t="str">
        <f>Originals!A174</f>
        <v>4-Vinnie</v>
      </c>
      <c r="B21" s="148" t="str">
        <f>Originals!B174</f>
        <v>Delacor QMH Palette</v>
      </c>
      <c r="C21" s="148" t="str">
        <f>Originals!C174</f>
        <v>3.0.0.1</v>
      </c>
      <c r="D21" s="148" t="str">
        <f>Originals!D174</f>
        <v>32</v>
      </c>
      <c r="E21" s="148" t="str">
        <f>Originals!E174</f>
        <v>N/A</v>
      </c>
      <c r="F21" s="148" t="str">
        <f>Originals!F174</f>
        <v>Development</v>
      </c>
      <c r="G21" s="148" t="str">
        <f>Originals!G174</f>
        <v>DQMH Consortium</v>
      </c>
      <c r="H21" s="148" t="str">
        <f>Originals!H174</f>
        <v>Delacor QMH Palette 3.0.0.1</v>
      </c>
      <c r="I21" s="148" t="str">
        <f>Originals!I174</f>
        <v>VIPM Community</v>
      </c>
      <c r="J21" s="195" t="s">
        <v>550</v>
      </c>
    </row>
    <row r="22" spans="1:10" hidden="1" x14ac:dyDescent="0.25">
      <c r="A22" s="149" t="str">
        <f>Scott!A15</f>
        <v>3-Scott</v>
      </c>
      <c r="B22" s="149" t="str">
        <f>Scott!B15</f>
        <v>Delacor QMH Palette</v>
      </c>
      <c r="C22" s="149" t="str">
        <f>Scott!C15</f>
        <v>3.0.0.1</v>
      </c>
      <c r="D22" s="149" t="str">
        <f>Scott!D15</f>
        <v>32</v>
      </c>
      <c r="E22" s="149" t="str">
        <f>Scott!E15</f>
        <v>N/A</v>
      </c>
      <c r="F22" s="149" t="str">
        <f>Scott!F15</f>
        <v>Development</v>
      </c>
      <c r="G22" s="149" t="str">
        <f>Scott!G15</f>
        <v>DQMH Consortium</v>
      </c>
      <c r="H22" s="149" t="str">
        <f>Scott!H15</f>
        <v>Delacor QMH Palette 3.0.0.1</v>
      </c>
      <c r="I22" s="149" t="str">
        <f>Scott!I15</f>
        <v>VIPM Community</v>
      </c>
      <c r="J22" s="195" t="s">
        <v>550</v>
      </c>
    </row>
    <row r="23" spans="1:10" hidden="1" x14ac:dyDescent="0.25">
      <c r="A23" s="148" t="str">
        <f>Originals!A175</f>
        <v>4-Vinnie</v>
      </c>
      <c r="B23" s="148" t="str">
        <f>Originals!B175</f>
        <v>Delacor QMH Project Template</v>
      </c>
      <c r="C23" s="148" t="str">
        <f>Originals!C175</f>
        <v>4.0.0.47</v>
      </c>
      <c r="D23" s="148" t="str">
        <f>Originals!D175</f>
        <v>32</v>
      </c>
      <c r="E23" s="148" t="str">
        <f>Originals!E175</f>
        <v>N/A</v>
      </c>
      <c r="F23" s="148" t="str">
        <f>Originals!F175</f>
        <v>Development</v>
      </c>
      <c r="G23" s="148" t="str">
        <f>Originals!G175</f>
        <v>DQMH Consortium</v>
      </c>
      <c r="H23" s="148" t="str">
        <f>Originals!H175</f>
        <v>Delacor QMH Project Template 4.0.0.47</v>
      </c>
      <c r="I23" s="148" t="str">
        <f>Originals!I175</f>
        <v>VIPM Community</v>
      </c>
      <c r="J23" s="195" t="s">
        <v>550</v>
      </c>
    </row>
    <row r="24" spans="1:10" hidden="1" x14ac:dyDescent="0.25">
      <c r="A24" s="149" t="str">
        <f>Scott!A16</f>
        <v>3-Scott</v>
      </c>
      <c r="B24" s="149" t="str">
        <f>Scott!B16</f>
        <v>Delacor QMH Project Template</v>
      </c>
      <c r="C24" s="149" t="str">
        <f>Scott!C16</f>
        <v>4.0.0.47</v>
      </c>
      <c r="D24" s="149" t="str">
        <f>Scott!D16</f>
        <v>32</v>
      </c>
      <c r="E24" s="149" t="str">
        <f>Scott!E16</f>
        <v>N/A</v>
      </c>
      <c r="F24" s="149" t="str">
        <f>Scott!F16</f>
        <v>Development</v>
      </c>
      <c r="G24" s="149" t="str">
        <f>Scott!G16</f>
        <v>DQMH Consortium</v>
      </c>
      <c r="H24" s="149" t="str">
        <f>Scott!H16</f>
        <v>Delacor QMH Project Template 4.0.0.47</v>
      </c>
      <c r="I24" s="149" t="str">
        <f>Scott!I16</f>
        <v>VIPM Community</v>
      </c>
      <c r="J24" s="195" t="s">
        <v>550</v>
      </c>
    </row>
    <row r="25" spans="1:10" hidden="1" x14ac:dyDescent="0.25">
      <c r="A25" s="148" t="str">
        <f>Originals!A176</f>
        <v>4-Vinnie</v>
      </c>
      <c r="B25" s="148" t="str">
        <f>Originals!B176</f>
        <v>Delacor QMH Thermal Chamber Examples</v>
      </c>
      <c r="C25" s="148" t="str">
        <f>Originals!C176</f>
        <v>4.0.0.21</v>
      </c>
      <c r="D25" s="148" t="str">
        <f>Originals!D176</f>
        <v>32</v>
      </c>
      <c r="E25" s="148" t="str">
        <f>Originals!E176</f>
        <v>N/A</v>
      </c>
      <c r="F25" s="148" t="str">
        <f>Originals!F176</f>
        <v>Development</v>
      </c>
      <c r="G25" s="148" t="str">
        <f>Originals!G176</f>
        <v>DQMH Consortium</v>
      </c>
      <c r="H25" s="148" t="str">
        <f>Originals!H176</f>
        <v>Delacor QMH Thermal Chamber Examples 4.0.0.21</v>
      </c>
      <c r="I25" s="148" t="str">
        <f>Originals!I176</f>
        <v>VIPM Community</v>
      </c>
      <c r="J25" s="195" t="s">
        <v>550</v>
      </c>
    </row>
    <row r="26" spans="1:10" hidden="1" x14ac:dyDescent="0.25">
      <c r="A26" s="149" t="str">
        <f>Scott!A17</f>
        <v>3-Scott</v>
      </c>
      <c r="B26" s="149" t="str">
        <f>Scott!B17</f>
        <v>Delacor QMH Thermal Chamber Examples</v>
      </c>
      <c r="C26" s="149" t="str">
        <f>Scott!C17</f>
        <v>4.0.0.21</v>
      </c>
      <c r="D26" s="149" t="str">
        <f>Scott!D17</f>
        <v>32</v>
      </c>
      <c r="E26" s="149" t="str">
        <f>Scott!E17</f>
        <v>N/A</v>
      </c>
      <c r="F26" s="149" t="str">
        <f>Scott!F17</f>
        <v>Development</v>
      </c>
      <c r="G26" s="149" t="str">
        <f>Scott!G17</f>
        <v>DQMH Consortium</v>
      </c>
      <c r="H26" s="149" t="str">
        <f>Scott!H17</f>
        <v>Delacor QMH Thermal Chamber Examples 4.0.0.21</v>
      </c>
      <c r="I26" s="149" t="str">
        <f>Scott!I17</f>
        <v>VIPM Community</v>
      </c>
      <c r="J26" s="195" t="s">
        <v>550</v>
      </c>
    </row>
    <row r="27" spans="1:10" hidden="1" x14ac:dyDescent="0.25">
      <c r="A27" s="149" t="str">
        <f>Scott!A18</f>
        <v>3-Scott</v>
      </c>
      <c r="B27" s="149" t="str">
        <f>Scott!B18</f>
        <v>Digital Filter Design Toolkit</v>
      </c>
      <c r="C27" s="149" t="str">
        <f>Scott!C18</f>
        <v>15.0.0</v>
      </c>
      <c r="D27" s="149">
        <f>Scott!D18</f>
        <v>32</v>
      </c>
      <c r="E27" s="149">
        <f>Scott!E18</f>
        <v>2015</v>
      </c>
      <c r="F27" s="149" t="str">
        <f>Scott!F18</f>
        <v>Development</v>
      </c>
      <c r="G27" s="149" t="str">
        <f>Scott!G18</f>
        <v>NI</v>
      </c>
      <c r="H27" s="149" t="str">
        <f>Scott!H18</f>
        <v>Digital Filter Design Toolkit 15.0.0</v>
      </c>
      <c r="I27" s="149" t="str">
        <f>Scott!I18</f>
        <v>NI Developer Suite 2015 DS2 Install</v>
      </c>
      <c r="J27" s="195" t="s">
        <v>550</v>
      </c>
    </row>
    <row r="28" spans="1:10" hidden="1" x14ac:dyDescent="0.25">
      <c r="A28" s="148" t="str">
        <f>Originals!A177</f>
        <v>4-Vinnie</v>
      </c>
      <c r="B28" s="148" t="str">
        <f>Originals!B177</f>
        <v>DMC UX Toolkit</v>
      </c>
      <c r="C28" s="148" t="str">
        <f>Originals!C177</f>
        <v>1.0.0.2</v>
      </c>
      <c r="D28" s="148" t="str">
        <f>Originals!D177</f>
        <v>32</v>
      </c>
      <c r="E28" s="148" t="str">
        <f>Originals!E177</f>
        <v>N/A</v>
      </c>
      <c r="F28" s="148" t="str">
        <f>Originals!F177</f>
        <v>Development</v>
      </c>
      <c r="G28" s="148" t="str">
        <f>Originals!G177</f>
        <v>DMC</v>
      </c>
      <c r="H28" s="148" t="str">
        <f>Originals!H177</f>
        <v>DMC UX Toolkit 1.0.0.2</v>
      </c>
      <c r="I28" s="148" t="str">
        <f>Originals!I177</f>
        <v>VIPM Community</v>
      </c>
      <c r="J28" s="195" t="s">
        <v>550</v>
      </c>
    </row>
    <row r="29" spans="1:10" hidden="1" x14ac:dyDescent="0.25">
      <c r="A29" s="149" t="str">
        <f>Scott!A19</f>
        <v>3-Scott</v>
      </c>
      <c r="B29" s="149" t="str">
        <f>Scott!B19</f>
        <v>DMC UX Toolkit</v>
      </c>
      <c r="C29" s="149" t="str">
        <f>Scott!C19</f>
        <v>1.0.0.2</v>
      </c>
      <c r="D29" s="149" t="str">
        <f>Scott!D19</f>
        <v>32</v>
      </c>
      <c r="E29" s="149" t="str">
        <f>Scott!E19</f>
        <v>2015</v>
      </c>
      <c r="F29" s="149">
        <f>Scott!F19</f>
        <v>0</v>
      </c>
      <c r="G29" s="149">
        <f>Scott!G19</f>
        <v>0</v>
      </c>
      <c r="H29" s="149" t="str">
        <f>Scott!H19</f>
        <v>DMC UX Toolkit 1.0.0.2</v>
      </c>
      <c r="I29" s="149" t="str">
        <f>Scott!I19</f>
        <v>VIPM Community</v>
      </c>
    </row>
    <row r="30" spans="1:10" x14ac:dyDescent="0.25">
      <c r="A30" s="148" t="str">
        <f>Originals!A178</f>
        <v>4-Vinnie</v>
      </c>
      <c r="B30" s="148" t="str">
        <f>Originals!B178</f>
        <v>FieldPoint</v>
      </c>
      <c r="C30" s="148">
        <f>Originals!C178</f>
        <v>15</v>
      </c>
      <c r="D30" s="148" t="str">
        <f>Originals!D178</f>
        <v>32</v>
      </c>
      <c r="E30" s="148" t="str">
        <f>Originals!E178</f>
        <v>2015</v>
      </c>
      <c r="F30" s="148" t="str">
        <f>Originals!F178</f>
        <v>Development</v>
      </c>
      <c r="G30" s="148" t="str">
        <f>Originals!G178</f>
        <v>NI</v>
      </c>
      <c r="H30" s="148" t="str">
        <f>Originals!H178</f>
        <v>FieldPoint 15</v>
      </c>
      <c r="I30" s="148">
        <f>Originals!I178</f>
        <v>0</v>
      </c>
      <c r="J30" s="203" t="s">
        <v>552</v>
      </c>
    </row>
    <row r="31" spans="1:10" x14ac:dyDescent="0.25">
      <c r="A31" s="148" t="str">
        <f>Originals!A179</f>
        <v>4-Vinnie</v>
      </c>
      <c r="B31" s="148" t="str">
        <f>Originals!B179</f>
        <v>FlexRIO</v>
      </c>
      <c r="C31" s="148" t="str">
        <f>Originals!C179</f>
        <v>15.5.0f0</v>
      </c>
      <c r="D31" s="148" t="str">
        <f>Originals!D179</f>
        <v>32</v>
      </c>
      <c r="E31" s="148">
        <f>Originals!E179</f>
        <v>2015</v>
      </c>
      <c r="F31" s="148" t="str">
        <f>Originals!F179</f>
        <v>Development</v>
      </c>
      <c r="G31" s="148" t="str">
        <f>Originals!G179</f>
        <v>NI</v>
      </c>
      <c r="H31" s="148" t="str">
        <f>Originals!H179</f>
        <v>FlexRIO 15.5.0f0</v>
      </c>
      <c r="I31" s="148">
        <f>Originals!I179</f>
        <v>0</v>
      </c>
      <c r="J31" s="202" t="s">
        <v>555</v>
      </c>
    </row>
    <row r="32" spans="1:10" x14ac:dyDescent="0.25">
      <c r="A32" s="149" t="str">
        <f>Scott!A20</f>
        <v>3-Scott</v>
      </c>
      <c r="B32" s="149" t="str">
        <f>Scott!B20</f>
        <v>FlexRIO</v>
      </c>
      <c r="C32" s="149" t="str">
        <f>Scott!C20</f>
        <v>15.0.0f0</v>
      </c>
      <c r="D32" s="149">
        <f>Scott!D20</f>
        <v>32</v>
      </c>
      <c r="E32" s="149">
        <f>Scott!E20</f>
        <v>2015</v>
      </c>
      <c r="F32" s="149" t="str">
        <f>Scott!F20</f>
        <v>Development</v>
      </c>
      <c r="G32" s="149" t="str">
        <f>Scott!G20</f>
        <v>NI</v>
      </c>
      <c r="H32" s="149" t="str">
        <f>Scott!H20</f>
        <v>FlexRIO 15.0.0f0</v>
      </c>
      <c r="I32" s="149" t="str">
        <f>Scott!I20</f>
        <v>NI Developer Suite 2015 DS2 Install</v>
      </c>
      <c r="J32" s="202" t="s">
        <v>555</v>
      </c>
    </row>
    <row r="33" spans="1:10" x14ac:dyDescent="0.25">
      <c r="A33" s="148" t="str">
        <f>Originals!A180</f>
        <v>4-Vinnie</v>
      </c>
      <c r="B33" s="148" t="str">
        <f>Originals!B180</f>
        <v>FPGA</v>
      </c>
      <c r="C33" s="148" t="str">
        <f>Originals!C180</f>
        <v>15.0.1</v>
      </c>
      <c r="D33" s="148" t="str">
        <f>Originals!D180</f>
        <v>32</v>
      </c>
      <c r="E33" s="148">
        <f>Originals!E180</f>
        <v>2015</v>
      </c>
      <c r="F33" s="148" t="str">
        <f>Originals!F180</f>
        <v>Development</v>
      </c>
      <c r="G33" s="148" t="str">
        <f>Originals!G180</f>
        <v>NI</v>
      </c>
      <c r="H33" s="148" t="str">
        <f>Originals!H180</f>
        <v>FPGA 15.0.1</v>
      </c>
      <c r="I33" s="148">
        <f>Originals!I180</f>
        <v>0</v>
      </c>
      <c r="J33" s="203" t="s">
        <v>552</v>
      </c>
    </row>
    <row r="34" spans="1:10" hidden="1" x14ac:dyDescent="0.25">
      <c r="A34" s="149" t="str">
        <f>Scott!A21</f>
        <v>3-Scott</v>
      </c>
      <c r="B34" s="149" t="str">
        <f>Scott!B21</f>
        <v>GigE Vision Driver</v>
      </c>
      <c r="C34" s="149" t="str">
        <f>Scott!C21</f>
        <v>1.9.3.49152</v>
      </c>
      <c r="D34" s="149" t="str">
        <f>Scott!D21</f>
        <v>32</v>
      </c>
      <c r="E34" s="149" t="str">
        <f>Scott!E21</f>
        <v>2019</v>
      </c>
      <c r="F34" s="149" t="str">
        <f>Scott!F21</f>
        <v>Development</v>
      </c>
      <c r="G34" s="149" t="str">
        <f>Scott!G21</f>
        <v>NI</v>
      </c>
      <c r="H34" s="149" t="str">
        <f>Scott!H21</f>
        <v>GigE Vision Driver 2019 1.9.3.49152</v>
      </c>
      <c r="I34" s="149" t="str">
        <f>Scott!I21</f>
        <v>LabVIEW 2019</v>
      </c>
      <c r="J34" s="195" t="s">
        <v>550</v>
      </c>
    </row>
    <row r="35" spans="1:10" hidden="1" x14ac:dyDescent="0.25">
      <c r="A35" s="148" t="str">
        <f>Originals!A181</f>
        <v>4-Vinnie</v>
      </c>
      <c r="B35" s="148" t="str">
        <f>Originals!B181</f>
        <v>GPower All Toolsets</v>
      </c>
      <c r="C35" s="148" t="str">
        <f>Originals!C181</f>
        <v>2017.0.0.11</v>
      </c>
      <c r="D35" s="148" t="str">
        <f>Originals!D181</f>
        <v>32</v>
      </c>
      <c r="E35" s="148" t="str">
        <f>Originals!E181</f>
        <v>N/A</v>
      </c>
      <c r="F35" s="148" t="str">
        <f>Originals!F181</f>
        <v>Development</v>
      </c>
      <c r="G35" s="148" t="str">
        <f>Originals!G181</f>
        <v>GPower</v>
      </c>
      <c r="H35" s="148" t="str">
        <f>Originals!H181</f>
        <v>GPower All Toolsets 2017.0.0.11</v>
      </c>
      <c r="I35" s="148" t="str">
        <f>Originals!I181</f>
        <v>VIPM Community</v>
      </c>
      <c r="J35" s="195" t="s">
        <v>550</v>
      </c>
    </row>
    <row r="36" spans="1:10" hidden="1" x14ac:dyDescent="0.25">
      <c r="A36" s="149" t="str">
        <f>Scott!A22</f>
        <v>3-Scott</v>
      </c>
      <c r="B36" s="149" t="str">
        <f>Scott!B22</f>
        <v>GPower All Toolsets</v>
      </c>
      <c r="C36" s="149" t="str">
        <f>Scott!C22</f>
        <v>2017.0.0.11</v>
      </c>
      <c r="D36" s="149" t="str">
        <f>Scott!D22</f>
        <v>32</v>
      </c>
      <c r="E36" s="149" t="str">
        <f>Scott!E22</f>
        <v>N/A</v>
      </c>
      <c r="F36" s="149" t="str">
        <f>Scott!F22</f>
        <v>Development</v>
      </c>
      <c r="G36" s="149" t="str">
        <f>Scott!G22</f>
        <v>GPower</v>
      </c>
      <c r="H36" s="149" t="str">
        <f>Scott!H22</f>
        <v>GPower All Toolsets 2017.0.0.11</v>
      </c>
      <c r="I36" s="149" t="str">
        <f>Scott!I22</f>
        <v>VIPM Community</v>
      </c>
      <c r="J36" s="195" t="s">
        <v>550</v>
      </c>
    </row>
    <row r="37" spans="1:10" hidden="1" x14ac:dyDescent="0.25">
      <c r="A37" s="148" t="str">
        <f>Originals!A182</f>
        <v>4-Vinnie</v>
      </c>
      <c r="B37" s="148" t="str">
        <f>Originals!B182</f>
        <v>GPower Array</v>
      </c>
      <c r="C37" s="148" t="str">
        <f>Originals!C182</f>
        <v>2016.2.0.27</v>
      </c>
      <c r="D37" s="148" t="str">
        <f>Originals!D182</f>
        <v>32</v>
      </c>
      <c r="E37" s="148" t="str">
        <f>Originals!E182</f>
        <v>N/A</v>
      </c>
      <c r="F37" s="148" t="str">
        <f>Originals!F182</f>
        <v>Development</v>
      </c>
      <c r="G37" s="148" t="str">
        <f>Originals!G182</f>
        <v>GPower</v>
      </c>
      <c r="H37" s="148" t="str">
        <f>Originals!H182</f>
        <v>GPower Array 2016.2.0.27</v>
      </c>
      <c r="I37" s="148" t="str">
        <f>Originals!I182</f>
        <v>VIPM Community</v>
      </c>
      <c r="J37" s="195" t="s">
        <v>550</v>
      </c>
    </row>
    <row r="38" spans="1:10" hidden="1" x14ac:dyDescent="0.25">
      <c r="A38" s="149" t="str">
        <f>Scott!A23</f>
        <v>3-Scott</v>
      </c>
      <c r="B38" s="149" t="str">
        <f>Scott!B23</f>
        <v>GPower Array</v>
      </c>
      <c r="C38" s="149" t="str">
        <f>Scott!C23</f>
        <v>2016.2.0.27</v>
      </c>
      <c r="D38" s="149" t="str">
        <f>Scott!D23</f>
        <v>32</v>
      </c>
      <c r="E38" s="149" t="str">
        <f>Scott!E23</f>
        <v>N/A</v>
      </c>
      <c r="F38" s="149" t="str">
        <f>Scott!F23</f>
        <v>Development</v>
      </c>
      <c r="G38" s="149" t="str">
        <f>Scott!G23</f>
        <v>GPower</v>
      </c>
      <c r="H38" s="149" t="str">
        <f>Scott!H23</f>
        <v>GPower Array 2016.2.0.27</v>
      </c>
      <c r="I38" s="149" t="str">
        <f>Scott!I23</f>
        <v>VIPM Community</v>
      </c>
      <c r="J38" s="195" t="s">
        <v>550</v>
      </c>
    </row>
    <row r="39" spans="1:10" hidden="1" x14ac:dyDescent="0.25">
      <c r="A39" s="148" t="str">
        <f>Originals!A183</f>
        <v>4-Vinnie</v>
      </c>
      <c r="B39" s="148" t="str">
        <f>Originals!B183</f>
        <v>Gpower Array Library</v>
      </c>
      <c r="C39" s="148" t="str">
        <f>Originals!C183</f>
        <v>2016.2.0.27</v>
      </c>
      <c r="D39" s="148" t="str">
        <f>Originals!D183</f>
        <v>32</v>
      </c>
      <c r="E39" s="148" t="str">
        <f>Originals!E183</f>
        <v>2016</v>
      </c>
      <c r="F39" s="148" t="str">
        <f>Originals!F183</f>
        <v>Development</v>
      </c>
      <c r="G39" s="148" t="str">
        <f>Originals!G183</f>
        <v>Gpower</v>
      </c>
      <c r="H39" s="148" t="str">
        <f>Originals!H183</f>
        <v>Gpower Array Library 2016.2.0.27</v>
      </c>
      <c r="I39" s="148" t="str">
        <f>Originals!I183</f>
        <v>VIPM Community</v>
      </c>
      <c r="J39" s="195" t="s">
        <v>550</v>
      </c>
    </row>
    <row r="40" spans="1:10" hidden="1" x14ac:dyDescent="0.25">
      <c r="A40" s="148" t="str">
        <f>Originals!A184</f>
        <v>4-Vinnie</v>
      </c>
      <c r="B40" s="148" t="str">
        <f>Originals!B184</f>
        <v>GPower Comparison</v>
      </c>
      <c r="C40" s="148" t="str">
        <f>Originals!C184</f>
        <v>2016.0.0.4</v>
      </c>
      <c r="D40" s="148" t="str">
        <f>Originals!D184</f>
        <v>32</v>
      </c>
      <c r="E40" s="148" t="str">
        <f>Originals!E184</f>
        <v>N/A</v>
      </c>
      <c r="F40" s="148" t="str">
        <f>Originals!F184</f>
        <v>Development</v>
      </c>
      <c r="G40" s="148" t="str">
        <f>Originals!G184</f>
        <v>GPower</v>
      </c>
      <c r="H40" s="148" t="str">
        <f>Originals!H184</f>
        <v>GPower Comparison 2016.0.0.4</v>
      </c>
      <c r="I40" s="148" t="str">
        <f>Originals!I184</f>
        <v>VIPM Community</v>
      </c>
      <c r="J40" s="195" t="s">
        <v>550</v>
      </c>
    </row>
    <row r="41" spans="1:10" hidden="1" x14ac:dyDescent="0.25">
      <c r="A41" s="149" t="str">
        <f>Scott!A24</f>
        <v>3-Scott</v>
      </c>
      <c r="B41" s="149" t="str">
        <f>Scott!B24</f>
        <v>GPower Comparison</v>
      </c>
      <c r="C41" s="149" t="str">
        <f>Scott!C24</f>
        <v>2016.0.0.4</v>
      </c>
      <c r="D41" s="149" t="str">
        <f>Scott!D24</f>
        <v>32</v>
      </c>
      <c r="E41" s="149" t="str">
        <f>Scott!E24</f>
        <v>N/A</v>
      </c>
      <c r="F41" s="149" t="str">
        <f>Scott!F24</f>
        <v>Development</v>
      </c>
      <c r="G41" s="149" t="str">
        <f>Scott!G24</f>
        <v>GPower</v>
      </c>
      <c r="H41" s="149" t="str">
        <f>Scott!H24</f>
        <v>GPower Comparison 2016.0.0.4</v>
      </c>
      <c r="I41" s="149" t="str">
        <f>Scott!I24</f>
        <v>VIPM Community</v>
      </c>
      <c r="J41" s="195" t="s">
        <v>550</v>
      </c>
    </row>
    <row r="42" spans="1:10" hidden="1" x14ac:dyDescent="0.25">
      <c r="A42" s="148" t="str">
        <f>Originals!A185</f>
        <v>4-Vinnie</v>
      </c>
      <c r="B42" s="148" t="str">
        <f>Originals!B185</f>
        <v>GPower Error &amp; Warning</v>
      </c>
      <c r="C42" s="148" t="str">
        <f>Originals!C185</f>
        <v>2014.0.0.38</v>
      </c>
      <c r="D42" s="148" t="str">
        <f>Originals!D185</f>
        <v>32</v>
      </c>
      <c r="E42" s="148" t="str">
        <f>Originals!E185</f>
        <v>N/A</v>
      </c>
      <c r="F42" s="148" t="str">
        <f>Originals!F185</f>
        <v>Development</v>
      </c>
      <c r="G42" s="148" t="str">
        <f>Originals!G185</f>
        <v>GPower</v>
      </c>
      <c r="H42" s="148" t="str">
        <f>Originals!H185</f>
        <v>GPower Error &amp; Warning 2014.0.0.38</v>
      </c>
      <c r="I42" s="148" t="str">
        <f>Originals!I185</f>
        <v>VIPM Community</v>
      </c>
      <c r="J42" s="195" t="s">
        <v>550</v>
      </c>
    </row>
    <row r="43" spans="1:10" hidden="1" x14ac:dyDescent="0.25">
      <c r="A43" s="149" t="str">
        <f>Scott!A25</f>
        <v>3-Scott</v>
      </c>
      <c r="B43" s="149" t="str">
        <f>Scott!B25</f>
        <v>GPower Error &amp; Warning</v>
      </c>
      <c r="C43" s="149" t="str">
        <f>Scott!C25</f>
        <v>2014.0.0.38</v>
      </c>
      <c r="D43" s="149" t="str">
        <f>Scott!D25</f>
        <v>32</v>
      </c>
      <c r="E43" s="149" t="str">
        <f>Scott!E25</f>
        <v>N/A</v>
      </c>
      <c r="F43" s="149" t="str">
        <f>Scott!F25</f>
        <v>Development</v>
      </c>
      <c r="G43" s="149" t="str">
        <f>Scott!G25</f>
        <v>GPower</v>
      </c>
      <c r="H43" s="149" t="str">
        <f>Scott!H25</f>
        <v>GPower Error &amp; Warning 2014.0.0.38</v>
      </c>
      <c r="I43" s="149" t="str">
        <f>Scott!I25</f>
        <v>VIPM Community</v>
      </c>
      <c r="J43" s="195" t="s">
        <v>550</v>
      </c>
    </row>
    <row r="44" spans="1:10" hidden="1" x14ac:dyDescent="0.25">
      <c r="A44" s="148" t="str">
        <f>Originals!A186</f>
        <v>4-Vinnie</v>
      </c>
      <c r="B44" s="148" t="str">
        <f>Originals!B186</f>
        <v>GPower Events</v>
      </c>
      <c r="C44" s="148" t="str">
        <f>Originals!C186</f>
        <v>2012.0.0.7</v>
      </c>
      <c r="D44" s="148" t="str">
        <f>Originals!D186</f>
        <v>32</v>
      </c>
      <c r="E44" s="148" t="str">
        <f>Originals!E186</f>
        <v>N/A</v>
      </c>
      <c r="F44" s="148" t="str">
        <f>Originals!F186</f>
        <v>Development</v>
      </c>
      <c r="G44" s="148" t="str">
        <f>Originals!G186</f>
        <v>GPower</v>
      </c>
      <c r="H44" s="148" t="str">
        <f>Originals!H186</f>
        <v>GPower Events 2012.0.0.7</v>
      </c>
      <c r="I44" s="148" t="str">
        <f>Originals!I186</f>
        <v>VIPM Community</v>
      </c>
      <c r="J44" s="195" t="s">
        <v>550</v>
      </c>
    </row>
    <row r="45" spans="1:10" hidden="1" x14ac:dyDescent="0.25">
      <c r="A45" s="149" t="str">
        <f>Scott!A26</f>
        <v>3-Scott</v>
      </c>
      <c r="B45" s="149" t="str">
        <f>Scott!B26</f>
        <v>GPower Events</v>
      </c>
      <c r="C45" s="149" t="str">
        <f>Scott!C26</f>
        <v>2012.0.0.7</v>
      </c>
      <c r="D45" s="149" t="str">
        <f>Scott!D26</f>
        <v>32</v>
      </c>
      <c r="E45" s="149" t="str">
        <f>Scott!E26</f>
        <v>N/A</v>
      </c>
      <c r="F45" s="149" t="str">
        <f>Scott!F26</f>
        <v>Development</v>
      </c>
      <c r="G45" s="149" t="str">
        <f>Scott!G26</f>
        <v>GPower</v>
      </c>
      <c r="H45" s="149" t="str">
        <f>Scott!H26</f>
        <v>GPower Events 2012.0.0.7</v>
      </c>
      <c r="I45" s="149" t="str">
        <f>Scott!I26</f>
        <v>VIPM Community</v>
      </c>
      <c r="J45" s="195" t="s">
        <v>550</v>
      </c>
    </row>
    <row r="46" spans="1:10" hidden="1" x14ac:dyDescent="0.25">
      <c r="A46" s="148" t="str">
        <f>Originals!A187</f>
        <v>4-Vinnie</v>
      </c>
      <c r="B46" s="148" t="str">
        <f>Originals!B187</f>
        <v>GPower Math</v>
      </c>
      <c r="C46" s="148" t="str">
        <f>Originals!C187</f>
        <v>2012.1.0.6</v>
      </c>
      <c r="D46" s="148" t="str">
        <f>Originals!D187</f>
        <v>32</v>
      </c>
      <c r="E46" s="148" t="str">
        <f>Originals!E187</f>
        <v>N/A</v>
      </c>
      <c r="F46" s="148" t="str">
        <f>Originals!F187</f>
        <v>Development</v>
      </c>
      <c r="G46" s="148" t="str">
        <f>Originals!G187</f>
        <v>GPower</v>
      </c>
      <c r="H46" s="148" t="str">
        <f>Originals!H187</f>
        <v>GPower Math 2012.1.0.6</v>
      </c>
      <c r="I46" s="148" t="str">
        <f>Originals!I187</f>
        <v>VIPM Community</v>
      </c>
      <c r="J46" s="195" t="s">
        <v>550</v>
      </c>
    </row>
    <row r="47" spans="1:10" hidden="1" x14ac:dyDescent="0.25">
      <c r="A47" s="149" t="str">
        <f>Scott!A27</f>
        <v>3-Scott</v>
      </c>
      <c r="B47" s="149" t="str">
        <f>Scott!B27</f>
        <v>GPower Math</v>
      </c>
      <c r="C47" s="149" t="str">
        <f>Scott!C27</f>
        <v>2012.1.0.6</v>
      </c>
      <c r="D47" s="149" t="str">
        <f>Scott!D27</f>
        <v>32</v>
      </c>
      <c r="E47" s="149" t="str">
        <f>Scott!E27</f>
        <v>N/A</v>
      </c>
      <c r="F47" s="149" t="str">
        <f>Scott!F27</f>
        <v>Development</v>
      </c>
      <c r="G47" s="149" t="str">
        <f>Scott!G27</f>
        <v>GPower</v>
      </c>
      <c r="H47" s="149" t="str">
        <f>Scott!H27</f>
        <v>GPower Math 2012.1.0.6</v>
      </c>
      <c r="I47" s="149" t="str">
        <f>Scott!I27</f>
        <v>VIPM Community</v>
      </c>
      <c r="J47" s="195" t="s">
        <v>550</v>
      </c>
    </row>
    <row r="48" spans="1:10" hidden="1" x14ac:dyDescent="0.25">
      <c r="A48" s="148" t="str">
        <f>Originals!A188</f>
        <v>4-Vinnie</v>
      </c>
      <c r="B48" s="148" t="str">
        <f>Originals!B188</f>
        <v>GPower Numeric</v>
      </c>
      <c r="C48" s="148" t="str">
        <f>Originals!C188</f>
        <v>2016.2.0.14</v>
      </c>
      <c r="D48" s="148" t="str">
        <f>Originals!D188</f>
        <v>32</v>
      </c>
      <c r="E48" s="148" t="str">
        <f>Originals!E188</f>
        <v>N/A</v>
      </c>
      <c r="F48" s="148" t="str">
        <f>Originals!F188</f>
        <v>Development</v>
      </c>
      <c r="G48" s="148" t="str">
        <f>Originals!G188</f>
        <v>GPower</v>
      </c>
      <c r="H48" s="148" t="str">
        <f>Originals!H188</f>
        <v>GPower Numeric 2016.2.0.14</v>
      </c>
      <c r="I48" s="148" t="str">
        <f>Originals!I188</f>
        <v>VIPM Community</v>
      </c>
      <c r="J48" s="195" t="s">
        <v>550</v>
      </c>
    </row>
    <row r="49" spans="1:10" hidden="1" x14ac:dyDescent="0.25">
      <c r="A49" s="149" t="str">
        <f>Scott!A28</f>
        <v>3-Scott</v>
      </c>
      <c r="B49" s="149" t="str">
        <f>Scott!B28</f>
        <v>GPower Numeric</v>
      </c>
      <c r="C49" s="149" t="str">
        <f>Scott!C28</f>
        <v>2016.2.0.14</v>
      </c>
      <c r="D49" s="149" t="str">
        <f>Scott!D28</f>
        <v>32</v>
      </c>
      <c r="E49" s="149" t="str">
        <f>Scott!E28</f>
        <v>N/A</v>
      </c>
      <c r="F49" s="149" t="str">
        <f>Scott!F28</f>
        <v>Development</v>
      </c>
      <c r="G49" s="149" t="str">
        <f>Scott!G28</f>
        <v>GPower</v>
      </c>
      <c r="H49" s="149" t="str">
        <f>Scott!H28</f>
        <v>GPower Numeric 2016.2.0.14</v>
      </c>
      <c r="I49" s="149" t="str">
        <f>Scott!I28</f>
        <v>VIPM Community</v>
      </c>
      <c r="J49" s="195" t="s">
        <v>550</v>
      </c>
    </row>
    <row r="50" spans="1:10" hidden="1" x14ac:dyDescent="0.25">
      <c r="A50" s="148" t="str">
        <f>Originals!A189</f>
        <v>4-Vinnie</v>
      </c>
      <c r="B50" s="148" t="str">
        <f>Originals!B189</f>
        <v>GPower Overflow</v>
      </c>
      <c r="C50" s="148" t="str">
        <f>Originals!C189</f>
        <v>2014.0.0.4</v>
      </c>
      <c r="D50" s="148" t="str">
        <f>Originals!D189</f>
        <v>32</v>
      </c>
      <c r="E50" s="148" t="str">
        <f>Originals!E189</f>
        <v>N/A</v>
      </c>
      <c r="F50" s="148" t="str">
        <f>Originals!F189</f>
        <v>Development</v>
      </c>
      <c r="G50" s="148" t="str">
        <f>Originals!G189</f>
        <v>GPower</v>
      </c>
      <c r="H50" s="148" t="str">
        <f>Originals!H189</f>
        <v>GPower Overflow 2014.0.0.4</v>
      </c>
      <c r="I50" s="148" t="str">
        <f>Originals!I189</f>
        <v>VIPM Community</v>
      </c>
      <c r="J50" s="195" t="s">
        <v>550</v>
      </c>
    </row>
    <row r="51" spans="1:10" hidden="1" x14ac:dyDescent="0.25">
      <c r="A51" s="149" t="str">
        <f>Scott!A29</f>
        <v>3-Scott</v>
      </c>
      <c r="B51" s="149" t="str">
        <f>Scott!B29</f>
        <v>GPower Overflow</v>
      </c>
      <c r="C51" s="149" t="str">
        <f>Scott!C29</f>
        <v>2014.0.0.4</v>
      </c>
      <c r="D51" s="149" t="str">
        <f>Scott!D29</f>
        <v>32</v>
      </c>
      <c r="E51" s="149" t="str">
        <f>Scott!E29</f>
        <v>N/A</v>
      </c>
      <c r="F51" s="149" t="str">
        <f>Scott!F29</f>
        <v>Development</v>
      </c>
      <c r="G51" s="149" t="str">
        <f>Scott!G29</f>
        <v>GPower</v>
      </c>
      <c r="H51" s="149" t="str">
        <f>Scott!H29</f>
        <v>GPower Overflow 2014.0.0.4</v>
      </c>
      <c r="I51" s="149" t="str">
        <f>Scott!I29</f>
        <v>VIPM Community</v>
      </c>
      <c r="J51" s="195" t="s">
        <v>550</v>
      </c>
    </row>
    <row r="52" spans="1:10" hidden="1" x14ac:dyDescent="0.25">
      <c r="A52" s="148" t="str">
        <f>Originals!A190</f>
        <v>4-Vinnie</v>
      </c>
      <c r="B52" s="148" t="str">
        <f>Originals!B190</f>
        <v>GPower String</v>
      </c>
      <c r="C52" s="148" t="str">
        <f>Originals!C190</f>
        <v>2016.1.0.11</v>
      </c>
      <c r="D52" s="148" t="str">
        <f>Originals!D190</f>
        <v>32</v>
      </c>
      <c r="E52" s="148" t="str">
        <f>Originals!E190</f>
        <v>N/A</v>
      </c>
      <c r="F52" s="148" t="str">
        <f>Originals!F190</f>
        <v>Development</v>
      </c>
      <c r="G52" s="148" t="str">
        <f>Originals!G190</f>
        <v>GPower</v>
      </c>
      <c r="H52" s="148" t="str">
        <f>Originals!H190</f>
        <v>GPower String 2016.1.0.11</v>
      </c>
      <c r="I52" s="148" t="str">
        <f>Originals!I190</f>
        <v>VIPM Community</v>
      </c>
      <c r="J52" s="195" t="s">
        <v>550</v>
      </c>
    </row>
    <row r="53" spans="1:10" hidden="1" x14ac:dyDescent="0.25">
      <c r="A53" s="149" t="str">
        <f>Scott!A30</f>
        <v>3-Scott</v>
      </c>
      <c r="B53" s="149" t="str">
        <f>Scott!B30</f>
        <v>GPower String</v>
      </c>
      <c r="C53" s="149" t="str">
        <f>Scott!C30</f>
        <v>2016.1.0.11</v>
      </c>
      <c r="D53" s="149" t="str">
        <f>Scott!D30</f>
        <v>32</v>
      </c>
      <c r="E53" s="149" t="str">
        <f>Scott!E30</f>
        <v>N/A</v>
      </c>
      <c r="F53" s="149" t="str">
        <f>Scott!F30</f>
        <v>Development</v>
      </c>
      <c r="G53" s="149" t="str">
        <f>Scott!G30</f>
        <v>GPower</v>
      </c>
      <c r="H53" s="149" t="str">
        <f>Scott!H30</f>
        <v>GPower String 2016.1.0.11</v>
      </c>
      <c r="I53" s="149" t="str">
        <f>Scott!I30</f>
        <v>VIPM Community</v>
      </c>
      <c r="J53" s="195" t="s">
        <v>550</v>
      </c>
    </row>
    <row r="54" spans="1:10" hidden="1" x14ac:dyDescent="0.25">
      <c r="A54" s="148" t="str">
        <f>Originals!A191</f>
        <v>4-Vinnie</v>
      </c>
      <c r="B54" s="148" t="str">
        <f>Originals!B191</f>
        <v>GPower Timing</v>
      </c>
      <c r="C54" s="148" t="str">
        <f>Originals!C191</f>
        <v>2017.0.0.26</v>
      </c>
      <c r="D54" s="148" t="str">
        <f>Originals!D191</f>
        <v>32</v>
      </c>
      <c r="E54" s="148" t="str">
        <f>Originals!E191</f>
        <v>N/A</v>
      </c>
      <c r="F54" s="148" t="str">
        <f>Originals!F191</f>
        <v>Development</v>
      </c>
      <c r="G54" s="148" t="str">
        <f>Originals!G191</f>
        <v>GPower</v>
      </c>
      <c r="H54" s="148" t="str">
        <f>Originals!H191</f>
        <v>GPower Timing 2017.0.0.26</v>
      </c>
      <c r="I54" s="148" t="str">
        <f>Originals!I191</f>
        <v>VIPM Community</v>
      </c>
      <c r="J54" s="195" t="s">
        <v>550</v>
      </c>
    </row>
    <row r="55" spans="1:10" hidden="1" x14ac:dyDescent="0.25">
      <c r="A55" s="149" t="str">
        <f>Scott!A31</f>
        <v>3-Scott</v>
      </c>
      <c r="B55" s="149" t="str">
        <f>Scott!B31</f>
        <v>GPower Timing</v>
      </c>
      <c r="C55" s="149" t="str">
        <f>Scott!C31</f>
        <v>2017.0.0.26</v>
      </c>
      <c r="D55" s="149" t="str">
        <f>Scott!D31</f>
        <v>32</v>
      </c>
      <c r="E55" s="149" t="str">
        <f>Scott!E31</f>
        <v>N/A</v>
      </c>
      <c r="F55" s="149" t="str">
        <f>Scott!F31</f>
        <v>Development</v>
      </c>
      <c r="G55" s="149" t="str">
        <f>Scott!G31</f>
        <v>GPower</v>
      </c>
      <c r="H55" s="149" t="str">
        <f>Scott!H31</f>
        <v>GPower Timing 2017.0.0.26</v>
      </c>
      <c r="I55" s="149" t="str">
        <f>Scott!I31</f>
        <v>VIPM Community</v>
      </c>
      <c r="J55" s="195" t="s">
        <v>550</v>
      </c>
    </row>
    <row r="56" spans="1:10" hidden="1" x14ac:dyDescent="0.25">
      <c r="A56" s="148" t="str">
        <f>Originals!A192</f>
        <v>4-Vinnie</v>
      </c>
      <c r="B56" s="148" t="str">
        <f>Originals!B192</f>
        <v>GPower VI Launcher</v>
      </c>
      <c r="C56" s="148" t="str">
        <f>Originals!C192</f>
        <v>2012.2.0.26</v>
      </c>
      <c r="D56" s="148" t="str">
        <f>Originals!D192</f>
        <v>32</v>
      </c>
      <c r="E56" s="148" t="str">
        <f>Originals!E192</f>
        <v>N/A</v>
      </c>
      <c r="F56" s="148" t="str">
        <f>Originals!F192</f>
        <v>Development</v>
      </c>
      <c r="G56" s="148" t="str">
        <f>Originals!G192</f>
        <v>GPower</v>
      </c>
      <c r="H56" s="148" t="str">
        <f>Originals!H192</f>
        <v>GPower VI Launcher 2012.2.0.26</v>
      </c>
      <c r="I56" s="148" t="str">
        <f>Originals!I192</f>
        <v>VIPM Community</v>
      </c>
      <c r="J56" s="195" t="s">
        <v>550</v>
      </c>
    </row>
    <row r="57" spans="1:10" hidden="1" x14ac:dyDescent="0.25">
      <c r="A57" s="149" t="str">
        <f>Scott!A32</f>
        <v>3-Scott</v>
      </c>
      <c r="B57" s="149" t="str">
        <f>Scott!B32</f>
        <v>GPower VI Launcher</v>
      </c>
      <c r="C57" s="149" t="str">
        <f>Scott!C32</f>
        <v>2012.2.0.26</v>
      </c>
      <c r="D57" s="149" t="str">
        <f>Scott!D32</f>
        <v>32</v>
      </c>
      <c r="E57" s="149" t="str">
        <f>Scott!E32</f>
        <v>N/A</v>
      </c>
      <c r="F57" s="149" t="str">
        <f>Scott!F32</f>
        <v>Development</v>
      </c>
      <c r="G57" s="149" t="str">
        <f>Scott!G32</f>
        <v>GPower</v>
      </c>
      <c r="H57" s="149" t="str">
        <f>Scott!H32</f>
        <v>GPower VI Launcher 2012.2.0.26</v>
      </c>
      <c r="I57" s="149" t="str">
        <f>Scott!I32</f>
        <v>VIPM Community</v>
      </c>
      <c r="J57" s="195" t="s">
        <v>550</v>
      </c>
    </row>
    <row r="58" spans="1:10" hidden="1" x14ac:dyDescent="0.25">
      <c r="A58" s="148" t="str">
        <f>Originals!A193</f>
        <v>4-Vinnie</v>
      </c>
      <c r="B58" s="148" t="str">
        <f>Originals!B193</f>
        <v>GPower VI Register</v>
      </c>
      <c r="C58" s="148" t="str">
        <f>Originals!C193</f>
        <v>2016.0.0.31</v>
      </c>
      <c r="D58" s="148" t="str">
        <f>Originals!D193</f>
        <v>32</v>
      </c>
      <c r="E58" s="148" t="str">
        <f>Originals!E193</f>
        <v>N/A</v>
      </c>
      <c r="F58" s="148" t="str">
        <f>Originals!F193</f>
        <v>Development</v>
      </c>
      <c r="G58" s="148" t="str">
        <f>Originals!G193</f>
        <v>GPower</v>
      </c>
      <c r="H58" s="148" t="str">
        <f>Originals!H193</f>
        <v>GPower VI Register 2016.0.0.31</v>
      </c>
      <c r="I58" s="148" t="str">
        <f>Originals!I193</f>
        <v>VIPM Community</v>
      </c>
      <c r="J58" s="195" t="s">
        <v>550</v>
      </c>
    </row>
    <row r="59" spans="1:10" hidden="1" x14ac:dyDescent="0.25">
      <c r="A59" s="149" t="str">
        <f>Scott!A33</f>
        <v>3-Scott</v>
      </c>
      <c r="B59" s="149" t="str">
        <f>Scott!B33</f>
        <v>GPower VI Register</v>
      </c>
      <c r="C59" s="149" t="str">
        <f>Scott!C33</f>
        <v>2016.0.0.31</v>
      </c>
      <c r="D59" s="149" t="str">
        <f>Scott!D33</f>
        <v>32</v>
      </c>
      <c r="E59" s="149" t="str">
        <f>Scott!E33</f>
        <v>N/A</v>
      </c>
      <c r="F59" s="149" t="str">
        <f>Scott!F33</f>
        <v>Development</v>
      </c>
      <c r="G59" s="149" t="str">
        <f>Scott!G33</f>
        <v>GPower</v>
      </c>
      <c r="H59" s="149" t="str">
        <f>Scott!H33</f>
        <v>GPower VI Register 2016.0.0.31</v>
      </c>
      <c r="I59" s="149" t="str">
        <f>Scott!I33</f>
        <v>VIPM Community</v>
      </c>
      <c r="J59" s="195" t="s">
        <v>550</v>
      </c>
    </row>
    <row r="60" spans="1:10" hidden="1" x14ac:dyDescent="0.25">
      <c r="A60" s="148" t="str">
        <f>Originals!A194</f>
        <v>4-Vinnie</v>
      </c>
      <c r="B60" s="148" t="str">
        <f>Originals!B194</f>
        <v>Hardware Configuration and Web Support</v>
      </c>
      <c r="C60" s="148" t="str">
        <f>Originals!C194</f>
        <v>15.0.0</v>
      </c>
      <c r="D60" s="148" t="str">
        <f>Originals!D194</f>
        <v>32</v>
      </c>
      <c r="E60" s="148" t="str">
        <f>Originals!E194</f>
        <v>2015</v>
      </c>
      <c r="F60" s="148" t="str">
        <f>Originals!F194</f>
        <v>C-RIO</v>
      </c>
      <c r="G60" s="148" t="str">
        <f>Originals!G194</f>
        <v>NI</v>
      </c>
      <c r="H60" s="148" t="str">
        <f>Originals!H194</f>
        <v>Hardware Configuration and Web Support 15.0.0</v>
      </c>
      <c r="I60" s="148">
        <f>Originals!I194</f>
        <v>0</v>
      </c>
    </row>
    <row r="61" spans="1:10" hidden="1" x14ac:dyDescent="0.25">
      <c r="A61" s="148" t="str">
        <f>Originals!A195</f>
        <v>4-Vinnie</v>
      </c>
      <c r="B61" s="148" t="str">
        <f>Originals!B195</f>
        <v>HTTP Client with SSL Support</v>
      </c>
      <c r="C61" s="148" t="str">
        <f>Originals!C195</f>
        <v>15.0.0</v>
      </c>
      <c r="D61" s="148" t="str">
        <f>Originals!D195</f>
        <v>32</v>
      </c>
      <c r="E61" s="148" t="str">
        <f>Originals!E195</f>
        <v>2015</v>
      </c>
      <c r="F61" s="148" t="str">
        <f>Originals!F195</f>
        <v>C-RIO</v>
      </c>
      <c r="G61" s="148" t="str">
        <f>Originals!G195</f>
        <v>NI</v>
      </c>
      <c r="H61" s="148" t="str">
        <f>Originals!H195</f>
        <v>HTTP Client with SSL Support 15.0.0</v>
      </c>
      <c r="I61" s="148">
        <f>Originals!I195</f>
        <v>0</v>
      </c>
    </row>
    <row r="62" spans="1:10" hidden="1" x14ac:dyDescent="0.25">
      <c r="A62" s="148" t="str">
        <f>Originals!A196</f>
        <v>4-Vinnie</v>
      </c>
      <c r="B62" s="148" t="str">
        <f>Originals!B196</f>
        <v>I/O Variable Remorte Configuration Web Server</v>
      </c>
      <c r="C62" s="148">
        <f>Originals!C196</f>
        <v>0</v>
      </c>
      <c r="D62" s="148" t="str">
        <f>Originals!D196</f>
        <v>32</v>
      </c>
      <c r="E62" s="148" t="str">
        <f>Originals!E196</f>
        <v>N/A</v>
      </c>
      <c r="F62" s="148" t="str">
        <f>Originals!F196</f>
        <v>C-RIO</v>
      </c>
      <c r="G62" s="148" t="str">
        <f>Originals!G196</f>
        <v>NI</v>
      </c>
      <c r="H62" s="148" t="str">
        <f>Originals!H196</f>
        <v xml:space="preserve">I/O Variable Remorte Configuration Web Server </v>
      </c>
      <c r="I62" s="148">
        <f>Originals!I196</f>
        <v>0</v>
      </c>
    </row>
    <row r="63" spans="1:10" hidden="1" x14ac:dyDescent="0.25">
      <c r="A63" s="148" t="str">
        <f>Originals!A197</f>
        <v>4-Vinnie</v>
      </c>
      <c r="B63" s="148" t="str">
        <f>Originals!B197</f>
        <v>Image Processing and Machine Vision</v>
      </c>
      <c r="C63" s="148" t="str">
        <f>Originals!C197</f>
        <v>19.5.0.49152</v>
      </c>
      <c r="D63" s="148" t="str">
        <f>Originals!D197</f>
        <v>32</v>
      </c>
      <c r="E63" s="148" t="str">
        <f>Originals!E197</f>
        <v>2019</v>
      </c>
      <c r="F63" s="148" t="str">
        <f>Originals!F197</f>
        <v>Development</v>
      </c>
      <c r="G63" s="148" t="str">
        <f>Originals!G197</f>
        <v>NI</v>
      </c>
      <c r="H63" s="148" t="str">
        <f>Originals!H197</f>
        <v>Image Processing and Machine Vision 19.5.0.49152</v>
      </c>
      <c r="I63" s="148" t="str">
        <f>Originals!I197</f>
        <v>LabVIEW 2019</v>
      </c>
      <c r="J63" s="195" t="s">
        <v>550</v>
      </c>
    </row>
    <row r="64" spans="1:10" hidden="1" x14ac:dyDescent="0.25">
      <c r="A64" s="149" t="str">
        <f>Scott!A34</f>
        <v>3-Scott</v>
      </c>
      <c r="B64" s="149" t="str">
        <f>Scott!B34</f>
        <v>Image Processing and Machine Vision</v>
      </c>
      <c r="C64" s="149" t="str">
        <f>Scott!C34</f>
        <v>19.5.0.49152</v>
      </c>
      <c r="D64" s="149" t="str">
        <f>Scott!D34</f>
        <v>32</v>
      </c>
      <c r="E64" s="149" t="str">
        <f>Scott!E34</f>
        <v>2019</v>
      </c>
      <c r="F64" s="149" t="str">
        <f>Scott!F34</f>
        <v>Development</v>
      </c>
      <c r="G64" s="149" t="str">
        <f>Scott!G34</f>
        <v>NI</v>
      </c>
      <c r="H64" s="149" t="str">
        <f>Scott!H34</f>
        <v>Image Processing and Machine Vision 19.5.0.49152</v>
      </c>
      <c r="I64" s="149" t="str">
        <f>Scott!I34</f>
        <v>LabVIEW 2019</v>
      </c>
      <c r="J64" s="195" t="s">
        <v>550</v>
      </c>
    </row>
    <row r="65" spans="1:10" hidden="1" x14ac:dyDescent="0.25">
      <c r="A65" s="148" t="str">
        <f>Originals!A198</f>
        <v>4-Vinnie</v>
      </c>
      <c r="B65" s="148" t="str">
        <f>Originals!B198</f>
        <v>Image Services</v>
      </c>
      <c r="C65" s="148" t="str">
        <f>Originals!C198</f>
        <v>19.5.0.49152</v>
      </c>
      <c r="D65" s="148" t="str">
        <f>Originals!D198</f>
        <v>32</v>
      </c>
      <c r="E65" s="148" t="str">
        <f>Originals!E198</f>
        <v>2019</v>
      </c>
      <c r="F65" s="148" t="str">
        <f>Originals!F198</f>
        <v>Development</v>
      </c>
      <c r="G65" s="148" t="str">
        <f>Originals!G198</f>
        <v>NI</v>
      </c>
      <c r="H65" s="148" t="str">
        <f>Originals!H198</f>
        <v>Image Services 19.5.0.49152</v>
      </c>
      <c r="I65" s="148" t="str">
        <f>Originals!I198</f>
        <v>LabVIEW 2019</v>
      </c>
      <c r="J65" s="195" t="s">
        <v>550</v>
      </c>
    </row>
    <row r="66" spans="1:10" hidden="1" x14ac:dyDescent="0.25">
      <c r="A66" s="149" t="str">
        <f>Scott!A35</f>
        <v>3-Scott</v>
      </c>
      <c r="B66" s="149" t="str">
        <f>Scott!B35</f>
        <v>Image Services</v>
      </c>
      <c r="C66" s="149" t="str">
        <f>Scott!C35</f>
        <v>19.5.0.49152</v>
      </c>
      <c r="D66" s="149" t="str">
        <f>Scott!D35</f>
        <v>32</v>
      </c>
      <c r="E66" s="149" t="str">
        <f>Scott!E35</f>
        <v>2019</v>
      </c>
      <c r="F66" s="149" t="str">
        <f>Scott!F35</f>
        <v>Development</v>
      </c>
      <c r="G66" s="149" t="str">
        <f>Scott!G35</f>
        <v>NI</v>
      </c>
      <c r="H66" s="149" t="str">
        <f>Scott!H35</f>
        <v>Image Services 19.5.0.49152</v>
      </c>
      <c r="I66" s="149" t="str">
        <f>Scott!I35</f>
        <v>LabVIEW 2019</v>
      </c>
      <c r="J66" s="195" t="s">
        <v>550</v>
      </c>
    </row>
    <row r="67" spans="1:10" x14ac:dyDescent="0.25">
      <c r="A67" s="149" t="str">
        <f>Scott!A36</f>
        <v>3-Scott</v>
      </c>
      <c r="B67" s="149" t="str">
        <f>Scott!B36</f>
        <v>IVI Compliance Package</v>
      </c>
      <c r="C67" s="149" t="str">
        <f>Scott!C36</f>
        <v>15.0</v>
      </c>
      <c r="D67" s="149">
        <f>Scott!D36</f>
        <v>32</v>
      </c>
      <c r="E67" s="149">
        <f>Scott!E36</f>
        <v>2015</v>
      </c>
      <c r="F67" s="149" t="str">
        <f>Scott!F36</f>
        <v>Development</v>
      </c>
      <c r="G67" s="149" t="str">
        <f>Scott!G36</f>
        <v>NI</v>
      </c>
      <c r="H67" s="149" t="str">
        <f>Scott!H36</f>
        <v>IVI Compliance Package 15.0</v>
      </c>
      <c r="I67" s="149" t="str">
        <f>Scott!I36</f>
        <v>NI Developer Suite 2015 DS2 Install</v>
      </c>
      <c r="J67" s="147" t="s">
        <v>554</v>
      </c>
    </row>
    <row r="68" spans="1:10" x14ac:dyDescent="0.25">
      <c r="A68" s="148" t="str">
        <f>Originals!A199</f>
        <v>4-Vinnie</v>
      </c>
      <c r="B68" s="148" t="str">
        <f>Originals!B199</f>
        <v>IVI Driver Toolset</v>
      </c>
      <c r="C68" s="148">
        <f>Originals!C199</f>
        <v>1.5</v>
      </c>
      <c r="D68" s="148" t="str">
        <f>Originals!D199</f>
        <v>32</v>
      </c>
      <c r="E68" s="148" t="str">
        <f>Originals!E199</f>
        <v>N/A</v>
      </c>
      <c r="F68" s="148" t="str">
        <f>Originals!F199</f>
        <v>Development</v>
      </c>
      <c r="G68" s="148" t="str">
        <f>Originals!G199</f>
        <v>NI</v>
      </c>
      <c r="H68" s="148" t="str">
        <f>Originals!H199</f>
        <v>IVI Driver Toolset 1.5</v>
      </c>
      <c r="I68" s="148">
        <f>Originals!I199</f>
        <v>0</v>
      </c>
      <c r="J68" s="147" t="s">
        <v>554</v>
      </c>
    </row>
    <row r="69" spans="1:10" x14ac:dyDescent="0.25">
      <c r="A69" s="148" t="str">
        <f>Originals!A200</f>
        <v>4-Vinnie</v>
      </c>
      <c r="B69" s="148" t="str">
        <f>Originals!B200</f>
        <v>IVI Engine</v>
      </c>
      <c r="C69" s="148" t="str">
        <f>Originals!C200</f>
        <v>15.0.0.f0</v>
      </c>
      <c r="D69" s="148" t="str">
        <f>Originals!D200</f>
        <v>32</v>
      </c>
      <c r="E69" s="148">
        <f>Originals!E200</f>
        <v>2015</v>
      </c>
      <c r="F69" s="148" t="str">
        <f>Originals!F200</f>
        <v>Development</v>
      </c>
      <c r="G69" s="148" t="str">
        <f>Originals!G200</f>
        <v>NI</v>
      </c>
      <c r="H69" s="148" t="str">
        <f>Originals!H200</f>
        <v>IVI Engine 15.0.0.f0</v>
      </c>
      <c r="I69" s="148">
        <f>Originals!I200</f>
        <v>0</v>
      </c>
      <c r="J69" s="147" t="s">
        <v>554</v>
      </c>
    </row>
    <row r="70" spans="1:10" hidden="1" x14ac:dyDescent="0.25">
      <c r="A70" s="148" t="str">
        <f>Originals!A201</f>
        <v>4-Vinnie</v>
      </c>
      <c r="B70" s="148" t="str">
        <f>Originals!B201</f>
        <v>JKI State Machine</v>
      </c>
      <c r="C70" s="148" t="str">
        <f>Originals!C201</f>
        <v>3.0.0.8</v>
      </c>
      <c r="D70" s="148" t="str">
        <f>Originals!D201</f>
        <v>32</v>
      </c>
      <c r="E70" s="148" t="str">
        <f>Originals!E201</f>
        <v>N/A</v>
      </c>
      <c r="F70" s="148" t="str">
        <f>Originals!F201</f>
        <v>Development</v>
      </c>
      <c r="G70" s="148" t="str">
        <f>Originals!G201</f>
        <v>JKI</v>
      </c>
      <c r="H70" s="148" t="str">
        <f>Originals!H201</f>
        <v>JKI State Machine 3.0.0.8</v>
      </c>
      <c r="I70" s="148" t="str">
        <f>Originals!I201</f>
        <v>VIPM Community</v>
      </c>
      <c r="J70" s="195" t="s">
        <v>550</v>
      </c>
    </row>
    <row r="71" spans="1:10" hidden="1" x14ac:dyDescent="0.25">
      <c r="A71" s="149" t="str">
        <f>Scott!A37</f>
        <v>3-Scott</v>
      </c>
      <c r="B71" s="149" t="str">
        <f>Scott!B37</f>
        <v>JKI State Machine</v>
      </c>
      <c r="C71" s="149" t="str">
        <f>Scott!C37</f>
        <v>3.0.0.8</v>
      </c>
      <c r="D71" s="149" t="str">
        <f>Scott!D37</f>
        <v>32</v>
      </c>
      <c r="E71" s="149" t="str">
        <f>Scott!E37</f>
        <v>N/A</v>
      </c>
      <c r="F71" s="149" t="str">
        <f>Scott!F37</f>
        <v>Development</v>
      </c>
      <c r="G71" s="149" t="str">
        <f>Scott!G37</f>
        <v>JKI</v>
      </c>
      <c r="H71" s="149" t="str">
        <f>Scott!H37</f>
        <v>JKI State Machine 3.0.0.8</v>
      </c>
      <c r="I71" s="149" t="str">
        <f>Scott!I37</f>
        <v>VIPM Community</v>
      </c>
      <c r="J71" s="195" t="s">
        <v>550</v>
      </c>
    </row>
    <row r="72" spans="1:10" hidden="1" x14ac:dyDescent="0.25">
      <c r="A72" s="148" t="str">
        <f>Originals!A202</f>
        <v>4-Vinnie</v>
      </c>
      <c r="B72" s="148" t="str">
        <f>Originals!B202</f>
        <v>JKI State Machine Editor</v>
      </c>
      <c r="C72" s="148" t="str">
        <f>Originals!C202</f>
        <v>2013.6.3.239</v>
      </c>
      <c r="D72" s="148" t="str">
        <f>Originals!D202</f>
        <v>32</v>
      </c>
      <c r="E72" s="148" t="str">
        <f>Originals!E202</f>
        <v>N/A</v>
      </c>
      <c r="F72" s="148" t="str">
        <f>Originals!F202</f>
        <v>Development</v>
      </c>
      <c r="G72" s="148" t="str">
        <f>Originals!G202</f>
        <v>JKI</v>
      </c>
      <c r="H72" s="148" t="str">
        <f>Originals!H202</f>
        <v>JKI State Machine Editor 2013.6.3.239</v>
      </c>
      <c r="I72" s="148" t="str">
        <f>Originals!I202</f>
        <v>VIPM Community</v>
      </c>
      <c r="J72" s="195" t="s">
        <v>550</v>
      </c>
    </row>
    <row r="73" spans="1:10" hidden="1" x14ac:dyDescent="0.25">
      <c r="A73" s="149" t="str">
        <f>Scott!A38</f>
        <v>3-Scott</v>
      </c>
      <c r="B73" s="149" t="str">
        <f>Scott!B38</f>
        <v>JKI State Machine Editor</v>
      </c>
      <c r="C73" s="149" t="str">
        <f>Scott!C38</f>
        <v>2013.6.3.239</v>
      </c>
      <c r="D73" s="149" t="str">
        <f>Scott!D38</f>
        <v>32</v>
      </c>
      <c r="E73" s="149" t="str">
        <f>Scott!E38</f>
        <v>N/A</v>
      </c>
      <c r="F73" s="149" t="str">
        <f>Scott!F38</f>
        <v>Development</v>
      </c>
      <c r="G73" s="149" t="str">
        <f>Scott!G38</f>
        <v>JKI</v>
      </c>
      <c r="H73" s="149" t="str">
        <f>Scott!H38</f>
        <v>JKI State Machine Editor 2013.6.3.239</v>
      </c>
      <c r="I73" s="149" t="str">
        <f>Scott!I38</f>
        <v>VIPM Community</v>
      </c>
      <c r="J73" s="195" t="s">
        <v>550</v>
      </c>
    </row>
    <row r="74" spans="1:10" hidden="1" x14ac:dyDescent="0.25">
      <c r="A74" s="148" t="str">
        <f>Originals!A203</f>
        <v>4-Vinnie</v>
      </c>
      <c r="B74" s="148" t="str">
        <f>Originals!B203</f>
        <v>JKI State Machine Objects (SMO)</v>
      </c>
      <c r="C74" s="148" t="str">
        <f>Originals!C203</f>
        <v>1.3.0.56</v>
      </c>
      <c r="D74" s="148" t="str">
        <f>Originals!D203</f>
        <v>32</v>
      </c>
      <c r="E74" s="148" t="str">
        <f>Originals!E203</f>
        <v>N/A</v>
      </c>
      <c r="F74" s="148" t="str">
        <f>Originals!F203</f>
        <v>Development</v>
      </c>
      <c r="G74" s="148" t="str">
        <f>Originals!G203</f>
        <v>JKI</v>
      </c>
      <c r="H74" s="148" t="str">
        <f>Originals!H203</f>
        <v>JKI State Machine Objects (SMO) 1.3.0.56</v>
      </c>
      <c r="I74" s="148" t="str">
        <f>Originals!I203</f>
        <v>VIPM Community</v>
      </c>
      <c r="J74" s="195" t="s">
        <v>550</v>
      </c>
    </row>
    <row r="75" spans="1:10" hidden="1" x14ac:dyDescent="0.25">
      <c r="A75" s="149" t="str">
        <f>Scott!A39</f>
        <v>3-Scott</v>
      </c>
      <c r="B75" s="149" t="str">
        <f>Scott!B39</f>
        <v>JKI State Machine Objects (SMO)</v>
      </c>
      <c r="C75" s="149" t="str">
        <f>Scott!C39</f>
        <v>1.3.0.56</v>
      </c>
      <c r="D75" s="149" t="str">
        <f>Scott!D39</f>
        <v>32</v>
      </c>
      <c r="E75" s="149" t="str">
        <f>Scott!E39</f>
        <v>N/A</v>
      </c>
      <c r="F75" s="149" t="str">
        <f>Scott!F39</f>
        <v>Development</v>
      </c>
      <c r="G75" s="149" t="str">
        <f>Scott!G39</f>
        <v>JKI</v>
      </c>
      <c r="H75" s="149" t="str">
        <f>Scott!H39</f>
        <v>JKI State Machine Objects (SMO) 1.3.0.56</v>
      </c>
      <c r="I75" s="149" t="str">
        <f>Scott!I39</f>
        <v>VIPM Community</v>
      </c>
      <c r="J75" s="195" t="s">
        <v>550</v>
      </c>
    </row>
    <row r="76" spans="1:10" hidden="1" x14ac:dyDescent="0.25">
      <c r="A76" s="148" t="str">
        <f>Originals!A204</f>
        <v>4-Vinnie</v>
      </c>
      <c r="B76" s="148" t="str">
        <f>Originals!B204</f>
        <v>JKI VIPM</v>
      </c>
      <c r="C76" s="148">
        <f>Originals!C204</f>
        <v>0</v>
      </c>
      <c r="D76" s="148">
        <f>Originals!D204</f>
        <v>0</v>
      </c>
      <c r="E76" s="148" t="str">
        <f>Originals!E204</f>
        <v>N/A</v>
      </c>
      <c r="F76" s="148" t="str">
        <f>Originals!F204</f>
        <v>Development</v>
      </c>
      <c r="G76" s="148" t="str">
        <f>Originals!G204</f>
        <v>NI</v>
      </c>
      <c r="H76" s="148" t="str">
        <f>Originals!H204</f>
        <v xml:space="preserve">JKI VIPM </v>
      </c>
      <c r="I76" s="148" t="str">
        <f>Originals!I204</f>
        <v>vipm-22.0.2371-windows-setup</v>
      </c>
      <c r="J76" s="195" t="s">
        <v>550</v>
      </c>
    </row>
    <row r="77" spans="1:10" hidden="1" x14ac:dyDescent="0.25">
      <c r="A77" s="148" t="str">
        <f>Originals!A205</f>
        <v>4-Vinnie</v>
      </c>
      <c r="B77" s="148" t="str">
        <f>Originals!B205</f>
        <v>jki_rsc_toolkits_palette</v>
      </c>
      <c r="C77" s="148" t="str">
        <f>Originals!C205</f>
        <v>1.1-1</v>
      </c>
      <c r="D77" s="148" t="str">
        <f>Originals!D205</f>
        <v>32</v>
      </c>
      <c r="E77" s="148" t="str">
        <f>Originals!E205</f>
        <v>N/A</v>
      </c>
      <c r="F77" s="148" t="str">
        <f>Originals!F205</f>
        <v>Development</v>
      </c>
      <c r="G77" s="148" t="str">
        <f>Originals!G205</f>
        <v>JKI Software</v>
      </c>
      <c r="H77" s="148" t="str">
        <f>Originals!H205</f>
        <v>jki_rsc_toolkits_palette 1.1-1</v>
      </c>
      <c r="I77" s="148" t="str">
        <f>Originals!I205</f>
        <v>VIPM Community</v>
      </c>
      <c r="J77" s="195" t="s">
        <v>550</v>
      </c>
    </row>
    <row r="78" spans="1:10" hidden="1" x14ac:dyDescent="0.25">
      <c r="A78" s="149" t="str">
        <f>Scott!A40</f>
        <v>3-Scott</v>
      </c>
      <c r="B78" s="149" t="str">
        <f>Scott!B40</f>
        <v>jki_rsc_toolkits_palette</v>
      </c>
      <c r="C78" s="149" t="str">
        <f>Scott!C40</f>
        <v>1.1-1</v>
      </c>
      <c r="D78" s="149" t="str">
        <f>Scott!D40</f>
        <v>32</v>
      </c>
      <c r="E78" s="149" t="str">
        <f>Scott!E40</f>
        <v>N/A</v>
      </c>
      <c r="F78" s="149" t="str">
        <f>Scott!F40</f>
        <v>Development</v>
      </c>
      <c r="G78" s="149" t="str">
        <f>Scott!G40</f>
        <v>JKI Software</v>
      </c>
      <c r="H78" s="149" t="str">
        <f>Scott!H40</f>
        <v>jki_rsc_toolkits_palette 1.1-1</v>
      </c>
      <c r="I78" s="149" t="str">
        <f>Scott!I40</f>
        <v>VIPM Community</v>
      </c>
      <c r="J78" s="195" t="s">
        <v>550</v>
      </c>
    </row>
    <row r="79" spans="1:10" hidden="1" x14ac:dyDescent="0.25">
      <c r="A79" s="148" t="str">
        <f>Originals!A206</f>
        <v>4-Vinnie</v>
      </c>
      <c r="B79" s="148" t="str">
        <f>Originals!B206</f>
        <v>LabVIEW</v>
      </c>
      <c r="C79" s="148" t="str">
        <f>Originals!C206</f>
        <v>12.0.1</v>
      </c>
      <c r="D79" s="148" t="str">
        <f>Originals!D206</f>
        <v>32</v>
      </c>
      <c r="E79" s="148" t="str">
        <f>Originals!E206</f>
        <v>2012 SP1 f9</v>
      </c>
      <c r="F79" s="148" t="str">
        <f>Originals!F206</f>
        <v>Runtime</v>
      </c>
      <c r="G79" s="148" t="str">
        <f>Originals!G206</f>
        <v>NI</v>
      </c>
      <c r="H79" s="148" t="str">
        <f>Originals!H206</f>
        <v>LabVIEW 2012 SP1 f9 12.0.1</v>
      </c>
      <c r="I79" s="148" t="str">
        <f>Originals!I206</f>
        <v>NI Developer Suite 2015 DS2 Install</v>
      </c>
    </row>
    <row r="80" spans="1:10" hidden="1" x14ac:dyDescent="0.25">
      <c r="A80" s="148" t="str">
        <f>Originals!A207</f>
        <v>4-Vinnie</v>
      </c>
      <c r="B80" s="148" t="str">
        <f>Originals!B207</f>
        <v>LabVIEW</v>
      </c>
      <c r="C80" s="148" t="str">
        <f>Originals!C207</f>
        <v>14.0.1</v>
      </c>
      <c r="D80" s="148" t="str">
        <f>Originals!D207</f>
        <v>32</v>
      </c>
      <c r="E80" s="148" t="str">
        <f>Originals!E207</f>
        <v>2014 SP1 f11</v>
      </c>
      <c r="F80" s="148" t="str">
        <f>Originals!F207</f>
        <v>Runtime</v>
      </c>
      <c r="G80" s="148" t="str">
        <f>Originals!G207</f>
        <v>NI</v>
      </c>
      <c r="H80" s="148" t="str">
        <f>Originals!H207</f>
        <v>LabVIEW 2014 SP1 f11 14.0.1</v>
      </c>
      <c r="I80" s="148" t="str">
        <f>Originals!I207</f>
        <v>2015 SP1 Update Service</v>
      </c>
    </row>
    <row r="81" spans="1:10" hidden="1" x14ac:dyDescent="0.25">
      <c r="A81" s="148" t="str">
        <f>Originals!A208</f>
        <v>4-Vinnie</v>
      </c>
      <c r="B81" s="148" t="str">
        <f>Originals!B208</f>
        <v>LabVIEW</v>
      </c>
      <c r="C81" s="148" t="str">
        <f>Originals!C208</f>
        <v>16.0.0</v>
      </c>
      <c r="D81" s="148" t="str">
        <f>Originals!D208</f>
        <v>32</v>
      </c>
      <c r="E81" s="148" t="str">
        <f>Originals!E208</f>
        <v>2016  f6</v>
      </c>
      <c r="F81" s="148" t="str">
        <f>Originals!F208</f>
        <v>Runtime</v>
      </c>
      <c r="G81" s="148" t="str">
        <f>Originals!G208</f>
        <v>NI</v>
      </c>
      <c r="H81" s="148" t="str">
        <f>Originals!H208</f>
        <v>LabVIEW 2016  f6 16.0.0</v>
      </c>
      <c r="I81" s="148">
        <f>Originals!I208</f>
        <v>0</v>
      </c>
    </row>
    <row r="82" spans="1:10" hidden="1" x14ac:dyDescent="0.25">
      <c r="A82" s="148" t="str">
        <f>Originals!A209</f>
        <v>4-Vinnie</v>
      </c>
      <c r="B82" s="148" t="str">
        <f>Originals!B209</f>
        <v>LabVIEW</v>
      </c>
      <c r="C82" s="148" t="str">
        <f>Originals!C209</f>
        <v>17.0.1</v>
      </c>
      <c r="D82" s="148" t="str">
        <f>Originals!D209</f>
        <v>32</v>
      </c>
      <c r="E82" s="148" t="str">
        <f>Originals!E209</f>
        <v>2017 SP1 f3</v>
      </c>
      <c r="F82" s="148" t="str">
        <f>Originals!F209</f>
        <v>Runtime</v>
      </c>
      <c r="G82" s="148" t="str">
        <f>Originals!G209</f>
        <v>NI</v>
      </c>
      <c r="H82" s="148" t="str">
        <f>Originals!H209</f>
        <v>LabVIEW 2017 SP1 f3 17.0.1</v>
      </c>
      <c r="I82" s="148">
        <f>Originals!I209</f>
        <v>0</v>
      </c>
    </row>
    <row r="83" spans="1:10" hidden="1" x14ac:dyDescent="0.25">
      <c r="A83" s="148" t="str">
        <f>Originals!A210</f>
        <v>4-Vinnie</v>
      </c>
      <c r="B83" s="148" t="str">
        <f>Originals!B210</f>
        <v>LabVIEW</v>
      </c>
      <c r="C83" s="148" t="str">
        <f>Originals!C210</f>
        <v>18.0.1</v>
      </c>
      <c r="D83" s="148" t="str">
        <f>Originals!D210</f>
        <v>64</v>
      </c>
      <c r="E83" s="148" t="str">
        <f>Originals!E210</f>
        <v>2018 SP1</v>
      </c>
      <c r="F83" s="148" t="str">
        <f>Originals!F210</f>
        <v>Runtime</v>
      </c>
      <c r="G83" s="148" t="str">
        <f>Originals!G210</f>
        <v>NI</v>
      </c>
      <c r="H83" s="148" t="str">
        <f>Originals!H210</f>
        <v>LabVIEW 2018 SP1 18.0.1</v>
      </c>
      <c r="I83" s="148" t="str">
        <f>Originals!I210</f>
        <v>LabVIEW 2019</v>
      </c>
    </row>
    <row r="84" spans="1:10" hidden="1" x14ac:dyDescent="0.25">
      <c r="A84" s="148" t="str">
        <f>Originals!A211</f>
        <v>4-Vinnie</v>
      </c>
      <c r="B84" s="148" t="str">
        <f>Originals!B211</f>
        <v>LabVIEW</v>
      </c>
      <c r="C84" s="148" t="str">
        <f>Originals!C211</f>
        <v>19.0.1</v>
      </c>
      <c r="D84" s="148" t="str">
        <f>Originals!D211</f>
        <v>32</v>
      </c>
      <c r="E84" s="148" t="str">
        <f>Originals!E211</f>
        <v>2019 SP1 f1</v>
      </c>
      <c r="F84" s="148" t="str">
        <f>Originals!F211</f>
        <v>Runtime</v>
      </c>
      <c r="G84" s="148" t="str">
        <f>Originals!G211</f>
        <v>NI</v>
      </c>
      <c r="H84" s="148" t="str">
        <f>Originals!H211</f>
        <v>LabVIEW 2019 SP1 f1 19.0.1</v>
      </c>
      <c r="I84" s="148">
        <f>Originals!I211</f>
        <v>0</v>
      </c>
    </row>
    <row r="85" spans="1:10" x14ac:dyDescent="0.25">
      <c r="A85" s="148" t="str">
        <f>Originals!A212</f>
        <v>4-Vinnie</v>
      </c>
      <c r="B85" s="148" t="str">
        <f>Originals!B212</f>
        <v>LabVIEW</v>
      </c>
      <c r="C85" s="148" t="str">
        <f>Originals!C212</f>
        <v>15</v>
      </c>
      <c r="D85" s="148" t="str">
        <f>Originals!D212</f>
        <v>32</v>
      </c>
      <c r="E85" s="148" t="str">
        <f>Originals!E212</f>
        <v>2015 SP1 f7</v>
      </c>
      <c r="F85" s="148" t="str">
        <f>Originals!F212</f>
        <v>Development</v>
      </c>
      <c r="G85" s="148" t="str">
        <f>Originals!G212</f>
        <v>NI</v>
      </c>
      <c r="H85" s="148" t="str">
        <f>Originals!H212</f>
        <v>LabVIEW 2015 SP1 f7 15</v>
      </c>
      <c r="I85" s="148">
        <f>Originals!I212</f>
        <v>0</v>
      </c>
      <c r="J85" s="205" t="s">
        <v>556</v>
      </c>
    </row>
    <row r="86" spans="1:10" x14ac:dyDescent="0.25">
      <c r="A86" s="148" t="str">
        <f>Originals!A213</f>
        <v>4-Vinnie</v>
      </c>
      <c r="B86" s="148" t="str">
        <f>Originals!B213</f>
        <v>LabVIEW</v>
      </c>
      <c r="C86" s="148" t="str">
        <f>Originals!C213</f>
        <v>15.0.1</v>
      </c>
      <c r="D86" s="148" t="str">
        <f>Originals!D213</f>
        <v>32</v>
      </c>
      <c r="E86" s="148" t="str">
        <f>Originals!E213</f>
        <v>2015</v>
      </c>
      <c r="F86" s="148" t="str">
        <f>Originals!F213</f>
        <v>Development</v>
      </c>
      <c r="G86" s="148" t="str">
        <f>Originals!G213</f>
        <v>NI</v>
      </c>
      <c r="H86" s="148" t="str">
        <f>Originals!H213</f>
        <v>LabVIEW 2015 15.0.1</v>
      </c>
      <c r="I86" s="148" t="str">
        <f>Originals!I213</f>
        <v>LabVIEW 2015 SP1</v>
      </c>
      <c r="J86" s="205" t="s">
        <v>556</v>
      </c>
    </row>
    <row r="87" spans="1:10" hidden="1" x14ac:dyDescent="0.25">
      <c r="A87" s="148" t="str">
        <f>Originals!A214</f>
        <v>4-Vinnie</v>
      </c>
      <c r="B87" s="148" t="str">
        <f>Originals!B214</f>
        <v>LabVIEW</v>
      </c>
      <c r="C87" s="148" t="str">
        <f>Originals!C214</f>
        <v>15.0.1</v>
      </c>
      <c r="D87" s="148" t="str">
        <f>Originals!D214</f>
        <v>32</v>
      </c>
      <c r="E87" s="148" t="str">
        <f>Originals!E214</f>
        <v>2015 SP1</v>
      </c>
      <c r="F87" s="148" t="str">
        <f>Originals!F214</f>
        <v>Runtime</v>
      </c>
      <c r="G87" s="148" t="str">
        <f>Originals!G214</f>
        <v>NI</v>
      </c>
      <c r="H87" s="148" t="str">
        <f>Originals!H214</f>
        <v>LabVIEW 2015 SP1 15.0.1</v>
      </c>
      <c r="I87" s="148" t="str">
        <f>Originals!I214</f>
        <v>LabVIEW 2015 SP1</v>
      </c>
    </row>
    <row r="88" spans="1:10" x14ac:dyDescent="0.25">
      <c r="A88" s="149" t="str">
        <f>Scott!A41</f>
        <v>3-Scott</v>
      </c>
      <c r="B88" s="149" t="str">
        <f>Scott!B41</f>
        <v>LabVIEW</v>
      </c>
      <c r="C88" s="149" t="str">
        <f>Scott!C41</f>
        <v>15.0.1</v>
      </c>
      <c r="D88" s="149">
        <f>Scott!D41</f>
        <v>32</v>
      </c>
      <c r="E88" s="149" t="str">
        <f>Scott!E41</f>
        <v>2015 SP1</v>
      </c>
      <c r="F88" s="149" t="str">
        <f>Scott!F41</f>
        <v>Development</v>
      </c>
      <c r="G88" s="149" t="str">
        <f>Scott!G41</f>
        <v>NI</v>
      </c>
      <c r="H88" s="149" t="str">
        <f>Scott!H41</f>
        <v>LabVIEW 2015 SP1 15.0.1</v>
      </c>
      <c r="I88" s="149" t="str">
        <f>Scott!I41</f>
        <v>LabVIEW 2015 SP1</v>
      </c>
      <c r="J88" s="205" t="s">
        <v>556</v>
      </c>
    </row>
    <row r="89" spans="1:10" x14ac:dyDescent="0.25">
      <c r="A89" s="149" t="str">
        <f>Scott!A42</f>
        <v>3-Scott</v>
      </c>
      <c r="B89" s="149" t="str">
        <f>Scott!B42</f>
        <v>LabVIEW</v>
      </c>
      <c r="C89" s="149" t="str">
        <f>Scott!C42</f>
        <v>15.0.0</v>
      </c>
      <c r="D89" s="149">
        <f>Scott!D42</f>
        <v>64</v>
      </c>
      <c r="E89" s="149">
        <f>Scott!E42</f>
        <v>2015</v>
      </c>
      <c r="F89" s="149" t="str">
        <f>Scott!F42</f>
        <v>Development</v>
      </c>
      <c r="G89" s="149" t="str">
        <f>Scott!G42</f>
        <v>NI</v>
      </c>
      <c r="H89" s="149" t="str">
        <f>Scott!H42</f>
        <v>LabVIEW 2015 15.0.0</v>
      </c>
      <c r="I89" s="149" t="str">
        <f>Scott!I42</f>
        <v>NI Developer Suite 2015 DS2 Install</v>
      </c>
      <c r="J89" s="205" t="s">
        <v>556</v>
      </c>
    </row>
    <row r="90" spans="1:10" hidden="1" x14ac:dyDescent="0.25">
      <c r="A90" s="149" t="str">
        <f>Scott!A43</f>
        <v>3-Scott</v>
      </c>
      <c r="B90" s="149" t="str">
        <f>Scott!B43</f>
        <v>LabVIEW</v>
      </c>
      <c r="C90" s="149" t="str">
        <f>Scott!C43</f>
        <v>12.0.1</v>
      </c>
      <c r="D90" s="149">
        <f>Scott!D43</f>
        <v>32</v>
      </c>
      <c r="E90" s="149" t="str">
        <f>Scott!E43</f>
        <v>2012 SP1 f9</v>
      </c>
      <c r="F90" s="149" t="str">
        <f>Scott!F43</f>
        <v>Runtime</v>
      </c>
      <c r="G90" s="149" t="str">
        <f>Scott!G43</f>
        <v>NI</v>
      </c>
      <c r="H90" s="149" t="str">
        <f>Scott!H43</f>
        <v>LabVIEW 2012 SP1 f9 12.0.1</v>
      </c>
      <c r="I90" s="149" t="str">
        <f>Scott!I43</f>
        <v>NI Developer Suite 2015 DS2 Install</v>
      </c>
    </row>
    <row r="91" spans="1:10" hidden="1" x14ac:dyDescent="0.25">
      <c r="A91" s="149" t="str">
        <f>Scott!A44</f>
        <v>3-Scott</v>
      </c>
      <c r="B91" s="149" t="str">
        <f>Scott!B44</f>
        <v>LabVIEW</v>
      </c>
      <c r="C91" s="149" t="str">
        <f>Scott!C44</f>
        <v>12.0.1</v>
      </c>
      <c r="D91" s="149">
        <f>Scott!D44</f>
        <v>64</v>
      </c>
      <c r="E91" s="149" t="str">
        <f>Scott!E44</f>
        <v>2012 SP1 f9</v>
      </c>
      <c r="F91" s="149" t="str">
        <f>Scott!F44</f>
        <v>Runtime</v>
      </c>
      <c r="G91" s="149" t="str">
        <f>Scott!G44</f>
        <v>NI</v>
      </c>
      <c r="H91" s="149" t="str">
        <f>Scott!H44</f>
        <v>LabVIEW 2012 SP1 f9 12.0.1</v>
      </c>
      <c r="I91" s="149" t="str">
        <f>Scott!I44</f>
        <v>NI Developer Suite 2015 DS2 Install</v>
      </c>
    </row>
    <row r="92" spans="1:10" hidden="1" x14ac:dyDescent="0.25">
      <c r="A92" s="149" t="str">
        <f>Scott!A45</f>
        <v>3-Scott</v>
      </c>
      <c r="B92" s="149" t="str">
        <f>Scott!B45</f>
        <v>LabVIEW</v>
      </c>
      <c r="C92" s="149" t="str">
        <f>Scott!C45</f>
        <v>13.0.1</v>
      </c>
      <c r="D92" s="149">
        <f>Scott!D45</f>
        <v>32</v>
      </c>
      <c r="E92" s="149" t="str">
        <f>Scott!E45</f>
        <v>2013 SP1 f6</v>
      </c>
      <c r="F92" s="149" t="str">
        <f>Scott!F45</f>
        <v>Runtime</v>
      </c>
      <c r="G92" s="149" t="str">
        <f>Scott!G45</f>
        <v>NI</v>
      </c>
      <c r="H92" s="149" t="str">
        <f>Scott!H45</f>
        <v>LabVIEW 2013 SP1 f6 13.0.1</v>
      </c>
      <c r="I92" s="149" t="str">
        <f>Scott!I45</f>
        <v>NI Developer Suite 2015 DS2 Install</v>
      </c>
    </row>
    <row r="93" spans="1:10" hidden="1" x14ac:dyDescent="0.25">
      <c r="A93" s="149" t="str">
        <f>Scott!A46</f>
        <v>3-Scott</v>
      </c>
      <c r="B93" s="149" t="str">
        <f>Scott!B46</f>
        <v>LabVIEW</v>
      </c>
      <c r="C93" s="149" t="str">
        <f>Scott!C46</f>
        <v>14.0.1</v>
      </c>
      <c r="D93" s="149">
        <f>Scott!D46</f>
        <v>32</v>
      </c>
      <c r="E93" s="149" t="str">
        <f>Scott!E46</f>
        <v>2014 SP1 f11</v>
      </c>
      <c r="F93" s="149" t="str">
        <f>Scott!F46</f>
        <v>Runtime</v>
      </c>
      <c r="G93" s="149" t="str">
        <f>Scott!G46</f>
        <v>NI</v>
      </c>
      <c r="H93" s="149" t="str">
        <f>Scott!H46</f>
        <v>LabVIEW 2014 SP1 f11 14.0.1</v>
      </c>
      <c r="I93" s="149" t="str">
        <f>Scott!I46</f>
        <v>2015 SP1 Update Service</v>
      </c>
    </row>
    <row r="94" spans="1:10" hidden="1" x14ac:dyDescent="0.25">
      <c r="A94" s="149" t="str">
        <f>Scott!A47</f>
        <v>3-Scott</v>
      </c>
      <c r="B94" s="149" t="str">
        <f>Scott!B47</f>
        <v>LabVIEW</v>
      </c>
      <c r="C94" s="149" t="str">
        <f>Scott!C47</f>
        <v>15.0.1</v>
      </c>
      <c r="D94" s="149">
        <f>Scott!D47</f>
        <v>32</v>
      </c>
      <c r="E94" s="149" t="str">
        <f>Scott!E47</f>
        <v>2015 SP1</v>
      </c>
      <c r="F94" s="149" t="str">
        <f>Scott!F47</f>
        <v>Runtime</v>
      </c>
      <c r="G94" s="149" t="str">
        <f>Scott!G47</f>
        <v>NI</v>
      </c>
      <c r="H94" s="149" t="str">
        <f>Scott!H47</f>
        <v>LabVIEW 2015 SP1 15.0.1</v>
      </c>
      <c r="I94" s="149" t="str">
        <f>Scott!I47</f>
        <v>LabVIEW 2015 SP1</v>
      </c>
    </row>
    <row r="95" spans="1:10" hidden="1" x14ac:dyDescent="0.25">
      <c r="A95" s="149" t="str">
        <f>Scott!A48</f>
        <v>3-Scott</v>
      </c>
      <c r="B95" s="149" t="str">
        <f>Scott!B48</f>
        <v>LabVIEW</v>
      </c>
      <c r="C95" s="149" t="str">
        <f>Scott!C48</f>
        <v>19.0.0</v>
      </c>
      <c r="D95" s="149" t="str">
        <f>Scott!D48</f>
        <v>32</v>
      </c>
      <c r="E95" s="149" t="str">
        <f>Scott!E48</f>
        <v>2019</v>
      </c>
      <c r="F95" s="149" t="str">
        <f>Scott!F48</f>
        <v>Runtime</v>
      </c>
      <c r="G95" s="149" t="str">
        <f>Scott!G48</f>
        <v>NI</v>
      </c>
      <c r="H95" s="149" t="str">
        <f>Scott!H48</f>
        <v>LabVIEW 2019 19.0.0</v>
      </c>
      <c r="I95" s="149" t="str">
        <f>Scott!I48</f>
        <v>LabVIEW 2019</v>
      </c>
    </row>
    <row r="96" spans="1:10" hidden="1" x14ac:dyDescent="0.25">
      <c r="A96" s="149" t="str">
        <f>Scott!A49</f>
        <v>3-Scott</v>
      </c>
      <c r="B96" s="149" t="str">
        <f>Scott!B49</f>
        <v>LabVIEW</v>
      </c>
      <c r="C96" s="149" t="str">
        <f>Scott!C49</f>
        <v>18.0.1</v>
      </c>
      <c r="D96" s="149" t="str">
        <f>Scott!D49</f>
        <v>32</v>
      </c>
      <c r="E96" s="149" t="str">
        <f>Scott!E49</f>
        <v>2018 SP1 f3</v>
      </c>
      <c r="F96" s="149" t="str">
        <f>Scott!F49</f>
        <v>Runtime</v>
      </c>
      <c r="G96" s="149" t="str">
        <f>Scott!G49</f>
        <v>NI</v>
      </c>
      <c r="H96" s="149" t="str">
        <f>Scott!H49</f>
        <v>LabVIEW 2019 SP1 f3 18.0.1</v>
      </c>
      <c r="I96" s="149" t="str">
        <f>Scott!I49</f>
        <v>LabVIEW 2019</v>
      </c>
    </row>
    <row r="97" spans="1:10" hidden="1" x14ac:dyDescent="0.25">
      <c r="A97" s="149" t="str">
        <f>Scott!A50</f>
        <v>3-Scott</v>
      </c>
      <c r="B97" s="149" t="str">
        <f>Scott!B50</f>
        <v>LabVIEW</v>
      </c>
      <c r="C97" s="149" t="str">
        <f>Scott!C50</f>
        <v>14.0.1</v>
      </c>
      <c r="D97" s="149">
        <f>Scott!D50</f>
        <v>64</v>
      </c>
      <c r="E97" s="149" t="str">
        <f>Scott!E50</f>
        <v>2014 SP1 f11</v>
      </c>
      <c r="F97" s="149" t="str">
        <f>Scott!F50</f>
        <v>Runtime</v>
      </c>
      <c r="G97" s="149" t="str">
        <f>Scott!G50</f>
        <v>NI</v>
      </c>
      <c r="H97" s="149" t="str">
        <f>Scott!H50</f>
        <v>LabVIEW 2014 SP1 f11 14.0.1</v>
      </c>
      <c r="I97" s="149" t="str">
        <f>Scott!I50</f>
        <v>2015 SP1 Update Service</v>
      </c>
    </row>
    <row r="98" spans="1:10" hidden="1" x14ac:dyDescent="0.25">
      <c r="A98" s="149" t="str">
        <f>Scott!A51</f>
        <v>3-Scott</v>
      </c>
      <c r="B98" s="149" t="str">
        <f>Scott!B51</f>
        <v>LabVIEW</v>
      </c>
      <c r="C98" s="149" t="str">
        <f>Scott!C51</f>
        <v>15.0.0</v>
      </c>
      <c r="D98" s="149">
        <f>Scott!D51</f>
        <v>64</v>
      </c>
      <c r="E98" s="149" t="str">
        <f>Scott!E51</f>
        <v>2015 f2</v>
      </c>
      <c r="F98" s="149" t="str">
        <f>Scott!F51</f>
        <v>Runtime</v>
      </c>
      <c r="G98" s="149" t="str">
        <f>Scott!G51</f>
        <v>NI</v>
      </c>
      <c r="H98" s="149" t="str">
        <f>Scott!H51</f>
        <v>LabVIEW 2015 f2 15.0.0</v>
      </c>
      <c r="I98" s="149" t="str">
        <f>Scott!I51</f>
        <v>2015 SP1 Update Service</v>
      </c>
    </row>
    <row r="99" spans="1:10" hidden="1" x14ac:dyDescent="0.25">
      <c r="A99" s="149" t="str">
        <f>Scott!A52</f>
        <v>3-Scott</v>
      </c>
      <c r="B99" s="149" t="str">
        <f>Scott!B52</f>
        <v>LabVIEW</v>
      </c>
      <c r="C99" s="149" t="str">
        <f>Scott!C52</f>
        <v>16.0.0</v>
      </c>
      <c r="D99" s="149" t="str">
        <f>Scott!D52</f>
        <v>32</v>
      </c>
      <c r="E99" s="149" t="str">
        <f>Scott!E52</f>
        <v>2016 f5</v>
      </c>
      <c r="F99" s="149" t="str">
        <f>Scott!F52</f>
        <v>Runtime</v>
      </c>
      <c r="G99" s="149" t="str">
        <f>Scott!G52</f>
        <v>NI</v>
      </c>
      <c r="H99" s="149" t="str">
        <f>Scott!H52</f>
        <v>LabVIEW 2016 f5 16.0.0</v>
      </c>
      <c r="I99" s="149" t="str">
        <f>Scott!I52</f>
        <v>CompactRIO 18.1.0</v>
      </c>
    </row>
    <row r="100" spans="1:10" hidden="1" x14ac:dyDescent="0.25">
      <c r="A100" s="149" t="str">
        <f>Scott!A53</f>
        <v>3-Scott</v>
      </c>
      <c r="B100" s="149" t="str">
        <f>Scott!B53</f>
        <v>LabVIEW</v>
      </c>
      <c r="C100" s="149" t="str">
        <f>Scott!C53</f>
        <v>17.0.1</v>
      </c>
      <c r="D100" s="149" t="str">
        <f>Scott!D53</f>
        <v>32</v>
      </c>
      <c r="E100" s="149" t="str">
        <f>Scott!E53</f>
        <v>2017 SP1 f3</v>
      </c>
      <c r="F100" s="149" t="str">
        <f>Scott!F53</f>
        <v>Runtime</v>
      </c>
      <c r="G100" s="149" t="str">
        <f>Scott!G53</f>
        <v>NI</v>
      </c>
      <c r="H100" s="149" t="str">
        <f>Scott!H53</f>
        <v>LabVIEW 2017 SP1 f3 17.0.1</v>
      </c>
      <c r="I100" s="149" t="str">
        <f>Scott!I53</f>
        <v>EtherCAT Update Service</v>
      </c>
    </row>
    <row r="101" spans="1:10" hidden="1" x14ac:dyDescent="0.25">
      <c r="A101" s="148" t="str">
        <f>Originals!A215</f>
        <v>4-Vinnie</v>
      </c>
      <c r="B101" s="148" t="str">
        <f>Originals!B215</f>
        <v>LabVIEW Real-Time</v>
      </c>
      <c r="C101" s="148" t="str">
        <f>Originals!C215</f>
        <v>15.0.1</v>
      </c>
      <c r="D101" s="148" t="str">
        <f>Originals!D215</f>
        <v>32</v>
      </c>
      <c r="E101" s="148" t="str">
        <f>Originals!E215</f>
        <v>2015</v>
      </c>
      <c r="F101" s="148" t="str">
        <f>Originals!F215</f>
        <v>C-RIO</v>
      </c>
      <c r="G101" s="148" t="str">
        <f>Originals!G215</f>
        <v>NI</v>
      </c>
      <c r="H101" s="148" t="str">
        <f>Originals!H215</f>
        <v>LabVIEW Real-Time 15.0.1</v>
      </c>
      <c r="I101" s="148">
        <f>Originals!I215</f>
        <v>0</v>
      </c>
    </row>
    <row r="102" spans="1:10" hidden="1" x14ac:dyDescent="0.25">
      <c r="A102" s="148" t="str">
        <f>Originals!A216</f>
        <v>4-Vinnie</v>
      </c>
      <c r="B102" s="148" t="str">
        <f>Originals!B216</f>
        <v>LAVA Palette</v>
      </c>
      <c r="C102" s="148" t="str">
        <f>Originals!C216</f>
        <v>1.0.0.1</v>
      </c>
      <c r="D102" s="148" t="str">
        <f>Originals!D216</f>
        <v>32</v>
      </c>
      <c r="E102" s="148" t="str">
        <f>Originals!E216</f>
        <v>N/A</v>
      </c>
      <c r="F102" s="148" t="str">
        <f>Originals!F216</f>
        <v>Development</v>
      </c>
      <c r="G102" s="148" t="str">
        <f>Originals!G216</f>
        <v>LAVA</v>
      </c>
      <c r="H102" s="148" t="str">
        <f>Originals!H216</f>
        <v>LAVA Palette 1.0.0.1</v>
      </c>
      <c r="I102" s="148" t="str">
        <f>Originals!I216</f>
        <v>VIPM Community</v>
      </c>
      <c r="J102" s="195" t="s">
        <v>550</v>
      </c>
    </row>
    <row r="103" spans="1:10" hidden="1" x14ac:dyDescent="0.25">
      <c r="A103" s="149" t="str">
        <f>Scott!A54</f>
        <v>3-Scott</v>
      </c>
      <c r="B103" s="149" t="str">
        <f>Scott!B54</f>
        <v>LAVA Palette</v>
      </c>
      <c r="C103" s="149" t="str">
        <f>Scott!C54</f>
        <v>1.0.0.1</v>
      </c>
      <c r="D103" s="149" t="str">
        <f>Scott!D54</f>
        <v>32</v>
      </c>
      <c r="E103" s="149" t="str">
        <f>Scott!E54</f>
        <v>N/A</v>
      </c>
      <c r="F103" s="149" t="str">
        <f>Scott!F54</f>
        <v>Development</v>
      </c>
      <c r="G103" s="149" t="str">
        <f>Scott!G54</f>
        <v>LAVA</v>
      </c>
      <c r="H103" s="149" t="str">
        <f>Scott!H54</f>
        <v>LAVA Palette 1.0.0.1</v>
      </c>
      <c r="I103" s="149" t="str">
        <f>Scott!I54</f>
        <v>VIPM Community</v>
      </c>
      <c r="J103" s="195" t="s">
        <v>550</v>
      </c>
    </row>
    <row r="104" spans="1:10" hidden="1" x14ac:dyDescent="0.25">
      <c r="A104" s="149" t="str">
        <f>Scott!A55</f>
        <v>3-Scott</v>
      </c>
      <c r="B104" s="149" t="str">
        <f>Scott!B55</f>
        <v>MathScript RT Module</v>
      </c>
      <c r="C104" s="149" t="str">
        <f>Scott!C55</f>
        <v>15.0.0</v>
      </c>
      <c r="D104" s="149">
        <f>Scott!D55</f>
        <v>32</v>
      </c>
      <c r="E104" s="149">
        <f>Scott!E55</f>
        <v>2015</v>
      </c>
      <c r="F104" s="149" t="str">
        <f>Scott!F55</f>
        <v>Development</v>
      </c>
      <c r="G104" s="149" t="str">
        <f>Scott!G55</f>
        <v>NI</v>
      </c>
      <c r="H104" s="149" t="str">
        <f>Scott!H55</f>
        <v>MathScript RT Module 15.0.0</v>
      </c>
      <c r="I104" s="149" t="str">
        <f>Scott!I55</f>
        <v>NI Developer Suite 2015 DS2 Install</v>
      </c>
      <c r="J104" s="195" t="s">
        <v>550</v>
      </c>
    </row>
    <row r="105" spans="1:10" x14ac:dyDescent="0.25">
      <c r="A105" s="148" t="str">
        <f>Originals!A217</f>
        <v>4-Vinnie</v>
      </c>
      <c r="B105" s="148" t="str">
        <f>Originals!B217</f>
        <v>Measurement &amp; Automation Explorer</v>
      </c>
      <c r="C105" s="148" t="str">
        <f>Originals!C217</f>
        <v>19.5.0f0</v>
      </c>
      <c r="D105" s="148" t="str">
        <f>Originals!D217</f>
        <v>32</v>
      </c>
      <c r="E105" s="148" t="str">
        <f>Originals!E217</f>
        <v>2019</v>
      </c>
      <c r="F105" s="148" t="str">
        <f>Originals!F217</f>
        <v>Development</v>
      </c>
      <c r="G105" s="148" t="str">
        <f>Originals!G217</f>
        <v>NI</v>
      </c>
      <c r="H105" s="148" t="str">
        <f>Originals!H217</f>
        <v>Measurement &amp; Automation Explorer 19.5.0f0</v>
      </c>
      <c r="I105" s="148">
        <f>Originals!I217</f>
        <v>0</v>
      </c>
      <c r="J105" s="205" t="s">
        <v>556</v>
      </c>
    </row>
    <row r="106" spans="1:10" x14ac:dyDescent="0.25">
      <c r="A106" s="149" t="str">
        <f>Scott!A56</f>
        <v>3-Scott</v>
      </c>
      <c r="B106" s="149" t="str">
        <f>Scott!B56</f>
        <v>Measurement &amp; Automation Explorer</v>
      </c>
      <c r="C106" s="149" t="str">
        <f>Scott!C56</f>
        <v>18.0.0f0</v>
      </c>
      <c r="D106" s="149" t="str">
        <f>Scott!D56</f>
        <v>32</v>
      </c>
      <c r="E106" s="149" t="str">
        <f>Scott!E56</f>
        <v>2018</v>
      </c>
      <c r="F106" s="149" t="str">
        <f>Scott!F56</f>
        <v>Development</v>
      </c>
      <c r="G106" s="149" t="str">
        <f>Scott!G56</f>
        <v>NI</v>
      </c>
      <c r="H106" s="149" t="str">
        <f>Scott!H56</f>
        <v>Measurement &amp; Automation Explorer 18.0.0f0</v>
      </c>
      <c r="I106" s="149" t="str">
        <f>Scott!I56</f>
        <v>CompactRIO 18.1.0</v>
      </c>
      <c r="J106" s="205" t="s">
        <v>556</v>
      </c>
    </row>
    <row r="107" spans="1:10" x14ac:dyDescent="0.25">
      <c r="A107" s="148" t="str">
        <f>Originals!A218</f>
        <v>4-Vinnie</v>
      </c>
      <c r="B107" s="148" t="str">
        <f>Originals!B218</f>
        <v>Measurement Studio</v>
      </c>
      <c r="C107" s="148">
        <f>Originals!C218</f>
        <v>0</v>
      </c>
      <c r="D107" s="148" t="str">
        <f>Originals!D218</f>
        <v>32</v>
      </c>
      <c r="E107" s="148" t="str">
        <f>Originals!E218</f>
        <v>2005</v>
      </c>
      <c r="F107" s="148" t="str">
        <f>Originals!F218</f>
        <v>Development</v>
      </c>
      <c r="G107" s="148" t="str">
        <f>Originals!G218</f>
        <v>NI</v>
      </c>
      <c r="H107" s="148" t="str">
        <f>Originals!H218</f>
        <v xml:space="preserve">Measurement Studio </v>
      </c>
      <c r="I107" s="148">
        <f>Originals!I218</f>
        <v>0</v>
      </c>
      <c r="J107" s="147" t="s">
        <v>554</v>
      </c>
    </row>
    <row r="108" spans="1:10" x14ac:dyDescent="0.25">
      <c r="A108" s="148" t="str">
        <f>Originals!A219</f>
        <v>4-Vinnie</v>
      </c>
      <c r="B108" s="148" t="str">
        <f>Originals!B219</f>
        <v>Measurement Studio</v>
      </c>
      <c r="C108" s="148">
        <f>Originals!C219</f>
        <v>0</v>
      </c>
      <c r="D108" s="148" t="str">
        <f>Originals!D219</f>
        <v>32</v>
      </c>
      <c r="E108" s="148" t="str">
        <f>Originals!E219</f>
        <v>2018</v>
      </c>
      <c r="F108" s="148" t="str">
        <f>Originals!F219</f>
        <v>Development</v>
      </c>
      <c r="G108" s="148" t="str">
        <f>Originals!G219</f>
        <v>NI</v>
      </c>
      <c r="H108" s="148" t="str">
        <f>Originals!H219</f>
        <v xml:space="preserve">Measurement Studio </v>
      </c>
      <c r="I108" s="148">
        <f>Originals!I219</f>
        <v>0</v>
      </c>
      <c r="J108" s="147" t="s">
        <v>554</v>
      </c>
    </row>
    <row r="109" spans="1:10" hidden="1" x14ac:dyDescent="0.25">
      <c r="A109" s="148" t="str">
        <f>Originals!A220</f>
        <v>4-Vinnie</v>
      </c>
      <c r="B109" s="148" t="str">
        <f>Originals!B220</f>
        <v>Measurement Studio</v>
      </c>
      <c r="C109" s="148">
        <f>Originals!C220</f>
        <v>0</v>
      </c>
      <c r="D109" s="148" t="str">
        <f>Originals!D220</f>
        <v>32</v>
      </c>
      <c r="E109" s="148" t="str">
        <f>Originals!E220</f>
        <v>2010</v>
      </c>
      <c r="F109" s="148" t="str">
        <f>Originals!F220</f>
        <v>Development</v>
      </c>
      <c r="G109" s="148" t="str">
        <f>Originals!G220</f>
        <v>NI</v>
      </c>
      <c r="H109" s="148" t="str">
        <f>Originals!H220</f>
        <v xml:space="preserve">Measurement Studio </v>
      </c>
      <c r="I109" s="148" t="str">
        <f>Originals!I220</f>
        <v>NI Developer Suite 2015 DS2 Install</v>
      </c>
      <c r="J109" s="195" t="s">
        <v>550</v>
      </c>
    </row>
    <row r="110" spans="1:10" hidden="1" x14ac:dyDescent="0.25">
      <c r="A110" s="149" t="str">
        <f>Scott!A57</f>
        <v>3-Scott</v>
      </c>
      <c r="B110" s="149" t="str">
        <f>Scott!B57</f>
        <v>Measurement Studio</v>
      </c>
      <c r="C110" s="149">
        <f>Scott!C57</f>
        <v>0</v>
      </c>
      <c r="D110" s="149">
        <f>Scott!D57</f>
        <v>32</v>
      </c>
      <c r="E110" s="149">
        <f>Scott!E57</f>
        <v>2010</v>
      </c>
      <c r="F110" s="149" t="str">
        <f>Scott!F57</f>
        <v>Development</v>
      </c>
      <c r="G110" s="149" t="str">
        <f>Scott!G57</f>
        <v>NI</v>
      </c>
      <c r="H110" s="149" t="str">
        <f>Scott!H57</f>
        <v xml:space="preserve">Measurement Studio </v>
      </c>
      <c r="I110" s="149" t="str">
        <f>Scott!I57</f>
        <v>NI Developer Suite 2015 DS2 Install</v>
      </c>
      <c r="J110" s="195" t="s">
        <v>550</v>
      </c>
    </row>
    <row r="111" spans="1:10" x14ac:dyDescent="0.25">
      <c r="A111" s="148" t="str">
        <f>Originals!A221</f>
        <v>4-Vinnie</v>
      </c>
      <c r="B111" s="148" t="str">
        <f>Originals!B221</f>
        <v>Measurement Studio Common</v>
      </c>
      <c r="C111" s="148" t="str">
        <f>Originals!C221</f>
        <v>12.0.20.258</v>
      </c>
      <c r="D111" s="148" t="str">
        <f>Originals!D221</f>
        <v>32</v>
      </c>
      <c r="E111" s="148" t="str">
        <f>Originals!E221</f>
        <v>2005</v>
      </c>
      <c r="F111" s="148" t="str">
        <f>Originals!F221</f>
        <v>Development</v>
      </c>
      <c r="G111" s="148" t="str">
        <f>Originals!G221</f>
        <v>NI</v>
      </c>
      <c r="H111" s="148" t="str">
        <f>Originals!H221</f>
        <v>Measurement Studio Common 12.0.20.258</v>
      </c>
      <c r="I111" s="148">
        <f>Originals!I221</f>
        <v>0</v>
      </c>
      <c r="J111" s="147" t="s">
        <v>554</v>
      </c>
    </row>
    <row r="112" spans="1:10" x14ac:dyDescent="0.25">
      <c r="A112" s="148" t="str">
        <f>Originals!A222</f>
        <v>4-Vinnie</v>
      </c>
      <c r="B112" s="148" t="str">
        <f>Originals!B222</f>
        <v>Measurement Studio Common</v>
      </c>
      <c r="C112" s="148" t="str">
        <f>Originals!C222</f>
        <v>13.5.35.173</v>
      </c>
      <c r="D112" s="148" t="str">
        <f>Originals!D222</f>
        <v>32</v>
      </c>
      <c r="E112" s="148" t="str">
        <f>Originals!E222</f>
        <v>2018</v>
      </c>
      <c r="F112" s="148" t="str">
        <f>Originals!F222</f>
        <v>Development</v>
      </c>
      <c r="G112" s="148" t="str">
        <f>Originals!G222</f>
        <v>NI</v>
      </c>
      <c r="H112" s="148" t="str">
        <f>Originals!H222</f>
        <v>Measurement Studio Common 13.5.35.173</v>
      </c>
      <c r="I112" s="148">
        <f>Originals!I222</f>
        <v>0</v>
      </c>
      <c r="J112" s="147" t="s">
        <v>554</v>
      </c>
    </row>
    <row r="113" spans="1:10" x14ac:dyDescent="0.25">
      <c r="A113" s="148" t="str">
        <f>Originals!A223</f>
        <v>4-Vinnie</v>
      </c>
      <c r="B113" s="148" t="str">
        <f>Originals!B223</f>
        <v>Measurement Studio Common</v>
      </c>
      <c r="C113" s="148" t="str">
        <f>Originals!C223</f>
        <v>13.5.35.173</v>
      </c>
      <c r="D113" s="148" t="str">
        <f>Originals!D223</f>
        <v>64</v>
      </c>
      <c r="E113" s="148" t="str">
        <f>Originals!E223</f>
        <v>2018</v>
      </c>
      <c r="F113" s="148" t="str">
        <f>Originals!F223</f>
        <v>Development</v>
      </c>
      <c r="G113" s="148" t="str">
        <f>Originals!G223</f>
        <v>NI</v>
      </c>
      <c r="H113" s="148" t="str">
        <f>Originals!H223</f>
        <v>Measurement Studio Common 13.5.35.173</v>
      </c>
      <c r="I113" s="148">
        <f>Originals!I223</f>
        <v>0</v>
      </c>
      <c r="J113" s="147" t="s">
        <v>554</v>
      </c>
    </row>
    <row r="114" spans="1:10" hidden="1" x14ac:dyDescent="0.25">
      <c r="A114" s="148" t="str">
        <f>Originals!A224</f>
        <v>4-Vinnie</v>
      </c>
      <c r="B114" s="148" t="str">
        <f>Originals!B224</f>
        <v>Measurement Studio Common</v>
      </c>
      <c r="C114" s="148" t="str">
        <f>Originals!C224</f>
        <v>15.0.40.49154</v>
      </c>
      <c r="D114" s="148" t="str">
        <f>Originals!D224</f>
        <v>32</v>
      </c>
      <c r="E114" s="148" t="str">
        <f>Originals!E224</f>
        <v>2015</v>
      </c>
      <c r="F114" s="148" t="str">
        <f>Originals!F224</f>
        <v>Development</v>
      </c>
      <c r="G114" s="148" t="str">
        <f>Originals!G224</f>
        <v>NI</v>
      </c>
      <c r="H114" s="148" t="str">
        <f>Originals!H224</f>
        <v>Measurement Studio Common 15.0.40.49154</v>
      </c>
      <c r="I114" s="148" t="str">
        <f>Originals!I224</f>
        <v>NI Developer Suite 2015 DS2 Install</v>
      </c>
      <c r="J114" s="195" t="s">
        <v>550</v>
      </c>
    </row>
    <row r="115" spans="1:10" hidden="1" x14ac:dyDescent="0.25">
      <c r="A115" s="148" t="str">
        <f>Originals!A225</f>
        <v>4-Vinnie</v>
      </c>
      <c r="B115" s="148" t="str">
        <f>Originals!B225</f>
        <v>Measurement Studio Common</v>
      </c>
      <c r="C115" s="148" t="str">
        <f>Originals!C225</f>
        <v>15.0.40.49154</v>
      </c>
      <c r="D115" s="148" t="str">
        <f>Originals!D225</f>
        <v>64</v>
      </c>
      <c r="E115" s="148" t="str">
        <f>Originals!E225</f>
        <v>2015</v>
      </c>
      <c r="F115" s="148" t="str">
        <f>Originals!F225</f>
        <v>Development</v>
      </c>
      <c r="G115" s="148" t="str">
        <f>Originals!G225</f>
        <v>NI</v>
      </c>
      <c r="H115" s="148" t="str">
        <f>Originals!H225</f>
        <v>Measurement Studio Common 15.0.40.49154</v>
      </c>
      <c r="I115" s="148" t="str">
        <f>Originals!I225</f>
        <v>NI Developer Suite 2015 DS2 Install</v>
      </c>
      <c r="J115" s="195" t="s">
        <v>550</v>
      </c>
    </row>
    <row r="116" spans="1:10" hidden="1" x14ac:dyDescent="0.25">
      <c r="A116" s="149" t="str">
        <f>Scott!A58</f>
        <v>3-Scott</v>
      </c>
      <c r="B116" s="149" t="str">
        <f>Scott!B58</f>
        <v>Measurement Studio Common</v>
      </c>
      <c r="C116" s="149" t="str">
        <f>Scott!C58</f>
        <v>15.0.40.49154</v>
      </c>
      <c r="D116" s="149">
        <f>Scott!D58</f>
        <v>32</v>
      </c>
      <c r="E116" s="149">
        <f>Scott!E58</f>
        <v>2015</v>
      </c>
      <c r="F116" s="149" t="str">
        <f>Scott!F58</f>
        <v>Development</v>
      </c>
      <c r="G116" s="149" t="str">
        <f>Scott!G58</f>
        <v>NI</v>
      </c>
      <c r="H116" s="149" t="str">
        <f>Scott!H58</f>
        <v>Measurement Studio Common 15.0.40.49154</v>
      </c>
      <c r="I116" s="149" t="str">
        <f>Scott!I58</f>
        <v>NI Developer Suite 2015 DS2 Install</v>
      </c>
      <c r="J116" s="195" t="s">
        <v>550</v>
      </c>
    </row>
    <row r="117" spans="1:10" hidden="1" x14ac:dyDescent="0.25">
      <c r="A117" s="149" t="str">
        <f>Scott!A59</f>
        <v>3-Scott</v>
      </c>
      <c r="B117" s="149" t="str">
        <f>Scott!B59</f>
        <v>Measurement Studio Common</v>
      </c>
      <c r="C117" s="149" t="str">
        <f>Scott!C59</f>
        <v>15.0.40.49154</v>
      </c>
      <c r="D117" s="149">
        <f>Scott!D59</f>
        <v>64</v>
      </c>
      <c r="E117" s="149">
        <f>Scott!E59</f>
        <v>2015</v>
      </c>
      <c r="F117" s="149" t="str">
        <f>Scott!F59</f>
        <v>Development</v>
      </c>
      <c r="G117" s="149" t="str">
        <f>Scott!G59</f>
        <v>NI</v>
      </c>
      <c r="H117" s="149" t="str">
        <f>Scott!H59</f>
        <v>Measurement Studio Common 15.0.40.49154</v>
      </c>
      <c r="I117" s="149" t="str">
        <f>Scott!I59</f>
        <v>NI Developer Suite 2015 DS2 Install</v>
      </c>
      <c r="J117" s="195" t="s">
        <v>550</v>
      </c>
    </row>
    <row r="118" spans="1:10" x14ac:dyDescent="0.25">
      <c r="A118" s="148" t="str">
        <f>Originals!A226</f>
        <v>4-Vinnie</v>
      </c>
      <c r="B118" s="148" t="str">
        <f>Originals!B226</f>
        <v>Measurement Studio DotNET</v>
      </c>
      <c r="C118" s="148">
        <f>Originals!C226</f>
        <v>0</v>
      </c>
      <c r="D118" s="148" t="str">
        <f>Originals!D226</f>
        <v>32</v>
      </c>
      <c r="E118" s="148" t="str">
        <f>Originals!E226</f>
        <v>2005</v>
      </c>
      <c r="F118" s="148" t="str">
        <f>Originals!F226</f>
        <v>Development</v>
      </c>
      <c r="G118" s="148" t="str">
        <f>Originals!G226</f>
        <v>NI</v>
      </c>
      <c r="H118" s="148" t="str">
        <f>Originals!H226</f>
        <v xml:space="preserve">Measurement Studio DotNET </v>
      </c>
      <c r="I118" s="148">
        <f>Originals!I226</f>
        <v>0</v>
      </c>
      <c r="J118" s="147" t="s">
        <v>554</v>
      </c>
    </row>
    <row r="119" spans="1:10" x14ac:dyDescent="0.25">
      <c r="A119" s="148" t="str">
        <f>Originals!A227</f>
        <v>4-Vinnie</v>
      </c>
      <c r="B119" s="148" t="str">
        <f>Originals!B227</f>
        <v>Measurement Studio DotNET</v>
      </c>
      <c r="C119" s="148">
        <f>Originals!C227</f>
        <v>0</v>
      </c>
      <c r="D119" s="148" t="str">
        <f>Originals!D227</f>
        <v>32</v>
      </c>
      <c r="E119" s="148" t="str">
        <f>Originals!E227</f>
        <v>2018</v>
      </c>
      <c r="F119" s="148" t="str">
        <f>Originals!F227</f>
        <v>Development</v>
      </c>
      <c r="G119" s="148" t="str">
        <f>Originals!G227</f>
        <v>NI</v>
      </c>
      <c r="H119" s="148" t="str">
        <f>Originals!H227</f>
        <v xml:space="preserve">Measurement Studio DotNET </v>
      </c>
      <c r="I119" s="148">
        <f>Originals!I227</f>
        <v>0</v>
      </c>
      <c r="J119" s="147" t="s">
        <v>554</v>
      </c>
    </row>
    <row r="120" spans="1:10" hidden="1" x14ac:dyDescent="0.25">
      <c r="A120" s="148" t="str">
        <f>Originals!A228</f>
        <v>4-Vinnie</v>
      </c>
      <c r="B120" s="148" t="str">
        <f>Originals!B228</f>
        <v>Measurement Studio DotNET</v>
      </c>
      <c r="C120" s="148">
        <f>Originals!C228</f>
        <v>0</v>
      </c>
      <c r="D120" s="148" t="str">
        <f>Originals!D228</f>
        <v>32</v>
      </c>
      <c r="E120" s="148" t="str">
        <f>Originals!E228</f>
        <v>2010</v>
      </c>
      <c r="F120" s="148" t="str">
        <f>Originals!F228</f>
        <v>Development</v>
      </c>
      <c r="G120" s="148" t="str">
        <f>Originals!G228</f>
        <v>NI</v>
      </c>
      <c r="H120" s="148" t="str">
        <f>Originals!H228</f>
        <v xml:space="preserve">Measurement Studio DotNET </v>
      </c>
      <c r="I120" s="148" t="str">
        <f>Originals!I228</f>
        <v>NI Developer Suite 2015 DS2 Install</v>
      </c>
      <c r="J120" s="195" t="s">
        <v>550</v>
      </c>
    </row>
    <row r="121" spans="1:10" hidden="1" x14ac:dyDescent="0.25">
      <c r="A121" s="149" t="str">
        <f>Scott!A60</f>
        <v>3-Scott</v>
      </c>
      <c r="B121" s="149" t="str">
        <f>Scott!B60</f>
        <v>Measurement Studio DotNET</v>
      </c>
      <c r="C121" s="149">
        <f>Scott!C60</f>
        <v>0</v>
      </c>
      <c r="D121" s="149">
        <f>Scott!D60</f>
        <v>32</v>
      </c>
      <c r="E121" s="149">
        <f>Scott!E60</f>
        <v>2010</v>
      </c>
      <c r="F121" s="149" t="str">
        <f>Scott!F60</f>
        <v>Development</v>
      </c>
      <c r="G121" s="149" t="str">
        <f>Scott!G60</f>
        <v>NI</v>
      </c>
      <c r="H121" s="149" t="str">
        <f>Scott!H60</f>
        <v xml:space="preserve">Measurement Studio DotNET </v>
      </c>
      <c r="I121" s="149" t="str">
        <f>Scott!I60</f>
        <v>NI Developer Suite 2015 DS2 Install</v>
      </c>
      <c r="J121" s="195" t="s">
        <v>550</v>
      </c>
    </row>
    <row r="122" spans="1:10" x14ac:dyDescent="0.25">
      <c r="A122" s="148" t="str">
        <f>Originals!A229</f>
        <v>4-Vinnie</v>
      </c>
      <c r="B122" s="148" t="str">
        <f>Originals!B229</f>
        <v>Measurement Studio Vision</v>
      </c>
      <c r="C122" s="148">
        <f>Originals!C229</f>
        <v>0</v>
      </c>
      <c r="D122" s="148" t="str">
        <f>Originals!D229</f>
        <v>32</v>
      </c>
      <c r="E122" s="148" t="str">
        <f>Originals!E229</f>
        <v>2005</v>
      </c>
      <c r="F122" s="148" t="str">
        <f>Originals!F229</f>
        <v>Development</v>
      </c>
      <c r="G122" s="148" t="str">
        <f>Originals!G229</f>
        <v>NI</v>
      </c>
      <c r="H122" s="148" t="str">
        <f>Originals!H229</f>
        <v xml:space="preserve">Measurement Studio Vision </v>
      </c>
      <c r="I122" s="148">
        <f>Originals!I229</f>
        <v>0</v>
      </c>
      <c r="J122" s="147" t="s">
        <v>554</v>
      </c>
    </row>
    <row r="123" spans="1:10" x14ac:dyDescent="0.25">
      <c r="A123" s="148" t="str">
        <f>Originals!A230</f>
        <v>4-Vinnie</v>
      </c>
      <c r="B123" s="148" t="str">
        <f>Originals!B230</f>
        <v>Measurement Studio Vision</v>
      </c>
      <c r="C123" s="148">
        <f>Originals!C230</f>
        <v>0</v>
      </c>
      <c r="D123" s="148" t="str">
        <f>Originals!D230</f>
        <v>32</v>
      </c>
      <c r="E123" s="148" t="str">
        <f>Originals!E230</f>
        <v>2018</v>
      </c>
      <c r="F123" s="148" t="str">
        <f>Originals!F230</f>
        <v>Development</v>
      </c>
      <c r="G123" s="148" t="str">
        <f>Originals!G230</f>
        <v>NI</v>
      </c>
      <c r="H123" s="148" t="str">
        <f>Originals!H230</f>
        <v xml:space="preserve">Measurement Studio Vision </v>
      </c>
      <c r="I123" s="148">
        <f>Originals!I230</f>
        <v>0</v>
      </c>
      <c r="J123" s="147" t="s">
        <v>554</v>
      </c>
    </row>
    <row r="124" spans="1:10" hidden="1" x14ac:dyDescent="0.25">
      <c r="A124" s="148" t="str">
        <f>Originals!A231</f>
        <v>4-Vinnie</v>
      </c>
      <c r="B124" s="148" t="str">
        <f>Originals!B231</f>
        <v>MGI 1D Array</v>
      </c>
      <c r="C124" s="148" t="str">
        <f>Originals!C231</f>
        <v>1.0.2.3</v>
      </c>
      <c r="D124" s="148" t="str">
        <f>Originals!D231</f>
        <v>32</v>
      </c>
      <c r="E124" s="148" t="str">
        <f>Originals!E231</f>
        <v>N/A</v>
      </c>
      <c r="F124" s="148" t="str">
        <f>Originals!F231</f>
        <v>Development</v>
      </c>
      <c r="G124" s="148" t="str">
        <f>Originals!G231</f>
        <v>MGI</v>
      </c>
      <c r="H124" s="148" t="str">
        <f>Originals!H231</f>
        <v>MGI 1D Array 1.0.2.3</v>
      </c>
      <c r="I124" s="148" t="str">
        <f>Originals!I231</f>
        <v>VIPM Community</v>
      </c>
      <c r="J124" s="195" t="s">
        <v>550</v>
      </c>
    </row>
    <row r="125" spans="1:10" hidden="1" x14ac:dyDescent="0.25">
      <c r="A125" s="149" t="str">
        <f>Scott!A61</f>
        <v>3-Scott</v>
      </c>
      <c r="B125" s="149" t="str">
        <f>Scott!B61</f>
        <v>MGI 1D Array</v>
      </c>
      <c r="C125" s="149" t="str">
        <f>Scott!C61</f>
        <v>1.0.2.3</v>
      </c>
      <c r="D125" s="149" t="str">
        <f>Scott!D61</f>
        <v>32</v>
      </c>
      <c r="E125" s="149" t="str">
        <f>Scott!E61</f>
        <v>N/A</v>
      </c>
      <c r="F125" s="149" t="str">
        <f>Scott!F61</f>
        <v>Development</v>
      </c>
      <c r="G125" s="149" t="str">
        <f>Scott!G61</f>
        <v>MGI</v>
      </c>
      <c r="H125" s="149" t="str">
        <f>Scott!H61</f>
        <v>MGI 1D Array 1.0.2.3</v>
      </c>
      <c r="I125" s="149" t="str">
        <f>Scott!I61</f>
        <v>VIPM Community</v>
      </c>
      <c r="J125" s="195" t="s">
        <v>550</v>
      </c>
    </row>
    <row r="126" spans="1:10" hidden="1" x14ac:dyDescent="0.25">
      <c r="A126" s="148" t="str">
        <f>Originals!A232</f>
        <v>4-Vinnie</v>
      </c>
      <c r="B126" s="148" t="str">
        <f>Originals!B232</f>
        <v>MGI 2D Array</v>
      </c>
      <c r="C126" s="148" t="str">
        <f>Originals!C232</f>
        <v>1.1.1.5</v>
      </c>
      <c r="D126" s="148" t="str">
        <f>Originals!D232</f>
        <v>32</v>
      </c>
      <c r="E126" s="148" t="str">
        <f>Originals!E232</f>
        <v>N/A</v>
      </c>
      <c r="F126" s="148" t="str">
        <f>Originals!F232</f>
        <v>Development</v>
      </c>
      <c r="G126" s="148" t="str">
        <f>Originals!G232</f>
        <v>MGI</v>
      </c>
      <c r="H126" s="148" t="str">
        <f>Originals!H232</f>
        <v>MGI 2D Array 1.1.1.5</v>
      </c>
      <c r="I126" s="148" t="str">
        <f>Originals!I232</f>
        <v>VIPM Community</v>
      </c>
      <c r="J126" s="195" t="s">
        <v>550</v>
      </c>
    </row>
    <row r="127" spans="1:10" hidden="1" x14ac:dyDescent="0.25">
      <c r="A127" s="149" t="str">
        <f>Scott!A62</f>
        <v>3-Scott</v>
      </c>
      <c r="B127" s="149" t="str">
        <f>Scott!B62</f>
        <v>MGI 2D Array</v>
      </c>
      <c r="C127" s="149" t="str">
        <f>Scott!C62</f>
        <v>1.1.1.5</v>
      </c>
      <c r="D127" s="149" t="str">
        <f>Scott!D62</f>
        <v>32</v>
      </c>
      <c r="E127" s="149" t="str">
        <f>Scott!E62</f>
        <v>N/A</v>
      </c>
      <c r="F127" s="149" t="str">
        <f>Scott!F62</f>
        <v>Development</v>
      </c>
      <c r="G127" s="149" t="str">
        <f>Scott!G62</f>
        <v>MGI</v>
      </c>
      <c r="H127" s="149" t="str">
        <f>Scott!H62</f>
        <v>MGI 2D Array 1.1.1.5</v>
      </c>
      <c r="I127" s="149" t="str">
        <f>Scott!I62</f>
        <v>VIPM Community</v>
      </c>
      <c r="J127" s="195" t="s">
        <v>550</v>
      </c>
    </row>
    <row r="128" spans="1:10" hidden="1" x14ac:dyDescent="0.25">
      <c r="A128" s="148" t="str">
        <f>Originals!A233</f>
        <v>4-Vinnie</v>
      </c>
      <c r="B128" s="148" t="str">
        <f>Originals!B233</f>
        <v>MGI Actor Framework Message Maker</v>
      </c>
      <c r="C128" s="148" t="str">
        <f>Originals!C233</f>
        <v>1.0.1.6</v>
      </c>
      <c r="D128" s="148" t="str">
        <f>Originals!D233</f>
        <v>32</v>
      </c>
      <c r="E128" s="148" t="str">
        <f>Originals!E233</f>
        <v>N/A</v>
      </c>
      <c r="F128" s="148" t="str">
        <f>Originals!F233</f>
        <v>Development</v>
      </c>
      <c r="G128" s="148" t="str">
        <f>Originals!G233</f>
        <v>MGI</v>
      </c>
      <c r="H128" s="148" t="str">
        <f>Originals!H233</f>
        <v>MGI Actor Framework Message Maker 1.0.1.6</v>
      </c>
      <c r="I128" s="148" t="str">
        <f>Originals!I233</f>
        <v>VIPM Community</v>
      </c>
      <c r="J128" s="195" t="s">
        <v>550</v>
      </c>
    </row>
    <row r="129" spans="1:10" hidden="1" x14ac:dyDescent="0.25">
      <c r="A129" s="149" t="str">
        <f>Scott!A63</f>
        <v>3-Scott</v>
      </c>
      <c r="B129" s="149" t="str">
        <f>Scott!B63</f>
        <v>MGI Actor Framework Message Maker</v>
      </c>
      <c r="C129" s="149" t="str">
        <f>Scott!C63</f>
        <v>1.0.1.6</v>
      </c>
      <c r="D129" s="149" t="str">
        <f>Scott!D63</f>
        <v>32</v>
      </c>
      <c r="E129" s="149" t="str">
        <f>Scott!E63</f>
        <v>N/A</v>
      </c>
      <c r="F129" s="149" t="str">
        <f>Scott!F63</f>
        <v>Development</v>
      </c>
      <c r="G129" s="149" t="str">
        <f>Scott!G63</f>
        <v>MGI</v>
      </c>
      <c r="H129" s="149" t="str">
        <f>Scott!H63</f>
        <v>MGI Actor Framework Message Maker 1.0.1.6</v>
      </c>
      <c r="I129" s="149" t="str">
        <f>Scott!I63</f>
        <v>VIPM Community</v>
      </c>
      <c r="J129" s="195" t="s">
        <v>550</v>
      </c>
    </row>
    <row r="130" spans="1:10" hidden="1" x14ac:dyDescent="0.25">
      <c r="A130" s="148" t="str">
        <f>Originals!A234</f>
        <v>4-Vinnie</v>
      </c>
      <c r="B130" s="148" t="str">
        <f>Originals!B234</f>
        <v>MGI Application Control</v>
      </c>
      <c r="C130" s="148" t="str">
        <f>Originals!C234</f>
        <v>1.1.1.10</v>
      </c>
      <c r="D130" s="148" t="str">
        <f>Originals!D234</f>
        <v>32</v>
      </c>
      <c r="E130" s="148" t="str">
        <f>Originals!E234</f>
        <v>N/A</v>
      </c>
      <c r="F130" s="148" t="str">
        <f>Originals!F234</f>
        <v>Development</v>
      </c>
      <c r="G130" s="148" t="str">
        <f>Originals!G234</f>
        <v>MGI</v>
      </c>
      <c r="H130" s="148" t="str">
        <f>Originals!H234</f>
        <v>MGI Application Control 1.1.1.10</v>
      </c>
      <c r="I130" s="148" t="str">
        <f>Originals!I234</f>
        <v>VIPM Community</v>
      </c>
      <c r="J130" s="195" t="s">
        <v>550</v>
      </c>
    </row>
    <row r="131" spans="1:10" hidden="1" x14ac:dyDescent="0.25">
      <c r="A131" s="149" t="str">
        <f>Scott!A64</f>
        <v>3-Scott</v>
      </c>
      <c r="B131" s="149" t="str">
        <f>Scott!B64</f>
        <v>MGI Application Control</v>
      </c>
      <c r="C131" s="149" t="str">
        <f>Scott!C64</f>
        <v>1.1.1.10</v>
      </c>
      <c r="D131" s="149" t="str">
        <f>Scott!D64</f>
        <v>32</v>
      </c>
      <c r="E131" s="149" t="str">
        <f>Scott!E64</f>
        <v>N/A</v>
      </c>
      <c r="F131" s="149" t="str">
        <f>Scott!F64</f>
        <v>Development</v>
      </c>
      <c r="G131" s="149" t="str">
        <f>Scott!G64</f>
        <v>MGI</v>
      </c>
      <c r="H131" s="149" t="str">
        <f>Scott!H64</f>
        <v>MGI Application Control 1.1.1.10</v>
      </c>
      <c r="I131" s="149" t="str">
        <f>Scott!I64</f>
        <v>VIPM Community</v>
      </c>
      <c r="J131" s="195" t="s">
        <v>550</v>
      </c>
    </row>
    <row r="132" spans="1:10" hidden="1" x14ac:dyDescent="0.25">
      <c r="A132" s="148" t="str">
        <f>Originals!A235</f>
        <v>4-Vinnie</v>
      </c>
      <c r="B132" s="148" t="str">
        <f>Originals!B235</f>
        <v>MGI Bezier</v>
      </c>
      <c r="C132" s="148" t="str">
        <f>Originals!C235</f>
        <v>1.1.1.2</v>
      </c>
      <c r="D132" s="148" t="str">
        <f>Originals!D235</f>
        <v>32</v>
      </c>
      <c r="E132" s="148" t="str">
        <f>Originals!E235</f>
        <v>N/A</v>
      </c>
      <c r="F132" s="148" t="str">
        <f>Originals!F235</f>
        <v>Development</v>
      </c>
      <c r="G132" s="148" t="str">
        <f>Originals!G235</f>
        <v>MGI</v>
      </c>
      <c r="H132" s="148" t="str">
        <f>Originals!H235</f>
        <v>MGI Bezier 1.1.1.2</v>
      </c>
      <c r="I132" s="148" t="str">
        <f>Originals!I235</f>
        <v>VIPM Community</v>
      </c>
      <c r="J132" s="195" t="s">
        <v>550</v>
      </c>
    </row>
    <row r="133" spans="1:10" hidden="1" x14ac:dyDescent="0.25">
      <c r="A133" s="149" t="str">
        <f>Scott!A65</f>
        <v>3-Scott</v>
      </c>
      <c r="B133" s="149" t="str">
        <f>Scott!B65</f>
        <v>MGI Bezier</v>
      </c>
      <c r="C133" s="149" t="str">
        <f>Scott!C65</f>
        <v>1.1.1.2</v>
      </c>
      <c r="D133" s="149" t="str">
        <f>Scott!D65</f>
        <v>32</v>
      </c>
      <c r="E133" s="149" t="str">
        <f>Scott!E65</f>
        <v>N/A</v>
      </c>
      <c r="F133" s="149" t="str">
        <f>Scott!F65</f>
        <v>Development</v>
      </c>
      <c r="G133" s="149" t="str">
        <f>Scott!G65</f>
        <v>MGI</v>
      </c>
      <c r="H133" s="149" t="str">
        <f>Scott!H65</f>
        <v>MGI Bezier 1.1.1.2</v>
      </c>
      <c r="I133" s="149" t="str">
        <f>Scott!I65</f>
        <v>VIPM Community</v>
      </c>
      <c r="J133" s="195" t="s">
        <v>550</v>
      </c>
    </row>
    <row r="134" spans="1:10" hidden="1" x14ac:dyDescent="0.25">
      <c r="A134" s="148" t="str">
        <f>Originals!A236</f>
        <v>4-Vinnie</v>
      </c>
      <c r="B134" s="148" t="str">
        <f>Originals!B236</f>
        <v>MGI Boolean</v>
      </c>
      <c r="C134" s="148" t="str">
        <f>Originals!C236</f>
        <v>1.0.1.3</v>
      </c>
      <c r="D134" s="148" t="str">
        <f>Originals!D236</f>
        <v>32</v>
      </c>
      <c r="E134" s="148" t="str">
        <f>Originals!E236</f>
        <v>N/A</v>
      </c>
      <c r="F134" s="148" t="str">
        <f>Originals!F236</f>
        <v>Development</v>
      </c>
      <c r="G134" s="148" t="str">
        <f>Originals!G236</f>
        <v>MGI</v>
      </c>
      <c r="H134" s="148" t="str">
        <f>Originals!H236</f>
        <v>MGI Boolean 1.0.1.3</v>
      </c>
      <c r="I134" s="148" t="str">
        <f>Originals!I236</f>
        <v>VIPM Community</v>
      </c>
      <c r="J134" s="195" t="s">
        <v>550</v>
      </c>
    </row>
    <row r="135" spans="1:10" hidden="1" x14ac:dyDescent="0.25">
      <c r="A135" s="149" t="str">
        <f>Scott!A66</f>
        <v>3-Scott</v>
      </c>
      <c r="B135" s="149" t="str">
        <f>Scott!B66</f>
        <v>MGI Boolean</v>
      </c>
      <c r="C135" s="149" t="str">
        <f>Scott!C66</f>
        <v>1.0.1.3</v>
      </c>
      <c r="D135" s="149" t="str">
        <f>Scott!D66</f>
        <v>32</v>
      </c>
      <c r="E135" s="149" t="str">
        <f>Scott!E66</f>
        <v>N/A</v>
      </c>
      <c r="F135" s="149" t="str">
        <f>Scott!F66</f>
        <v>Development</v>
      </c>
      <c r="G135" s="149" t="str">
        <f>Scott!G66</f>
        <v>MGI</v>
      </c>
      <c r="H135" s="149" t="str">
        <f>Scott!H66</f>
        <v>MGI Boolean 1.0.1.3</v>
      </c>
      <c r="I135" s="149" t="str">
        <f>Scott!I66</f>
        <v>VIPM Community</v>
      </c>
      <c r="J135" s="195" t="s">
        <v>550</v>
      </c>
    </row>
    <row r="136" spans="1:10" hidden="1" x14ac:dyDescent="0.25">
      <c r="A136" s="148" t="str">
        <f>Originals!A237</f>
        <v>4-Vinnie</v>
      </c>
      <c r="B136" s="148" t="str">
        <f>Originals!B237</f>
        <v>MGI Class Method Browser</v>
      </c>
      <c r="C136" s="148" t="str">
        <f>Originals!C237</f>
        <v>1.0.0.20</v>
      </c>
      <c r="D136" s="148" t="str">
        <f>Originals!D237</f>
        <v>32</v>
      </c>
      <c r="E136" s="148" t="str">
        <f>Originals!E237</f>
        <v>N/A</v>
      </c>
      <c r="F136" s="148" t="str">
        <f>Originals!F237</f>
        <v>Development</v>
      </c>
      <c r="G136" s="148" t="str">
        <f>Originals!G237</f>
        <v>MGI</v>
      </c>
      <c r="H136" s="148" t="str">
        <f>Originals!H237</f>
        <v>MGI Class Method Browser 1.0.0.20</v>
      </c>
      <c r="I136" s="148" t="str">
        <f>Originals!I237</f>
        <v>VIPM Community</v>
      </c>
      <c r="J136" s="195" t="s">
        <v>550</v>
      </c>
    </row>
    <row r="137" spans="1:10" hidden="1" x14ac:dyDescent="0.25">
      <c r="A137" s="149" t="str">
        <f>Scott!A67</f>
        <v>3-Scott</v>
      </c>
      <c r="B137" s="149" t="str">
        <f>Scott!B67</f>
        <v>MGI Class Method Browser</v>
      </c>
      <c r="C137" s="149" t="str">
        <f>Scott!C67</f>
        <v>1.0.0.20</v>
      </c>
      <c r="D137" s="149" t="str">
        <f>Scott!D67</f>
        <v>32</v>
      </c>
      <c r="E137" s="149" t="str">
        <f>Scott!E67</f>
        <v>N/A</v>
      </c>
      <c r="F137" s="149" t="str">
        <f>Scott!F67</f>
        <v>Development</v>
      </c>
      <c r="G137" s="149" t="str">
        <f>Scott!G67</f>
        <v>MGI</v>
      </c>
      <c r="H137" s="149" t="str">
        <f>Scott!H67</f>
        <v>MGI Class Method Browser 1.0.0.20</v>
      </c>
      <c r="I137" s="149" t="str">
        <f>Scott!I67</f>
        <v>VIPM Community</v>
      </c>
      <c r="J137" s="195" t="s">
        <v>550</v>
      </c>
    </row>
    <row r="138" spans="1:10" hidden="1" x14ac:dyDescent="0.25">
      <c r="A138" s="148" t="str">
        <f>Originals!A238</f>
        <v>4-Vinnie</v>
      </c>
      <c r="B138" s="148" t="str">
        <f>Originals!B238</f>
        <v>MGI Cluster</v>
      </c>
      <c r="C138" s="148" t="str">
        <f>Originals!C238</f>
        <v>1.1.0.1</v>
      </c>
      <c r="D138" s="148" t="str">
        <f>Originals!D238</f>
        <v>32</v>
      </c>
      <c r="E138" s="148" t="str">
        <f>Originals!E238</f>
        <v>N/A</v>
      </c>
      <c r="F138" s="148" t="str">
        <f>Originals!F238</f>
        <v>Development</v>
      </c>
      <c r="G138" s="148" t="str">
        <f>Originals!G238</f>
        <v>MGI</v>
      </c>
      <c r="H138" s="148" t="str">
        <f>Originals!H238</f>
        <v>MGI Cluster 1.1.0.1</v>
      </c>
      <c r="I138" s="148" t="str">
        <f>Originals!I238</f>
        <v>VIPM Community</v>
      </c>
      <c r="J138" s="195" t="s">
        <v>550</v>
      </c>
    </row>
    <row r="139" spans="1:10" hidden="1" x14ac:dyDescent="0.25">
      <c r="A139" s="149" t="str">
        <f>Scott!A68</f>
        <v>3-Scott</v>
      </c>
      <c r="B139" s="149" t="str">
        <f>Scott!B68</f>
        <v>MGI Cluster</v>
      </c>
      <c r="C139" s="149" t="str">
        <f>Scott!C68</f>
        <v>1.1.0.1</v>
      </c>
      <c r="D139" s="149" t="str">
        <f>Scott!D68</f>
        <v>32</v>
      </c>
      <c r="E139" s="149" t="str">
        <f>Scott!E68</f>
        <v>N/A</v>
      </c>
      <c r="F139" s="149" t="str">
        <f>Scott!F68</f>
        <v>Development</v>
      </c>
      <c r="G139" s="149" t="str">
        <f>Scott!G68</f>
        <v>MGI</v>
      </c>
      <c r="H139" s="149" t="str">
        <f>Scott!H68</f>
        <v>MGI Cluster 1.1.0.1</v>
      </c>
      <c r="I139" s="149" t="str">
        <f>Scott!I68</f>
        <v>VIPM Community</v>
      </c>
      <c r="J139" s="195" t="s">
        <v>550</v>
      </c>
    </row>
    <row r="140" spans="1:10" hidden="1" x14ac:dyDescent="0.25">
      <c r="A140" s="148" t="str">
        <f>Originals!A239</f>
        <v>4-Vinnie</v>
      </c>
      <c r="B140" s="148" t="str">
        <f>Originals!B239</f>
        <v>MGI Coordinates</v>
      </c>
      <c r="C140" s="148" t="str">
        <f>Originals!C239</f>
        <v>1.1.1.2</v>
      </c>
      <c r="D140" s="148" t="str">
        <f>Originals!D239</f>
        <v>32</v>
      </c>
      <c r="E140" s="148" t="str">
        <f>Originals!E239</f>
        <v>N/A</v>
      </c>
      <c r="F140" s="148" t="str">
        <f>Originals!F239</f>
        <v>Development</v>
      </c>
      <c r="G140" s="148" t="str">
        <f>Originals!G239</f>
        <v>MGI</v>
      </c>
      <c r="H140" s="148" t="str">
        <f>Originals!H239</f>
        <v>MGI Coordinates 1.1.1.2</v>
      </c>
      <c r="I140" s="148" t="str">
        <f>Originals!I239</f>
        <v>VIPM Community</v>
      </c>
      <c r="J140" s="195" t="s">
        <v>550</v>
      </c>
    </row>
    <row r="141" spans="1:10" hidden="1" x14ac:dyDescent="0.25">
      <c r="A141" s="149" t="str">
        <f>Scott!A69</f>
        <v>3-Scott</v>
      </c>
      <c r="B141" s="149" t="str">
        <f>Scott!B69</f>
        <v>MGI Coordinates</v>
      </c>
      <c r="C141" s="149" t="str">
        <f>Scott!C69</f>
        <v>1.1.1.2</v>
      </c>
      <c r="D141" s="149" t="str">
        <f>Scott!D69</f>
        <v>32</v>
      </c>
      <c r="E141" s="149" t="str">
        <f>Scott!E69</f>
        <v>N/A</v>
      </c>
      <c r="F141" s="149" t="str">
        <f>Scott!F69</f>
        <v>Development</v>
      </c>
      <c r="G141" s="149" t="str">
        <f>Scott!G69</f>
        <v>MGI</v>
      </c>
      <c r="H141" s="149" t="str">
        <f>Scott!H69</f>
        <v>MGI Coordinates 1.1.1.2</v>
      </c>
      <c r="I141" s="149" t="str">
        <f>Scott!I69</f>
        <v>VIPM Community</v>
      </c>
      <c r="J141" s="195" t="s">
        <v>550</v>
      </c>
    </row>
    <row r="142" spans="1:10" hidden="1" x14ac:dyDescent="0.25">
      <c r="A142" s="148" t="str">
        <f>Originals!A240</f>
        <v>4-Vinnie</v>
      </c>
      <c r="B142" s="148" t="str">
        <f>Originals!B240</f>
        <v>MGI Error Handling</v>
      </c>
      <c r="C142" s="148" t="str">
        <f>Originals!C240</f>
        <v>1.1.1.3</v>
      </c>
      <c r="D142" s="148" t="str">
        <f>Originals!D240</f>
        <v>32</v>
      </c>
      <c r="E142" s="148" t="str">
        <f>Originals!E240</f>
        <v>N/A</v>
      </c>
      <c r="F142" s="148" t="str">
        <f>Originals!F240</f>
        <v>Development</v>
      </c>
      <c r="G142" s="148" t="str">
        <f>Originals!G240</f>
        <v>MGI</v>
      </c>
      <c r="H142" s="148" t="str">
        <f>Originals!H240</f>
        <v>MGI Error Handling 1.1.1.3</v>
      </c>
      <c r="I142" s="148" t="str">
        <f>Originals!I240</f>
        <v>VIPM Community</v>
      </c>
      <c r="J142" s="195" t="s">
        <v>550</v>
      </c>
    </row>
    <row r="143" spans="1:10" hidden="1" x14ac:dyDescent="0.25">
      <c r="A143" s="149" t="str">
        <f>Scott!A70</f>
        <v>3-Scott</v>
      </c>
      <c r="B143" s="149" t="str">
        <f>Scott!B70</f>
        <v>MGI Error Handling</v>
      </c>
      <c r="C143" s="149" t="str">
        <f>Scott!C70</f>
        <v>1.1.1.3</v>
      </c>
      <c r="D143" s="149" t="str">
        <f>Scott!D70</f>
        <v>32</v>
      </c>
      <c r="E143" s="149" t="str">
        <f>Scott!E70</f>
        <v>N/A</v>
      </c>
      <c r="F143" s="149" t="str">
        <f>Scott!F70</f>
        <v>Development</v>
      </c>
      <c r="G143" s="149" t="str">
        <f>Scott!G70</f>
        <v>MGI</v>
      </c>
      <c r="H143" s="149" t="str">
        <f>Scott!H70</f>
        <v>MGI Error Handling 1.1.1.3</v>
      </c>
      <c r="I143" s="149" t="str">
        <f>Scott!I70</f>
        <v>VIPM Community</v>
      </c>
      <c r="J143" s="195" t="s">
        <v>550</v>
      </c>
    </row>
    <row r="144" spans="1:10" hidden="1" x14ac:dyDescent="0.25">
      <c r="A144" s="148" t="str">
        <f>Originals!A241</f>
        <v>4-Vinnie</v>
      </c>
      <c r="B144" s="148" t="str">
        <f>Originals!B241</f>
        <v>MGI Error Reporter</v>
      </c>
      <c r="C144" s="148" t="str">
        <f>Originals!C241</f>
        <v>1.0.2.5</v>
      </c>
      <c r="D144" s="148" t="str">
        <f>Originals!D241</f>
        <v>32</v>
      </c>
      <c r="E144" s="148" t="str">
        <f>Originals!E241</f>
        <v>N/A</v>
      </c>
      <c r="F144" s="148" t="str">
        <f>Originals!F241</f>
        <v>Development</v>
      </c>
      <c r="G144" s="148" t="str">
        <f>Originals!G241</f>
        <v>MGI</v>
      </c>
      <c r="H144" s="148" t="str">
        <f>Originals!H241</f>
        <v>MGI Error Reporter 1.0.2.5</v>
      </c>
      <c r="I144" s="148" t="str">
        <f>Originals!I241</f>
        <v>VIPM Community</v>
      </c>
      <c r="J144" s="195" t="s">
        <v>550</v>
      </c>
    </row>
    <row r="145" spans="1:10" hidden="1" x14ac:dyDescent="0.25">
      <c r="A145" s="149" t="str">
        <f>Scott!A71</f>
        <v>3-Scott</v>
      </c>
      <c r="B145" s="149" t="str">
        <f>Scott!B71</f>
        <v>MGI Error Reporter</v>
      </c>
      <c r="C145" s="149" t="str">
        <f>Scott!C71</f>
        <v>1.0.2.5</v>
      </c>
      <c r="D145" s="149" t="str">
        <f>Scott!D71</f>
        <v>32</v>
      </c>
      <c r="E145" s="149" t="str">
        <f>Scott!E71</f>
        <v>N/A</v>
      </c>
      <c r="F145" s="149" t="str">
        <f>Scott!F71</f>
        <v>Development</v>
      </c>
      <c r="G145" s="149" t="str">
        <f>Scott!G71</f>
        <v>MGI</v>
      </c>
      <c r="H145" s="149" t="str">
        <f>Scott!H71</f>
        <v>MGI Error Reporter 1.0.2.5</v>
      </c>
      <c r="I145" s="149" t="str">
        <f>Scott!I71</f>
        <v>VIPM Community</v>
      </c>
      <c r="J145" s="195" t="s">
        <v>550</v>
      </c>
    </row>
    <row r="146" spans="1:10" hidden="1" x14ac:dyDescent="0.25">
      <c r="A146" s="148" t="str">
        <f>Originals!A242</f>
        <v>4-Vinnie</v>
      </c>
      <c r="B146" s="148" t="str">
        <f>Originals!B242</f>
        <v>MGI File</v>
      </c>
      <c r="C146" s="148" t="str">
        <f>Originals!C242</f>
        <v>1.1.0.4</v>
      </c>
      <c r="D146" s="148" t="str">
        <f>Originals!D242</f>
        <v>32</v>
      </c>
      <c r="E146" s="148" t="str">
        <f>Originals!E242</f>
        <v>N/A</v>
      </c>
      <c r="F146" s="148" t="str">
        <f>Originals!F242</f>
        <v>Development</v>
      </c>
      <c r="G146" s="148" t="str">
        <f>Originals!G242</f>
        <v>MGI</v>
      </c>
      <c r="H146" s="148" t="str">
        <f>Originals!H242</f>
        <v>MGI File 1.1.0.4</v>
      </c>
      <c r="I146" s="148" t="str">
        <f>Originals!I242</f>
        <v>VIPM Community</v>
      </c>
      <c r="J146" s="195" t="s">
        <v>550</v>
      </c>
    </row>
    <row r="147" spans="1:10" hidden="1" x14ac:dyDescent="0.25">
      <c r="A147" s="149" t="str">
        <f>Scott!A72</f>
        <v>3-Scott</v>
      </c>
      <c r="B147" s="149" t="str">
        <f>Scott!B72</f>
        <v>MGI File</v>
      </c>
      <c r="C147" s="149" t="str">
        <f>Scott!C72</f>
        <v>1.1.0.4</v>
      </c>
      <c r="D147" s="149" t="str">
        <f>Scott!D72</f>
        <v>32</v>
      </c>
      <c r="E147" s="149" t="str">
        <f>Scott!E72</f>
        <v>N/A</v>
      </c>
      <c r="F147" s="149" t="str">
        <f>Scott!F72</f>
        <v>Development</v>
      </c>
      <c r="G147" s="149" t="str">
        <f>Scott!G72</f>
        <v>MGI</v>
      </c>
      <c r="H147" s="149" t="str">
        <f>Scott!H72</f>
        <v>MGI File 1.1.0.4</v>
      </c>
      <c r="I147" s="149" t="str">
        <f>Scott!I72</f>
        <v>VIPM Community</v>
      </c>
      <c r="J147" s="195" t="s">
        <v>550</v>
      </c>
    </row>
    <row r="148" spans="1:10" hidden="1" x14ac:dyDescent="0.25">
      <c r="A148" s="148" t="str">
        <f>Originals!A243</f>
        <v>4-Vinnie</v>
      </c>
      <c r="B148" s="148" t="str">
        <f>Originals!B243</f>
        <v>MGI Graph</v>
      </c>
      <c r="C148" s="148" t="str">
        <f>Originals!C243</f>
        <v>1.0.2.6</v>
      </c>
      <c r="D148" s="148" t="str">
        <f>Originals!D243</f>
        <v>32</v>
      </c>
      <c r="E148" s="148" t="str">
        <f>Originals!E243</f>
        <v>N/A</v>
      </c>
      <c r="F148" s="148" t="str">
        <f>Originals!F243</f>
        <v>Development</v>
      </c>
      <c r="G148" s="148" t="str">
        <f>Originals!G243</f>
        <v>MGI</v>
      </c>
      <c r="H148" s="148" t="str">
        <f>Originals!H243</f>
        <v>MGI Graph 1.0.2.6</v>
      </c>
      <c r="I148" s="148" t="str">
        <f>Originals!I243</f>
        <v>VIPM Community</v>
      </c>
      <c r="J148" s="195" t="s">
        <v>550</v>
      </c>
    </row>
    <row r="149" spans="1:10" hidden="1" x14ac:dyDescent="0.25">
      <c r="A149" s="149" t="str">
        <f>Scott!A73</f>
        <v>3-Scott</v>
      </c>
      <c r="B149" s="149" t="str">
        <f>Scott!B73</f>
        <v>MGI Graph</v>
      </c>
      <c r="C149" s="149" t="str">
        <f>Scott!C73</f>
        <v>1.0.2.6</v>
      </c>
      <c r="D149" s="149" t="str">
        <f>Scott!D73</f>
        <v>32</v>
      </c>
      <c r="E149" s="149" t="str">
        <f>Scott!E73</f>
        <v>N/A</v>
      </c>
      <c r="F149" s="149" t="str">
        <f>Scott!F73</f>
        <v>Development</v>
      </c>
      <c r="G149" s="149" t="str">
        <f>Scott!G73</f>
        <v>MGI</v>
      </c>
      <c r="H149" s="149" t="str">
        <f>Scott!H73</f>
        <v>MGI Graph 1.0.2.6</v>
      </c>
      <c r="I149" s="149" t="str">
        <f>Scott!I73</f>
        <v>VIPM Community</v>
      </c>
      <c r="J149" s="195" t="s">
        <v>550</v>
      </c>
    </row>
    <row r="150" spans="1:10" hidden="1" x14ac:dyDescent="0.25">
      <c r="A150" s="148" t="str">
        <f>Originals!A244</f>
        <v>4-Vinnie</v>
      </c>
      <c r="B150" s="148" t="str">
        <f>Originals!B244</f>
        <v>MGI Library</v>
      </c>
      <c r="C150" s="148" t="str">
        <f>Originals!C244</f>
        <v>1.2.0.4</v>
      </c>
      <c r="D150" s="148" t="str">
        <f>Originals!D244</f>
        <v>32</v>
      </c>
      <c r="E150" s="148" t="str">
        <f>Originals!E244</f>
        <v>N/A</v>
      </c>
      <c r="F150" s="148" t="str">
        <f>Originals!F244</f>
        <v>Development</v>
      </c>
      <c r="G150" s="148" t="str">
        <f>Originals!G244</f>
        <v>MGI</v>
      </c>
      <c r="H150" s="148" t="str">
        <f>Originals!H244</f>
        <v>MGI Library 1.2.0.4</v>
      </c>
      <c r="I150" s="148" t="str">
        <f>Originals!I244</f>
        <v>VIPM Community</v>
      </c>
      <c r="J150" s="195" t="s">
        <v>550</v>
      </c>
    </row>
    <row r="151" spans="1:10" hidden="1" x14ac:dyDescent="0.25">
      <c r="A151" s="149" t="str">
        <f>Scott!A74</f>
        <v>3-Scott</v>
      </c>
      <c r="B151" s="149" t="str">
        <f>Scott!B74</f>
        <v>MGI Library</v>
      </c>
      <c r="C151" s="149" t="str">
        <f>Scott!C74</f>
        <v>1.2.0.4</v>
      </c>
      <c r="D151" s="149" t="str">
        <f>Scott!D74</f>
        <v>32</v>
      </c>
      <c r="E151" s="149" t="str">
        <f>Scott!E74</f>
        <v>N/A</v>
      </c>
      <c r="F151" s="149" t="str">
        <f>Scott!F74</f>
        <v>Development</v>
      </c>
      <c r="G151" s="149" t="str">
        <f>Scott!G74</f>
        <v>MGI</v>
      </c>
      <c r="H151" s="149" t="str">
        <f>Scott!H74</f>
        <v>MGI Library 1.2.0.4</v>
      </c>
      <c r="I151" s="149" t="str">
        <f>Scott!I74</f>
        <v>VIPM Community</v>
      </c>
      <c r="J151" s="195" t="s">
        <v>550</v>
      </c>
    </row>
    <row r="152" spans="1:10" hidden="1" x14ac:dyDescent="0.25">
      <c r="A152" s="148" t="str">
        <f>Originals!A245</f>
        <v>4-Vinnie</v>
      </c>
      <c r="B152" s="148" t="str">
        <f>Originals!B245</f>
        <v>MGI Matrix &amp; Vector</v>
      </c>
      <c r="C152" s="148" t="str">
        <f>Originals!C245</f>
        <v>1.1.0.1</v>
      </c>
      <c r="D152" s="148" t="str">
        <f>Originals!D245</f>
        <v>32</v>
      </c>
      <c r="E152" s="148" t="str">
        <f>Originals!E245</f>
        <v>N/A</v>
      </c>
      <c r="F152" s="148" t="str">
        <f>Originals!F245</f>
        <v>Development</v>
      </c>
      <c r="G152" s="148" t="str">
        <f>Originals!G245</f>
        <v>MGI</v>
      </c>
      <c r="H152" s="148" t="str">
        <f>Originals!H245</f>
        <v>MGI Matrix &amp; Vector 1.1.0.1</v>
      </c>
      <c r="I152" s="148" t="str">
        <f>Originals!I245</f>
        <v>VIPM Community</v>
      </c>
      <c r="J152" s="195" t="s">
        <v>550</v>
      </c>
    </row>
    <row r="153" spans="1:10" hidden="1" x14ac:dyDescent="0.25">
      <c r="A153" s="149" t="str">
        <f>Scott!A75</f>
        <v>3-Scott</v>
      </c>
      <c r="B153" s="149" t="str">
        <f>Scott!B75</f>
        <v>MGI Matrix &amp; Vector</v>
      </c>
      <c r="C153" s="149" t="str">
        <f>Scott!C75</f>
        <v>1.1.0.1</v>
      </c>
      <c r="D153" s="149" t="str">
        <f>Scott!D75</f>
        <v>32</v>
      </c>
      <c r="E153" s="149" t="str">
        <f>Scott!E75</f>
        <v>N/A</v>
      </c>
      <c r="F153" s="149" t="str">
        <f>Scott!F75</f>
        <v>Development</v>
      </c>
      <c r="G153" s="149" t="str">
        <f>Scott!G75</f>
        <v>MGI</v>
      </c>
      <c r="H153" s="149" t="str">
        <f>Scott!H75</f>
        <v>MGI Matrix &amp; Vector 1.1.0.1</v>
      </c>
      <c r="I153" s="149" t="str">
        <f>Scott!I75</f>
        <v>VIPM Community</v>
      </c>
      <c r="J153" s="195" t="s">
        <v>550</v>
      </c>
    </row>
    <row r="154" spans="1:10" hidden="1" x14ac:dyDescent="0.25">
      <c r="A154" s="148" t="str">
        <f>Originals!A246</f>
        <v>4-Vinnie</v>
      </c>
      <c r="B154" s="148" t="str">
        <f>Originals!B246</f>
        <v>MGI Menu Building</v>
      </c>
      <c r="C154" s="148" t="str">
        <f>Originals!C246</f>
        <v>1.0.1.4</v>
      </c>
      <c r="D154" s="148" t="str">
        <f>Originals!D246</f>
        <v>32</v>
      </c>
      <c r="E154" s="148" t="str">
        <f>Originals!E246</f>
        <v>N/A</v>
      </c>
      <c r="F154" s="148" t="str">
        <f>Originals!F246</f>
        <v>Development</v>
      </c>
      <c r="G154" s="148" t="str">
        <f>Originals!G246</f>
        <v>MGI</v>
      </c>
      <c r="H154" s="148" t="str">
        <f>Originals!H246</f>
        <v>MGI Menu Building 1.0.1.4</v>
      </c>
      <c r="I154" s="148" t="str">
        <f>Originals!I246</f>
        <v>VIPM Community</v>
      </c>
      <c r="J154" s="195" t="s">
        <v>550</v>
      </c>
    </row>
    <row r="155" spans="1:10" hidden="1" x14ac:dyDescent="0.25">
      <c r="A155" s="149" t="str">
        <f>Scott!A76</f>
        <v>3-Scott</v>
      </c>
      <c r="B155" s="149" t="str">
        <f>Scott!B76</f>
        <v>MGI Menu Building</v>
      </c>
      <c r="C155" s="149" t="str">
        <f>Scott!C76</f>
        <v>1.0.1.4</v>
      </c>
      <c r="D155" s="149" t="str">
        <f>Scott!D76</f>
        <v>32</v>
      </c>
      <c r="E155" s="149" t="str">
        <f>Scott!E76</f>
        <v>N/A</v>
      </c>
      <c r="F155" s="149" t="str">
        <f>Scott!F76</f>
        <v>Development</v>
      </c>
      <c r="G155" s="149" t="str">
        <f>Scott!G76</f>
        <v>MGI</v>
      </c>
      <c r="H155" s="149" t="str">
        <f>Scott!H76</f>
        <v>MGI Menu Building 1.0.1.4</v>
      </c>
      <c r="I155" s="149" t="str">
        <f>Scott!I76</f>
        <v>VIPM Community</v>
      </c>
      <c r="J155" s="195" t="s">
        <v>550</v>
      </c>
    </row>
    <row r="156" spans="1:10" hidden="1" x14ac:dyDescent="0.25">
      <c r="A156" s="148" t="str">
        <f>Originals!A247</f>
        <v>4-Vinnie</v>
      </c>
      <c r="B156" s="148" t="str">
        <f>Originals!B247</f>
        <v>MGI Monitored Actor</v>
      </c>
      <c r="C156" s="148" t="str">
        <f>Originals!C247</f>
        <v>2.0.0.23</v>
      </c>
      <c r="D156" s="148" t="str">
        <f>Originals!D247</f>
        <v>32</v>
      </c>
      <c r="E156" s="148" t="str">
        <f>Originals!E247</f>
        <v>N/A</v>
      </c>
      <c r="F156" s="148" t="str">
        <f>Originals!F247</f>
        <v>Development</v>
      </c>
      <c r="G156" s="148" t="str">
        <f>Originals!G247</f>
        <v>MGI</v>
      </c>
      <c r="H156" s="148" t="str">
        <f>Originals!H247</f>
        <v>MGI Monitored Actor 2.0.0.23</v>
      </c>
      <c r="I156" s="148" t="str">
        <f>Originals!I247</f>
        <v>VIPM Community</v>
      </c>
      <c r="J156" s="195" t="s">
        <v>550</v>
      </c>
    </row>
    <row r="157" spans="1:10" hidden="1" x14ac:dyDescent="0.25">
      <c r="A157" s="149" t="str">
        <f>Scott!A77</f>
        <v>3-Scott</v>
      </c>
      <c r="B157" s="149" t="str">
        <f>Scott!B77</f>
        <v>MGI Monitored Actor</v>
      </c>
      <c r="C157" s="149" t="str">
        <f>Scott!C77</f>
        <v>2.0.0.23</v>
      </c>
      <c r="D157" s="149" t="str">
        <f>Scott!D77</f>
        <v>32</v>
      </c>
      <c r="E157" s="149" t="str">
        <f>Scott!E77</f>
        <v>N/A</v>
      </c>
      <c r="F157" s="149" t="str">
        <f>Scott!F77</f>
        <v>Development</v>
      </c>
      <c r="G157" s="149" t="str">
        <f>Scott!G77</f>
        <v>MGI</v>
      </c>
      <c r="H157" s="149" t="str">
        <f>Scott!H77</f>
        <v>MGI Monitored Actor 2.0.0.23</v>
      </c>
      <c r="I157" s="149" t="str">
        <f>Scott!I77</f>
        <v>VIPM Community</v>
      </c>
      <c r="J157" s="195" t="s">
        <v>550</v>
      </c>
    </row>
    <row r="158" spans="1:10" hidden="1" x14ac:dyDescent="0.25">
      <c r="A158" s="148" t="str">
        <f>Originals!A248</f>
        <v>4-Vinnie</v>
      </c>
      <c r="B158" s="148" t="str">
        <f>Originals!B248</f>
        <v>MGI Numeric</v>
      </c>
      <c r="C158" s="148" t="str">
        <f>Originals!C248</f>
        <v>1.1.0.2</v>
      </c>
      <c r="D158" s="148" t="str">
        <f>Originals!D248</f>
        <v>32</v>
      </c>
      <c r="E158" s="148" t="str">
        <f>Originals!E248</f>
        <v>N/A</v>
      </c>
      <c r="F158" s="148" t="str">
        <f>Originals!F248</f>
        <v>Development</v>
      </c>
      <c r="G158" s="148" t="str">
        <f>Originals!G248</f>
        <v>MGI</v>
      </c>
      <c r="H158" s="148" t="str">
        <f>Originals!H248</f>
        <v>MGI Numeric 1.1.0.2</v>
      </c>
      <c r="I158" s="148" t="str">
        <f>Originals!I248</f>
        <v>VIPM Community</v>
      </c>
      <c r="J158" s="195" t="s">
        <v>550</v>
      </c>
    </row>
    <row r="159" spans="1:10" hidden="1" x14ac:dyDescent="0.25">
      <c r="A159" s="149" t="str">
        <f>Scott!A78</f>
        <v>3-Scott</v>
      </c>
      <c r="B159" s="149" t="str">
        <f>Scott!B78</f>
        <v>MGI Numeric</v>
      </c>
      <c r="C159" s="149" t="str">
        <f>Scott!C78</f>
        <v>1.1.0.2</v>
      </c>
      <c r="D159" s="149" t="str">
        <f>Scott!D78</f>
        <v>32</v>
      </c>
      <c r="E159" s="149" t="str">
        <f>Scott!E78</f>
        <v>N/A</v>
      </c>
      <c r="F159" s="149" t="str">
        <f>Scott!F78</f>
        <v>Development</v>
      </c>
      <c r="G159" s="149" t="str">
        <f>Scott!G78</f>
        <v>MGI</v>
      </c>
      <c r="H159" s="149" t="str">
        <f>Scott!H78</f>
        <v>MGI Numeric 1.1.0.2</v>
      </c>
      <c r="I159" s="149" t="str">
        <f>Scott!I78</f>
        <v>VIPM Community</v>
      </c>
      <c r="J159" s="195" t="s">
        <v>550</v>
      </c>
    </row>
    <row r="160" spans="1:10" hidden="1" x14ac:dyDescent="0.25">
      <c r="A160" s="148" t="str">
        <f>Originals!A249</f>
        <v>4-Vinnie</v>
      </c>
      <c r="B160" s="148" t="str">
        <f>Originals!B249</f>
        <v>MGI Panel Manager</v>
      </c>
      <c r="C160" s="148" t="str">
        <f>Originals!C249</f>
        <v>1.0.1.4</v>
      </c>
      <c r="D160" s="148" t="str">
        <f>Originals!D249</f>
        <v>32</v>
      </c>
      <c r="E160" s="148" t="str">
        <f>Originals!E249</f>
        <v>N/A</v>
      </c>
      <c r="F160" s="148" t="str">
        <f>Originals!F249</f>
        <v>Development</v>
      </c>
      <c r="G160" s="148" t="str">
        <f>Originals!G249</f>
        <v>MGI</v>
      </c>
      <c r="H160" s="148" t="str">
        <f>Originals!H249</f>
        <v>MGI Panel Manager 1.0.1.4</v>
      </c>
      <c r="I160" s="148" t="str">
        <f>Originals!I249</f>
        <v>VIPM Community</v>
      </c>
      <c r="J160" s="195" t="s">
        <v>550</v>
      </c>
    </row>
    <row r="161" spans="1:10" hidden="1" x14ac:dyDescent="0.25">
      <c r="A161" s="149" t="str">
        <f>Scott!A79</f>
        <v>3-Scott</v>
      </c>
      <c r="B161" s="149" t="str">
        <f>Scott!B79</f>
        <v>MGI Panel Manager</v>
      </c>
      <c r="C161" s="149" t="str">
        <f>Scott!C79</f>
        <v>1.0.1.4</v>
      </c>
      <c r="D161" s="149" t="str">
        <f>Scott!D79</f>
        <v>32</v>
      </c>
      <c r="E161" s="149" t="str">
        <f>Scott!E79</f>
        <v>N/A</v>
      </c>
      <c r="F161" s="149" t="str">
        <f>Scott!F79</f>
        <v>Development</v>
      </c>
      <c r="G161" s="149" t="str">
        <f>Scott!G79</f>
        <v>MGI</v>
      </c>
      <c r="H161" s="149" t="str">
        <f>Scott!H79</f>
        <v>MGI Panel Manager 1.0.1.4</v>
      </c>
      <c r="I161" s="149" t="str">
        <f>Scott!I79</f>
        <v>VIPM Community</v>
      </c>
      <c r="J161" s="195" t="s">
        <v>550</v>
      </c>
    </row>
    <row r="162" spans="1:10" hidden="1" x14ac:dyDescent="0.25">
      <c r="A162" s="148" t="str">
        <f>Originals!A250</f>
        <v>4-Vinnie</v>
      </c>
      <c r="B162" s="148" t="str">
        <f>Originals!B250</f>
        <v>MGI Panel Manager - DQMH Panels</v>
      </c>
      <c r="C162" s="148" t="str">
        <f>Originals!C250</f>
        <v>1.0.1.6</v>
      </c>
      <c r="D162" s="148" t="str">
        <f>Originals!D250</f>
        <v>32</v>
      </c>
      <c r="E162" s="148" t="str">
        <f>Originals!E250</f>
        <v>N/A</v>
      </c>
      <c r="F162" s="148" t="str">
        <f>Originals!F250</f>
        <v>Development</v>
      </c>
      <c r="G162" s="148" t="str">
        <f>Originals!G250</f>
        <v>MGI</v>
      </c>
      <c r="H162" s="148" t="str">
        <f>Originals!H250</f>
        <v>MGI Panel Manager - DQMH Panels 1.0.1.6</v>
      </c>
      <c r="I162" s="148" t="str">
        <f>Originals!I250</f>
        <v>VIPM Community</v>
      </c>
      <c r="J162" s="195" t="s">
        <v>550</v>
      </c>
    </row>
    <row r="163" spans="1:10" hidden="1" x14ac:dyDescent="0.25">
      <c r="A163" s="149" t="str">
        <f>Scott!A80</f>
        <v>3-Scott</v>
      </c>
      <c r="B163" s="149" t="str">
        <f>Scott!B80</f>
        <v>MGI Panel Manager - DQMH Panels</v>
      </c>
      <c r="C163" s="149" t="str">
        <f>Scott!C80</f>
        <v>1.0.1.6</v>
      </c>
      <c r="D163" s="149" t="str">
        <f>Scott!D80</f>
        <v>32</v>
      </c>
      <c r="E163" s="149" t="str">
        <f>Scott!E80</f>
        <v>N/A</v>
      </c>
      <c r="F163" s="149" t="str">
        <f>Scott!F80</f>
        <v>Development</v>
      </c>
      <c r="G163" s="149" t="str">
        <f>Scott!G80</f>
        <v>MGI</v>
      </c>
      <c r="H163" s="149" t="str">
        <f>Scott!H80</f>
        <v>MGI Panel Manager - DQMH Panels 1.0.1.6</v>
      </c>
      <c r="I163" s="149" t="str">
        <f>Scott!I80</f>
        <v>VIPM Community</v>
      </c>
      <c r="J163" s="195" t="s">
        <v>550</v>
      </c>
    </row>
    <row r="164" spans="1:10" hidden="1" x14ac:dyDescent="0.25">
      <c r="A164" s="148" t="str">
        <f>Originals!A251</f>
        <v>4-Vinnie</v>
      </c>
      <c r="B164" s="148" t="str">
        <f>Originals!B251</f>
        <v>MGI Picture &amp; Image</v>
      </c>
      <c r="C164" s="148" t="str">
        <f>Originals!C251</f>
        <v>1.0.2.1</v>
      </c>
      <c r="D164" s="148" t="str">
        <f>Originals!D251</f>
        <v>32</v>
      </c>
      <c r="E164" s="148" t="str">
        <f>Originals!E251</f>
        <v>N/A</v>
      </c>
      <c r="F164" s="148" t="str">
        <f>Originals!F251</f>
        <v>Development</v>
      </c>
      <c r="G164" s="148" t="str">
        <f>Originals!G251</f>
        <v>MGI</v>
      </c>
      <c r="H164" s="148" t="str">
        <f>Originals!H251</f>
        <v>MGI Picture &amp; Image 1.0.2.1</v>
      </c>
      <c r="I164" s="148" t="str">
        <f>Originals!I251</f>
        <v>VIPM Community</v>
      </c>
      <c r="J164" s="195" t="s">
        <v>550</v>
      </c>
    </row>
    <row r="165" spans="1:10" hidden="1" x14ac:dyDescent="0.25">
      <c r="A165" s="149" t="str">
        <f>Scott!A81</f>
        <v>3-Scott</v>
      </c>
      <c r="B165" s="149" t="str">
        <f>Scott!B81</f>
        <v>MGI Picture &amp; Image</v>
      </c>
      <c r="C165" s="149" t="str">
        <f>Scott!C81</f>
        <v>1.0.2.1</v>
      </c>
      <c r="D165" s="149" t="str">
        <f>Scott!D81</f>
        <v>32</v>
      </c>
      <c r="E165" s="149" t="str">
        <f>Scott!E81</f>
        <v>N/A</v>
      </c>
      <c r="F165" s="149" t="str">
        <f>Scott!F81</f>
        <v>Development</v>
      </c>
      <c r="G165" s="149" t="str">
        <f>Scott!G81</f>
        <v>MGI</v>
      </c>
      <c r="H165" s="149" t="str">
        <f>Scott!H81</f>
        <v>MGI Picture &amp; Image 1.0.2.1</v>
      </c>
      <c r="I165" s="149" t="str">
        <f>Scott!I81</f>
        <v>VIPM Community</v>
      </c>
      <c r="J165" s="195" t="s">
        <v>550</v>
      </c>
    </row>
    <row r="166" spans="1:10" hidden="1" x14ac:dyDescent="0.25">
      <c r="A166" s="148" t="str">
        <f>Originals!A252</f>
        <v>4-Vinnie</v>
      </c>
      <c r="B166" s="148" t="str">
        <f>Originals!B252</f>
        <v>MGI Read/Write Anything</v>
      </c>
      <c r="C166" s="148" t="str">
        <f>Originals!C252</f>
        <v>2.1.4.4</v>
      </c>
      <c r="D166" s="148" t="str">
        <f>Originals!D252</f>
        <v>32</v>
      </c>
      <c r="E166" s="148" t="str">
        <f>Originals!E252</f>
        <v>N/A</v>
      </c>
      <c r="F166" s="148" t="str">
        <f>Originals!F252</f>
        <v>Development</v>
      </c>
      <c r="G166" s="148" t="str">
        <f>Originals!G252</f>
        <v>MGI</v>
      </c>
      <c r="H166" s="148" t="str">
        <f>Originals!H252</f>
        <v>MGI Read/Write Anything 2.1.4.4</v>
      </c>
      <c r="I166" s="148" t="str">
        <f>Originals!I252</f>
        <v>VIPM Community</v>
      </c>
      <c r="J166" s="195" t="s">
        <v>550</v>
      </c>
    </row>
    <row r="167" spans="1:10" hidden="1" x14ac:dyDescent="0.25">
      <c r="A167" s="149" t="str">
        <f>Scott!A82</f>
        <v>3-Scott</v>
      </c>
      <c r="B167" s="149" t="str">
        <f>Scott!B82</f>
        <v>MGI Read/Write Anything</v>
      </c>
      <c r="C167" s="149" t="str">
        <f>Scott!C82</f>
        <v>2.1.4.4</v>
      </c>
      <c r="D167" s="149" t="str">
        <f>Scott!D82</f>
        <v>32</v>
      </c>
      <c r="E167" s="149" t="str">
        <f>Scott!E82</f>
        <v>N/A</v>
      </c>
      <c r="F167" s="149" t="str">
        <f>Scott!F82</f>
        <v>Development</v>
      </c>
      <c r="G167" s="149" t="str">
        <f>Scott!G82</f>
        <v>MGI</v>
      </c>
      <c r="H167" s="149" t="str">
        <f>Scott!H82</f>
        <v>MGI Read/Write Anything 2.1.4.4</v>
      </c>
      <c r="I167" s="149" t="str">
        <f>Scott!I82</f>
        <v>VIPM Community</v>
      </c>
      <c r="J167" s="195" t="s">
        <v>550</v>
      </c>
    </row>
    <row r="168" spans="1:10" hidden="1" x14ac:dyDescent="0.25">
      <c r="A168" s="148" t="str">
        <f>Originals!A253</f>
        <v>4-Vinnie</v>
      </c>
      <c r="B168" s="148" t="str">
        <f>Originals!B253</f>
        <v>MGI Robust XML</v>
      </c>
      <c r="C168" s="148" t="str">
        <f>Originals!C253</f>
        <v>1.0.3.4</v>
      </c>
      <c r="D168" s="148" t="str">
        <f>Originals!D253</f>
        <v>32</v>
      </c>
      <c r="E168" s="148" t="str">
        <f>Originals!E253</f>
        <v>N/A</v>
      </c>
      <c r="F168" s="148" t="str">
        <f>Originals!F253</f>
        <v>Development</v>
      </c>
      <c r="G168" s="148" t="str">
        <f>Originals!G253</f>
        <v>MGI</v>
      </c>
      <c r="H168" s="148" t="str">
        <f>Originals!H253</f>
        <v>MGI Robust XML 1.0.3.4</v>
      </c>
      <c r="I168" s="148" t="str">
        <f>Originals!I253</f>
        <v>VIPM Community</v>
      </c>
      <c r="J168" s="195" t="s">
        <v>550</v>
      </c>
    </row>
    <row r="169" spans="1:10" hidden="1" x14ac:dyDescent="0.25">
      <c r="A169" s="149" t="str">
        <f>Scott!A83</f>
        <v>3-Scott</v>
      </c>
      <c r="B169" s="149" t="str">
        <f>Scott!B83</f>
        <v>MGI Robust XML</v>
      </c>
      <c r="C169" s="149" t="str">
        <f>Scott!C83</f>
        <v>1.0.3.4</v>
      </c>
      <c r="D169" s="149" t="str">
        <f>Scott!D83</f>
        <v>32</v>
      </c>
      <c r="E169" s="149" t="str">
        <f>Scott!E83</f>
        <v>N/A</v>
      </c>
      <c r="F169" s="149" t="str">
        <f>Scott!F83</f>
        <v>Development</v>
      </c>
      <c r="G169" s="149" t="str">
        <f>Scott!G83</f>
        <v>MGI</v>
      </c>
      <c r="H169" s="149" t="str">
        <f>Scott!H83</f>
        <v>MGI Robust XML 1.0.3.4</v>
      </c>
      <c r="I169" s="149" t="str">
        <f>Scott!I83</f>
        <v>VIPM Community</v>
      </c>
      <c r="J169" s="195" t="s">
        <v>550</v>
      </c>
    </row>
    <row r="170" spans="1:10" hidden="1" x14ac:dyDescent="0.25">
      <c r="A170" s="148" t="str">
        <f>Originals!A254</f>
        <v>4-Vinnie</v>
      </c>
      <c r="B170" s="148" t="str">
        <f>Originals!B254</f>
        <v>MGI Spline</v>
      </c>
      <c r="C170" s="148" t="str">
        <f>Originals!C254</f>
        <v>1.1.0.1</v>
      </c>
      <c r="D170" s="148" t="str">
        <f>Originals!D254</f>
        <v>32</v>
      </c>
      <c r="E170" s="148" t="str">
        <f>Originals!E254</f>
        <v>N/A</v>
      </c>
      <c r="F170" s="148" t="str">
        <f>Originals!F254</f>
        <v>Development</v>
      </c>
      <c r="G170" s="148" t="str">
        <f>Originals!G254</f>
        <v>MGI</v>
      </c>
      <c r="H170" s="148" t="str">
        <f>Originals!H254</f>
        <v>MGI Spline 1.1.0.1</v>
      </c>
      <c r="I170" s="148" t="str">
        <f>Originals!I254</f>
        <v>VIPM Community</v>
      </c>
      <c r="J170" s="195" t="s">
        <v>550</v>
      </c>
    </row>
    <row r="171" spans="1:10" hidden="1" x14ac:dyDescent="0.25">
      <c r="A171" s="149" t="str">
        <f>Scott!A84</f>
        <v>3-Scott</v>
      </c>
      <c r="B171" s="149" t="str">
        <f>Scott!B84</f>
        <v>MGI Spline</v>
      </c>
      <c r="C171" s="149" t="str">
        <f>Scott!C84</f>
        <v>1.1.0.1</v>
      </c>
      <c r="D171" s="149" t="str">
        <f>Scott!D84</f>
        <v>32</v>
      </c>
      <c r="E171" s="149" t="str">
        <f>Scott!E84</f>
        <v>N/A</v>
      </c>
      <c r="F171" s="149" t="str">
        <f>Scott!F84</f>
        <v>Development</v>
      </c>
      <c r="G171" s="149" t="str">
        <f>Scott!G84</f>
        <v>MGI</v>
      </c>
      <c r="H171" s="149" t="str">
        <f>Scott!H84</f>
        <v>MGI Spline 1.1.0.1</v>
      </c>
      <c r="I171" s="149" t="str">
        <f>Scott!I84</f>
        <v>VIPM Community</v>
      </c>
      <c r="J171" s="195" t="s">
        <v>550</v>
      </c>
    </row>
    <row r="172" spans="1:10" hidden="1" x14ac:dyDescent="0.25">
      <c r="A172" s="148" t="str">
        <f>Originals!A255</f>
        <v>4-Vinnie</v>
      </c>
      <c r="B172" s="148" t="str">
        <f>Originals!B255</f>
        <v>MGI String</v>
      </c>
      <c r="C172" s="148" t="str">
        <f>Originals!C255</f>
        <v>1.1.1.5</v>
      </c>
      <c r="D172" s="148" t="str">
        <f>Originals!D255</f>
        <v>32</v>
      </c>
      <c r="E172" s="148" t="str">
        <f>Originals!E255</f>
        <v>N/A</v>
      </c>
      <c r="F172" s="148" t="str">
        <f>Originals!F255</f>
        <v>Development</v>
      </c>
      <c r="G172" s="148" t="str">
        <f>Originals!G255</f>
        <v>MGI</v>
      </c>
      <c r="H172" s="148" t="str">
        <f>Originals!H255</f>
        <v>MGI String 1.1.1.5</v>
      </c>
      <c r="I172" s="148" t="str">
        <f>Originals!I255</f>
        <v>VIPM Community</v>
      </c>
      <c r="J172" s="195" t="s">
        <v>550</v>
      </c>
    </row>
    <row r="173" spans="1:10" hidden="1" x14ac:dyDescent="0.25">
      <c r="A173" s="149" t="str">
        <f>Scott!A85</f>
        <v>3-Scott</v>
      </c>
      <c r="B173" s="149" t="str">
        <f>Scott!B85</f>
        <v>MGI String</v>
      </c>
      <c r="C173" s="149" t="str">
        <f>Scott!C85</f>
        <v>1.1.1.5</v>
      </c>
      <c r="D173" s="149" t="str">
        <f>Scott!D85</f>
        <v>32</v>
      </c>
      <c r="E173" s="149" t="str">
        <f>Scott!E85</f>
        <v>N/A</v>
      </c>
      <c r="F173" s="149" t="str">
        <f>Scott!F85</f>
        <v>Development</v>
      </c>
      <c r="G173" s="149" t="str">
        <f>Scott!G85</f>
        <v>MGI</v>
      </c>
      <c r="H173" s="149" t="str">
        <f>Scott!H85</f>
        <v>MGI String 1.1.1.5</v>
      </c>
      <c r="I173" s="149" t="str">
        <f>Scott!I85</f>
        <v>VIPM Community</v>
      </c>
      <c r="J173" s="195" t="s">
        <v>550</v>
      </c>
    </row>
    <row r="174" spans="1:10" hidden="1" x14ac:dyDescent="0.25">
      <c r="A174" s="148" t="str">
        <f>Originals!A256</f>
        <v>4-Vinnie</v>
      </c>
      <c r="B174" s="148" t="str">
        <f>Originals!B256</f>
        <v>MGI Timing</v>
      </c>
      <c r="C174" s="148" t="str">
        <f>Originals!C256</f>
        <v>1.1.0.2</v>
      </c>
      <c r="D174" s="148" t="str">
        <f>Originals!D256</f>
        <v>32</v>
      </c>
      <c r="E174" s="148" t="str">
        <f>Originals!E256</f>
        <v>N/A</v>
      </c>
      <c r="F174" s="148" t="str">
        <f>Originals!F256</f>
        <v>Development</v>
      </c>
      <c r="G174" s="148" t="str">
        <f>Originals!G256</f>
        <v>MGI</v>
      </c>
      <c r="H174" s="148" t="str">
        <f>Originals!H256</f>
        <v>MGI Timing 1.1.0.2</v>
      </c>
      <c r="I174" s="148" t="str">
        <f>Originals!I256</f>
        <v>VIPM Community</v>
      </c>
      <c r="J174" s="195" t="s">
        <v>550</v>
      </c>
    </row>
    <row r="175" spans="1:10" hidden="1" x14ac:dyDescent="0.25">
      <c r="A175" s="149" t="str">
        <f>Scott!A86</f>
        <v>3-Scott</v>
      </c>
      <c r="B175" s="149" t="str">
        <f>Scott!B86</f>
        <v>MGI Timing</v>
      </c>
      <c r="C175" s="149" t="str">
        <f>Scott!C86</f>
        <v>1.1.0.2</v>
      </c>
      <c r="D175" s="149" t="str">
        <f>Scott!D86</f>
        <v>32</v>
      </c>
      <c r="E175" s="149" t="str">
        <f>Scott!E86</f>
        <v>N/A</v>
      </c>
      <c r="F175" s="149" t="str">
        <f>Scott!F86</f>
        <v>Development</v>
      </c>
      <c r="G175" s="149" t="str">
        <f>Scott!G86</f>
        <v>MGI</v>
      </c>
      <c r="H175" s="149" t="str">
        <f>Scott!H86</f>
        <v>MGI Timing 1.1.0.2</v>
      </c>
      <c r="I175" s="149" t="str">
        <f>Scott!I86</f>
        <v>VIPM Community</v>
      </c>
      <c r="J175" s="195" t="s">
        <v>550</v>
      </c>
    </row>
    <row r="176" spans="1:10" hidden="1" x14ac:dyDescent="0.25">
      <c r="A176" s="148" t="str">
        <f>Originals!A257</f>
        <v>4-Vinnie</v>
      </c>
      <c r="B176" s="148" t="str">
        <f>Originals!B257</f>
        <v>MGI Tools</v>
      </c>
      <c r="C176" s="148" t="str">
        <f>Originals!C257</f>
        <v>1.0.0.4</v>
      </c>
      <c r="D176" s="148" t="str">
        <f>Originals!D257</f>
        <v>32</v>
      </c>
      <c r="E176" s="148" t="str">
        <f>Originals!E257</f>
        <v>N/A</v>
      </c>
      <c r="F176" s="148" t="str">
        <f>Originals!F257</f>
        <v>Development</v>
      </c>
      <c r="G176" s="148" t="str">
        <f>Originals!G257</f>
        <v>MGI</v>
      </c>
      <c r="H176" s="148" t="str">
        <f>Originals!H257</f>
        <v>MGI Tools 1.0.0.4</v>
      </c>
      <c r="I176" s="148" t="str">
        <f>Originals!I257</f>
        <v>VIPM Community</v>
      </c>
      <c r="J176" s="195" t="s">
        <v>550</v>
      </c>
    </row>
    <row r="177" spans="1:10" hidden="1" x14ac:dyDescent="0.25">
      <c r="A177" s="149" t="str">
        <f>Scott!A87</f>
        <v>3-Scott</v>
      </c>
      <c r="B177" s="149" t="str">
        <f>Scott!B87</f>
        <v>MGI Tools</v>
      </c>
      <c r="C177" s="149" t="str">
        <f>Scott!C87</f>
        <v>1.0.0.4</v>
      </c>
      <c r="D177" s="149" t="str">
        <f>Scott!D87</f>
        <v>32</v>
      </c>
      <c r="E177" s="149" t="str">
        <f>Scott!E87</f>
        <v>N/A</v>
      </c>
      <c r="F177" s="149" t="str">
        <f>Scott!F87</f>
        <v>Development</v>
      </c>
      <c r="G177" s="149" t="str">
        <f>Scott!G87</f>
        <v>MGI</v>
      </c>
      <c r="H177" s="149" t="str">
        <f>Scott!H87</f>
        <v>MGI Tools 1.0.0.4</v>
      </c>
      <c r="I177" s="149" t="str">
        <f>Scott!I87</f>
        <v>VIPM Community</v>
      </c>
      <c r="J177" s="195" t="s">
        <v>550</v>
      </c>
    </row>
    <row r="178" spans="1:10" hidden="1" x14ac:dyDescent="0.25">
      <c r="A178" s="148" t="str">
        <f>Originals!A258</f>
        <v>4-Vinnie</v>
      </c>
      <c r="B178" s="148" t="str">
        <f>Originals!B258</f>
        <v>MGI Tree</v>
      </c>
      <c r="C178" s="148" t="str">
        <f>Originals!C258</f>
        <v>1.0.4.4</v>
      </c>
      <c r="D178" s="148" t="str">
        <f>Originals!D258</f>
        <v>32</v>
      </c>
      <c r="E178" s="148" t="str">
        <f>Originals!E258</f>
        <v>N/A</v>
      </c>
      <c r="F178" s="148" t="str">
        <f>Originals!F258</f>
        <v>Development</v>
      </c>
      <c r="G178" s="148" t="str">
        <f>Originals!G258</f>
        <v>MGI</v>
      </c>
      <c r="H178" s="148" t="str">
        <f>Originals!H258</f>
        <v>MGI Tree 1.0.4.4</v>
      </c>
      <c r="I178" s="148" t="str">
        <f>Originals!I258</f>
        <v>VIPM Community</v>
      </c>
      <c r="J178" s="195" t="s">
        <v>550</v>
      </c>
    </row>
    <row r="179" spans="1:10" hidden="1" x14ac:dyDescent="0.25">
      <c r="A179" s="149" t="str">
        <f>Scott!A88</f>
        <v>3-Scott</v>
      </c>
      <c r="B179" s="149" t="str">
        <f>Scott!B88</f>
        <v>MGI Tree</v>
      </c>
      <c r="C179" s="149" t="str">
        <f>Scott!C88</f>
        <v>1.0.4.4</v>
      </c>
      <c r="D179" s="149" t="str">
        <f>Scott!D88</f>
        <v>32</v>
      </c>
      <c r="E179" s="149" t="str">
        <f>Scott!E88</f>
        <v>N/A</v>
      </c>
      <c r="F179" s="149" t="str">
        <f>Scott!F88</f>
        <v>Development</v>
      </c>
      <c r="G179" s="149" t="str">
        <f>Scott!G88</f>
        <v>MGI</v>
      </c>
      <c r="H179" s="149" t="str">
        <f>Scott!H88</f>
        <v>MGI Tree 1.0.4.4</v>
      </c>
      <c r="I179" s="149" t="str">
        <f>Scott!I88</f>
        <v>VIPM Community</v>
      </c>
      <c r="J179" s="195" t="s">
        <v>550</v>
      </c>
    </row>
    <row r="180" spans="1:10" hidden="1" x14ac:dyDescent="0.25">
      <c r="A180" s="148" t="str">
        <f>Originals!A259</f>
        <v>4-Vinnie</v>
      </c>
      <c r="B180" s="148" t="str">
        <f>Originals!B259</f>
        <v>MGI User Interface</v>
      </c>
      <c r="C180" s="148" t="str">
        <f>Originals!C259</f>
        <v>1.0.1.11</v>
      </c>
      <c r="D180" s="148" t="str">
        <f>Originals!D259</f>
        <v>32</v>
      </c>
      <c r="E180" s="148" t="str">
        <f>Originals!E259</f>
        <v>N/A</v>
      </c>
      <c r="F180" s="148" t="str">
        <f>Originals!F259</f>
        <v>Development</v>
      </c>
      <c r="G180" s="148" t="str">
        <f>Originals!G259</f>
        <v>MGI</v>
      </c>
      <c r="H180" s="148" t="str">
        <f>Originals!H259</f>
        <v>MGI User Interface 1.0.1.11</v>
      </c>
      <c r="I180" s="148" t="str">
        <f>Originals!I259</f>
        <v>VIPM Community</v>
      </c>
      <c r="J180" s="195" t="s">
        <v>550</v>
      </c>
    </row>
    <row r="181" spans="1:10" hidden="1" x14ac:dyDescent="0.25">
      <c r="A181" s="149" t="str">
        <f>Scott!A89</f>
        <v>3-Scott</v>
      </c>
      <c r="B181" s="149" t="str">
        <f>Scott!B89</f>
        <v>MGI User Interface</v>
      </c>
      <c r="C181" s="149" t="str">
        <f>Scott!C89</f>
        <v>1.0.1.11</v>
      </c>
      <c r="D181" s="149" t="str">
        <f>Scott!D89</f>
        <v>32</v>
      </c>
      <c r="E181" s="149" t="str">
        <f>Scott!E89</f>
        <v>N/A</v>
      </c>
      <c r="F181" s="149" t="str">
        <f>Scott!F89</f>
        <v>Development</v>
      </c>
      <c r="G181" s="149" t="str">
        <f>Scott!G89</f>
        <v>MGI</v>
      </c>
      <c r="H181" s="149" t="str">
        <f>Scott!H89</f>
        <v>MGI User Interface 1.0.1.11</v>
      </c>
      <c r="I181" s="149" t="str">
        <f>Scott!I89</f>
        <v>VIPM Community</v>
      </c>
      <c r="J181" s="195" t="s">
        <v>550</v>
      </c>
    </row>
    <row r="182" spans="1:10" hidden="1" x14ac:dyDescent="0.25">
      <c r="A182" s="148" t="str">
        <f>Originals!A260</f>
        <v>4-Vinnie</v>
      </c>
      <c r="B182" s="148" t="str">
        <f>Originals!B260</f>
        <v>MGI WSA Framework</v>
      </c>
      <c r="C182" s="148" t="str">
        <f>Originals!C260</f>
        <v>1.0.0.27</v>
      </c>
      <c r="D182" s="148" t="str">
        <f>Originals!D260</f>
        <v>32</v>
      </c>
      <c r="E182" s="148" t="str">
        <f>Originals!E260</f>
        <v>N/A</v>
      </c>
      <c r="F182" s="148" t="str">
        <f>Originals!F260</f>
        <v>Development</v>
      </c>
      <c r="G182" s="148" t="str">
        <f>Originals!G260</f>
        <v>MGI</v>
      </c>
      <c r="H182" s="148" t="str">
        <f>Originals!H260</f>
        <v>MGI WSA Framework 1.0.0.27</v>
      </c>
      <c r="I182" s="148" t="str">
        <f>Originals!I260</f>
        <v>VIPM Community</v>
      </c>
      <c r="J182" s="195" t="s">
        <v>550</v>
      </c>
    </row>
    <row r="183" spans="1:10" hidden="1" x14ac:dyDescent="0.25">
      <c r="A183" s="149" t="str">
        <f>Scott!A90</f>
        <v>3-Scott</v>
      </c>
      <c r="B183" s="149" t="str">
        <f>Scott!B90</f>
        <v>MGI WSA Framework</v>
      </c>
      <c r="C183" s="149" t="str">
        <f>Scott!C90</f>
        <v>1.0.0.27</v>
      </c>
      <c r="D183" s="149" t="str">
        <f>Scott!D90</f>
        <v>32</v>
      </c>
      <c r="E183" s="149" t="str">
        <f>Scott!E90</f>
        <v>N/A</v>
      </c>
      <c r="F183" s="149" t="str">
        <f>Scott!F90</f>
        <v>Development</v>
      </c>
      <c r="G183" s="149" t="str">
        <f>Scott!G90</f>
        <v>MGI</v>
      </c>
      <c r="H183" s="149" t="str">
        <f>Scott!H90</f>
        <v>MGI WSA Framework 1.0.0.27</v>
      </c>
      <c r="I183" s="149" t="str">
        <f>Scott!I90</f>
        <v>VIPM Community</v>
      </c>
      <c r="J183" s="195" t="s">
        <v>550</v>
      </c>
    </row>
    <row r="184" spans="1:10" hidden="1" x14ac:dyDescent="0.25">
      <c r="A184" s="148" t="str">
        <f>Originals!A261</f>
        <v>4-Vinnie</v>
      </c>
      <c r="B184" s="148" t="str">
        <f>Originals!B261</f>
        <v>Network Configuration Web Support</v>
      </c>
      <c r="C184" s="148" t="str">
        <f>Originals!C261</f>
        <v>15.0.0</v>
      </c>
      <c r="D184" s="148" t="str">
        <f>Originals!D261</f>
        <v>32</v>
      </c>
      <c r="E184" s="148" t="str">
        <f>Originals!E261</f>
        <v>2015</v>
      </c>
      <c r="F184" s="148" t="str">
        <f>Originals!F261</f>
        <v>C-RIO</v>
      </c>
      <c r="G184" s="148" t="str">
        <f>Originals!G261</f>
        <v>NI</v>
      </c>
      <c r="H184" s="148" t="str">
        <f>Originals!H261</f>
        <v>Network Configuration Web Support 15.0.0</v>
      </c>
      <c r="I184" s="148">
        <f>Originals!I261</f>
        <v>0</v>
      </c>
    </row>
    <row r="185" spans="1:10" hidden="1" x14ac:dyDescent="0.25">
      <c r="A185" s="148" t="str">
        <f>Originals!A262</f>
        <v>4-Vinnie</v>
      </c>
      <c r="B185" s="148" t="str">
        <f>Originals!B262</f>
        <v>Network Streams</v>
      </c>
      <c r="C185" s="148" t="str">
        <f>Originals!C262</f>
        <v>15.0</v>
      </c>
      <c r="D185" s="148" t="str">
        <f>Originals!D262</f>
        <v>32</v>
      </c>
      <c r="E185" s="148" t="str">
        <f>Originals!E262</f>
        <v>2015</v>
      </c>
      <c r="F185" s="148" t="str">
        <f>Originals!F262</f>
        <v>C-RIO</v>
      </c>
      <c r="G185" s="148" t="str">
        <f>Originals!G262</f>
        <v>NI</v>
      </c>
      <c r="H185" s="148" t="str">
        <f>Originals!H262</f>
        <v>Network Streams 15.0</v>
      </c>
      <c r="I185" s="148">
        <f>Originals!I262</f>
        <v>0</v>
      </c>
    </row>
    <row r="186" spans="1:10" hidden="1" x14ac:dyDescent="0.25">
      <c r="A186" s="148" t="str">
        <f>Originals!A263</f>
        <v>4-Vinnie</v>
      </c>
      <c r="B186" s="148" t="str">
        <f>Originals!B263</f>
        <v>Network Variable Engine</v>
      </c>
      <c r="C186" s="148" t="str">
        <f>Originals!C263</f>
        <v>15.0.0</v>
      </c>
      <c r="D186" s="148" t="str">
        <f>Originals!D263</f>
        <v>32</v>
      </c>
      <c r="E186" s="148" t="str">
        <f>Originals!E263</f>
        <v>2015</v>
      </c>
      <c r="F186" s="148" t="str">
        <f>Originals!F263</f>
        <v>C-RIO</v>
      </c>
      <c r="G186" s="148" t="str">
        <f>Originals!G263</f>
        <v>NI</v>
      </c>
      <c r="H186" s="148" t="str">
        <f>Originals!H263</f>
        <v>Network Variable Engine 15.0.0</v>
      </c>
      <c r="I186" s="148">
        <f>Originals!I263</f>
        <v>0</v>
      </c>
    </row>
    <row r="187" spans="1:10" hidden="1" x14ac:dyDescent="0.25">
      <c r="A187" s="148" t="str">
        <f>Originals!A264</f>
        <v>4-Vinnie</v>
      </c>
      <c r="B187" s="148" t="str">
        <f>Originals!B264</f>
        <v>NI 1588-2008 Network Management</v>
      </c>
      <c r="C187" s="148" t="str">
        <f>Originals!C264</f>
        <v>15.0.0f0</v>
      </c>
      <c r="D187" s="148" t="str">
        <f>Originals!D264</f>
        <v>32</v>
      </c>
      <c r="E187" s="148">
        <f>Originals!E264</f>
        <v>2015</v>
      </c>
      <c r="F187" s="148" t="str">
        <f>Originals!F264</f>
        <v>Development</v>
      </c>
      <c r="G187" s="148" t="str">
        <f>Originals!G264</f>
        <v>NI</v>
      </c>
      <c r="H187" s="148" t="str">
        <f>Originals!H264</f>
        <v>NI 1588-2008 Network Management 15.0.0f0</v>
      </c>
      <c r="I187" s="148" t="str">
        <f>Originals!I264</f>
        <v>NI Developer Suite 2015 DS2 Install</v>
      </c>
      <c r="J187" s="195" t="s">
        <v>550</v>
      </c>
    </row>
    <row r="188" spans="1:10" hidden="1" x14ac:dyDescent="0.25">
      <c r="A188" s="149" t="str">
        <f>Scott!A91</f>
        <v>3-Scott</v>
      </c>
      <c r="B188" s="149" t="str">
        <f>Scott!B91</f>
        <v>NI 1588-2008 Network Management 15.0.0</v>
      </c>
      <c r="C188" s="149" t="str">
        <f>Scott!C91</f>
        <v>15.0.0f0</v>
      </c>
      <c r="D188" s="149">
        <f>Scott!D91</f>
        <v>32</v>
      </c>
      <c r="E188" s="149">
        <f>Scott!E91</f>
        <v>2015</v>
      </c>
      <c r="F188" s="149" t="str">
        <f>Scott!F91</f>
        <v>Development</v>
      </c>
      <c r="G188" s="149" t="str">
        <f>Scott!G91</f>
        <v>NI</v>
      </c>
      <c r="H188" s="149" t="str">
        <f>Scott!H91</f>
        <v>NI 1588-2008 Network Management 15.0.0 15.0.0f0</v>
      </c>
      <c r="I188" s="149" t="str">
        <f>Scott!I91</f>
        <v>NI Developer Suite 2015 DS2 Install</v>
      </c>
      <c r="J188" s="195" t="s">
        <v>550</v>
      </c>
    </row>
    <row r="189" spans="1:10" hidden="1" x14ac:dyDescent="0.25">
      <c r="A189" s="148" t="str">
        <f>Originals!A265</f>
        <v>4-Vinnie</v>
      </c>
      <c r="B189" s="148" t="str">
        <f>Originals!B265</f>
        <v>NI Asynchronous Message Communication (AMC) Library</v>
      </c>
      <c r="C189" s="148" t="str">
        <f>Originals!C265</f>
        <v>3.3.1.22</v>
      </c>
      <c r="D189" s="148" t="str">
        <f>Originals!D265</f>
        <v>32</v>
      </c>
      <c r="E189" s="148" t="str">
        <f>Originals!E265</f>
        <v>N/A</v>
      </c>
      <c r="F189" s="148" t="str">
        <f>Originals!F265</f>
        <v>Development</v>
      </c>
      <c r="G189" s="148" t="str">
        <f>Originals!G265</f>
        <v>NI</v>
      </c>
      <c r="H189" s="148" t="str">
        <f>Originals!H265</f>
        <v>NI Asynchronous Message Communication (AMC) Library 3.3.1.22</v>
      </c>
      <c r="I189" s="148" t="str">
        <f>Originals!I265</f>
        <v>VIPM Community</v>
      </c>
      <c r="J189" s="195" t="s">
        <v>550</v>
      </c>
    </row>
    <row r="190" spans="1:10" hidden="1" x14ac:dyDescent="0.25">
      <c r="A190" s="149" t="str">
        <f>Scott!A92</f>
        <v>3-Scott</v>
      </c>
      <c r="B190" s="149" t="str">
        <f>Scott!B92</f>
        <v>NI Asynchronous Message Communication (AMC) Library</v>
      </c>
      <c r="C190" s="149" t="str">
        <f>Scott!C92</f>
        <v>3.3.1.22</v>
      </c>
      <c r="D190" s="149" t="str">
        <f>Scott!D92</f>
        <v>32</v>
      </c>
      <c r="E190" s="149" t="str">
        <f>Scott!E92</f>
        <v>N/A</v>
      </c>
      <c r="F190" s="149" t="str">
        <f>Scott!F92</f>
        <v>Development</v>
      </c>
      <c r="G190" s="149" t="str">
        <f>Scott!G92</f>
        <v>NI</v>
      </c>
      <c r="H190" s="149" t="str">
        <f>Scott!H92</f>
        <v>NI Asynchronous Message Communication (AMC) Library 3.3.1.22</v>
      </c>
      <c r="I190" s="149" t="str">
        <f>Scott!I92</f>
        <v>VIPM Community</v>
      </c>
      <c r="J190" s="195" t="s">
        <v>550</v>
      </c>
    </row>
    <row r="191" spans="1:10" hidden="1" x14ac:dyDescent="0.25">
      <c r="A191" s="148" t="str">
        <f>Originals!A266</f>
        <v>4-Vinnie</v>
      </c>
      <c r="B191" s="148" t="str">
        <f>Originals!B266</f>
        <v>NI CompactRIO</v>
      </c>
      <c r="C191" s="148" t="str">
        <f>Originals!C266</f>
        <v>15.5</v>
      </c>
      <c r="D191" s="148" t="str">
        <f>Originals!D266</f>
        <v>32</v>
      </c>
      <c r="E191" s="148" t="str">
        <f>Originals!E266</f>
        <v>2018</v>
      </c>
      <c r="F191" s="148" t="str">
        <f>Originals!F266</f>
        <v>C-RIO</v>
      </c>
      <c r="G191" s="148" t="str">
        <f>Originals!G266</f>
        <v>NI</v>
      </c>
      <c r="H191" s="148" t="str">
        <f>Originals!H266</f>
        <v>NI CompactRIO 15.5</v>
      </c>
      <c r="I191" s="148">
        <f>Originals!I266</f>
        <v>0</v>
      </c>
    </row>
    <row r="192" spans="1:10" hidden="1" x14ac:dyDescent="0.25">
      <c r="A192" s="148" t="str">
        <f>Originals!A267</f>
        <v>4-Vinnie</v>
      </c>
      <c r="B192" s="148" t="str">
        <f>Originals!B267</f>
        <v>NI CompactRIO Information (CRI) Library</v>
      </c>
      <c r="C192" s="148" t="str">
        <f>Originals!C267</f>
        <v>2015.0.0.1</v>
      </c>
      <c r="D192" s="148" t="str">
        <f>Originals!D267</f>
        <v>32</v>
      </c>
      <c r="E192" s="148" t="str">
        <f>Originals!E267</f>
        <v>2015</v>
      </c>
      <c r="F192" s="148" t="str">
        <f>Originals!F267</f>
        <v>Development</v>
      </c>
      <c r="G192" s="148" t="str">
        <f>Originals!G267</f>
        <v>NI</v>
      </c>
      <c r="H192" s="148" t="str">
        <f>Originals!H267</f>
        <v>NI CompactRIO Information (CRI) Library 2015.0.0.1</v>
      </c>
      <c r="I192" s="148" t="str">
        <f>Originals!I267</f>
        <v>VIPM Community</v>
      </c>
      <c r="J192" s="195" t="s">
        <v>550</v>
      </c>
    </row>
    <row r="193" spans="1:10" hidden="1" x14ac:dyDescent="0.25">
      <c r="A193" s="149" t="str">
        <f>Scott!A93</f>
        <v>3-Scott</v>
      </c>
      <c r="B193" s="149" t="str">
        <f>Scott!B93</f>
        <v>NI CompactRIO Information (CRI) Library</v>
      </c>
      <c r="C193" s="149" t="str">
        <f>Scott!C93</f>
        <v>2015.0.0.1</v>
      </c>
      <c r="D193" s="149" t="str">
        <f>Scott!D93</f>
        <v>32</v>
      </c>
      <c r="E193" s="149" t="str">
        <f>Scott!E93</f>
        <v>2015</v>
      </c>
      <c r="F193" s="149" t="str">
        <f>Scott!F93</f>
        <v>Development</v>
      </c>
      <c r="G193" s="149" t="str">
        <f>Scott!G93</f>
        <v>NI</v>
      </c>
      <c r="H193" s="149" t="str">
        <f>Scott!H93</f>
        <v>NI CompactRIO Information (CRI) Library 2015.0.0.1</v>
      </c>
      <c r="I193" s="149" t="str">
        <f>Scott!I93</f>
        <v>VIPM Community</v>
      </c>
      <c r="J193" s="195" t="s">
        <v>550</v>
      </c>
    </row>
    <row r="194" spans="1:10" hidden="1" x14ac:dyDescent="0.25">
      <c r="A194" s="148" t="str">
        <f>Originals!A268</f>
        <v>4-Vinnie</v>
      </c>
      <c r="B194" s="148" t="str">
        <f>Originals!B268</f>
        <v>NI GXML</v>
      </c>
      <c r="C194" s="148" t="str">
        <f>Originals!C268</f>
        <v>1.4.2.8</v>
      </c>
      <c r="D194" s="148" t="str">
        <f>Originals!D268</f>
        <v>32</v>
      </c>
      <c r="E194" s="148" t="str">
        <f>Originals!E268</f>
        <v>N/A</v>
      </c>
      <c r="F194" s="148" t="str">
        <f>Originals!F268</f>
        <v>Development</v>
      </c>
      <c r="G194" s="148" t="str">
        <f>Originals!G268</f>
        <v>NI</v>
      </c>
      <c r="H194" s="148" t="str">
        <f>Originals!H268</f>
        <v>NI GXML 1.4.2.8</v>
      </c>
      <c r="I194" s="148" t="str">
        <f>Originals!I268</f>
        <v>VIPM Community</v>
      </c>
      <c r="J194" s="195" t="s">
        <v>550</v>
      </c>
    </row>
    <row r="195" spans="1:10" hidden="1" x14ac:dyDescent="0.25">
      <c r="A195" s="149" t="str">
        <f>Scott!A94</f>
        <v>3-Scott</v>
      </c>
      <c r="B195" s="149" t="str">
        <f>Scott!B94</f>
        <v>NI GXML</v>
      </c>
      <c r="C195" s="149" t="str">
        <f>Scott!C94</f>
        <v>1.4.2.8</v>
      </c>
      <c r="D195" s="149" t="str">
        <f>Scott!D94</f>
        <v>32</v>
      </c>
      <c r="E195" s="149" t="str">
        <f>Scott!E94</f>
        <v>N/A</v>
      </c>
      <c r="F195" s="149" t="str">
        <f>Scott!F94</f>
        <v>Development</v>
      </c>
      <c r="G195" s="149" t="str">
        <f>Scott!G94</f>
        <v>NI</v>
      </c>
      <c r="H195" s="149" t="str">
        <f>Scott!H94</f>
        <v>NI GXML 1.4.2.8</v>
      </c>
      <c r="I195" s="149" t="str">
        <f>Scott!I94</f>
        <v>VIPM Community</v>
      </c>
      <c r="J195" s="195" t="s">
        <v>550</v>
      </c>
    </row>
    <row r="196" spans="1:10" hidden="1" x14ac:dyDescent="0.25">
      <c r="A196" s="148" t="str">
        <f>Originals!A269</f>
        <v>4-Vinnie</v>
      </c>
      <c r="B196" s="148" t="str">
        <f>Originals!B269</f>
        <v>NI I/O Trace</v>
      </c>
      <c r="C196" s="148" t="str">
        <f>Originals!C269</f>
        <v>18.5.0f0</v>
      </c>
      <c r="D196" s="148" t="str">
        <f>Originals!D269</f>
        <v>32</v>
      </c>
      <c r="E196" s="148" t="str">
        <f>Originals!E269</f>
        <v>2018</v>
      </c>
      <c r="F196" s="148" t="str">
        <f>Originals!F269</f>
        <v>Development</v>
      </c>
      <c r="G196" s="148" t="str">
        <f>Originals!G269</f>
        <v>NI</v>
      </c>
      <c r="H196" s="148" t="str">
        <f>Originals!H269</f>
        <v>NI I/O Trace 18.5.0f0</v>
      </c>
      <c r="I196" s="148" t="str">
        <f>Originals!I269</f>
        <v>NI Developer Suite 2015 DS2 Install</v>
      </c>
      <c r="J196" s="195" t="s">
        <v>550</v>
      </c>
    </row>
    <row r="197" spans="1:10" hidden="1" x14ac:dyDescent="0.25">
      <c r="A197" s="149" t="str">
        <f>Scott!A96</f>
        <v>3-Scott</v>
      </c>
      <c r="B197" s="149" t="str">
        <f>Scott!B96</f>
        <v>NI I/O Trace</v>
      </c>
      <c r="C197" s="149" t="str">
        <f>Scott!C96</f>
        <v>19.0.0f0</v>
      </c>
      <c r="D197" s="149">
        <f>Scott!D96</f>
        <v>32</v>
      </c>
      <c r="E197" s="149">
        <f>Scott!E96</f>
        <v>2019</v>
      </c>
      <c r="F197" s="149" t="str">
        <f>Scott!F96</f>
        <v>Development</v>
      </c>
      <c r="G197" s="149" t="str">
        <f>Scott!G96</f>
        <v>NI</v>
      </c>
      <c r="H197" s="149" t="str">
        <f>Scott!H96</f>
        <v>NI I/O Trace 19.0.0f0</v>
      </c>
      <c r="I197" s="149" t="str">
        <f>Scott!I96</f>
        <v>NI Developer Suite 2015 DS2 Install</v>
      </c>
      <c r="J197" s="195" t="s">
        <v>550</v>
      </c>
    </row>
    <row r="198" spans="1:10" hidden="1" x14ac:dyDescent="0.25">
      <c r="A198" s="148" t="str">
        <f>Originals!A270</f>
        <v>4-Vinnie</v>
      </c>
      <c r="B198" s="148" t="str">
        <f>Originals!B270</f>
        <v>NI Keyed Array Library</v>
      </c>
      <c r="C198" s="148" t="str">
        <f>Originals!C270</f>
        <v>2.0.0.11</v>
      </c>
      <c r="D198" s="148" t="str">
        <f>Originals!D270</f>
        <v>32</v>
      </c>
      <c r="E198" s="148" t="str">
        <f>Originals!E270</f>
        <v>N/A</v>
      </c>
      <c r="F198" s="148" t="str">
        <f>Originals!F270</f>
        <v>Development</v>
      </c>
      <c r="G198" s="148" t="str">
        <f>Originals!G270</f>
        <v>NI</v>
      </c>
      <c r="H198" s="148" t="str">
        <f>Originals!H270</f>
        <v>NI Keyed Array Library 2.0.0.11</v>
      </c>
      <c r="I198" s="148" t="str">
        <f>Originals!I270</f>
        <v>VIPM Community</v>
      </c>
      <c r="J198" s="195" t="s">
        <v>550</v>
      </c>
    </row>
    <row r="199" spans="1:10" hidden="1" x14ac:dyDescent="0.25">
      <c r="A199" s="149" t="str">
        <f>Scott!A95</f>
        <v>3-Scott</v>
      </c>
      <c r="B199" s="149" t="str">
        <f>Scott!B95</f>
        <v>NI Keyed Array Library</v>
      </c>
      <c r="C199" s="149" t="str">
        <f>Scott!C95</f>
        <v>2.0.0.11</v>
      </c>
      <c r="D199" s="149" t="str">
        <f>Scott!D95</f>
        <v>32</v>
      </c>
      <c r="E199" s="149" t="str">
        <f>Scott!E95</f>
        <v>N/A</v>
      </c>
      <c r="F199" s="149" t="str">
        <f>Scott!F95</f>
        <v>Development</v>
      </c>
      <c r="G199" s="149" t="str">
        <f>Scott!G95</f>
        <v>NI</v>
      </c>
      <c r="H199" s="149" t="str">
        <f>Scott!H95</f>
        <v>NI Keyed Array Library 2.0.0.11</v>
      </c>
      <c r="I199" s="149" t="str">
        <f>Scott!I95</f>
        <v>VIPM Community</v>
      </c>
      <c r="J199" s="195" t="s">
        <v>550</v>
      </c>
    </row>
    <row r="200" spans="1:10" hidden="1" x14ac:dyDescent="0.25">
      <c r="A200" s="148" t="str">
        <f>Originals!A271</f>
        <v>4-Vinnie</v>
      </c>
      <c r="B200" s="148" t="str">
        <f>Originals!B271</f>
        <v>NI Modbus Library</v>
      </c>
      <c r="C200" s="148" t="str">
        <f>Originals!C271</f>
        <v>1.2.1.42</v>
      </c>
      <c r="D200" s="148" t="str">
        <f>Originals!D271</f>
        <v>32</v>
      </c>
      <c r="E200" s="148" t="str">
        <f>Originals!E271</f>
        <v>N/A</v>
      </c>
      <c r="F200" s="148" t="str">
        <f>Originals!F271</f>
        <v>Development</v>
      </c>
      <c r="G200" s="148" t="str">
        <f>Originals!G271</f>
        <v>NI</v>
      </c>
      <c r="H200" s="148" t="str">
        <f>Originals!H271</f>
        <v>NI Modbus Library 1.2.1.42</v>
      </c>
      <c r="I200" s="148" t="str">
        <f>Originals!I271</f>
        <v>VIPM Community</v>
      </c>
      <c r="J200" s="195" t="s">
        <v>550</v>
      </c>
    </row>
    <row r="201" spans="1:10" hidden="1" x14ac:dyDescent="0.25">
      <c r="A201" s="149" t="str">
        <f>Scott!A97</f>
        <v>3-Scott</v>
      </c>
      <c r="B201" s="149" t="str">
        <f>Scott!B97</f>
        <v>NI Modbus Library</v>
      </c>
      <c r="C201" s="149" t="str">
        <f>Scott!C97</f>
        <v>1.2.1.42</v>
      </c>
      <c r="D201" s="149" t="str">
        <f>Scott!D97</f>
        <v>32</v>
      </c>
      <c r="E201" s="149" t="str">
        <f>Scott!E97</f>
        <v>N/A</v>
      </c>
      <c r="F201" s="149" t="str">
        <f>Scott!F97</f>
        <v>Development</v>
      </c>
      <c r="G201" s="149" t="str">
        <f>Scott!G97</f>
        <v>NI</v>
      </c>
      <c r="H201" s="149" t="str">
        <f>Scott!H97</f>
        <v>NI Modbus Library 1.2.1.42</v>
      </c>
      <c r="I201" s="149" t="str">
        <f>Scott!I97</f>
        <v>VIPM Community</v>
      </c>
      <c r="J201" s="195" t="s">
        <v>550</v>
      </c>
    </row>
    <row r="202" spans="1:10" hidden="1" x14ac:dyDescent="0.25">
      <c r="A202" s="148" t="str">
        <f>Originals!A272</f>
        <v>4-Vinnie</v>
      </c>
      <c r="B202" s="148" t="str">
        <f>Originals!B272</f>
        <v>NI PXI Platform Services</v>
      </c>
      <c r="C202" s="148" t="str">
        <f>Originals!C272</f>
        <v>19.5.0f0</v>
      </c>
      <c r="D202" s="148" t="str">
        <f>Originals!D272</f>
        <v>32</v>
      </c>
      <c r="E202" s="148" t="str">
        <f>Originals!E272</f>
        <v>2019</v>
      </c>
      <c r="F202" s="148" t="str">
        <f>Originals!F272</f>
        <v>Runtime</v>
      </c>
      <c r="G202" s="148" t="str">
        <f>Originals!G272</f>
        <v>NI</v>
      </c>
      <c r="H202" s="148" t="str">
        <f>Originals!H272</f>
        <v>NI PXI Platform Services 19.5.0f0</v>
      </c>
      <c r="I202" s="148">
        <f>Originals!I272</f>
        <v>0</v>
      </c>
    </row>
    <row r="203" spans="1:10" hidden="1" x14ac:dyDescent="0.25">
      <c r="A203" s="149" t="str">
        <f>Scott!A99</f>
        <v>3-Scott</v>
      </c>
      <c r="B203" s="149" t="str">
        <f>Scott!B99</f>
        <v>NI PXI Platform Services</v>
      </c>
      <c r="C203" s="149" t="str">
        <f>Scott!C99</f>
        <v>15.0.0f1</v>
      </c>
      <c r="D203" s="149">
        <f>Scott!D99</f>
        <v>32</v>
      </c>
      <c r="E203" s="149">
        <f>Scott!E99</f>
        <v>2015</v>
      </c>
      <c r="F203" s="149" t="str">
        <f>Scott!F99</f>
        <v>Runtime</v>
      </c>
      <c r="G203" s="149" t="str">
        <f>Scott!G99</f>
        <v>NI</v>
      </c>
      <c r="H203" s="149" t="str">
        <f>Scott!H99</f>
        <v>NI PXI Platform Services 15.0.0f1</v>
      </c>
      <c r="I203" s="149" t="str">
        <f>Scott!I99</f>
        <v>NI Developer Suite 2015 DS2 Install</v>
      </c>
    </row>
    <row r="204" spans="1:10" x14ac:dyDescent="0.25">
      <c r="A204" s="148" t="str">
        <f>Originals!A273</f>
        <v>4-Vinnie</v>
      </c>
      <c r="B204" s="148" t="str">
        <f>Originals!B273</f>
        <v>NI PXI Platform Services Configuration</v>
      </c>
      <c r="C204" s="148" t="str">
        <f>Originals!C273</f>
        <v>18.5.0f2</v>
      </c>
      <c r="D204" s="148" t="str">
        <f>Originals!D273</f>
        <v>32</v>
      </c>
      <c r="E204" s="148" t="str">
        <f>Originals!E273</f>
        <v>2018</v>
      </c>
      <c r="F204" s="148" t="str">
        <f>Originals!F273</f>
        <v>Development</v>
      </c>
      <c r="G204" s="148" t="str">
        <f>Originals!G273</f>
        <v>NI</v>
      </c>
      <c r="H204" s="148" t="str">
        <f>Originals!H273</f>
        <v>NI PXI Platform Services Configuration 18.5.0f2</v>
      </c>
      <c r="I204" s="148">
        <f>Originals!I273</f>
        <v>0</v>
      </c>
      <c r="J204" s="202" t="s">
        <v>555</v>
      </c>
    </row>
    <row r="205" spans="1:10" x14ac:dyDescent="0.25">
      <c r="A205" s="149" t="str">
        <f>Scott!A100</f>
        <v>3-Scott</v>
      </c>
      <c r="B205" s="149" t="str">
        <f>Scott!B100</f>
        <v>NI PXI Platform Services Configuration</v>
      </c>
      <c r="C205" s="149" t="str">
        <f>Scott!C100</f>
        <v>18.0.0f0</v>
      </c>
      <c r="D205" s="149" t="str">
        <f>Scott!D100</f>
        <v>32</v>
      </c>
      <c r="E205" s="149" t="str">
        <f>Scott!E100</f>
        <v>2018</v>
      </c>
      <c r="F205" s="149" t="str">
        <f>Scott!F100</f>
        <v>Development</v>
      </c>
      <c r="G205" s="149" t="str">
        <f>Scott!G100</f>
        <v>NI</v>
      </c>
      <c r="H205" s="149" t="str">
        <f>Scott!H100</f>
        <v>NI PXI Platform Services Configuration 18.0.0f0</v>
      </c>
      <c r="I205" s="149" t="str">
        <f>Scott!I100</f>
        <v>CompactRIO 18.1.0</v>
      </c>
      <c r="J205" s="202" t="s">
        <v>555</v>
      </c>
    </row>
    <row r="206" spans="1:10" x14ac:dyDescent="0.25">
      <c r="A206" s="148" t="str">
        <f>Originals!A274</f>
        <v>4-Vinnie</v>
      </c>
      <c r="B206" s="148" t="str">
        <f>Originals!B274</f>
        <v>NI R Series Multifunction RIO</v>
      </c>
      <c r="C206" s="148" t="str">
        <f>Originals!C274</f>
        <v>15.5.0</v>
      </c>
      <c r="D206" s="148" t="str">
        <f>Originals!D274</f>
        <v>32</v>
      </c>
      <c r="E206" s="148">
        <f>Originals!E274</f>
        <v>2015</v>
      </c>
      <c r="F206" s="148" t="str">
        <f>Originals!F274</f>
        <v>Development</v>
      </c>
      <c r="G206" s="148" t="str">
        <f>Originals!G274</f>
        <v>NI</v>
      </c>
      <c r="H206" s="148" t="str">
        <f>Originals!H274</f>
        <v>NI R Series Multifunction RIO 15.5.0</v>
      </c>
      <c r="I206" s="148">
        <f>Originals!I274</f>
        <v>0</v>
      </c>
      <c r="J206" s="202" t="s">
        <v>555</v>
      </c>
    </row>
    <row r="207" spans="1:10" x14ac:dyDescent="0.25">
      <c r="A207" s="149" t="str">
        <f>Scott!A101</f>
        <v>3-Scott</v>
      </c>
      <c r="B207" s="149" t="str">
        <f>Scott!B101</f>
        <v>NI R Series Multifunction RIO</v>
      </c>
      <c r="C207" s="149" t="str">
        <f>Scott!C101</f>
        <v>15.0.0</v>
      </c>
      <c r="D207" s="149">
        <f>Scott!D101</f>
        <v>32</v>
      </c>
      <c r="E207" s="149">
        <f>Scott!E101</f>
        <v>2015</v>
      </c>
      <c r="F207" s="149" t="str">
        <f>Scott!F101</f>
        <v>Development</v>
      </c>
      <c r="G207" s="149" t="str">
        <f>Scott!G101</f>
        <v>NI</v>
      </c>
      <c r="H207" s="149" t="str">
        <f>Scott!H101</f>
        <v>NI R Series Multifunction RIO 15.0.0</v>
      </c>
      <c r="I207" s="149" t="str">
        <f>Scott!I101</f>
        <v>NI Developer Suite 2015 DS2 Install</v>
      </c>
      <c r="J207" s="202" t="s">
        <v>555</v>
      </c>
    </row>
    <row r="208" spans="1:10" hidden="1" x14ac:dyDescent="0.25">
      <c r="A208" s="148" t="str">
        <f>Originals!A275</f>
        <v>4-Vinnie</v>
      </c>
      <c r="B208" s="148" t="str">
        <f>Originals!B275</f>
        <v>NI Scan Engine</v>
      </c>
      <c r="C208" s="148" t="str">
        <f>Originals!C275</f>
        <v>4.4</v>
      </c>
      <c r="D208" s="148" t="str">
        <f>Originals!D275</f>
        <v>32</v>
      </c>
      <c r="E208" s="148" t="str">
        <f>Originals!E275</f>
        <v>N/A</v>
      </c>
      <c r="F208" s="148" t="str">
        <f>Originals!F275</f>
        <v>C-RIO</v>
      </c>
      <c r="G208" s="148" t="str">
        <f>Originals!G275</f>
        <v>NI</v>
      </c>
      <c r="H208" s="148" t="str">
        <f>Originals!H275</f>
        <v>NI Scan Engine 4.4</v>
      </c>
      <c r="I208" s="148">
        <f>Originals!I275</f>
        <v>0</v>
      </c>
    </row>
    <row r="209" spans="1:10" hidden="1" x14ac:dyDescent="0.25">
      <c r="A209" s="149" t="str">
        <f>Scott!A102</f>
        <v>3-Scott</v>
      </c>
      <c r="B209" s="149" t="str">
        <f>Scott!B102</f>
        <v>NI Script Editor</v>
      </c>
      <c r="C209" s="149" t="str">
        <f>Scott!C102</f>
        <v>14.0</v>
      </c>
      <c r="D209" s="149">
        <f>Scott!D102</f>
        <v>32</v>
      </c>
      <c r="E209" s="149">
        <f>Scott!E102</f>
        <v>2014</v>
      </c>
      <c r="F209" s="149" t="str">
        <f>Scott!F102</f>
        <v>Development</v>
      </c>
      <c r="G209" s="149" t="str">
        <f>Scott!G102</f>
        <v>NI</v>
      </c>
      <c r="H209" s="149" t="str">
        <f>Scott!H102</f>
        <v>NI Script Editor 14.0</v>
      </c>
      <c r="I209" s="149" t="str">
        <f>Scott!I102</f>
        <v>NI Developer Suite 2015 DS2 Install</v>
      </c>
      <c r="J209" s="195" t="s">
        <v>550</v>
      </c>
    </row>
    <row r="210" spans="1:10" hidden="1" x14ac:dyDescent="0.25">
      <c r="A210" s="148" t="str">
        <f>Originals!A276</f>
        <v>4-Vinnie</v>
      </c>
      <c r="B210" s="148" t="str">
        <f>Originals!B276</f>
        <v>NI Serial 9870 and 9871 Scan Enginer Support</v>
      </c>
      <c r="C210" s="148">
        <f>Originals!C276</f>
        <v>0</v>
      </c>
      <c r="D210" s="148" t="str">
        <f>Originals!D276</f>
        <v>32</v>
      </c>
      <c r="E210" s="148" t="str">
        <f>Originals!E276</f>
        <v>N/A</v>
      </c>
      <c r="F210" s="148" t="str">
        <f>Originals!F276</f>
        <v>C-RIO</v>
      </c>
      <c r="G210" s="148" t="str">
        <f>Originals!G276</f>
        <v>NI</v>
      </c>
      <c r="H210" s="148" t="str">
        <f>Originals!H276</f>
        <v xml:space="preserve">NI Serial 9870 and 9871 Scan Enginer Support </v>
      </c>
      <c r="I210" s="148">
        <f>Originals!I276</f>
        <v>0</v>
      </c>
    </row>
    <row r="211" spans="1:10" hidden="1" x14ac:dyDescent="0.25">
      <c r="A211" s="149" t="str">
        <f>Scott!A103</f>
        <v>3-Scott</v>
      </c>
      <c r="B211" s="149" t="str">
        <f>Scott!B103</f>
        <v>NI SignalExpress</v>
      </c>
      <c r="C211" s="149" t="str">
        <f>Scott!C103</f>
        <v>15.0</v>
      </c>
      <c r="D211" s="149">
        <f>Scott!D103</f>
        <v>32</v>
      </c>
      <c r="E211" s="149">
        <f>Scott!E103</f>
        <v>2015</v>
      </c>
      <c r="F211" s="149" t="str">
        <f>Scott!F103</f>
        <v>Development</v>
      </c>
      <c r="G211" s="149" t="str">
        <f>Scott!G103</f>
        <v>NI</v>
      </c>
      <c r="H211" s="149" t="str">
        <f>Scott!H103</f>
        <v>NI SignalExpress 15.0</v>
      </c>
      <c r="I211" s="149" t="str">
        <f>Scott!I103</f>
        <v>NI Developer Suite 2015 DS2 Install</v>
      </c>
      <c r="J211" s="195" t="s">
        <v>550</v>
      </c>
    </row>
    <row r="212" spans="1:10" hidden="1" x14ac:dyDescent="0.25">
      <c r="A212" s="148" t="str">
        <f>Originals!A277</f>
        <v>4-Vinnie</v>
      </c>
      <c r="B212" s="148" t="str">
        <f>Originals!B277</f>
        <v>NI String Tools Library</v>
      </c>
      <c r="C212" s="148" t="str">
        <f>Originals!C277</f>
        <v>2.0.0.5</v>
      </c>
      <c r="D212" s="148" t="str">
        <f>Originals!D277</f>
        <v>32</v>
      </c>
      <c r="E212" s="148" t="str">
        <f>Originals!E277</f>
        <v>N/A</v>
      </c>
      <c r="F212" s="148" t="str">
        <f>Originals!F277</f>
        <v>Development</v>
      </c>
      <c r="G212" s="148" t="str">
        <f>Originals!G277</f>
        <v>NI</v>
      </c>
      <c r="H212" s="148" t="str">
        <f>Originals!H277</f>
        <v>NI String Tools Library 2.0.0.5</v>
      </c>
      <c r="I212" s="148" t="str">
        <f>Originals!I277</f>
        <v>VIPM Community</v>
      </c>
      <c r="J212" s="195" t="s">
        <v>550</v>
      </c>
    </row>
    <row r="213" spans="1:10" hidden="1" x14ac:dyDescent="0.25">
      <c r="A213" s="149" t="str">
        <f>Scott!A98</f>
        <v>3-Scott</v>
      </c>
      <c r="B213" s="149" t="str">
        <f>Scott!B98</f>
        <v>NI String Tools Library</v>
      </c>
      <c r="C213" s="149" t="str">
        <f>Scott!C98</f>
        <v>2.0.0.5</v>
      </c>
      <c r="D213" s="149" t="str">
        <f>Scott!D98</f>
        <v>32</v>
      </c>
      <c r="E213" s="149" t="str">
        <f>Scott!E98</f>
        <v>N/A</v>
      </c>
      <c r="F213" s="149" t="str">
        <f>Scott!F98</f>
        <v>Development</v>
      </c>
      <c r="G213" s="149" t="str">
        <f>Scott!G98</f>
        <v>NI</v>
      </c>
      <c r="H213" s="149" t="str">
        <f>Scott!H98</f>
        <v>NI String Tools Library 2.0.0.5</v>
      </c>
      <c r="I213" s="149" t="str">
        <f>Scott!I98</f>
        <v>VIPM Community</v>
      </c>
      <c r="J213" s="195" t="s">
        <v>550</v>
      </c>
    </row>
    <row r="214" spans="1:10" x14ac:dyDescent="0.25">
      <c r="A214" s="148" t="str">
        <f>Originals!A278</f>
        <v>4-Vinnie</v>
      </c>
      <c r="B214" s="148" t="str">
        <f>Originals!B278</f>
        <v>NI System Configuration</v>
      </c>
      <c r="C214" s="148" t="str">
        <f>Originals!C278</f>
        <v>19.5.0f0</v>
      </c>
      <c r="D214" s="148" t="str">
        <f>Originals!D278</f>
        <v>32</v>
      </c>
      <c r="E214" s="148" t="str">
        <f>Originals!E278</f>
        <v>2019</v>
      </c>
      <c r="F214" s="148" t="str">
        <f>Originals!F278</f>
        <v>Development</v>
      </c>
      <c r="G214" s="148" t="str">
        <f>Originals!G278</f>
        <v>NI</v>
      </c>
      <c r="H214" s="148" t="str">
        <f>Originals!H278</f>
        <v>NI System Configuration 19.5.0f0</v>
      </c>
      <c r="I214" s="148">
        <f>Originals!I278</f>
        <v>0</v>
      </c>
      <c r="J214" s="202" t="s">
        <v>555</v>
      </c>
    </row>
    <row r="215" spans="1:10" x14ac:dyDescent="0.25">
      <c r="A215" s="149" t="str">
        <f>Scott!A104</f>
        <v>3-Scott</v>
      </c>
      <c r="B215" s="149" t="str">
        <f>Scott!B104</f>
        <v>NI System Configuration</v>
      </c>
      <c r="C215" s="149" t="str">
        <f>Scott!C104</f>
        <v>19.0.0f0</v>
      </c>
      <c r="D215" s="149">
        <f>Scott!D104</f>
        <v>32</v>
      </c>
      <c r="E215" s="149">
        <f>Scott!E104</f>
        <v>2019</v>
      </c>
      <c r="F215" s="149" t="str">
        <f>Scott!F104</f>
        <v>Development</v>
      </c>
      <c r="G215" s="149" t="str">
        <f>Scott!G104</f>
        <v>NI</v>
      </c>
      <c r="H215" s="149" t="str">
        <f>Scott!H104</f>
        <v>NI System Configuration 19.0.0f0</v>
      </c>
      <c r="I215" s="149" t="str">
        <f>Scott!I104</f>
        <v>LabVIEW 2019</v>
      </c>
      <c r="J215" s="202" t="s">
        <v>555</v>
      </c>
    </row>
    <row r="216" spans="1:10" hidden="1" x14ac:dyDescent="0.25">
      <c r="A216" s="148" t="str">
        <f>Originals!A279</f>
        <v>4-Vinnie</v>
      </c>
      <c r="B216" s="148" t="str">
        <f>Originals!B279</f>
        <v>NI System Configuration Remote Support</v>
      </c>
      <c r="C216" s="148">
        <f>Originals!C279</f>
        <v>0</v>
      </c>
      <c r="D216" s="148" t="str">
        <f>Originals!D279</f>
        <v>32</v>
      </c>
      <c r="E216" s="148" t="str">
        <f>Originals!E279</f>
        <v>N/A</v>
      </c>
      <c r="F216" s="148" t="str">
        <f>Originals!F279</f>
        <v>C-RIO</v>
      </c>
      <c r="G216" s="148" t="str">
        <f>Originals!G279</f>
        <v>NI</v>
      </c>
      <c r="H216" s="148" t="str">
        <f>Originals!H279</f>
        <v xml:space="preserve">NI System Configuration Remote Support </v>
      </c>
      <c r="I216" s="148">
        <f>Originals!I279</f>
        <v>0</v>
      </c>
    </row>
    <row r="217" spans="1:10" hidden="1" x14ac:dyDescent="0.25">
      <c r="A217" s="148" t="str">
        <f>Originals!A280</f>
        <v>4-Vinnie</v>
      </c>
      <c r="B217" s="148" t="str">
        <f>Originals!B280</f>
        <v>NI Systems Configuration</v>
      </c>
      <c r="C217" s="148" t="str">
        <f>Originals!C280</f>
        <v>15.3.0</v>
      </c>
      <c r="D217" s="148" t="str">
        <f>Originals!D280</f>
        <v>32</v>
      </c>
      <c r="E217" s="148" t="str">
        <f>Originals!E280</f>
        <v>2015</v>
      </c>
      <c r="F217" s="148" t="str">
        <f>Originals!F280</f>
        <v>C-RIO</v>
      </c>
      <c r="G217" s="148" t="str">
        <f>Originals!G280</f>
        <v>NI</v>
      </c>
      <c r="H217" s="148" t="str">
        <f>Originals!H280</f>
        <v>NI Systems Configuration 15.3.0</v>
      </c>
      <c r="I217" s="148">
        <f>Originals!I280</f>
        <v>0</v>
      </c>
    </row>
    <row r="218" spans="1:10" hidden="1" x14ac:dyDescent="0.25">
      <c r="A218" s="148" t="str">
        <f>Originals!A281</f>
        <v>4-Vinnie</v>
      </c>
      <c r="B218" s="148" t="str">
        <f>Originals!B281</f>
        <v>NI Web-based Configuration and Monitoring</v>
      </c>
      <c r="C218" s="148">
        <f>Originals!C281</f>
        <v>0</v>
      </c>
      <c r="D218" s="148" t="str">
        <f>Originals!D281</f>
        <v>32</v>
      </c>
      <c r="E218" s="148" t="str">
        <f>Originals!E281</f>
        <v>N/A</v>
      </c>
      <c r="F218" s="148" t="str">
        <f>Originals!F281</f>
        <v>C-RIO</v>
      </c>
      <c r="G218" s="148" t="str">
        <f>Originals!G281</f>
        <v>NI</v>
      </c>
      <c r="H218" s="148" t="str">
        <f>Originals!H281</f>
        <v xml:space="preserve">NI Web-based Configuration and Monitoring </v>
      </c>
      <c r="I218" s="148">
        <f>Originals!I281</f>
        <v>0</v>
      </c>
    </row>
    <row r="219" spans="1:10" hidden="1" x14ac:dyDescent="0.25">
      <c r="A219" s="148" t="str">
        <f>Originals!A282</f>
        <v>4-Vinnie</v>
      </c>
      <c r="B219" s="148" t="str">
        <f>Originals!B282</f>
        <v>NI Wireless Certificate Web Services</v>
      </c>
      <c r="C219" s="148" t="str">
        <f>Originals!C282</f>
        <v>15.0.0</v>
      </c>
      <c r="D219" s="148" t="str">
        <f>Originals!D282</f>
        <v>32</v>
      </c>
      <c r="E219" s="148" t="str">
        <f>Originals!E282</f>
        <v>2015</v>
      </c>
      <c r="F219" s="148" t="str">
        <f>Originals!F282</f>
        <v>C-RIO</v>
      </c>
      <c r="G219" s="148" t="str">
        <f>Originals!G282</f>
        <v>NI</v>
      </c>
      <c r="H219" s="148" t="str">
        <f>Originals!H282</f>
        <v>NI Wireless Certificate Web Services 15.0.0</v>
      </c>
      <c r="I219" s="148">
        <f>Originals!I282</f>
        <v>0</v>
      </c>
    </row>
    <row r="220" spans="1:10" x14ac:dyDescent="0.25">
      <c r="A220" s="148" t="str">
        <f>Originals!A283</f>
        <v>4-Vinnie</v>
      </c>
      <c r="B220" s="148" t="str">
        <f>Originals!B283</f>
        <v>NI-488.2</v>
      </c>
      <c r="C220" s="148" t="str">
        <f>Originals!C283</f>
        <v>15.5.0</v>
      </c>
      <c r="D220" s="148" t="str">
        <f>Originals!D283</f>
        <v>32</v>
      </c>
      <c r="E220" s="148" t="str">
        <f>Originals!E283</f>
        <v>2019</v>
      </c>
      <c r="F220" s="148" t="str">
        <f>Originals!F283</f>
        <v>Development</v>
      </c>
      <c r="G220" s="148" t="str">
        <f>Originals!G283</f>
        <v>NI</v>
      </c>
      <c r="H220" s="148" t="str">
        <f>Originals!H283</f>
        <v>NI-488.2 15.5.0</v>
      </c>
      <c r="I220" s="148">
        <f>Originals!I283</f>
        <v>0</v>
      </c>
      <c r="J220" s="202" t="s">
        <v>555</v>
      </c>
    </row>
    <row r="221" spans="1:10" hidden="1" x14ac:dyDescent="0.25">
      <c r="A221" s="148" t="str">
        <f>Originals!A284</f>
        <v>4-Vinnie</v>
      </c>
      <c r="B221" s="148" t="str">
        <f>Originals!B284</f>
        <v>NI-488.2</v>
      </c>
      <c r="C221" s="148" t="str">
        <f>Originals!C284</f>
        <v>19.5.0</v>
      </c>
      <c r="D221" s="148" t="str">
        <f>Originals!D284</f>
        <v>32</v>
      </c>
      <c r="E221" s="148" t="str">
        <f>Originals!E284</f>
        <v>2019</v>
      </c>
      <c r="F221" s="148" t="str">
        <f>Originals!F284</f>
        <v>Runtime</v>
      </c>
      <c r="G221" s="148" t="str">
        <f>Originals!G284</f>
        <v>NI</v>
      </c>
      <c r="H221" s="148" t="str">
        <f>Originals!H284</f>
        <v>NI-488.2 19.5.0</v>
      </c>
      <c r="I221" s="148">
        <f>Originals!I284</f>
        <v>0</v>
      </c>
      <c r="J221" s="202" t="s">
        <v>555</v>
      </c>
    </row>
    <row r="222" spans="1:10" hidden="1" x14ac:dyDescent="0.25">
      <c r="A222" s="149" t="str">
        <f>Scott!A105</f>
        <v>3-Scott</v>
      </c>
      <c r="B222" s="149" t="str">
        <f>Scott!B105</f>
        <v>NI-488.2</v>
      </c>
      <c r="C222" s="149" t="str">
        <f>Scott!C105</f>
        <v>19.0.0</v>
      </c>
      <c r="D222" s="149">
        <f>Scott!D105</f>
        <v>32</v>
      </c>
      <c r="E222" s="149">
        <f>Scott!E105</f>
        <v>2019</v>
      </c>
      <c r="F222" s="149" t="str">
        <f>Scott!F105</f>
        <v>Runtime</v>
      </c>
      <c r="G222" s="149" t="str">
        <f>Scott!G105</f>
        <v>NI</v>
      </c>
      <c r="H222" s="149" t="str">
        <f>Scott!H105</f>
        <v>NI-488.2 19.0.0</v>
      </c>
      <c r="I222" s="149" t="str">
        <f>Scott!I105</f>
        <v>LabVIEW 2019</v>
      </c>
    </row>
    <row r="223" spans="1:10" x14ac:dyDescent="0.25">
      <c r="A223" s="149" t="str">
        <f>Scott!A106</f>
        <v>3-Scott</v>
      </c>
      <c r="B223" s="149" t="str">
        <f>Scott!B106</f>
        <v>NI-488.2</v>
      </c>
      <c r="C223" s="149" t="str">
        <f>Scott!C106</f>
        <v>15.0.0</v>
      </c>
      <c r="D223" s="149">
        <f>Scott!D106</f>
        <v>32</v>
      </c>
      <c r="E223" s="149">
        <f>Scott!E106</f>
        <v>2015</v>
      </c>
      <c r="F223" s="149" t="str">
        <f>Scott!F106</f>
        <v>Development</v>
      </c>
      <c r="G223" s="149" t="str">
        <f>Scott!G106</f>
        <v>NI</v>
      </c>
      <c r="H223" s="149" t="str">
        <f>Scott!H106</f>
        <v>NI-488.2 15.0.0</v>
      </c>
      <c r="I223" s="149" t="str">
        <f>Scott!I106</f>
        <v>NI Developer Suite 2015 DS2 Install</v>
      </c>
      <c r="J223" s="202" t="s">
        <v>555</v>
      </c>
    </row>
    <row r="224" spans="1:10" x14ac:dyDescent="0.25">
      <c r="A224" s="148" t="str">
        <f>Originals!A285</f>
        <v>4-Vinnie</v>
      </c>
      <c r="B224" s="148" t="str">
        <f>Originals!B285</f>
        <v>NI-CAN</v>
      </c>
      <c r="C224" s="148" t="str">
        <f>Originals!C285</f>
        <v>15.0.0f0</v>
      </c>
      <c r="D224" s="148" t="str">
        <f>Originals!D285</f>
        <v>32</v>
      </c>
      <c r="E224" s="148">
        <f>Originals!E285</f>
        <v>2015</v>
      </c>
      <c r="F224" s="148" t="str">
        <f>Originals!F285</f>
        <v>Development</v>
      </c>
      <c r="G224" s="148" t="str">
        <f>Originals!G285</f>
        <v>NI</v>
      </c>
      <c r="H224" s="148" t="str">
        <f>Originals!H285</f>
        <v>NI-CAN 15.0.0f0</v>
      </c>
      <c r="I224" s="148">
        <f>Originals!I285</f>
        <v>0</v>
      </c>
      <c r="J224" s="202" t="s">
        <v>555</v>
      </c>
    </row>
    <row r="225" spans="1:10" hidden="1" x14ac:dyDescent="0.25">
      <c r="A225" s="149" t="str">
        <f>Scott!A107</f>
        <v>3-Scott</v>
      </c>
      <c r="B225" s="149" t="str">
        <f>Scott!B107</f>
        <v>NI-CAN</v>
      </c>
      <c r="C225" s="149" t="str">
        <f>Scott!C107</f>
        <v>15.0.0f0</v>
      </c>
      <c r="D225" s="149" t="str">
        <f>Scott!D107</f>
        <v>32</v>
      </c>
      <c r="E225" s="149">
        <f>Scott!E107</f>
        <v>2015</v>
      </c>
      <c r="F225" s="149" t="str">
        <f>Scott!F107</f>
        <v>Development</v>
      </c>
      <c r="G225" s="149" t="str">
        <f>Scott!G107</f>
        <v>NI</v>
      </c>
      <c r="H225" s="149" t="str">
        <f>Scott!H107</f>
        <v>NI-CAN 15.0.0f0</v>
      </c>
      <c r="I225" s="149" t="str">
        <f>Scott!I107</f>
        <v>NI CAN 15.0</v>
      </c>
      <c r="J225" s="195" t="s">
        <v>550</v>
      </c>
    </row>
    <row r="226" spans="1:10" x14ac:dyDescent="0.25">
      <c r="A226" s="148" t="str">
        <f>Originals!A286</f>
        <v>4-Vinnie</v>
      </c>
      <c r="B226" s="148" t="str">
        <f>Originals!B286</f>
        <v>NI-DAQmx ADE Support</v>
      </c>
      <c r="C226" s="148" t="str">
        <f>Originals!C286</f>
        <v>18.5.0</v>
      </c>
      <c r="D226" s="148" t="str">
        <f>Originals!D286</f>
        <v>32</v>
      </c>
      <c r="E226" s="148" t="str">
        <f>Originals!E286</f>
        <v>2018</v>
      </c>
      <c r="F226" s="148" t="str">
        <f>Originals!F286</f>
        <v>Development</v>
      </c>
      <c r="G226" s="148" t="str">
        <f>Originals!G286</f>
        <v>NI</v>
      </c>
      <c r="H226" s="148" t="str">
        <f>Originals!H286</f>
        <v>NI-DAQmx ADE Support 18.5.0</v>
      </c>
      <c r="I226" s="148">
        <f>Originals!I286</f>
        <v>0</v>
      </c>
      <c r="J226" s="202" t="s">
        <v>555</v>
      </c>
    </row>
    <row r="227" spans="1:10" x14ac:dyDescent="0.25">
      <c r="A227" s="149" t="str">
        <f>Scott!A108</f>
        <v>3-Scott</v>
      </c>
      <c r="B227" s="149" t="str">
        <f>Scott!B108</f>
        <v>NI-DAQmx ADE Support</v>
      </c>
      <c r="C227" s="149" t="str">
        <f>Scott!C108</f>
        <v>18.1.0</v>
      </c>
      <c r="D227" s="149" t="str">
        <f>Scott!D108</f>
        <v>32</v>
      </c>
      <c r="E227" s="149" t="str">
        <f>Scott!E108</f>
        <v>2018</v>
      </c>
      <c r="F227" s="149" t="str">
        <f>Scott!F108</f>
        <v>Development</v>
      </c>
      <c r="G227" s="149" t="str">
        <f>Scott!G108</f>
        <v>NI</v>
      </c>
      <c r="H227" s="149" t="str">
        <f>Scott!H108</f>
        <v>NI-DAQmx ADE Support 18.1.0</v>
      </c>
      <c r="I227" s="149" t="str">
        <f>Scott!I108</f>
        <v>CompactRIO 18.1.0</v>
      </c>
      <c r="J227" s="202" t="s">
        <v>555</v>
      </c>
    </row>
    <row r="228" spans="1:10" x14ac:dyDescent="0.25">
      <c r="A228" s="148" t="str">
        <f>Originals!A287</f>
        <v>4-Vinnie</v>
      </c>
      <c r="B228" s="148" t="str">
        <f>Originals!B287</f>
        <v>NI-DAQmx Device Driver</v>
      </c>
      <c r="C228" s="148" t="str">
        <f>Originals!C287</f>
        <v>19.5.0f0</v>
      </c>
      <c r="D228" s="148" t="str">
        <f>Originals!D287</f>
        <v>32</v>
      </c>
      <c r="E228" s="148" t="str">
        <f>Originals!E287</f>
        <v>2019</v>
      </c>
      <c r="F228" s="148" t="str">
        <f>Originals!F287</f>
        <v>Development</v>
      </c>
      <c r="G228" s="148" t="str">
        <f>Originals!G287</f>
        <v>NI</v>
      </c>
      <c r="H228" s="148" t="str">
        <f>Originals!H287</f>
        <v>NI-DAQmx Device Driver 19.5.0f0</v>
      </c>
      <c r="I228" s="148">
        <f>Originals!I287</f>
        <v>0</v>
      </c>
      <c r="J228" s="202" t="s">
        <v>555</v>
      </c>
    </row>
    <row r="229" spans="1:10" x14ac:dyDescent="0.25">
      <c r="A229" s="149" t="str">
        <f>Scott!A109</f>
        <v>3-Scott</v>
      </c>
      <c r="B229" s="149" t="str">
        <f>Scott!B109</f>
        <v>NI-DAQmx Device Driver</v>
      </c>
      <c r="C229" s="149" t="str">
        <f>Scott!C109</f>
        <v>19.0.0.f1</v>
      </c>
      <c r="D229" s="149">
        <f>Scott!D109</f>
        <v>32</v>
      </c>
      <c r="E229" s="149">
        <f>Scott!E109</f>
        <v>2019</v>
      </c>
      <c r="F229" s="149" t="str">
        <f>Scott!F109</f>
        <v>Development</v>
      </c>
      <c r="G229" s="149" t="str">
        <f>Scott!G109</f>
        <v>NI</v>
      </c>
      <c r="H229" s="149" t="str">
        <f>Scott!H109</f>
        <v>NI-DAQmx Device Driver 19.0.0.f1</v>
      </c>
      <c r="I229" s="149" t="str">
        <f>Scott!I109</f>
        <v>LabVIEW 2019</v>
      </c>
      <c r="J229" s="202" t="s">
        <v>555</v>
      </c>
    </row>
    <row r="230" spans="1:10" x14ac:dyDescent="0.25">
      <c r="A230" s="148" t="str">
        <f>Originals!A288</f>
        <v>4-Vinnie</v>
      </c>
      <c r="B230" s="148" t="str">
        <f>Originals!B288</f>
        <v>NI-DAQmx MAX Configuration</v>
      </c>
      <c r="C230" s="148" t="str">
        <f>Originals!C288</f>
        <v>18.5.0</v>
      </c>
      <c r="D230" s="148" t="str">
        <f>Originals!D288</f>
        <v>32</v>
      </c>
      <c r="E230" s="148" t="str">
        <f>Originals!E288</f>
        <v>2018</v>
      </c>
      <c r="F230" s="148" t="str">
        <f>Originals!F288</f>
        <v>Development</v>
      </c>
      <c r="G230" s="148" t="str">
        <f>Originals!G288</f>
        <v>NI</v>
      </c>
      <c r="H230" s="148" t="str">
        <f>Originals!H288</f>
        <v>NI-DAQmx MAX Configuration 18.5.0</v>
      </c>
      <c r="I230" s="148">
        <f>Originals!I288</f>
        <v>0</v>
      </c>
      <c r="J230" s="202" t="s">
        <v>555</v>
      </c>
    </row>
    <row r="231" spans="1:10" x14ac:dyDescent="0.25">
      <c r="A231" s="149" t="str">
        <f>Scott!A110</f>
        <v>3-Scott</v>
      </c>
      <c r="B231" s="149" t="str">
        <f>Scott!B110</f>
        <v>NI-DAQmx MAX Configuration</v>
      </c>
      <c r="C231" s="149" t="str">
        <f>Scott!C110</f>
        <v>18.1.0</v>
      </c>
      <c r="D231" s="149" t="str">
        <f>Scott!D110</f>
        <v>32</v>
      </c>
      <c r="E231" s="149" t="str">
        <f>Scott!E110</f>
        <v>2018</v>
      </c>
      <c r="F231" s="149" t="str">
        <f>Scott!F110</f>
        <v>Development</v>
      </c>
      <c r="G231" s="149" t="str">
        <f>Scott!G110</f>
        <v>NI</v>
      </c>
      <c r="H231" s="149" t="str">
        <f>Scott!H110</f>
        <v>NI-DAQmx MAX Configuration 18.1.0</v>
      </c>
      <c r="I231" s="149" t="str">
        <f>Scott!I110</f>
        <v>CompactRIO 18.1.0</v>
      </c>
      <c r="J231" s="202" t="s">
        <v>555</v>
      </c>
    </row>
    <row r="232" spans="1:10" hidden="1" x14ac:dyDescent="0.25">
      <c r="A232" s="149" t="str">
        <f>Scott!A111</f>
        <v>3-Scott</v>
      </c>
      <c r="B232" s="149" t="str">
        <f>Scott!B111</f>
        <v>NI-DCPower</v>
      </c>
      <c r="C232" s="149">
        <f>Scott!C111</f>
        <v>0</v>
      </c>
      <c r="D232" s="149">
        <f>Scott!D111</f>
        <v>32</v>
      </c>
      <c r="E232" s="149">
        <f>Scott!E111</f>
        <v>2015</v>
      </c>
      <c r="F232" s="149" t="str">
        <f>Scott!F111</f>
        <v>Development</v>
      </c>
      <c r="G232" s="149" t="str">
        <f>Scott!G111</f>
        <v>NI</v>
      </c>
      <c r="H232" s="149" t="str">
        <f>Scott!H111</f>
        <v xml:space="preserve">NI-DCPower </v>
      </c>
      <c r="I232" s="149" t="str">
        <f>Scott!I111</f>
        <v>NI Developer Suite 2015 DS2 Install</v>
      </c>
      <c r="J232" s="195" t="s">
        <v>550</v>
      </c>
    </row>
    <row r="233" spans="1:10" hidden="1" x14ac:dyDescent="0.25">
      <c r="A233" s="149" t="str">
        <f>Scott!A112</f>
        <v>3-Scott</v>
      </c>
      <c r="B233" s="149" t="str">
        <f>Scott!B112</f>
        <v>NI-DCPower</v>
      </c>
      <c r="C233" s="149" t="str">
        <f>Scott!C112</f>
        <v>15.0</v>
      </c>
      <c r="D233" s="149">
        <f>Scott!D112</f>
        <v>32</v>
      </c>
      <c r="E233" s="149">
        <f>Scott!E112</f>
        <v>2015</v>
      </c>
      <c r="F233" s="149" t="str">
        <f>Scott!F112</f>
        <v>Runtime</v>
      </c>
      <c r="G233" s="149" t="str">
        <f>Scott!G112</f>
        <v>NI</v>
      </c>
      <c r="H233" s="149" t="str">
        <f>Scott!H112</f>
        <v>NI-DCPower 15.0</v>
      </c>
      <c r="I233" s="149" t="str">
        <f>Scott!I112</f>
        <v>NI Developer Suite 2015 DS2 Install</v>
      </c>
    </row>
    <row r="234" spans="1:10" hidden="1" x14ac:dyDescent="0.25">
      <c r="A234" s="149" t="str">
        <f>Scott!A113</f>
        <v>3-Scott</v>
      </c>
      <c r="B234" s="149" t="str">
        <f>Scott!B113</f>
        <v>NI-DCPower Configuration Support</v>
      </c>
      <c r="C234" s="149" t="str">
        <f>Scott!C113</f>
        <v>15.0</v>
      </c>
      <c r="D234" s="149">
        <f>Scott!D113</f>
        <v>32</v>
      </c>
      <c r="E234" s="149">
        <f>Scott!E113</f>
        <v>2015</v>
      </c>
      <c r="F234" s="149" t="str">
        <f>Scott!F113</f>
        <v>Development</v>
      </c>
      <c r="G234" s="149" t="str">
        <f>Scott!G113</f>
        <v>NI</v>
      </c>
      <c r="H234" s="149" t="str">
        <f>Scott!H113</f>
        <v>NI-DCPower Configuration Support 15.0</v>
      </c>
      <c r="I234" s="149" t="str">
        <f>Scott!I113</f>
        <v>NI Developer Suite 2015 DS2 Install</v>
      </c>
      <c r="J234" s="195" t="s">
        <v>550</v>
      </c>
    </row>
    <row r="235" spans="1:10" hidden="1" x14ac:dyDescent="0.25">
      <c r="A235" s="149" t="str">
        <f>Scott!A114</f>
        <v>3-Scott</v>
      </c>
      <c r="B235" s="149" t="str">
        <f>Scott!B114</f>
        <v>NI-DCPower Development Support</v>
      </c>
      <c r="C235" s="149" t="str">
        <f>Scott!C114</f>
        <v>15.0</v>
      </c>
      <c r="D235" s="149">
        <f>Scott!D114</f>
        <v>32</v>
      </c>
      <c r="E235" s="149">
        <f>Scott!E114</f>
        <v>2015</v>
      </c>
      <c r="F235" s="149" t="str">
        <f>Scott!F114</f>
        <v>Development</v>
      </c>
      <c r="G235" s="149" t="str">
        <f>Scott!G114</f>
        <v>NI</v>
      </c>
      <c r="H235" s="149" t="str">
        <f>Scott!H114</f>
        <v>NI-DCPower Development Support 15.0</v>
      </c>
      <c r="I235" s="149" t="str">
        <f>Scott!I114</f>
        <v>NI Developer Suite 2015 DS2 Install</v>
      </c>
      <c r="J235" s="195" t="s">
        <v>550</v>
      </c>
    </row>
    <row r="236" spans="1:10" hidden="1" x14ac:dyDescent="0.25">
      <c r="A236" s="149" t="str">
        <f>Scott!A115</f>
        <v>3-Scott</v>
      </c>
      <c r="B236" s="149" t="str">
        <f>Scott!B115</f>
        <v>NI-DCPower Soft Front Panel</v>
      </c>
      <c r="C236" s="149" t="str">
        <f>Scott!C115</f>
        <v>15.0</v>
      </c>
      <c r="D236" s="149">
        <f>Scott!D115</f>
        <v>32</v>
      </c>
      <c r="E236" s="149">
        <f>Scott!E115</f>
        <v>2015</v>
      </c>
      <c r="F236" s="149" t="str">
        <f>Scott!F115</f>
        <v>Development</v>
      </c>
      <c r="G236" s="149" t="str">
        <f>Scott!G115</f>
        <v>NI</v>
      </c>
      <c r="H236" s="149" t="str">
        <f>Scott!H115</f>
        <v>NI-DCPower Soft Front Panel 15.0</v>
      </c>
      <c r="I236" s="149" t="str">
        <f>Scott!I115</f>
        <v>NI Developer Suite 2015 DS2 Install</v>
      </c>
      <c r="J236" s="195" t="s">
        <v>550</v>
      </c>
    </row>
    <row r="237" spans="1:10" hidden="1" x14ac:dyDescent="0.25">
      <c r="A237" s="149" t="str">
        <f>Scott!A116</f>
        <v>3-Scott</v>
      </c>
      <c r="B237" s="149" t="str">
        <f>Scott!B116</f>
        <v>NI-DMM</v>
      </c>
      <c r="C237" s="149">
        <f>Scott!C116</f>
        <v>0</v>
      </c>
      <c r="D237" s="149">
        <f>Scott!D116</f>
        <v>32</v>
      </c>
      <c r="E237" s="149">
        <f>Scott!E116</f>
        <v>2015</v>
      </c>
      <c r="F237" s="149" t="str">
        <f>Scott!F116</f>
        <v>Development</v>
      </c>
      <c r="G237" s="149" t="str">
        <f>Scott!G116</f>
        <v>NI</v>
      </c>
      <c r="H237" s="149" t="str">
        <f>Scott!H116</f>
        <v xml:space="preserve">NI-DMM </v>
      </c>
      <c r="I237" s="149" t="str">
        <f>Scott!I116</f>
        <v>NI Developer Suite 2015 DS2 Install</v>
      </c>
      <c r="J237" s="195" t="s">
        <v>550</v>
      </c>
    </row>
    <row r="238" spans="1:10" hidden="1" x14ac:dyDescent="0.25">
      <c r="A238" s="149" t="str">
        <f>Scott!A117</f>
        <v>3-Scott</v>
      </c>
      <c r="B238" s="149" t="str">
        <f>Scott!B117</f>
        <v>NI-DMM</v>
      </c>
      <c r="C238" s="149" t="str">
        <f>Scott!C117</f>
        <v>15.0</v>
      </c>
      <c r="D238" s="149">
        <f>Scott!D117</f>
        <v>32</v>
      </c>
      <c r="E238" s="149">
        <f>Scott!E117</f>
        <v>2015</v>
      </c>
      <c r="F238" s="149" t="str">
        <f>Scott!F117</f>
        <v>Runtime</v>
      </c>
      <c r="G238" s="149" t="str">
        <f>Scott!G117</f>
        <v>NI</v>
      </c>
      <c r="H238" s="149" t="str">
        <f>Scott!H117</f>
        <v>NI-DMM 15.0</v>
      </c>
      <c r="I238" s="149" t="str">
        <f>Scott!I117</f>
        <v>NI Developer Suite 2015 DS2 Install</v>
      </c>
    </row>
    <row r="239" spans="1:10" hidden="1" x14ac:dyDescent="0.25">
      <c r="A239" s="149" t="str">
        <f>Scott!A118</f>
        <v>3-Scott</v>
      </c>
      <c r="B239" s="149" t="str">
        <f>Scott!B118</f>
        <v>NI-DMM Configuration Support</v>
      </c>
      <c r="C239" s="149" t="str">
        <f>Scott!C118</f>
        <v>15.0</v>
      </c>
      <c r="D239" s="149">
        <f>Scott!D118</f>
        <v>32</v>
      </c>
      <c r="E239" s="149">
        <f>Scott!E118</f>
        <v>2015</v>
      </c>
      <c r="F239" s="149" t="str">
        <f>Scott!F118</f>
        <v>Development</v>
      </c>
      <c r="G239" s="149" t="str">
        <f>Scott!G118</f>
        <v>NI</v>
      </c>
      <c r="H239" s="149" t="str">
        <f>Scott!H118</f>
        <v>NI-DMM Configuration Support 15.0</v>
      </c>
      <c r="I239" s="149" t="str">
        <f>Scott!I118</f>
        <v>NI Developer Suite 2015 DS2 Install</v>
      </c>
      <c r="J239" s="195" t="s">
        <v>550</v>
      </c>
    </row>
    <row r="240" spans="1:10" hidden="1" x14ac:dyDescent="0.25">
      <c r="A240" s="149" t="str">
        <f>Scott!A119</f>
        <v>3-Scott</v>
      </c>
      <c r="B240" s="149" t="str">
        <f>Scott!B119</f>
        <v>NI-DMM Development Support</v>
      </c>
      <c r="C240" s="149" t="str">
        <f>Scott!C119</f>
        <v>15.0</v>
      </c>
      <c r="D240" s="149">
        <f>Scott!D119</f>
        <v>32</v>
      </c>
      <c r="E240" s="149">
        <f>Scott!E119</f>
        <v>2015</v>
      </c>
      <c r="F240" s="149" t="str">
        <f>Scott!F119</f>
        <v>Development</v>
      </c>
      <c r="G240" s="149" t="str">
        <f>Scott!G119</f>
        <v>NI</v>
      </c>
      <c r="H240" s="149" t="str">
        <f>Scott!H119</f>
        <v>NI-DMM Development Support 15.0</v>
      </c>
      <c r="I240" s="149" t="str">
        <f>Scott!I119</f>
        <v>NI Developer Suite 2015 DS2 Install</v>
      </c>
      <c r="J240" s="195" t="s">
        <v>550</v>
      </c>
    </row>
    <row r="241" spans="1:10" hidden="1" x14ac:dyDescent="0.25">
      <c r="A241" s="149" t="str">
        <f>Scott!A120</f>
        <v>3-Scott</v>
      </c>
      <c r="B241" s="149" t="str">
        <f>Scott!B120</f>
        <v>NI-DMM Soft Front Panel</v>
      </c>
      <c r="C241" s="149" t="str">
        <f>Scott!C120</f>
        <v>15.0</v>
      </c>
      <c r="D241" s="149">
        <f>Scott!D120</f>
        <v>32</v>
      </c>
      <c r="E241" s="149">
        <f>Scott!E120</f>
        <v>2015</v>
      </c>
      <c r="F241" s="149" t="str">
        <f>Scott!F120</f>
        <v>Development</v>
      </c>
      <c r="G241" s="149" t="str">
        <f>Scott!G120</f>
        <v>NI</v>
      </c>
      <c r="H241" s="149" t="str">
        <f>Scott!H120</f>
        <v>NI-DMM Soft Front Panel 15.0</v>
      </c>
      <c r="I241" s="149" t="str">
        <f>Scott!I120</f>
        <v>NI Developer Suite 2015 DS2 Install</v>
      </c>
      <c r="J241" s="195" t="s">
        <v>550</v>
      </c>
    </row>
    <row r="242" spans="1:10" hidden="1" x14ac:dyDescent="0.25">
      <c r="A242" s="149" t="str">
        <f>Scott!A121</f>
        <v>3-Scott</v>
      </c>
      <c r="B242" s="149" t="str">
        <f>Scott!B121</f>
        <v>NI-FGEN</v>
      </c>
      <c r="C242" s="149">
        <f>Scott!C121</f>
        <v>0</v>
      </c>
      <c r="D242" s="149">
        <f>Scott!D121</f>
        <v>32</v>
      </c>
      <c r="E242" s="149">
        <f>Scott!E121</f>
        <v>2015</v>
      </c>
      <c r="F242" s="149" t="str">
        <f>Scott!F121</f>
        <v>Development</v>
      </c>
      <c r="G242" s="149" t="str">
        <f>Scott!G121</f>
        <v>NI</v>
      </c>
      <c r="H242" s="149" t="str">
        <f>Scott!H121</f>
        <v xml:space="preserve">NI-FGEN </v>
      </c>
      <c r="I242" s="149" t="str">
        <f>Scott!I121</f>
        <v>NI Developer Suite 2015 DS2 Install</v>
      </c>
      <c r="J242" s="195" t="s">
        <v>550</v>
      </c>
    </row>
    <row r="243" spans="1:10" hidden="1" x14ac:dyDescent="0.25">
      <c r="A243" s="149" t="str">
        <f>Scott!A122</f>
        <v>3-Scott</v>
      </c>
      <c r="B243" s="149" t="str">
        <f>Scott!B122</f>
        <v>NI-FGEN</v>
      </c>
      <c r="C243" s="149" t="str">
        <f>Scott!C122</f>
        <v>15.0</v>
      </c>
      <c r="D243" s="149">
        <f>Scott!D122</f>
        <v>32</v>
      </c>
      <c r="E243" s="149">
        <f>Scott!E122</f>
        <v>2015</v>
      </c>
      <c r="F243" s="149" t="str">
        <f>Scott!F122</f>
        <v>Runtime</v>
      </c>
      <c r="G243" s="149" t="str">
        <f>Scott!G122</f>
        <v>NI</v>
      </c>
      <c r="H243" s="149" t="str">
        <f>Scott!H122</f>
        <v>NI-FGEN 15.0</v>
      </c>
      <c r="I243" s="149" t="str">
        <f>Scott!I122</f>
        <v>NI Developer Suite 2015 DS2 Install</v>
      </c>
    </row>
    <row r="244" spans="1:10" hidden="1" x14ac:dyDescent="0.25">
      <c r="A244" s="149" t="str">
        <f>Scott!A123</f>
        <v>3-Scott</v>
      </c>
      <c r="B244" s="149" t="str">
        <f>Scott!B123</f>
        <v>NI-FGEN Configuration Support</v>
      </c>
      <c r="C244" s="149" t="str">
        <f>Scott!C123</f>
        <v>15.0</v>
      </c>
      <c r="D244" s="149">
        <f>Scott!D123</f>
        <v>32</v>
      </c>
      <c r="E244" s="149">
        <f>Scott!E123</f>
        <v>2015</v>
      </c>
      <c r="F244" s="149" t="str">
        <f>Scott!F123</f>
        <v>Development</v>
      </c>
      <c r="G244" s="149" t="str">
        <f>Scott!G123</f>
        <v>NI</v>
      </c>
      <c r="H244" s="149" t="str">
        <f>Scott!H123</f>
        <v>NI-FGEN Configuration Support 15.0</v>
      </c>
      <c r="I244" s="149" t="str">
        <f>Scott!I123</f>
        <v>NI Developer Suite 2015 DS2 Install</v>
      </c>
      <c r="J244" s="195" t="s">
        <v>550</v>
      </c>
    </row>
    <row r="245" spans="1:10" hidden="1" x14ac:dyDescent="0.25">
      <c r="A245" s="149" t="str">
        <f>Scott!A124</f>
        <v>3-Scott</v>
      </c>
      <c r="B245" s="149" t="str">
        <f>Scott!B124</f>
        <v>NI-FGEN Development Support</v>
      </c>
      <c r="C245" s="149" t="str">
        <f>Scott!C124</f>
        <v>15.0</v>
      </c>
      <c r="D245" s="149">
        <f>Scott!D124</f>
        <v>32</v>
      </c>
      <c r="E245" s="149">
        <f>Scott!E124</f>
        <v>2015</v>
      </c>
      <c r="F245" s="149" t="str">
        <f>Scott!F124</f>
        <v>Development</v>
      </c>
      <c r="G245" s="149" t="str">
        <f>Scott!G124</f>
        <v>NI</v>
      </c>
      <c r="H245" s="149" t="str">
        <f>Scott!H124</f>
        <v>NI-FGEN Development Support 15.0</v>
      </c>
      <c r="I245" s="149" t="str">
        <f>Scott!I124</f>
        <v>NI Developer Suite 2015 DS2 Install</v>
      </c>
      <c r="J245" s="195" t="s">
        <v>550</v>
      </c>
    </row>
    <row r="246" spans="1:10" hidden="1" x14ac:dyDescent="0.25">
      <c r="A246" s="149" t="str">
        <f>Scott!A125</f>
        <v>3-Scott</v>
      </c>
      <c r="B246" s="149" t="str">
        <f>Scott!B125</f>
        <v>NI-FGEN Soft Front Panel</v>
      </c>
      <c r="C246" s="149" t="str">
        <f>Scott!C125</f>
        <v>15.0</v>
      </c>
      <c r="D246" s="149">
        <f>Scott!D125</f>
        <v>32</v>
      </c>
      <c r="E246" s="149">
        <f>Scott!E125</f>
        <v>2015</v>
      </c>
      <c r="F246" s="149" t="str">
        <f>Scott!F125</f>
        <v>Development</v>
      </c>
      <c r="G246" s="149" t="str">
        <f>Scott!G125</f>
        <v>NI</v>
      </c>
      <c r="H246" s="149" t="str">
        <f>Scott!H125</f>
        <v>NI-FGEN Soft Front Panel 15.0</v>
      </c>
      <c r="I246" s="149" t="str">
        <f>Scott!I125</f>
        <v>NI Developer Suite 2015 DS2 Install</v>
      </c>
      <c r="J246" s="195" t="s">
        <v>550</v>
      </c>
    </row>
    <row r="247" spans="1:10" hidden="1" x14ac:dyDescent="0.25">
      <c r="A247" s="149" t="str">
        <f>Scott!A126</f>
        <v>3-Scott</v>
      </c>
      <c r="B247" s="149" t="str">
        <f>Scott!B126</f>
        <v>NI-HSDIO</v>
      </c>
      <c r="C247" s="149">
        <f>Scott!C126</f>
        <v>0</v>
      </c>
      <c r="D247" s="149">
        <f>Scott!D126</f>
        <v>32</v>
      </c>
      <c r="E247" s="149">
        <f>Scott!E126</f>
        <v>2015</v>
      </c>
      <c r="F247" s="149" t="str">
        <f>Scott!F126</f>
        <v>Development</v>
      </c>
      <c r="G247" s="149" t="str">
        <f>Scott!G126</f>
        <v>NI</v>
      </c>
      <c r="H247" s="149" t="str">
        <f>Scott!H126</f>
        <v xml:space="preserve">NI-HSDIO </v>
      </c>
      <c r="I247" s="149" t="str">
        <f>Scott!I126</f>
        <v>NI Developer Suite 2015 DS2 Install</v>
      </c>
      <c r="J247" s="195" t="s">
        <v>550</v>
      </c>
    </row>
    <row r="248" spans="1:10" hidden="1" x14ac:dyDescent="0.25">
      <c r="A248" s="149" t="str">
        <f>Scott!A127</f>
        <v>3-Scott</v>
      </c>
      <c r="B248" s="149" t="str">
        <f>Scott!B127</f>
        <v>NI-HSDIO</v>
      </c>
      <c r="C248" s="149" t="str">
        <f>Scott!C127</f>
        <v>15.0</v>
      </c>
      <c r="D248" s="149">
        <f>Scott!D127</f>
        <v>32</v>
      </c>
      <c r="E248" s="149">
        <f>Scott!E127</f>
        <v>2015</v>
      </c>
      <c r="F248" s="149" t="str">
        <f>Scott!F127</f>
        <v>Runtime</v>
      </c>
      <c r="G248" s="149" t="str">
        <f>Scott!G127</f>
        <v>NI</v>
      </c>
      <c r="H248" s="149" t="str">
        <f>Scott!H127</f>
        <v>NI-HSDIO 15.0</v>
      </c>
      <c r="I248" s="149" t="str">
        <f>Scott!I127</f>
        <v>NI Developer Suite 2015 DS2 Install</v>
      </c>
    </row>
    <row r="249" spans="1:10" hidden="1" x14ac:dyDescent="0.25">
      <c r="A249" s="149" t="str">
        <f>Scott!A128</f>
        <v>3-Scott</v>
      </c>
      <c r="B249" s="149" t="str">
        <f>Scott!B128</f>
        <v>NI-HSDIO Configuration Support</v>
      </c>
      <c r="C249" s="149" t="str">
        <f>Scott!C128</f>
        <v>15.0</v>
      </c>
      <c r="D249" s="149">
        <f>Scott!D128</f>
        <v>32</v>
      </c>
      <c r="E249" s="149">
        <f>Scott!E128</f>
        <v>2015</v>
      </c>
      <c r="F249" s="149" t="str">
        <f>Scott!F128</f>
        <v>Development</v>
      </c>
      <c r="G249" s="149" t="str">
        <f>Scott!G128</f>
        <v>NI</v>
      </c>
      <c r="H249" s="149" t="str">
        <f>Scott!H128</f>
        <v>NI-HSDIO Configuration Support 15.0</v>
      </c>
      <c r="I249" s="149" t="str">
        <f>Scott!I128</f>
        <v>NI Developer Suite 2015 DS2 Install</v>
      </c>
      <c r="J249" s="195" t="s">
        <v>550</v>
      </c>
    </row>
    <row r="250" spans="1:10" hidden="1" x14ac:dyDescent="0.25">
      <c r="A250" s="149" t="str">
        <f>Scott!A129</f>
        <v>3-Scott</v>
      </c>
      <c r="B250" s="149" t="str">
        <f>Scott!B129</f>
        <v>NI-HSDIO Development Support</v>
      </c>
      <c r="C250" s="149" t="str">
        <f>Scott!C129</f>
        <v>15.0</v>
      </c>
      <c r="D250" s="149">
        <f>Scott!D129</f>
        <v>32</v>
      </c>
      <c r="E250" s="149">
        <f>Scott!E129</f>
        <v>2015</v>
      </c>
      <c r="F250" s="149" t="str">
        <f>Scott!F129</f>
        <v>Development</v>
      </c>
      <c r="G250" s="149" t="str">
        <f>Scott!G129</f>
        <v>NI</v>
      </c>
      <c r="H250" s="149" t="str">
        <f>Scott!H129</f>
        <v>NI-HSDIO Development Support 15.0</v>
      </c>
      <c r="I250" s="149" t="str">
        <f>Scott!I129</f>
        <v>NI Developer Suite 2015 DS2 Install</v>
      </c>
      <c r="J250" s="195" t="s">
        <v>550</v>
      </c>
    </row>
    <row r="251" spans="1:10" hidden="1" x14ac:dyDescent="0.25">
      <c r="A251" s="149" t="str">
        <f>Scott!A130</f>
        <v>3-Scott</v>
      </c>
      <c r="B251" s="149" t="str">
        <f>Scott!B130</f>
        <v>NI-HWS</v>
      </c>
      <c r="C251" s="149" t="str">
        <f>Scott!C130</f>
        <v>15.0.0</v>
      </c>
      <c r="D251" s="149">
        <f>Scott!D130</f>
        <v>32</v>
      </c>
      <c r="E251" s="149">
        <f>Scott!E130</f>
        <v>2015</v>
      </c>
      <c r="F251" s="149" t="str">
        <f>Scott!F130</f>
        <v>Development</v>
      </c>
      <c r="G251" s="149" t="str">
        <f>Scott!G130</f>
        <v>NI</v>
      </c>
      <c r="H251" s="149" t="str">
        <f>Scott!H130</f>
        <v>NI-HWS 15.0.0</v>
      </c>
      <c r="I251" s="149" t="str">
        <f>Scott!I130</f>
        <v>NI Developer Suite 2015 DS2 Install</v>
      </c>
      <c r="J251" s="195" t="s">
        <v>550</v>
      </c>
    </row>
    <row r="252" spans="1:10" x14ac:dyDescent="0.25">
      <c r="A252" s="148" t="str">
        <f>Originals!A289</f>
        <v>4-Vinnie</v>
      </c>
      <c r="B252" s="148" t="str">
        <f>Originals!B289</f>
        <v>NI-IMAQ</v>
      </c>
      <c r="C252" s="148" t="str">
        <f>Originals!C289</f>
        <v>19.5.0</v>
      </c>
      <c r="D252" s="148" t="str">
        <f>Originals!D289</f>
        <v>32</v>
      </c>
      <c r="E252" s="148" t="str">
        <f>Originals!E289</f>
        <v>2019</v>
      </c>
      <c r="F252" s="148" t="str">
        <f>Originals!F289</f>
        <v>Development</v>
      </c>
      <c r="G252" s="148" t="str">
        <f>Originals!G289</f>
        <v>NI</v>
      </c>
      <c r="H252" s="148" t="str">
        <f>Originals!H289</f>
        <v>NI-IMAQ 19.5.0</v>
      </c>
      <c r="I252" s="148">
        <f>Originals!I289</f>
        <v>0</v>
      </c>
      <c r="J252" s="202" t="s">
        <v>555</v>
      </c>
    </row>
    <row r="253" spans="1:10" hidden="1" x14ac:dyDescent="0.25">
      <c r="A253" s="148" t="str">
        <f>Originals!A290</f>
        <v>4-Vinnie</v>
      </c>
      <c r="B253" s="148" t="str">
        <f>Originals!B290</f>
        <v>NI-IMAQ</v>
      </c>
      <c r="C253" s="148" t="str">
        <f>Originals!C290</f>
        <v>19.5.0</v>
      </c>
      <c r="D253" s="148" t="str">
        <f>Originals!D290</f>
        <v>32</v>
      </c>
      <c r="E253" s="148" t="str">
        <f>Originals!E290</f>
        <v>2019</v>
      </c>
      <c r="F253" s="148" t="str">
        <f>Originals!F290</f>
        <v>Runtime</v>
      </c>
      <c r="G253" s="148" t="str">
        <f>Originals!G290</f>
        <v>NI</v>
      </c>
      <c r="H253" s="148" t="str">
        <f>Originals!H290</f>
        <v>NI-IMAQ 19.5.0</v>
      </c>
      <c r="I253" s="148">
        <f>Originals!I290</f>
        <v>0</v>
      </c>
      <c r="J253" s="202" t="s">
        <v>555</v>
      </c>
    </row>
    <row r="254" spans="1:10" x14ac:dyDescent="0.25">
      <c r="A254" s="149" t="str">
        <f>Scott!A131</f>
        <v>3-Scott</v>
      </c>
      <c r="B254" s="149" t="str">
        <f>Scott!B131</f>
        <v>NI-IMAQ</v>
      </c>
      <c r="C254" s="149" t="str">
        <f>Scott!C131</f>
        <v>19.0.0</v>
      </c>
      <c r="D254" s="149" t="str">
        <f>Scott!D131</f>
        <v>32</v>
      </c>
      <c r="E254" s="149" t="str">
        <f>Scott!E131</f>
        <v>2019</v>
      </c>
      <c r="F254" s="149" t="str">
        <f>Scott!F131</f>
        <v>Development</v>
      </c>
      <c r="G254" s="149" t="str">
        <f>Scott!G131</f>
        <v>NI</v>
      </c>
      <c r="H254" s="149" t="str">
        <f>Scott!H131</f>
        <v>NI-IMAQ 19.0.0</v>
      </c>
      <c r="I254" s="149" t="str">
        <f>Scott!I131</f>
        <v>LabVIEW 2019</v>
      </c>
      <c r="J254" s="202" t="s">
        <v>555</v>
      </c>
    </row>
    <row r="255" spans="1:10" hidden="1" x14ac:dyDescent="0.25">
      <c r="A255" s="149" t="str">
        <f>Scott!A132</f>
        <v>3-Scott</v>
      </c>
      <c r="B255" s="149" t="str">
        <f>Scott!B132</f>
        <v>NI-IMAQ</v>
      </c>
      <c r="C255" s="149" t="str">
        <f>Scott!C132</f>
        <v>19.0.0</v>
      </c>
      <c r="D255" s="149" t="str">
        <f>Scott!D132</f>
        <v>32</v>
      </c>
      <c r="E255" s="149" t="str">
        <f>Scott!E132</f>
        <v>2019</v>
      </c>
      <c r="F255" s="149" t="str">
        <f>Scott!F132</f>
        <v>Runtime</v>
      </c>
      <c r="G255" s="149" t="str">
        <f>Scott!G132</f>
        <v>NI</v>
      </c>
      <c r="H255" s="149" t="str">
        <f>Scott!H132</f>
        <v>NI-IMAQ 19.0.0</v>
      </c>
      <c r="I255" s="149" t="str">
        <f>Scott!I132</f>
        <v>LabVIEW 2019</v>
      </c>
      <c r="J255" s="202" t="s">
        <v>555</v>
      </c>
    </row>
    <row r="256" spans="1:10" x14ac:dyDescent="0.25">
      <c r="A256" s="148" t="str">
        <f>Originals!A291</f>
        <v>4-Vinnie</v>
      </c>
      <c r="B256" s="148" t="str">
        <f>Originals!B291</f>
        <v>NI-IMAQ Development Support</v>
      </c>
      <c r="C256" s="148" t="str">
        <f>Originals!C291</f>
        <v>18.5.0</v>
      </c>
      <c r="D256" s="148" t="str">
        <f>Originals!D291</f>
        <v>32</v>
      </c>
      <c r="E256" s="148" t="str">
        <f>Originals!E291</f>
        <v>2018</v>
      </c>
      <c r="F256" s="148" t="str">
        <f>Originals!F291</f>
        <v>Development</v>
      </c>
      <c r="G256" s="148" t="str">
        <f>Originals!G291</f>
        <v>NI</v>
      </c>
      <c r="H256" s="148" t="str">
        <f>Originals!H291</f>
        <v>NI-IMAQ Development Support 18.5.0</v>
      </c>
      <c r="I256" s="148">
        <f>Originals!I291</f>
        <v>0</v>
      </c>
      <c r="J256" s="202" t="s">
        <v>551</v>
      </c>
    </row>
    <row r="257" spans="1:10" hidden="1" x14ac:dyDescent="0.25">
      <c r="A257" s="148" t="str">
        <f>Originals!A292</f>
        <v>4-Vinnie</v>
      </c>
      <c r="B257" s="148" t="str">
        <f>Originals!B292</f>
        <v>NI-IMAQ I/O</v>
      </c>
      <c r="C257" s="148" t="str">
        <f>Originals!C292</f>
        <v>18.5.0</v>
      </c>
      <c r="D257" s="148" t="str">
        <f>Originals!D292</f>
        <v>32</v>
      </c>
      <c r="E257" s="148" t="str">
        <f>Originals!E292</f>
        <v>2018</v>
      </c>
      <c r="F257" s="148" t="str">
        <f>Originals!F292</f>
        <v>Development</v>
      </c>
      <c r="G257" s="148" t="str">
        <f>Originals!G292</f>
        <v>NI</v>
      </c>
      <c r="H257" s="148" t="str">
        <f>Originals!H292</f>
        <v>NI-IMAQ I/O 18.5.0</v>
      </c>
      <c r="I257" s="148">
        <f>Originals!I292</f>
        <v>0</v>
      </c>
      <c r="J257" s="204" t="s">
        <v>550</v>
      </c>
    </row>
    <row r="258" spans="1:10" hidden="1" x14ac:dyDescent="0.25">
      <c r="A258" s="148" t="str">
        <f>Originals!A293</f>
        <v>4-Vinnie</v>
      </c>
      <c r="B258" s="148" t="str">
        <f>Originals!B293</f>
        <v>NI-IMAQ I/O</v>
      </c>
      <c r="C258" s="148" t="str">
        <f>Originals!C293</f>
        <v>18.5.0</v>
      </c>
      <c r="D258" s="148" t="str">
        <f>Originals!D293</f>
        <v>32</v>
      </c>
      <c r="E258" s="148" t="str">
        <f>Originals!E293</f>
        <v>2018</v>
      </c>
      <c r="F258" s="148" t="str">
        <f>Originals!F293</f>
        <v>Runtime</v>
      </c>
      <c r="G258" s="148" t="str">
        <f>Originals!G293</f>
        <v>NI</v>
      </c>
      <c r="H258" s="148" t="str">
        <f>Originals!H293</f>
        <v>NI-IMAQ I/O 18.5.0</v>
      </c>
      <c r="I258" s="148">
        <f>Originals!I293</f>
        <v>0</v>
      </c>
    </row>
    <row r="259" spans="1:10" hidden="1" x14ac:dyDescent="0.25">
      <c r="A259" s="149" t="str">
        <f>Scott!A133</f>
        <v>3-Scott</v>
      </c>
      <c r="B259" s="149" t="str">
        <f>Scott!B133</f>
        <v>NI-IMAQ I/O</v>
      </c>
      <c r="C259" s="149" t="str">
        <f>Scott!C133</f>
        <v>19.0.0</v>
      </c>
      <c r="D259" s="149" t="str">
        <f>Scott!D133</f>
        <v>32</v>
      </c>
      <c r="E259" s="149" t="str">
        <f>Scott!E133</f>
        <v>2019</v>
      </c>
      <c r="F259" s="149" t="str">
        <f>Scott!F133</f>
        <v>Development</v>
      </c>
      <c r="G259" s="149" t="str">
        <f>Scott!G133</f>
        <v>NI</v>
      </c>
      <c r="H259" s="149" t="str">
        <f>Scott!H133</f>
        <v>NI-IMAQ I/O 19.0.0</v>
      </c>
      <c r="I259" s="149" t="str">
        <f>Scott!I133</f>
        <v>LabVIEW 2019</v>
      </c>
      <c r="J259" s="204" t="s">
        <v>550</v>
      </c>
    </row>
    <row r="260" spans="1:10" hidden="1" x14ac:dyDescent="0.25">
      <c r="A260" s="149" t="str">
        <f>Scott!A134</f>
        <v>3-Scott</v>
      </c>
      <c r="B260" s="149" t="str">
        <f>Scott!B134</f>
        <v>NI-IMAQ I/O</v>
      </c>
      <c r="C260" s="149" t="str">
        <f>Scott!C134</f>
        <v>19.0.0</v>
      </c>
      <c r="D260" s="149" t="str">
        <f>Scott!D134</f>
        <v>32</v>
      </c>
      <c r="E260" s="149" t="str">
        <f>Scott!E134</f>
        <v>2019</v>
      </c>
      <c r="F260" s="149" t="str">
        <f>Scott!F134</f>
        <v>Runtime</v>
      </c>
      <c r="G260" s="149" t="str">
        <f>Scott!G134</f>
        <v>NI</v>
      </c>
      <c r="H260" s="149" t="str">
        <f>Scott!H134</f>
        <v>NI-IMAQ I/O 19.0.0</v>
      </c>
      <c r="I260" s="149" t="str">
        <f>Scott!I134</f>
        <v>LabVIEW 2019</v>
      </c>
    </row>
    <row r="261" spans="1:10" x14ac:dyDescent="0.25">
      <c r="A261" s="148" t="str">
        <f>Originals!A294</f>
        <v>4-Vinnie</v>
      </c>
      <c r="B261" s="148" t="str">
        <f>Originals!B294</f>
        <v>NI-IMAQ I/O Development Support</v>
      </c>
      <c r="C261" s="148" t="str">
        <f>Originals!C294</f>
        <v>18.5.0</v>
      </c>
      <c r="D261" s="148" t="str">
        <f>Originals!D294</f>
        <v>32</v>
      </c>
      <c r="E261" s="148" t="str">
        <f>Originals!E294</f>
        <v>2018</v>
      </c>
      <c r="F261" s="148" t="str">
        <f>Originals!F294</f>
        <v>Development</v>
      </c>
      <c r="G261" s="148" t="str">
        <f>Originals!G294</f>
        <v>NI</v>
      </c>
      <c r="H261" s="148" t="str">
        <f>Originals!H294</f>
        <v>NI-IMAQ I/O Development Support 18.5.0</v>
      </c>
      <c r="I261" s="148">
        <f>Originals!I294</f>
        <v>0</v>
      </c>
      <c r="J261" s="202" t="s">
        <v>551</v>
      </c>
    </row>
    <row r="262" spans="1:10" hidden="1" x14ac:dyDescent="0.25">
      <c r="A262" s="148" t="str">
        <f>Originals!A295</f>
        <v>4-Vinnie</v>
      </c>
      <c r="B262" s="148" t="str">
        <f>Originals!B295</f>
        <v>NI-IMAQdx</v>
      </c>
      <c r="C262" s="148" t="str">
        <f>Originals!C295</f>
        <v>18.5.0</v>
      </c>
      <c r="D262" s="148" t="str">
        <f>Originals!D295</f>
        <v>32</v>
      </c>
      <c r="E262" s="148" t="str">
        <f>Originals!E295</f>
        <v>2018</v>
      </c>
      <c r="F262" s="148" t="str">
        <f>Originals!F295</f>
        <v>Development</v>
      </c>
      <c r="G262" s="148" t="str">
        <f>Originals!G295</f>
        <v>NI</v>
      </c>
      <c r="H262" s="148" t="str">
        <f>Originals!H295</f>
        <v>NI-IMAQdx 18.5.0</v>
      </c>
      <c r="I262" s="148">
        <f>Originals!I295</f>
        <v>0</v>
      </c>
      <c r="J262" s="204" t="s">
        <v>550</v>
      </c>
    </row>
    <row r="263" spans="1:10" hidden="1" x14ac:dyDescent="0.25">
      <c r="A263" s="148" t="str">
        <f>Originals!A296</f>
        <v>4-Vinnie</v>
      </c>
      <c r="B263" s="148" t="str">
        <f>Originals!B296</f>
        <v>NI-IMAQdx</v>
      </c>
      <c r="C263" s="148" t="str">
        <f>Originals!C296</f>
        <v>18.5.0</v>
      </c>
      <c r="D263" s="148" t="str">
        <f>Originals!D296</f>
        <v>32</v>
      </c>
      <c r="E263" s="148" t="str">
        <f>Originals!E296</f>
        <v>2018</v>
      </c>
      <c r="F263" s="148" t="str">
        <f>Originals!F296</f>
        <v>Runtime</v>
      </c>
      <c r="G263" s="148" t="str">
        <f>Originals!G296</f>
        <v>NI</v>
      </c>
      <c r="H263" s="148" t="str">
        <f>Originals!H296</f>
        <v>NI-IMAQdx 18.5.0</v>
      </c>
      <c r="I263" s="148">
        <f>Originals!I296</f>
        <v>0</v>
      </c>
      <c r="J263" s="204" t="s">
        <v>550</v>
      </c>
    </row>
    <row r="264" spans="1:10" hidden="1" x14ac:dyDescent="0.25">
      <c r="A264" s="149" t="str">
        <f>Scott!A135</f>
        <v>3-Scott</v>
      </c>
      <c r="B264" s="149" t="str">
        <f>Scott!B135</f>
        <v>NI-IMAQdx</v>
      </c>
      <c r="C264" s="149" t="str">
        <f>Scott!C135</f>
        <v>19.0.0</v>
      </c>
      <c r="D264" s="149" t="str">
        <f>Scott!D135</f>
        <v>32</v>
      </c>
      <c r="E264" s="149" t="str">
        <f>Scott!E135</f>
        <v>2019</v>
      </c>
      <c r="F264" s="149" t="str">
        <f>Scott!F135</f>
        <v>Development</v>
      </c>
      <c r="G264" s="149" t="str">
        <f>Scott!G135</f>
        <v>NI</v>
      </c>
      <c r="H264" s="149" t="str">
        <f>Scott!H135</f>
        <v>NI-IMAQdx 19.0.0</v>
      </c>
      <c r="I264" s="149" t="str">
        <f>Scott!I135</f>
        <v>LabVIEW 2019</v>
      </c>
      <c r="J264" s="204" t="s">
        <v>550</v>
      </c>
    </row>
    <row r="265" spans="1:10" hidden="1" x14ac:dyDescent="0.25">
      <c r="A265" s="149" t="str">
        <f>Scott!A136</f>
        <v>3-Scott</v>
      </c>
      <c r="B265" s="149" t="str">
        <f>Scott!B136</f>
        <v>NI-IMAQdx</v>
      </c>
      <c r="C265" s="149" t="str">
        <f>Scott!C136</f>
        <v>19.0.0</v>
      </c>
      <c r="D265" s="149" t="str">
        <f>Scott!D136</f>
        <v>32</v>
      </c>
      <c r="E265" s="149" t="str">
        <f>Scott!E136</f>
        <v>2019</v>
      </c>
      <c r="F265" s="149" t="str">
        <f>Scott!F136</f>
        <v>Runtime</v>
      </c>
      <c r="G265" s="149" t="str">
        <f>Scott!G136</f>
        <v>NI</v>
      </c>
      <c r="H265" s="149" t="str">
        <f>Scott!H136</f>
        <v>NI-IMAQdx 19.0.0</v>
      </c>
      <c r="I265" s="149" t="str">
        <f>Scott!I136</f>
        <v>LabVIEW 2019</v>
      </c>
      <c r="J265" s="204" t="s">
        <v>550</v>
      </c>
    </row>
    <row r="266" spans="1:10" x14ac:dyDescent="0.25">
      <c r="A266" s="148" t="str">
        <f>Originals!A297</f>
        <v>4-Vinnie</v>
      </c>
      <c r="B266" s="148" t="str">
        <f>Originals!B297</f>
        <v>NI-IMAQdx Development Support</v>
      </c>
      <c r="C266" s="148" t="str">
        <f>Originals!C297</f>
        <v>18.5.0</v>
      </c>
      <c r="D266" s="148" t="str">
        <f>Originals!D297</f>
        <v>32</v>
      </c>
      <c r="E266" s="148" t="str">
        <f>Originals!E297</f>
        <v>2018</v>
      </c>
      <c r="F266" s="148" t="str">
        <f>Originals!F297</f>
        <v>Development</v>
      </c>
      <c r="G266" s="148" t="str">
        <f>Originals!G297</f>
        <v>NI</v>
      </c>
      <c r="H266" s="148" t="str">
        <f>Originals!H297</f>
        <v>NI-IMAQdx Development Support 18.5.0</v>
      </c>
      <c r="I266" s="148">
        <f>Originals!I297</f>
        <v>0</v>
      </c>
      <c r="J266" s="202" t="s">
        <v>551</v>
      </c>
    </row>
    <row r="267" spans="1:10" hidden="1" x14ac:dyDescent="0.25">
      <c r="A267" s="148" t="str">
        <f>Originals!A298</f>
        <v>4-Vinnie</v>
      </c>
      <c r="B267" s="148" t="str">
        <f>Originals!B298</f>
        <v>NI-Industrial Communications for EtherCAT</v>
      </c>
      <c r="C267" s="148" t="str">
        <f>Originals!C298</f>
        <v>15.0</v>
      </c>
      <c r="D267" s="148" t="str">
        <f>Originals!D298</f>
        <v>32</v>
      </c>
      <c r="E267" s="148" t="str">
        <f>Originals!E298</f>
        <v>2015</v>
      </c>
      <c r="F267" s="148" t="str">
        <f>Originals!F298</f>
        <v>Development</v>
      </c>
      <c r="G267" s="148" t="str">
        <f>Originals!G298</f>
        <v>NI</v>
      </c>
      <c r="H267" s="148" t="str">
        <f>Originals!H298</f>
        <v>NI-Industrial Communications for EtherCAT 15.0</v>
      </c>
      <c r="I267" s="148" t="str">
        <f>Originals!I298</f>
        <v>NI-Industrial Communications for EtherCAT on "Y' Drive</v>
      </c>
      <c r="J267" s="195" t="s">
        <v>550</v>
      </c>
    </row>
    <row r="268" spans="1:10" hidden="1" x14ac:dyDescent="0.25">
      <c r="A268" s="148" t="str">
        <f>Originals!A299</f>
        <v>4-Vinnie</v>
      </c>
      <c r="B268" s="148" t="str">
        <f>Originals!B299</f>
        <v>NI-Industrial Communications for EtherCAT</v>
      </c>
      <c r="C268" s="148">
        <f>Originals!C299</f>
        <v>0</v>
      </c>
      <c r="D268" s="148" t="str">
        <f>Originals!D299</f>
        <v>32</v>
      </c>
      <c r="E268" s="148" t="str">
        <f>Originals!E299</f>
        <v>N/A</v>
      </c>
      <c r="F268" s="148" t="str">
        <f>Originals!F299</f>
        <v>C-RIO</v>
      </c>
      <c r="G268" s="148" t="str">
        <f>Originals!G299</f>
        <v>NI</v>
      </c>
      <c r="H268" s="148" t="str">
        <f>Originals!H299</f>
        <v xml:space="preserve">NI-Industrial Communications for EtherCAT </v>
      </c>
      <c r="I268" s="148">
        <f>Originals!I299</f>
        <v>0</v>
      </c>
    </row>
    <row r="269" spans="1:10" hidden="1" x14ac:dyDescent="0.25">
      <c r="A269" s="148" t="str">
        <f>Originals!A300</f>
        <v>4-Vinnie</v>
      </c>
      <c r="B269" s="148" t="str">
        <f>Originals!B300</f>
        <v>NI-Industrial Communications for EtherCAT</v>
      </c>
      <c r="C269" s="148" t="str">
        <f>Originals!C300</f>
        <v>15.0.0f3</v>
      </c>
      <c r="D269" s="148" t="str">
        <f>Originals!D300</f>
        <v>32</v>
      </c>
      <c r="E269" s="148">
        <f>Originals!E300</f>
        <v>2015</v>
      </c>
      <c r="F269" s="148" t="str">
        <f>Originals!F300</f>
        <v>Development</v>
      </c>
      <c r="G269" s="148" t="str">
        <f>Originals!G300</f>
        <v>NI</v>
      </c>
      <c r="H269" s="148" t="str">
        <f>Originals!H300</f>
        <v>NI-Industrial Communications for EtherCAT 15.0.0f3</v>
      </c>
      <c r="I269" s="148" t="str">
        <f>Originals!I300</f>
        <v>NI-Industrial Communications for EtherCAT on "Y' Drive</v>
      </c>
      <c r="J269" s="195" t="s">
        <v>550</v>
      </c>
    </row>
    <row r="270" spans="1:10" hidden="1" x14ac:dyDescent="0.25">
      <c r="A270" s="149" t="str">
        <f>Scott!A137</f>
        <v>3-Scott</v>
      </c>
      <c r="B270" s="149" t="str">
        <f>Scott!B137</f>
        <v>NI-Industrial Communications for EtherCAT</v>
      </c>
      <c r="C270" s="149" t="str">
        <f>Scott!C137</f>
        <v>18.0.0f1</v>
      </c>
      <c r="D270" s="149">
        <f>Scott!D137</f>
        <v>32</v>
      </c>
      <c r="E270" s="149">
        <f>Scott!E137</f>
        <v>2015</v>
      </c>
      <c r="F270" s="149" t="str">
        <f>Scott!F137</f>
        <v>Development</v>
      </c>
      <c r="G270" s="149" t="str">
        <f>Scott!G137</f>
        <v>NI</v>
      </c>
      <c r="H270" s="149" t="str">
        <f>Scott!H137</f>
        <v>NI-Industrial Communications for EtherCAT 18.0.0f1</v>
      </c>
      <c r="I270" s="149" t="str">
        <f>Scott!I137</f>
        <v>NI-Industrial Communications for EtherCAT on "Y' Drive</v>
      </c>
      <c r="J270" s="195" t="s">
        <v>550</v>
      </c>
    </row>
    <row r="271" spans="1:10" hidden="1" x14ac:dyDescent="0.25">
      <c r="A271" s="148" t="str">
        <f>Originals!A301</f>
        <v>4-Vinnie</v>
      </c>
      <c r="B271" s="148" t="str">
        <f>Originals!B301</f>
        <v>NI-PAL Software</v>
      </c>
      <c r="C271" s="148" t="str">
        <f>Originals!C301</f>
        <v>19.0.0</v>
      </c>
      <c r="D271" s="148" t="str">
        <f>Originals!D301</f>
        <v>32</v>
      </c>
      <c r="E271" s="148" t="str">
        <f>Originals!E301</f>
        <v>2019</v>
      </c>
      <c r="F271" s="148" t="str">
        <f>Originals!F301</f>
        <v>Development</v>
      </c>
      <c r="G271" s="148" t="str">
        <f>Originals!G301</f>
        <v>NI</v>
      </c>
      <c r="H271" s="148" t="str">
        <f>Originals!H301</f>
        <v>NI-PAL Software 19.0.0</v>
      </c>
      <c r="I271" s="148">
        <f>Originals!I301</f>
        <v>0</v>
      </c>
      <c r="J271" s="195" t="s">
        <v>550</v>
      </c>
    </row>
    <row r="272" spans="1:10" hidden="1" x14ac:dyDescent="0.25">
      <c r="A272" s="149" t="str">
        <f>Scott!A138</f>
        <v>3-Scott</v>
      </c>
      <c r="B272" s="149" t="str">
        <f>Scott!B138</f>
        <v>NI-PAL Software</v>
      </c>
      <c r="C272" s="149" t="str">
        <f>Scott!C138</f>
        <v>19.0.0</v>
      </c>
      <c r="D272" s="149">
        <f>Scott!D138</f>
        <v>32</v>
      </c>
      <c r="E272" s="149">
        <f>Scott!E138</f>
        <v>2019</v>
      </c>
      <c r="F272" s="149" t="str">
        <f>Scott!F138</f>
        <v>Development</v>
      </c>
      <c r="G272" s="149" t="str">
        <f>Scott!G138</f>
        <v>NI</v>
      </c>
      <c r="H272" s="149" t="str">
        <f>Scott!H138</f>
        <v>NI-PAL Software 19.0.0</v>
      </c>
      <c r="I272" s="149" t="str">
        <f>Scott!I138</f>
        <v>LabVIEW 2019</v>
      </c>
      <c r="J272" s="195" t="s">
        <v>550</v>
      </c>
    </row>
    <row r="273" spans="1:10" hidden="1" x14ac:dyDescent="0.25">
      <c r="A273" s="148" t="str">
        <f>Originals!A302</f>
        <v>4-Vinnie</v>
      </c>
      <c r="B273" s="148" t="str">
        <f>Originals!B302</f>
        <v>NI-RIO</v>
      </c>
      <c r="C273" s="148" t="str">
        <f>Originals!C302</f>
        <v>15.5</v>
      </c>
      <c r="D273" s="148" t="str">
        <f>Originals!D302</f>
        <v>32</v>
      </c>
      <c r="E273" s="148" t="str">
        <f>Originals!E302</f>
        <v>2015</v>
      </c>
      <c r="F273" s="148" t="str">
        <f>Originals!F302</f>
        <v>C-RIO</v>
      </c>
      <c r="G273" s="148" t="str">
        <f>Originals!G302</f>
        <v>NI</v>
      </c>
      <c r="H273" s="148" t="str">
        <f>Originals!H302</f>
        <v>NI-RIO 15.5</v>
      </c>
      <c r="I273" s="148">
        <f>Originals!I302</f>
        <v>0</v>
      </c>
    </row>
    <row r="274" spans="1:10" x14ac:dyDescent="0.25">
      <c r="A274" s="148" t="str">
        <f>Originals!A303</f>
        <v>4-Vinnie</v>
      </c>
      <c r="B274" s="148" t="str">
        <f>Originals!B303</f>
        <v>NI-RIO</v>
      </c>
      <c r="C274" s="148" t="str">
        <f>Originals!C303</f>
        <v>18.5.0</v>
      </c>
      <c r="D274" s="148" t="str">
        <f>Originals!D303</f>
        <v>32</v>
      </c>
      <c r="E274" s="148" t="str">
        <f>Originals!E303</f>
        <v>2018</v>
      </c>
      <c r="F274" s="148" t="str">
        <f>Originals!F303</f>
        <v>Development</v>
      </c>
      <c r="G274" s="148" t="str">
        <f>Originals!G303</f>
        <v>NI</v>
      </c>
      <c r="H274" s="148" t="str">
        <f>Originals!H303</f>
        <v>NI-RIO 18.5.0</v>
      </c>
      <c r="I274" s="148">
        <f>Originals!I303</f>
        <v>0</v>
      </c>
      <c r="J274" s="202" t="s">
        <v>551</v>
      </c>
    </row>
    <row r="275" spans="1:10" x14ac:dyDescent="0.25">
      <c r="A275" s="148" t="str">
        <f>Originals!A304</f>
        <v>4-Vinnie</v>
      </c>
      <c r="B275" s="148" t="str">
        <f>Originals!B304</f>
        <v>NI-RIO</v>
      </c>
      <c r="C275" s="148" t="str">
        <f>Originals!C304</f>
        <v>18.5.0</v>
      </c>
      <c r="D275" s="148" t="str">
        <f>Originals!D304</f>
        <v>32</v>
      </c>
      <c r="E275" s="148" t="str">
        <f>Originals!E304</f>
        <v>2018</v>
      </c>
      <c r="F275" s="148" t="str">
        <f>Originals!F304</f>
        <v>Development</v>
      </c>
      <c r="G275" s="148" t="str">
        <f>Originals!G304</f>
        <v>NI</v>
      </c>
      <c r="H275" s="148" t="str">
        <f>Originals!H304</f>
        <v>NI-RIO 18.5.0</v>
      </c>
      <c r="I275" s="148">
        <f>Originals!I304</f>
        <v>0</v>
      </c>
      <c r="J275" s="205" t="s">
        <v>556</v>
      </c>
    </row>
    <row r="276" spans="1:10" x14ac:dyDescent="0.25">
      <c r="A276" s="149" t="str">
        <f>Scott!A139</f>
        <v>3-Scott</v>
      </c>
      <c r="B276" s="149" t="str">
        <f>Scott!B139</f>
        <v>NI-RIO</v>
      </c>
      <c r="C276" s="149" t="str">
        <f>Scott!C139</f>
        <v>15.0.0</v>
      </c>
      <c r="D276" s="149">
        <f>Scott!D139</f>
        <v>32</v>
      </c>
      <c r="E276" s="149">
        <f>Scott!E139</f>
        <v>2015</v>
      </c>
      <c r="F276" s="149" t="str">
        <f>Scott!F139</f>
        <v>Development</v>
      </c>
      <c r="G276" s="149" t="str">
        <f>Scott!G139</f>
        <v>NI</v>
      </c>
      <c r="H276" s="149" t="str">
        <f>Scott!H139</f>
        <v>NI-RIO 15.0.0</v>
      </c>
      <c r="I276" s="149" t="str">
        <f>Scott!I139</f>
        <v>NI Developer Suite 2015 DS2 Install</v>
      </c>
      <c r="J276" s="205" t="s">
        <v>556</v>
      </c>
    </row>
    <row r="277" spans="1:10" hidden="1" x14ac:dyDescent="0.25">
      <c r="A277" s="148" t="str">
        <f>Originals!A305</f>
        <v>4-Vinnie</v>
      </c>
      <c r="B277" s="148" t="str">
        <f>Originals!B305</f>
        <v>NI-RIO IO Scan</v>
      </c>
      <c r="C277" s="148" t="str">
        <f>Originals!C305</f>
        <v>15.5</v>
      </c>
      <c r="D277" s="148" t="str">
        <f>Originals!D305</f>
        <v>32</v>
      </c>
      <c r="E277" s="148" t="str">
        <f>Originals!E305</f>
        <v>2015</v>
      </c>
      <c r="F277" s="148" t="str">
        <f>Originals!F305</f>
        <v>C-RIO</v>
      </c>
      <c r="G277" s="148" t="str">
        <f>Originals!G305</f>
        <v>NI</v>
      </c>
      <c r="H277" s="148" t="str">
        <f>Originals!H305</f>
        <v>NI-RIO IO Scan 15.5</v>
      </c>
      <c r="I277" s="148">
        <f>Originals!I305</f>
        <v>0</v>
      </c>
    </row>
    <row r="278" spans="1:10" hidden="1" x14ac:dyDescent="0.25">
      <c r="A278" s="149" t="str">
        <f>Scott!A140</f>
        <v>3-Scott</v>
      </c>
      <c r="B278" s="149" t="str">
        <f>Scott!B140</f>
        <v>NI-SCOPE</v>
      </c>
      <c r="C278" s="149" t="str">
        <f>Scott!C140</f>
        <v>15.0</v>
      </c>
      <c r="D278" s="149">
        <f>Scott!D140</f>
        <v>32</v>
      </c>
      <c r="E278" s="149">
        <f>Scott!E140</f>
        <v>2015</v>
      </c>
      <c r="F278" s="149" t="str">
        <f>Scott!F140</f>
        <v>Development</v>
      </c>
      <c r="G278" s="149" t="str">
        <f>Scott!G140</f>
        <v>NI</v>
      </c>
      <c r="H278" s="149" t="str">
        <f>Scott!H140</f>
        <v>NI-SCOPE 15.0</v>
      </c>
      <c r="I278" s="149" t="str">
        <f>Scott!I140</f>
        <v>NI Developer Suite 2015 DS2 Install</v>
      </c>
      <c r="J278" s="195" t="s">
        <v>550</v>
      </c>
    </row>
    <row r="279" spans="1:10" hidden="1" x14ac:dyDescent="0.25">
      <c r="A279" s="149" t="str">
        <f>Scott!A141</f>
        <v>3-Scott</v>
      </c>
      <c r="B279" s="149" t="str">
        <f>Scott!B141</f>
        <v>NI-SCOPE</v>
      </c>
      <c r="C279" s="149" t="str">
        <f>Scott!C141</f>
        <v>15.0</v>
      </c>
      <c r="D279" s="149">
        <f>Scott!D141</f>
        <v>32</v>
      </c>
      <c r="E279" s="149">
        <f>Scott!E141</f>
        <v>2015</v>
      </c>
      <c r="F279" s="149" t="str">
        <f>Scott!F141</f>
        <v>Runtime</v>
      </c>
      <c r="G279" s="149" t="str">
        <f>Scott!G141</f>
        <v>NI</v>
      </c>
      <c r="H279" s="149" t="str">
        <f>Scott!H141</f>
        <v>NI-SCOPE 15.0</v>
      </c>
      <c r="I279" s="149" t="str">
        <f>Scott!I141</f>
        <v>NI Developer Suite 2015 DS2 Install</v>
      </c>
    </row>
    <row r="280" spans="1:10" hidden="1" x14ac:dyDescent="0.25">
      <c r="A280" s="149" t="str">
        <f>Scott!A142</f>
        <v>3-Scott</v>
      </c>
      <c r="B280" s="149" t="str">
        <f>Scott!B142</f>
        <v>NI-SCOPE Configuration Support</v>
      </c>
      <c r="C280" s="149" t="str">
        <f>Scott!C142</f>
        <v>15.0</v>
      </c>
      <c r="D280" s="149">
        <f>Scott!D142</f>
        <v>32</v>
      </c>
      <c r="E280" s="149">
        <f>Scott!E142</f>
        <v>2015</v>
      </c>
      <c r="F280" s="149" t="str">
        <f>Scott!F142</f>
        <v>Development</v>
      </c>
      <c r="G280" s="149" t="str">
        <f>Scott!G142</f>
        <v>NI</v>
      </c>
      <c r="H280" s="149" t="str">
        <f>Scott!H142</f>
        <v>NI-SCOPE Configuration Support 15.0</v>
      </c>
      <c r="I280" s="149" t="str">
        <f>Scott!I142</f>
        <v>NI Developer Suite 2015 DS2 Install</v>
      </c>
      <c r="J280" s="195" t="s">
        <v>550</v>
      </c>
    </row>
    <row r="281" spans="1:10" hidden="1" x14ac:dyDescent="0.25">
      <c r="A281" s="149" t="str">
        <f>Scott!A143</f>
        <v>3-Scott</v>
      </c>
      <c r="B281" s="149" t="str">
        <f>Scott!B143</f>
        <v>NI-SCOPE Development Support</v>
      </c>
      <c r="C281" s="149" t="str">
        <f>Scott!C143</f>
        <v>15.0</v>
      </c>
      <c r="D281" s="149">
        <f>Scott!D143</f>
        <v>32</v>
      </c>
      <c r="E281" s="149">
        <f>Scott!E143</f>
        <v>2015</v>
      </c>
      <c r="F281" s="149" t="str">
        <f>Scott!F143</f>
        <v>Development</v>
      </c>
      <c r="G281" s="149" t="str">
        <f>Scott!G143</f>
        <v>NI</v>
      </c>
      <c r="H281" s="149" t="str">
        <f>Scott!H143</f>
        <v>NI-SCOPE Development Support 15.0</v>
      </c>
      <c r="I281" s="149" t="str">
        <f>Scott!I143</f>
        <v>NI Developer Suite 2015 DS2 Install</v>
      </c>
      <c r="J281" s="195" t="s">
        <v>550</v>
      </c>
    </row>
    <row r="282" spans="1:10" hidden="1" x14ac:dyDescent="0.25">
      <c r="A282" s="149" t="str">
        <f>Scott!A144</f>
        <v>3-Scott</v>
      </c>
      <c r="B282" s="149" t="str">
        <f>Scott!B144</f>
        <v>NI-SCOPE Soft Front Panel</v>
      </c>
      <c r="C282" s="149" t="str">
        <f>Scott!C144</f>
        <v>15.0</v>
      </c>
      <c r="D282" s="149">
        <f>Scott!D144</f>
        <v>32</v>
      </c>
      <c r="E282" s="149">
        <f>Scott!E144</f>
        <v>2015</v>
      </c>
      <c r="F282" s="149" t="str">
        <f>Scott!F144</f>
        <v>Development</v>
      </c>
      <c r="G282" s="149" t="str">
        <f>Scott!G144</f>
        <v>NI</v>
      </c>
      <c r="H282" s="149" t="str">
        <f>Scott!H144</f>
        <v>NI-SCOPE Soft Front Panel 15.0</v>
      </c>
      <c r="I282" s="149" t="str">
        <f>Scott!I144</f>
        <v>NI Developer Suite 2015 DS2 Install</v>
      </c>
      <c r="J282" s="195" t="s">
        <v>550</v>
      </c>
    </row>
    <row r="283" spans="1:10" hidden="1" x14ac:dyDescent="0.25">
      <c r="A283" s="148" t="str">
        <f>Originals!A307</f>
        <v>4-Vinnie</v>
      </c>
      <c r="B283" s="148" t="str">
        <f>Originals!B307</f>
        <v>NI-Serial</v>
      </c>
      <c r="C283" s="148" t="str">
        <f>Originals!C307</f>
        <v>18.5.0f0</v>
      </c>
      <c r="D283" s="148" t="str">
        <f>Originals!D307</f>
        <v>32</v>
      </c>
      <c r="E283" s="148" t="str">
        <f>Originals!E307</f>
        <v>2018</v>
      </c>
      <c r="F283" s="148" t="str">
        <f>Originals!F307</f>
        <v>Runtime</v>
      </c>
      <c r="G283" s="148" t="str">
        <f>Originals!G307</f>
        <v>NI</v>
      </c>
      <c r="H283" s="148" t="str">
        <f>Originals!H307</f>
        <v>NI-Serial 18.5.0f0</v>
      </c>
      <c r="I283" s="148">
        <f>Originals!I307</f>
        <v>0</v>
      </c>
    </row>
    <row r="284" spans="1:10" hidden="1" x14ac:dyDescent="0.25">
      <c r="A284" s="149" t="str">
        <f>Scott!A145</f>
        <v>3-Scott</v>
      </c>
      <c r="B284" s="149" t="str">
        <f>Scott!B145</f>
        <v>NI-Serial</v>
      </c>
      <c r="C284" s="149" t="str">
        <f>Scott!C145</f>
        <v>19.0.0f0</v>
      </c>
      <c r="D284" s="149">
        <f>Scott!D145</f>
        <v>32</v>
      </c>
      <c r="E284" s="149">
        <f>Scott!E145</f>
        <v>2019</v>
      </c>
      <c r="F284" s="149" t="str">
        <f>Scott!F145</f>
        <v>Runtime</v>
      </c>
      <c r="G284" s="149" t="str">
        <f>Scott!G145</f>
        <v>NI</v>
      </c>
      <c r="H284" s="149" t="str">
        <f>Scott!H145</f>
        <v>NI-Serial 19.0.0f0</v>
      </c>
      <c r="I284" s="149" t="str">
        <f>Scott!I145</f>
        <v>LabVIEW 2019</v>
      </c>
    </row>
    <row r="285" spans="1:10" x14ac:dyDescent="0.25">
      <c r="A285" s="148" t="str">
        <f>Originals!A306</f>
        <v>4-Vinnie</v>
      </c>
      <c r="B285" s="148" t="str">
        <f>Originals!B306</f>
        <v>NI-Serial Configuration</v>
      </c>
      <c r="C285" s="148" t="str">
        <f>Originals!C306</f>
        <v>18.5.0f0</v>
      </c>
      <c r="D285" s="148" t="str">
        <f>Originals!D306</f>
        <v>32</v>
      </c>
      <c r="E285" s="148" t="str">
        <f>Originals!E306</f>
        <v>2018</v>
      </c>
      <c r="F285" s="148" t="str">
        <f>Originals!F306</f>
        <v>Development</v>
      </c>
      <c r="G285" s="148" t="str">
        <f>Originals!G306</f>
        <v>NI</v>
      </c>
      <c r="H285" s="148" t="str">
        <f>Originals!H306</f>
        <v>NI-Serial Configuration 18.5.0f0</v>
      </c>
      <c r="I285" s="148">
        <f>Originals!I306</f>
        <v>0</v>
      </c>
      <c r="J285" s="202" t="s">
        <v>555</v>
      </c>
    </row>
    <row r="286" spans="1:10" x14ac:dyDescent="0.25">
      <c r="A286" s="149" t="str">
        <f>Scott!A146</f>
        <v>3-Scott</v>
      </c>
      <c r="B286" s="149" t="str">
        <f>Scott!B146</f>
        <v>NI-Serial Configuration</v>
      </c>
      <c r="C286" s="149" t="str">
        <f>Scott!C146</f>
        <v>17.5.0f0</v>
      </c>
      <c r="D286" s="149" t="str">
        <f>Scott!D146</f>
        <v>32</v>
      </c>
      <c r="E286" s="149" t="str">
        <f>Scott!E146</f>
        <v>2017</v>
      </c>
      <c r="F286" s="149" t="str">
        <f>Scott!F146</f>
        <v>Development</v>
      </c>
      <c r="G286" s="149" t="str">
        <f>Scott!G146</f>
        <v>NI</v>
      </c>
      <c r="H286" s="149" t="str">
        <f>Scott!H146</f>
        <v>NI-Serial Configuration 17.5.0f0</v>
      </c>
      <c r="I286" s="149" t="str">
        <f>Scott!I146</f>
        <v>CompactRIO 18.1.0</v>
      </c>
      <c r="J286" s="202" t="s">
        <v>555</v>
      </c>
    </row>
    <row r="287" spans="1:10" hidden="1" x14ac:dyDescent="0.25">
      <c r="A287" s="149" t="str">
        <f>Scott!A147</f>
        <v>3-Scott</v>
      </c>
      <c r="B287" s="149" t="str">
        <f>Scott!B147</f>
        <v>NI-SWITCH</v>
      </c>
      <c r="C287" s="149" t="str">
        <f>Scott!C147</f>
        <v>15.0</v>
      </c>
      <c r="D287" s="149">
        <f>Scott!D147</f>
        <v>32</v>
      </c>
      <c r="E287" s="149">
        <f>Scott!E147</f>
        <v>2015</v>
      </c>
      <c r="F287" s="149" t="str">
        <f>Scott!F147</f>
        <v>Development</v>
      </c>
      <c r="G287" s="149" t="str">
        <f>Scott!G147</f>
        <v>NI</v>
      </c>
      <c r="H287" s="149" t="str">
        <f>Scott!H147</f>
        <v>NI-SWITCH 15.0</v>
      </c>
      <c r="I287" s="149" t="str">
        <f>Scott!I147</f>
        <v>NI Developer Suite 2015 DS2 Install</v>
      </c>
      <c r="J287" s="195" t="s">
        <v>550</v>
      </c>
    </row>
    <row r="288" spans="1:10" hidden="1" x14ac:dyDescent="0.25">
      <c r="A288" s="149" t="str">
        <f>Scott!A148</f>
        <v>3-Scott</v>
      </c>
      <c r="B288" s="149" t="str">
        <f>Scott!B148</f>
        <v>NI-SWITCH</v>
      </c>
      <c r="C288" s="149" t="str">
        <f>Scott!C148</f>
        <v>15.0</v>
      </c>
      <c r="D288" s="149">
        <f>Scott!D148</f>
        <v>32</v>
      </c>
      <c r="E288" s="149">
        <f>Scott!E148</f>
        <v>2015</v>
      </c>
      <c r="F288" s="149" t="str">
        <f>Scott!F148</f>
        <v>Runtime</v>
      </c>
      <c r="G288" s="149" t="str">
        <f>Scott!G148</f>
        <v>NI</v>
      </c>
      <c r="H288" s="149" t="str">
        <f>Scott!H148</f>
        <v>NI-SWITCH 15.0</v>
      </c>
      <c r="I288" s="149" t="str">
        <f>Scott!I148</f>
        <v>NI Developer Suite 2015 DS2 Install</v>
      </c>
    </row>
    <row r="289" spans="1:10" hidden="1" x14ac:dyDescent="0.25">
      <c r="A289" s="149" t="str">
        <f>Scott!A149</f>
        <v>3-Scott</v>
      </c>
      <c r="B289" s="149" t="str">
        <f>Scott!B149</f>
        <v>NI-SWITCH Configuration Support</v>
      </c>
      <c r="C289" s="149" t="str">
        <f>Scott!C149</f>
        <v>15.0</v>
      </c>
      <c r="D289" s="149">
        <f>Scott!D149</f>
        <v>32</v>
      </c>
      <c r="E289" s="149">
        <f>Scott!E149</f>
        <v>2015</v>
      </c>
      <c r="F289" s="149" t="str">
        <f>Scott!F149</f>
        <v>Development</v>
      </c>
      <c r="G289" s="149" t="str">
        <f>Scott!G149</f>
        <v>NI</v>
      </c>
      <c r="H289" s="149" t="str">
        <f>Scott!H149</f>
        <v>NI-SWITCH Configuration Support 15.0</v>
      </c>
      <c r="I289" s="149" t="str">
        <f>Scott!I149</f>
        <v>NI Developer Suite 2015 DS2 Install</v>
      </c>
      <c r="J289" s="195" t="s">
        <v>550</v>
      </c>
    </row>
    <row r="290" spans="1:10" hidden="1" x14ac:dyDescent="0.25">
      <c r="A290" s="149" t="str">
        <f>Scott!A150</f>
        <v>3-Scott</v>
      </c>
      <c r="B290" s="149" t="str">
        <f>Scott!B150</f>
        <v>NI-SWITCH Development Support</v>
      </c>
      <c r="C290" s="149" t="str">
        <f>Scott!C150</f>
        <v>15.0</v>
      </c>
      <c r="D290" s="149">
        <f>Scott!D150</f>
        <v>32</v>
      </c>
      <c r="E290" s="149">
        <f>Scott!E150</f>
        <v>2015</v>
      </c>
      <c r="F290" s="149" t="str">
        <f>Scott!F150</f>
        <v>Development</v>
      </c>
      <c r="G290" s="149" t="str">
        <f>Scott!G150</f>
        <v>NI</v>
      </c>
      <c r="H290" s="149" t="str">
        <f>Scott!H150</f>
        <v>NI-SWITCH Development Support 15.0</v>
      </c>
      <c r="I290" s="149" t="str">
        <f>Scott!I150</f>
        <v>NI Developer Suite 2015 DS2 Install</v>
      </c>
      <c r="J290" s="195" t="s">
        <v>550</v>
      </c>
    </row>
    <row r="291" spans="1:10" hidden="1" x14ac:dyDescent="0.25">
      <c r="A291" s="149" t="str">
        <f>Scott!A151</f>
        <v>3-Scott</v>
      </c>
      <c r="B291" s="149" t="str">
        <f>Scott!B151</f>
        <v>NI-SWITCH Soft Front Panel</v>
      </c>
      <c r="C291" s="149" t="str">
        <f>Scott!C151</f>
        <v>18.1.0</v>
      </c>
      <c r="D291" s="149" t="str">
        <f>Scott!D151</f>
        <v>32</v>
      </c>
      <c r="E291" s="149" t="str">
        <f>Scott!E151</f>
        <v>2018</v>
      </c>
      <c r="F291" s="149" t="str">
        <f>Scott!F151</f>
        <v>Development</v>
      </c>
      <c r="G291" s="149" t="str">
        <f>Scott!G151</f>
        <v>NI</v>
      </c>
      <c r="H291" s="149" t="str">
        <f>Scott!H151</f>
        <v>NI-Switch Soft Front Panel 18.1.0</v>
      </c>
      <c r="I291" s="149" t="str">
        <f>Scott!I151</f>
        <v>CompactRIO 18.1.0</v>
      </c>
      <c r="J291" s="195" t="s">
        <v>550</v>
      </c>
    </row>
    <row r="292" spans="1:10" hidden="1" x14ac:dyDescent="0.25">
      <c r="A292" s="148" t="str">
        <f>Originals!A308</f>
        <v>4-Vinnie</v>
      </c>
      <c r="B292" s="148" t="str">
        <f>Originals!B308</f>
        <v>NI-Sync</v>
      </c>
      <c r="C292" s="148" t="str">
        <f>Originals!C308</f>
        <v>15.0.1f0</v>
      </c>
      <c r="D292" s="148" t="str">
        <f>Originals!D308</f>
        <v>32</v>
      </c>
      <c r="E292" s="148" t="str">
        <f>Originals!E308</f>
        <v>2015</v>
      </c>
      <c r="F292" s="148" t="str">
        <f>Originals!F308</f>
        <v>Runtime</v>
      </c>
      <c r="G292" s="148" t="str">
        <f>Originals!G308</f>
        <v>NI</v>
      </c>
      <c r="H292" s="148" t="str">
        <f>Originals!H308</f>
        <v>NI-Sync 15.0.1f0</v>
      </c>
      <c r="I292" s="148">
        <f>Originals!I308</f>
        <v>0</v>
      </c>
    </row>
    <row r="293" spans="1:10" hidden="1" x14ac:dyDescent="0.25">
      <c r="A293" s="148" t="str">
        <f>Originals!A309</f>
        <v>4-Vinnie</v>
      </c>
      <c r="B293" s="148" t="str">
        <f>Originals!B309</f>
        <v>NI-Sync</v>
      </c>
      <c r="C293" s="148" t="str">
        <f>Originals!C309</f>
        <v>15.0.1f0</v>
      </c>
      <c r="D293" s="148" t="str">
        <f>Originals!D309</f>
        <v>32</v>
      </c>
      <c r="E293" s="148">
        <f>Originals!E309</f>
        <v>2015</v>
      </c>
      <c r="F293" s="148" t="str">
        <f>Originals!F309</f>
        <v>Development</v>
      </c>
      <c r="G293" s="148" t="str">
        <f>Originals!G309</f>
        <v>NI</v>
      </c>
      <c r="H293" s="148" t="str">
        <f>Originals!H309</f>
        <v>NI-Sync 15.0.1f0</v>
      </c>
      <c r="I293" s="148">
        <f>Originals!I309</f>
        <v>0</v>
      </c>
      <c r="J293" s="195" t="s">
        <v>550</v>
      </c>
    </row>
    <row r="294" spans="1:10" hidden="1" x14ac:dyDescent="0.25">
      <c r="A294" s="149" t="str">
        <f>Scott!A152</f>
        <v>3-Scott</v>
      </c>
      <c r="B294" s="149" t="str">
        <f>Scott!B152</f>
        <v>NI-Sync</v>
      </c>
      <c r="C294" s="149" t="str">
        <f>Scott!C152</f>
        <v>18.1.0f0</v>
      </c>
      <c r="D294" s="149" t="str">
        <f>Scott!D152</f>
        <v>32</v>
      </c>
      <c r="E294" s="149" t="str">
        <f>Scott!E152</f>
        <v>2018</v>
      </c>
      <c r="F294" s="149" t="str">
        <f>Scott!F152</f>
        <v>Development</v>
      </c>
      <c r="G294" s="149" t="str">
        <f>Scott!G152</f>
        <v>NI</v>
      </c>
      <c r="H294" s="149" t="str">
        <f>Scott!H152</f>
        <v>NI-Sync 18.1.0f0</v>
      </c>
      <c r="I294" s="149" t="str">
        <f>Scott!I152</f>
        <v>CompactRIO 18.1.0</v>
      </c>
      <c r="J294" s="195" t="s">
        <v>550</v>
      </c>
    </row>
    <row r="295" spans="1:10" hidden="1" x14ac:dyDescent="0.25">
      <c r="A295" s="149" t="str">
        <f>Scott!A153</f>
        <v>3-Scott</v>
      </c>
      <c r="B295" s="149" t="str">
        <f>Scott!B153</f>
        <v>NI-TClk</v>
      </c>
      <c r="C295" s="149" t="str">
        <f>Scott!C153</f>
        <v>15.0</v>
      </c>
      <c r="D295" s="149">
        <f>Scott!D153</f>
        <v>32</v>
      </c>
      <c r="E295" s="149">
        <f>Scott!E153</f>
        <v>2015</v>
      </c>
      <c r="F295" s="149" t="str">
        <f>Scott!F153</f>
        <v>Development</v>
      </c>
      <c r="G295" s="149" t="str">
        <f>Scott!G153</f>
        <v>NI</v>
      </c>
      <c r="H295" s="149" t="str">
        <f>Scott!H153</f>
        <v>NI-TClk 15.0</v>
      </c>
      <c r="I295" s="149" t="str">
        <f>Scott!I153</f>
        <v>NI Developer Suite 2015 DS2 Install</v>
      </c>
      <c r="J295" s="195" t="s">
        <v>550</v>
      </c>
    </row>
    <row r="296" spans="1:10" hidden="1" x14ac:dyDescent="0.25">
      <c r="A296" s="148" t="str">
        <f>Originals!A310</f>
        <v>4-Vinnie</v>
      </c>
      <c r="B296" s="148" t="str">
        <f>Originals!B310</f>
        <v>NI-TimeSync</v>
      </c>
      <c r="C296" s="148" t="str">
        <f>Originals!C310</f>
        <v>15.0.0f0</v>
      </c>
      <c r="D296" s="148" t="str">
        <f>Originals!D310</f>
        <v>32</v>
      </c>
      <c r="E296" s="148">
        <f>Originals!E310</f>
        <v>2015</v>
      </c>
      <c r="F296" s="148" t="str">
        <f>Originals!F310</f>
        <v>Development</v>
      </c>
      <c r="G296" s="148" t="str">
        <f>Originals!G310</f>
        <v>NI</v>
      </c>
      <c r="H296" s="148" t="str">
        <f>Originals!H310</f>
        <v>NI-TimeSync 15.0.0f0</v>
      </c>
      <c r="I296" s="148">
        <f>Originals!I310</f>
        <v>0</v>
      </c>
      <c r="J296" s="195" t="s">
        <v>550</v>
      </c>
    </row>
    <row r="297" spans="1:10" hidden="1" x14ac:dyDescent="0.25">
      <c r="A297" s="149" t="str">
        <f>Scott!A154</f>
        <v>3-Scott</v>
      </c>
      <c r="B297" s="149" t="str">
        <f>Scott!B154</f>
        <v>NI-TimeSync</v>
      </c>
      <c r="C297" s="149" t="str">
        <f>Scott!C154</f>
        <v>15.0.0f0</v>
      </c>
      <c r="D297" s="149">
        <f>Scott!D154</f>
        <v>32</v>
      </c>
      <c r="E297" s="149">
        <f>Scott!E154</f>
        <v>2015</v>
      </c>
      <c r="F297" s="149" t="str">
        <f>Scott!F154</f>
        <v>Development</v>
      </c>
      <c r="G297" s="149" t="str">
        <f>Scott!G154</f>
        <v>NI</v>
      </c>
      <c r="H297" s="149" t="str">
        <f>Scott!H154</f>
        <v>NI-TimeSync 15.0.0f0</v>
      </c>
      <c r="I297" s="149" t="str">
        <f>Scott!I154</f>
        <v>NI Developer Suite 2015 DS2 Install</v>
      </c>
      <c r="J297" s="195" t="s">
        <v>550</v>
      </c>
    </row>
    <row r="298" spans="1:10" x14ac:dyDescent="0.25">
      <c r="A298" s="148" t="str">
        <f>Originals!A311</f>
        <v>4-Vinnie</v>
      </c>
      <c r="B298" s="148" t="str">
        <f>Originals!B311</f>
        <v>NI-USI</v>
      </c>
      <c r="C298" s="148" t="str">
        <f>Originals!C311</f>
        <v>18.5.5.7372</v>
      </c>
      <c r="D298" s="148" t="str">
        <f>Originals!D311</f>
        <v>32</v>
      </c>
      <c r="E298" s="148" t="str">
        <f>Originals!E311</f>
        <v>2018</v>
      </c>
      <c r="F298" s="148" t="str">
        <f>Originals!F311</f>
        <v>Development</v>
      </c>
      <c r="G298" s="148" t="str">
        <f>Originals!G311</f>
        <v>NI</v>
      </c>
      <c r="H298" s="148" t="str">
        <f>Originals!H311</f>
        <v>NI-USI 18.5.5.7372</v>
      </c>
      <c r="I298" s="148">
        <f>Originals!I311</f>
        <v>0</v>
      </c>
      <c r="J298" s="205" t="s">
        <v>556</v>
      </c>
    </row>
    <row r="299" spans="1:10" x14ac:dyDescent="0.25">
      <c r="A299" s="149" t="str">
        <f>Scott!A155</f>
        <v>3-Scott</v>
      </c>
      <c r="B299" s="149" t="str">
        <f>Scott!B155</f>
        <v>NI-USI</v>
      </c>
      <c r="C299" s="149" t="str">
        <f>Scott!C155</f>
        <v>15.0.1.6118</v>
      </c>
      <c r="D299" s="149">
        <f>Scott!D155</f>
        <v>32</v>
      </c>
      <c r="E299" s="149">
        <f>Scott!E155</f>
        <v>2015</v>
      </c>
      <c r="F299" s="149" t="str">
        <f>Scott!F155</f>
        <v>Development</v>
      </c>
      <c r="G299" s="149" t="str">
        <f>Scott!G155</f>
        <v>NI</v>
      </c>
      <c r="H299" s="149" t="str">
        <f>Scott!H155</f>
        <v>NI-USI 15.0.1.6118</v>
      </c>
      <c r="I299" s="149" t="str">
        <f>Scott!I155</f>
        <v>LabVIEW 2015 SP1</v>
      </c>
      <c r="J299" s="205" t="s">
        <v>556</v>
      </c>
    </row>
    <row r="300" spans="1:10" hidden="1" x14ac:dyDescent="0.25">
      <c r="A300" s="148" t="str">
        <f>Originals!A312</f>
        <v>4-Vinnie</v>
      </c>
      <c r="B300" s="148" t="str">
        <f>Originals!B312</f>
        <v>NI-VISA</v>
      </c>
      <c r="C300" s="148" t="str">
        <f>Originals!C312</f>
        <v>15.5.0</v>
      </c>
      <c r="D300" s="148" t="str">
        <f>Originals!D312</f>
        <v>32</v>
      </c>
      <c r="E300" s="148" t="str">
        <f>Originals!E312</f>
        <v>2015</v>
      </c>
      <c r="F300" s="148" t="str">
        <f>Originals!F312</f>
        <v>C-RIO</v>
      </c>
      <c r="G300" s="148" t="str">
        <f>Originals!G312</f>
        <v>NI</v>
      </c>
      <c r="H300" s="148" t="str">
        <f>Originals!H312</f>
        <v>NI-VISA 15.5.0</v>
      </c>
      <c r="I300" s="148">
        <f>Originals!I312</f>
        <v>0</v>
      </c>
    </row>
    <row r="301" spans="1:10" hidden="1" x14ac:dyDescent="0.25">
      <c r="A301" s="148" t="str">
        <f>Originals!A313</f>
        <v>4-Vinnie</v>
      </c>
      <c r="B301" s="148" t="str">
        <f>Originals!B313</f>
        <v>NI-VISA</v>
      </c>
      <c r="C301" s="148">
        <f>Originals!C313</f>
        <v>19.5</v>
      </c>
      <c r="D301" s="148" t="str">
        <f>Originals!D313</f>
        <v>32</v>
      </c>
      <c r="E301" s="148" t="str">
        <f>Originals!E313</f>
        <v>2019</v>
      </c>
      <c r="F301" s="148" t="str">
        <f>Originals!F313</f>
        <v>Development</v>
      </c>
      <c r="G301" s="148" t="str">
        <f>Originals!G313</f>
        <v>NI</v>
      </c>
      <c r="H301" s="148" t="str">
        <f>Originals!H313</f>
        <v>NI-VISA 19.5</v>
      </c>
      <c r="I301" s="148">
        <f>Originals!I313</f>
        <v>0</v>
      </c>
      <c r="J301" s="195" t="s">
        <v>550</v>
      </c>
    </row>
    <row r="302" spans="1:10" hidden="1" x14ac:dyDescent="0.25">
      <c r="A302" s="148" t="str">
        <f>Originals!A314</f>
        <v>4-Vinnie</v>
      </c>
      <c r="B302" s="148" t="str">
        <f>Originals!B314</f>
        <v>NI-VISA</v>
      </c>
      <c r="C302" s="148">
        <f>Originals!C314</f>
        <v>19.5</v>
      </c>
      <c r="D302" s="148" t="str">
        <f>Originals!D314</f>
        <v>32</v>
      </c>
      <c r="E302" s="148" t="str">
        <f>Originals!E314</f>
        <v>2019</v>
      </c>
      <c r="F302" s="148" t="str">
        <f>Originals!F314</f>
        <v>Runtime</v>
      </c>
      <c r="G302" s="148" t="str">
        <f>Originals!G314</f>
        <v>NI</v>
      </c>
      <c r="H302" s="148" t="str">
        <f>Originals!H314</f>
        <v>NI-VISA 19.5</v>
      </c>
      <c r="I302" s="148">
        <f>Originals!I314</f>
        <v>0</v>
      </c>
    </row>
    <row r="303" spans="1:10" hidden="1" x14ac:dyDescent="0.25">
      <c r="A303" s="149" t="str">
        <f>Scott!A156</f>
        <v>3-Scott</v>
      </c>
      <c r="B303" s="149" t="str">
        <f>Scott!B156</f>
        <v>NI-VISA</v>
      </c>
      <c r="C303" s="149" t="str">
        <f>Scott!C156</f>
        <v>15.5</v>
      </c>
      <c r="D303" s="149">
        <f>Scott!D156</f>
        <v>32</v>
      </c>
      <c r="E303" s="149">
        <f>Scott!E156</f>
        <v>2015</v>
      </c>
      <c r="F303" s="149" t="str">
        <f>Scott!F156</f>
        <v>Development</v>
      </c>
      <c r="G303" s="149" t="str">
        <f>Scott!G156</f>
        <v>NI</v>
      </c>
      <c r="H303" s="149" t="str">
        <f>Scott!H156</f>
        <v>NI-VISA 15.5</v>
      </c>
      <c r="I303" s="149" t="str">
        <f>Scott!I156</f>
        <v>2015 SP1 Update Service</v>
      </c>
      <c r="J303" s="195" t="s">
        <v>550</v>
      </c>
    </row>
    <row r="304" spans="1:10" hidden="1" x14ac:dyDescent="0.25">
      <c r="A304" s="149" t="str">
        <f>Scott!A157</f>
        <v>3-Scott</v>
      </c>
      <c r="B304" s="149" t="str">
        <f>Scott!B157</f>
        <v>NI-VISA</v>
      </c>
      <c r="C304" s="149" t="str">
        <f>Scott!C157</f>
        <v>15.5</v>
      </c>
      <c r="D304" s="149">
        <f>Scott!D157</f>
        <v>32</v>
      </c>
      <c r="E304" s="149">
        <f>Scott!E157</f>
        <v>2015</v>
      </c>
      <c r="F304" s="149" t="str">
        <f>Scott!F157</f>
        <v>Runtime</v>
      </c>
      <c r="G304" s="149" t="str">
        <f>Scott!G157</f>
        <v>NI</v>
      </c>
      <c r="H304" s="149" t="str">
        <f>Scott!H157</f>
        <v>NI-VISA 15.5</v>
      </c>
      <c r="I304" s="149" t="str">
        <f>Scott!I157</f>
        <v>2015 SP1 Update Service</v>
      </c>
    </row>
    <row r="305" spans="1:10" hidden="1" x14ac:dyDescent="0.25">
      <c r="A305" s="148" t="str">
        <f>Originals!A315</f>
        <v>4-Vinnie</v>
      </c>
      <c r="B305" s="148" t="str">
        <f>Originals!B315</f>
        <v>NIvisaic.exe</v>
      </c>
      <c r="C305" s="148" t="str">
        <f>Originals!C315</f>
        <v>18.5.0.49152</v>
      </c>
      <c r="D305" s="148" t="str">
        <f>Originals!D315</f>
        <v>32</v>
      </c>
      <c r="E305" s="148" t="str">
        <f>Originals!E315</f>
        <v>2018</v>
      </c>
      <c r="F305" s="148" t="str">
        <f>Originals!F315</f>
        <v>Development</v>
      </c>
      <c r="G305" s="148" t="str">
        <f>Originals!G315</f>
        <v>NI</v>
      </c>
      <c r="H305" s="148" t="str">
        <f>Originals!H315</f>
        <v>NIvisaic.exe 18.5.0.49152</v>
      </c>
      <c r="I305" s="148" t="str">
        <f>Originals!I315</f>
        <v>NI Developer Suite 2015 DS2 Install</v>
      </c>
      <c r="J305" s="195" t="s">
        <v>550</v>
      </c>
    </row>
    <row r="306" spans="1:10" hidden="1" x14ac:dyDescent="0.25">
      <c r="A306" s="149" t="str">
        <f>Scott!A158</f>
        <v>3-Scott</v>
      </c>
      <c r="B306" s="149" t="str">
        <f>Scott!B158</f>
        <v>NIvisaic.exe</v>
      </c>
      <c r="C306" s="149" t="str">
        <f>Scott!C158</f>
        <v>15.0.0.49152</v>
      </c>
      <c r="D306" s="149">
        <f>Scott!D158</f>
        <v>32</v>
      </c>
      <c r="E306" s="149">
        <f>Scott!E158</f>
        <v>2015</v>
      </c>
      <c r="F306" s="149" t="str">
        <f>Scott!F158</f>
        <v>Development</v>
      </c>
      <c r="G306" s="149" t="str">
        <f>Scott!G158</f>
        <v>NI</v>
      </c>
      <c r="H306" s="149" t="str">
        <f>Scott!H158</f>
        <v>NIvisaic.exe 15.0.0.49152</v>
      </c>
      <c r="I306" s="149" t="str">
        <f>Scott!I158</f>
        <v>NI Developer Suite 2015 DS2 Install</v>
      </c>
      <c r="J306" s="195" t="s">
        <v>550</v>
      </c>
    </row>
    <row r="307" spans="1:10" hidden="1" x14ac:dyDescent="0.25">
      <c r="A307" s="148" t="str">
        <f>Originals!A316</f>
        <v>4-Vinnie</v>
      </c>
      <c r="B307" s="148" t="str">
        <f>Originals!B316</f>
        <v>NiVisaServer.exe</v>
      </c>
      <c r="C307" s="148" t="str">
        <f>Originals!C316</f>
        <v>15.0.0.49152</v>
      </c>
      <c r="D307" s="148" t="str">
        <f>Originals!D316</f>
        <v>32</v>
      </c>
      <c r="E307" s="148">
        <f>Originals!E316</f>
        <v>2015</v>
      </c>
      <c r="F307" s="148" t="str">
        <f>Originals!F316</f>
        <v>Development</v>
      </c>
      <c r="G307" s="148" t="str">
        <f>Originals!G316</f>
        <v>NI</v>
      </c>
      <c r="H307" s="148" t="str">
        <f>Originals!H316</f>
        <v>NiVisaServer.exe 15.0.0.49152</v>
      </c>
      <c r="I307" s="148" t="str">
        <f>Originals!I316</f>
        <v>NI Developer Suite 2015 DS2 Install</v>
      </c>
      <c r="J307" s="195" t="s">
        <v>550</v>
      </c>
    </row>
    <row r="308" spans="1:10" hidden="1" x14ac:dyDescent="0.25">
      <c r="A308" s="149" t="str">
        <f>Scott!A159</f>
        <v>3-Scott</v>
      </c>
      <c r="B308" s="149" t="str">
        <f>Scott!B159</f>
        <v>NiVisaServer.exe</v>
      </c>
      <c r="C308" s="149" t="str">
        <f>Scott!C159</f>
        <v>15.0.0.49152</v>
      </c>
      <c r="D308" s="149">
        <f>Scott!D159</f>
        <v>32</v>
      </c>
      <c r="E308" s="149">
        <f>Scott!E159</f>
        <v>2015</v>
      </c>
      <c r="F308" s="149" t="str">
        <f>Scott!F159</f>
        <v>Development</v>
      </c>
      <c r="G308" s="149" t="str">
        <f>Scott!G159</f>
        <v>NI</v>
      </c>
      <c r="H308" s="149" t="str">
        <f>Scott!H159</f>
        <v>NiVisaServer.exe 15.0.0.49152</v>
      </c>
      <c r="I308" s="149" t="str">
        <f>Scott!I159</f>
        <v>NI Developer Suite 2015 DS2 Install</v>
      </c>
      <c r="J308" s="195" t="s">
        <v>550</v>
      </c>
    </row>
    <row r="309" spans="1:10" hidden="1" x14ac:dyDescent="0.25">
      <c r="A309" s="148" t="str">
        <f>Originals!A317</f>
        <v>4-Vinnie</v>
      </c>
      <c r="B309" s="148" t="str">
        <f>Originals!B317</f>
        <v>NI-Watchdog</v>
      </c>
      <c r="C309" s="148" t="str">
        <f>Originals!C317</f>
        <v>15.0.0</v>
      </c>
      <c r="D309" s="148" t="str">
        <f>Originals!D317</f>
        <v>32</v>
      </c>
      <c r="E309" s="148" t="str">
        <f>Originals!E317</f>
        <v>2015</v>
      </c>
      <c r="F309" s="148" t="str">
        <f>Originals!F317</f>
        <v>C-RIO</v>
      </c>
      <c r="G309" s="148" t="str">
        <f>Originals!G317</f>
        <v>NI</v>
      </c>
      <c r="H309" s="148" t="str">
        <f>Originals!H317</f>
        <v>NI-Watchdog 15.0.0</v>
      </c>
      <c r="I309" s="148">
        <f>Originals!I317</f>
        <v>0</v>
      </c>
    </row>
    <row r="310" spans="1:10" x14ac:dyDescent="0.25">
      <c r="A310" s="148" t="str">
        <f>Originals!A318</f>
        <v>4-Vinnie</v>
      </c>
      <c r="B310" s="148" t="str">
        <f>Originals!B318</f>
        <v>NI-XNET</v>
      </c>
      <c r="C310" s="148" t="str">
        <f>Originals!C318</f>
        <v>18.5.0f0</v>
      </c>
      <c r="D310" s="148" t="str">
        <f>Originals!D318</f>
        <v>32</v>
      </c>
      <c r="E310" s="148" t="str">
        <f>Originals!E318</f>
        <v>2018</v>
      </c>
      <c r="F310" s="148" t="str">
        <f>Originals!F318</f>
        <v>Development</v>
      </c>
      <c r="G310" s="148" t="str">
        <f>Originals!G318</f>
        <v>NI</v>
      </c>
      <c r="H310" s="148" t="str">
        <f>Originals!H318</f>
        <v>NI-XNET 18.5.0f0</v>
      </c>
      <c r="I310" s="148">
        <f>Originals!I318</f>
        <v>0</v>
      </c>
      <c r="J310" s="203" t="s">
        <v>552</v>
      </c>
    </row>
    <row r="311" spans="1:10" hidden="1" x14ac:dyDescent="0.25">
      <c r="A311" s="148" t="str">
        <f>Originals!A319</f>
        <v>4-Vinnie</v>
      </c>
      <c r="B311" s="148" t="str">
        <f>Originals!B319</f>
        <v>NI-XNET</v>
      </c>
      <c r="C311" s="148" t="str">
        <f>Originals!C319</f>
        <v>18.5.0f1</v>
      </c>
      <c r="D311" s="148" t="str">
        <f>Originals!D319</f>
        <v>32</v>
      </c>
      <c r="E311" s="148" t="str">
        <f>Originals!E319</f>
        <v>2018</v>
      </c>
      <c r="F311" s="148" t="str">
        <f>Originals!F319</f>
        <v>Runtime</v>
      </c>
      <c r="G311" s="148" t="str">
        <f>Originals!G319</f>
        <v>NI</v>
      </c>
      <c r="H311" s="148" t="str">
        <f>Originals!H319</f>
        <v>NI-XNET 18.5.0f1</v>
      </c>
      <c r="I311" s="148">
        <f>Originals!I319</f>
        <v>0</v>
      </c>
    </row>
    <row r="312" spans="1:10" hidden="1" x14ac:dyDescent="0.25">
      <c r="A312" s="149" t="str">
        <f>Scott!A160</f>
        <v>3-Scott</v>
      </c>
      <c r="B312" s="149" t="str">
        <f>Scott!B160</f>
        <v>NI-XNET</v>
      </c>
      <c r="C312" s="149" t="str">
        <f>Scott!C160</f>
        <v>19.0.0f1</v>
      </c>
      <c r="D312" s="149" t="str">
        <f>Scott!D160</f>
        <v>32</v>
      </c>
      <c r="E312" s="149" t="str">
        <f>Scott!E160</f>
        <v>2019</v>
      </c>
      <c r="F312" s="149" t="str">
        <f>Scott!F160</f>
        <v>Runtime</v>
      </c>
      <c r="G312" s="149" t="str">
        <f>Scott!G160</f>
        <v>NI</v>
      </c>
      <c r="H312" s="149" t="str">
        <f>Scott!H160</f>
        <v>NI-XNET 2019 19.0.0f1</v>
      </c>
      <c r="I312" s="149" t="str">
        <f>Scott!I160</f>
        <v>LabVIEW 2019</v>
      </c>
    </row>
    <row r="313" spans="1:10" hidden="1" x14ac:dyDescent="0.25">
      <c r="A313" s="149" t="str">
        <f>Scott!A161</f>
        <v>3-Scott</v>
      </c>
      <c r="B313" s="149" t="str">
        <f>Scott!B161</f>
        <v>Open Source GOOP Development Suite</v>
      </c>
      <c r="C313" s="149" t="str">
        <f>Scott!C161</f>
        <v>1.1.17.56</v>
      </c>
      <c r="D313" s="149" t="str">
        <f>Scott!D161</f>
        <v>32</v>
      </c>
      <c r="E313" s="149" t="str">
        <f>Scott!E161</f>
        <v>N/A</v>
      </c>
      <c r="F313" s="149" t="str">
        <f>Scott!F161</f>
        <v>Development</v>
      </c>
      <c r="G313" s="149" t="str">
        <f>Scott!G161</f>
        <v>OpenG.org</v>
      </c>
      <c r="H313" s="149" t="str">
        <f>Scott!H161</f>
        <v>Open Source GOOP Development Suite 1.1.17.56</v>
      </c>
      <c r="I313" s="149" t="str">
        <f>Scott!I161</f>
        <v>VIPM Community</v>
      </c>
      <c r="J313" s="195" t="s">
        <v>550</v>
      </c>
    </row>
    <row r="314" spans="1:10" hidden="1" x14ac:dyDescent="0.25">
      <c r="A314" s="148" t="str">
        <f>Originals!A320</f>
        <v>4-Vinnie</v>
      </c>
      <c r="B314" s="148" t="str">
        <f>Originals!B320</f>
        <v>OpenG Application Control Library</v>
      </c>
      <c r="C314" s="148" t="str">
        <f>Originals!C320</f>
        <v>4.1.0.7</v>
      </c>
      <c r="D314" s="148" t="str">
        <f>Originals!D320</f>
        <v>32</v>
      </c>
      <c r="E314" s="148" t="str">
        <f>Originals!E320</f>
        <v>N/A</v>
      </c>
      <c r="F314" s="148" t="str">
        <f>Originals!F320</f>
        <v>Development</v>
      </c>
      <c r="G314" s="148" t="str">
        <f>Originals!G320</f>
        <v>OpenG.org</v>
      </c>
      <c r="H314" s="148" t="str">
        <f>Originals!H320</f>
        <v>OpenG Application Control Library 4.1.0.7</v>
      </c>
      <c r="I314" s="148" t="str">
        <f>Originals!I320</f>
        <v>VIPM Community</v>
      </c>
      <c r="J314" s="195" t="s">
        <v>550</v>
      </c>
    </row>
    <row r="315" spans="1:10" hidden="1" x14ac:dyDescent="0.25">
      <c r="A315" s="149" t="str">
        <f>Scott!A162</f>
        <v>3-Scott</v>
      </c>
      <c r="B315" s="149" t="str">
        <f>Scott!B162</f>
        <v>OpenG Application Control Library</v>
      </c>
      <c r="C315" s="149" t="str">
        <f>Scott!C162</f>
        <v>4.1.0.7</v>
      </c>
      <c r="D315" s="149" t="str">
        <f>Scott!D162</f>
        <v>32</v>
      </c>
      <c r="E315" s="149" t="str">
        <f>Scott!E162</f>
        <v>N/A</v>
      </c>
      <c r="F315" s="149" t="str">
        <f>Scott!F162</f>
        <v>Development</v>
      </c>
      <c r="G315" s="149" t="str">
        <f>Scott!G162</f>
        <v>OpenG.org</v>
      </c>
      <c r="H315" s="149" t="str">
        <f>Scott!H162</f>
        <v>OpenG Application Control Library 4.1.0.7</v>
      </c>
      <c r="I315" s="149" t="str">
        <f>Scott!I162</f>
        <v>VIPM Community</v>
      </c>
      <c r="J315" s="195" t="s">
        <v>550</v>
      </c>
    </row>
    <row r="316" spans="1:10" hidden="1" x14ac:dyDescent="0.25">
      <c r="A316" s="148" t="str">
        <f>Originals!A321</f>
        <v>4-Vinnie</v>
      </c>
      <c r="B316" s="148" t="str">
        <f>Originals!B321</f>
        <v>OpenG Array Library</v>
      </c>
      <c r="C316" s="148" t="str">
        <f>Originals!C321</f>
        <v>4.1.1.14</v>
      </c>
      <c r="D316" s="148" t="str">
        <f>Originals!D321</f>
        <v>32</v>
      </c>
      <c r="E316" s="148" t="str">
        <f>Originals!E321</f>
        <v>N/A</v>
      </c>
      <c r="F316" s="148" t="str">
        <f>Originals!F321</f>
        <v>Development</v>
      </c>
      <c r="G316" s="148" t="str">
        <f>Originals!G321</f>
        <v>OpenG.org</v>
      </c>
      <c r="H316" s="148" t="str">
        <f>Originals!H321</f>
        <v>OpenG Array Library 4.1.1.14</v>
      </c>
      <c r="I316" s="148" t="str">
        <f>Originals!I321</f>
        <v>VIPM Community</v>
      </c>
      <c r="J316" s="195" t="s">
        <v>550</v>
      </c>
    </row>
    <row r="317" spans="1:10" hidden="1" x14ac:dyDescent="0.25">
      <c r="A317" s="149" t="str">
        <f>Scott!A163</f>
        <v>3-Scott</v>
      </c>
      <c r="B317" s="149" t="str">
        <f>Scott!B163</f>
        <v>OpenG Array Library</v>
      </c>
      <c r="C317" s="149" t="str">
        <f>Scott!C163</f>
        <v>4.1.1.14</v>
      </c>
      <c r="D317" s="149" t="str">
        <f>Scott!D163</f>
        <v>32</v>
      </c>
      <c r="E317" s="149" t="str">
        <f>Scott!E163</f>
        <v>N/A</v>
      </c>
      <c r="F317" s="149" t="str">
        <f>Scott!F163</f>
        <v>Development</v>
      </c>
      <c r="G317" s="149" t="str">
        <f>Scott!G163</f>
        <v>OpenG.org</v>
      </c>
      <c r="H317" s="149" t="str">
        <f>Scott!H163</f>
        <v>OpenG Array Library 4.1.1.14</v>
      </c>
      <c r="I317" s="149" t="str">
        <f>Scott!I163</f>
        <v>VIPM Community</v>
      </c>
      <c r="J317" s="195" t="s">
        <v>550</v>
      </c>
    </row>
    <row r="318" spans="1:10" hidden="1" x14ac:dyDescent="0.25">
      <c r="A318" s="148" t="str">
        <f>Originals!A322</f>
        <v>4-Vinnie</v>
      </c>
      <c r="B318" s="148" t="str">
        <f>Originals!B322</f>
        <v>OpenG Boolean Library</v>
      </c>
      <c r="C318" s="148" t="str">
        <f>Originals!C322</f>
        <v>4.0.0.7</v>
      </c>
      <c r="D318" s="148" t="str">
        <f>Originals!D322</f>
        <v>32</v>
      </c>
      <c r="E318" s="148" t="str">
        <f>Originals!E322</f>
        <v>N/A</v>
      </c>
      <c r="F318" s="148" t="str">
        <f>Originals!F322</f>
        <v>Development</v>
      </c>
      <c r="G318" s="148" t="str">
        <f>Originals!G322</f>
        <v>OpenG.org</v>
      </c>
      <c r="H318" s="148" t="str">
        <f>Originals!H322</f>
        <v>OpenG Boolean Library 4.0.0.7</v>
      </c>
      <c r="I318" s="148" t="str">
        <f>Originals!I322</f>
        <v>VIPM Community</v>
      </c>
      <c r="J318" s="195" t="s">
        <v>550</v>
      </c>
    </row>
    <row r="319" spans="1:10" hidden="1" x14ac:dyDescent="0.25">
      <c r="A319" s="149" t="str">
        <f>Scott!A164</f>
        <v>3-Scott</v>
      </c>
      <c r="B319" s="149" t="str">
        <f>Scott!B164</f>
        <v>OpenG Boolean Library</v>
      </c>
      <c r="C319" s="149" t="str">
        <f>Scott!C164</f>
        <v>4.0.0.7</v>
      </c>
      <c r="D319" s="149" t="str">
        <f>Scott!D164</f>
        <v>32</v>
      </c>
      <c r="E319" s="149" t="str">
        <f>Scott!E164</f>
        <v>N/A</v>
      </c>
      <c r="F319" s="149" t="str">
        <f>Scott!F164</f>
        <v>Development</v>
      </c>
      <c r="G319" s="149" t="str">
        <f>Scott!G164</f>
        <v>OpenG.org</v>
      </c>
      <c r="H319" s="149" t="str">
        <f>Scott!H164</f>
        <v>OpenG Boolean Library 4.0.0.7</v>
      </c>
      <c r="I319" s="149" t="str">
        <f>Scott!I164</f>
        <v>VIPM Community</v>
      </c>
      <c r="J319" s="195" t="s">
        <v>550</v>
      </c>
    </row>
    <row r="320" spans="1:10" hidden="1" x14ac:dyDescent="0.25">
      <c r="A320" s="148" t="str">
        <f>Originals!A323</f>
        <v>4-Vinnie</v>
      </c>
      <c r="B320" s="148" t="str">
        <f>Originals!B323</f>
        <v>OpenG Builder</v>
      </c>
      <c r="C320" s="148" t="str">
        <f>Originals!C323</f>
        <v>3.0.1-2</v>
      </c>
      <c r="D320" s="148" t="str">
        <f>Originals!D323</f>
        <v>32</v>
      </c>
      <c r="E320" s="148" t="str">
        <f>Originals!E323</f>
        <v>N/A</v>
      </c>
      <c r="F320" s="148" t="str">
        <f>Originals!F323</f>
        <v>Development</v>
      </c>
      <c r="G320" s="148" t="str">
        <f>Originals!G323</f>
        <v>OpenG.org</v>
      </c>
      <c r="H320" s="148" t="str">
        <f>Originals!H323</f>
        <v>OpenG Builder 3.0.1-2</v>
      </c>
      <c r="I320" s="148" t="str">
        <f>Originals!I323</f>
        <v>VIPM Community</v>
      </c>
      <c r="J320" s="195" t="s">
        <v>550</v>
      </c>
    </row>
    <row r="321" spans="1:10" hidden="1" x14ac:dyDescent="0.25">
      <c r="A321" s="149" t="str">
        <f>Scott!A165</f>
        <v>3-Scott</v>
      </c>
      <c r="B321" s="149" t="str">
        <f>Scott!B165</f>
        <v>OpenG Builder</v>
      </c>
      <c r="C321" s="149" t="str">
        <f>Scott!C165</f>
        <v>3.0.1-2</v>
      </c>
      <c r="D321" s="149" t="str">
        <f>Scott!D165</f>
        <v>32</v>
      </c>
      <c r="E321" s="149" t="str">
        <f>Scott!E165</f>
        <v>N/A</v>
      </c>
      <c r="F321" s="149" t="str">
        <f>Scott!F165</f>
        <v>Development</v>
      </c>
      <c r="G321" s="149" t="str">
        <f>Scott!G165</f>
        <v>OpenG.org</v>
      </c>
      <c r="H321" s="149" t="str">
        <f>Scott!H165</f>
        <v>OpenG Builder 3.0.1-2</v>
      </c>
      <c r="I321" s="149" t="str">
        <f>Scott!I165</f>
        <v>VIPM Community</v>
      </c>
      <c r="J321" s="195" t="s">
        <v>550</v>
      </c>
    </row>
    <row r="322" spans="1:10" hidden="1" x14ac:dyDescent="0.25">
      <c r="A322" s="148" t="str">
        <f>Originals!A324</f>
        <v>4-Vinnie</v>
      </c>
      <c r="B322" s="148" t="str">
        <f>Originals!B324</f>
        <v>OpenG Buttons Library</v>
      </c>
      <c r="C322" s="148" t="str">
        <f>Originals!C324</f>
        <v>4.0.0.7</v>
      </c>
      <c r="D322" s="148" t="str">
        <f>Originals!D324</f>
        <v>32</v>
      </c>
      <c r="E322" s="148" t="str">
        <f>Originals!E324</f>
        <v>N/A</v>
      </c>
      <c r="F322" s="148" t="str">
        <f>Originals!F324</f>
        <v>Development</v>
      </c>
      <c r="G322" s="148" t="str">
        <f>Originals!G324</f>
        <v>OpenG.org</v>
      </c>
      <c r="H322" s="148" t="str">
        <f>Originals!H324</f>
        <v>OpenG Buttons Library 4.0.0.7</v>
      </c>
      <c r="I322" s="148" t="str">
        <f>Originals!I324</f>
        <v>VIPM Community</v>
      </c>
      <c r="J322" s="195" t="s">
        <v>550</v>
      </c>
    </row>
    <row r="323" spans="1:10" hidden="1" x14ac:dyDescent="0.25">
      <c r="A323" s="149" t="str">
        <f>Scott!A166</f>
        <v>3-Scott</v>
      </c>
      <c r="B323" s="149" t="str">
        <f>Scott!B166</f>
        <v>OpenG Buttons Library</v>
      </c>
      <c r="C323" s="149" t="str">
        <f>Scott!C166</f>
        <v>4.0.0.7</v>
      </c>
      <c r="D323" s="149" t="str">
        <f>Scott!D166</f>
        <v>32</v>
      </c>
      <c r="E323" s="149" t="str">
        <f>Scott!E166</f>
        <v>N/A</v>
      </c>
      <c r="F323" s="149" t="str">
        <f>Scott!F166</f>
        <v>Development</v>
      </c>
      <c r="G323" s="149" t="str">
        <f>Scott!G166</f>
        <v>OpenG.org</v>
      </c>
      <c r="H323" s="149" t="str">
        <f>Scott!H166</f>
        <v>OpenG Buttons Library 4.0.0.7</v>
      </c>
      <c r="I323" s="149" t="str">
        <f>Scott!I166</f>
        <v>VIPM Community</v>
      </c>
      <c r="J323" s="195" t="s">
        <v>550</v>
      </c>
    </row>
    <row r="324" spans="1:10" hidden="1" x14ac:dyDescent="0.25">
      <c r="A324" s="148" t="str">
        <f>Originals!A325</f>
        <v>4-Vinnie</v>
      </c>
      <c r="B324" s="148" t="str">
        <f>Originals!B325</f>
        <v>OpenG Compare VI To Disk Tool</v>
      </c>
      <c r="C324" s="148" t="str">
        <f>Originals!C325</f>
        <v>4.0.0.9</v>
      </c>
      <c r="D324" s="148" t="str">
        <f>Originals!D325</f>
        <v>32</v>
      </c>
      <c r="E324" s="148" t="str">
        <f>Originals!E325</f>
        <v>N/A</v>
      </c>
      <c r="F324" s="148" t="str">
        <f>Originals!F325</f>
        <v>Development</v>
      </c>
      <c r="G324" s="148" t="str">
        <f>Originals!G325</f>
        <v>OpenG.org</v>
      </c>
      <c r="H324" s="148" t="str">
        <f>Originals!H325</f>
        <v>OpenG Compare VI To Disk Tool 4.0.0.9</v>
      </c>
      <c r="I324" s="148" t="str">
        <f>Originals!I325</f>
        <v>VIPM Community</v>
      </c>
      <c r="J324" s="195" t="s">
        <v>550</v>
      </c>
    </row>
    <row r="325" spans="1:10" hidden="1" x14ac:dyDescent="0.25">
      <c r="A325" s="149" t="str">
        <f>Scott!A167</f>
        <v>3-Scott</v>
      </c>
      <c r="B325" s="149" t="str">
        <f>Scott!B167</f>
        <v>OpenG Compare VI To Disk Tool</v>
      </c>
      <c r="C325" s="149" t="str">
        <f>Scott!C167</f>
        <v>4.0.0.9</v>
      </c>
      <c r="D325" s="149" t="str">
        <f>Scott!D167</f>
        <v>32</v>
      </c>
      <c r="E325" s="149" t="str">
        <f>Scott!E167</f>
        <v>N/A</v>
      </c>
      <c r="F325" s="149" t="str">
        <f>Scott!F167</f>
        <v>Development</v>
      </c>
      <c r="G325" s="149" t="str">
        <f>Scott!G167</f>
        <v>OpenG.org</v>
      </c>
      <c r="H325" s="149" t="str">
        <f>Scott!H167</f>
        <v>OpenG Compare VI To Disk Tool 4.0.0.9</v>
      </c>
      <c r="I325" s="149" t="str">
        <f>Scott!I167</f>
        <v>VIPM Community</v>
      </c>
      <c r="J325" s="195" t="s">
        <v>550</v>
      </c>
    </row>
    <row r="326" spans="1:10" hidden="1" x14ac:dyDescent="0.25">
      <c r="A326" s="148" t="str">
        <f>Originals!A326</f>
        <v>4-Vinnie</v>
      </c>
      <c r="B326" s="148" t="str">
        <f>Originals!B326</f>
        <v>OpenG Comparison Library</v>
      </c>
      <c r="C326" s="148" t="str">
        <f>Originals!C326</f>
        <v>4.0.0.3</v>
      </c>
      <c r="D326" s="148" t="str">
        <f>Originals!D326</f>
        <v>32</v>
      </c>
      <c r="E326" s="148" t="str">
        <f>Originals!E326</f>
        <v>N/A</v>
      </c>
      <c r="F326" s="148" t="str">
        <f>Originals!F326</f>
        <v>Development</v>
      </c>
      <c r="G326" s="148" t="str">
        <f>Originals!G326</f>
        <v>OpenG.org</v>
      </c>
      <c r="H326" s="148" t="str">
        <f>Originals!H326</f>
        <v>OpenG Comparison Library 4.0.0.3</v>
      </c>
      <c r="I326" s="148" t="str">
        <f>Originals!I326</f>
        <v>VIPM Community</v>
      </c>
      <c r="J326" s="195" t="s">
        <v>550</v>
      </c>
    </row>
    <row r="327" spans="1:10" hidden="1" x14ac:dyDescent="0.25">
      <c r="A327" s="149" t="str">
        <f>Scott!A168</f>
        <v>3-Scott</v>
      </c>
      <c r="B327" s="149" t="str">
        <f>Scott!B168</f>
        <v>OpenG Comparison Library</v>
      </c>
      <c r="C327" s="149" t="str">
        <f>Scott!C168</f>
        <v>4.0.0.3</v>
      </c>
      <c r="D327" s="149" t="str">
        <f>Scott!D168</f>
        <v>32</v>
      </c>
      <c r="E327" s="149" t="str">
        <f>Scott!E168</f>
        <v>N/A</v>
      </c>
      <c r="F327" s="149" t="str">
        <f>Scott!F168</f>
        <v>Development</v>
      </c>
      <c r="G327" s="149" t="str">
        <f>Scott!G168</f>
        <v>OpenG.org</v>
      </c>
      <c r="H327" s="149" t="str">
        <f>Scott!H168</f>
        <v>OpenG Comparison Library 4.0.0.3</v>
      </c>
      <c r="I327" s="149" t="str">
        <f>Scott!I168</f>
        <v>VIPM Community</v>
      </c>
      <c r="J327" s="195" t="s">
        <v>550</v>
      </c>
    </row>
    <row r="328" spans="1:10" hidden="1" x14ac:dyDescent="0.25">
      <c r="A328" s="148" t="str">
        <f>Originals!A327</f>
        <v>4-Vinnie</v>
      </c>
      <c r="B328" s="148" t="str">
        <f>Originals!B327</f>
        <v>OpenG Dictionary Library</v>
      </c>
      <c r="C328" s="148" t="str">
        <f>Originals!C327</f>
        <v>4.0.0.4</v>
      </c>
      <c r="D328" s="148" t="str">
        <f>Originals!D327</f>
        <v>32</v>
      </c>
      <c r="E328" s="148" t="str">
        <f>Originals!E327</f>
        <v>N/A</v>
      </c>
      <c r="F328" s="148" t="str">
        <f>Originals!F327</f>
        <v>Development</v>
      </c>
      <c r="G328" s="148" t="str">
        <f>Originals!G327</f>
        <v>OpenG.org</v>
      </c>
      <c r="H328" s="148" t="str">
        <f>Originals!H327</f>
        <v>OpenG Dictionary Library 4.0.0.4</v>
      </c>
      <c r="I328" s="148" t="str">
        <f>Originals!I327</f>
        <v>VIPM Community</v>
      </c>
      <c r="J328" s="195" t="s">
        <v>550</v>
      </c>
    </row>
    <row r="329" spans="1:10" hidden="1" x14ac:dyDescent="0.25">
      <c r="A329" s="149" t="str">
        <f>Scott!A169</f>
        <v>3-Scott</v>
      </c>
      <c r="B329" s="149" t="str">
        <f>Scott!B169</f>
        <v>OpenG Dictionary Library</v>
      </c>
      <c r="C329" s="149" t="str">
        <f>Scott!C169</f>
        <v>4.0.0.4</v>
      </c>
      <c r="D329" s="149" t="str">
        <f>Scott!D169</f>
        <v>32</v>
      </c>
      <c r="E329" s="149" t="str">
        <f>Scott!E169</f>
        <v>N/A</v>
      </c>
      <c r="F329" s="149" t="str">
        <f>Scott!F169</f>
        <v>Development</v>
      </c>
      <c r="G329" s="149" t="str">
        <f>Scott!G169</f>
        <v>OpenG.org</v>
      </c>
      <c r="H329" s="149" t="str">
        <f>Scott!H169</f>
        <v>OpenG Dictionary Library 4.0.0.4</v>
      </c>
      <c r="I329" s="149" t="str">
        <f>Scott!I169</f>
        <v>VIPM Community</v>
      </c>
      <c r="J329" s="195" t="s">
        <v>550</v>
      </c>
    </row>
    <row r="330" spans="1:10" hidden="1" x14ac:dyDescent="0.25">
      <c r="A330" s="148" t="str">
        <f>Originals!A328</f>
        <v>4-Vinnie</v>
      </c>
      <c r="B330" s="148" t="str">
        <f>Originals!B328</f>
        <v>OpenG Error Library</v>
      </c>
      <c r="C330" s="148" t="str">
        <f>Originals!C328</f>
        <v>4.2.0.23</v>
      </c>
      <c r="D330" s="148" t="str">
        <f>Originals!D328</f>
        <v>32</v>
      </c>
      <c r="E330" s="148" t="str">
        <f>Originals!E328</f>
        <v>N/A</v>
      </c>
      <c r="F330" s="148" t="str">
        <f>Originals!F328</f>
        <v>Development</v>
      </c>
      <c r="G330" s="148" t="str">
        <f>Originals!G328</f>
        <v>OpenG.org</v>
      </c>
      <c r="H330" s="148" t="str">
        <f>Originals!H328</f>
        <v>OpenG Error Library 4.2.0.23</v>
      </c>
      <c r="I330" s="148" t="str">
        <f>Originals!I328</f>
        <v>VIPM Community</v>
      </c>
      <c r="J330" s="195" t="s">
        <v>550</v>
      </c>
    </row>
    <row r="331" spans="1:10" hidden="1" x14ac:dyDescent="0.25">
      <c r="A331" s="149" t="str">
        <f>Scott!A170</f>
        <v>3-Scott</v>
      </c>
      <c r="B331" s="149" t="str">
        <f>Scott!B170</f>
        <v>OpenG Error Library</v>
      </c>
      <c r="C331" s="149" t="str">
        <f>Scott!C170</f>
        <v>4.2.0.23</v>
      </c>
      <c r="D331" s="149" t="str">
        <f>Scott!D170</f>
        <v>32</v>
      </c>
      <c r="E331" s="149" t="str">
        <f>Scott!E170</f>
        <v>N/A</v>
      </c>
      <c r="F331" s="149" t="str">
        <f>Scott!F170</f>
        <v>Development</v>
      </c>
      <c r="G331" s="149" t="str">
        <f>Scott!G170</f>
        <v>OpenG.org</v>
      </c>
      <c r="H331" s="149" t="str">
        <f>Scott!H170</f>
        <v>OpenG Error Library 4.2.0.23</v>
      </c>
      <c r="I331" s="149" t="str">
        <f>Scott!I170</f>
        <v>VIPM Community</v>
      </c>
      <c r="J331" s="195" t="s">
        <v>550</v>
      </c>
    </row>
    <row r="332" spans="1:10" hidden="1" x14ac:dyDescent="0.25">
      <c r="A332" s="148" t="str">
        <f>Originals!A329</f>
        <v>4-Vinnie</v>
      </c>
      <c r="B332" s="148" t="str">
        <f>Originals!B329</f>
        <v>OpenG File Library</v>
      </c>
      <c r="C332" s="148" t="str">
        <f>Originals!C329</f>
        <v>4.0.1.22</v>
      </c>
      <c r="D332" s="148" t="str">
        <f>Originals!D329</f>
        <v>32</v>
      </c>
      <c r="E332" s="148" t="str">
        <f>Originals!E329</f>
        <v>N/A</v>
      </c>
      <c r="F332" s="148" t="str">
        <f>Originals!F329</f>
        <v>Development</v>
      </c>
      <c r="G332" s="148" t="str">
        <f>Originals!G329</f>
        <v>OpenG.org</v>
      </c>
      <c r="H332" s="148" t="str">
        <f>Originals!H329</f>
        <v>OpenG File Library 4.0.1.22</v>
      </c>
      <c r="I332" s="148" t="str">
        <f>Originals!I329</f>
        <v>VIPM Community</v>
      </c>
      <c r="J332" s="195" t="s">
        <v>550</v>
      </c>
    </row>
    <row r="333" spans="1:10" hidden="1" x14ac:dyDescent="0.25">
      <c r="A333" s="149" t="str">
        <f>Scott!A171</f>
        <v>3-Scott</v>
      </c>
      <c r="B333" s="149" t="str">
        <f>Scott!B171</f>
        <v>OpenG File Library</v>
      </c>
      <c r="C333" s="149" t="str">
        <f>Scott!C171</f>
        <v>4.0.1.22</v>
      </c>
      <c r="D333" s="149" t="str">
        <f>Scott!D171</f>
        <v>32</v>
      </c>
      <c r="E333" s="149" t="str">
        <f>Scott!E171</f>
        <v>N/A</v>
      </c>
      <c r="F333" s="149" t="str">
        <f>Scott!F171</f>
        <v>Development</v>
      </c>
      <c r="G333" s="149" t="str">
        <f>Scott!G171</f>
        <v>OpenG.org</v>
      </c>
      <c r="H333" s="149" t="str">
        <f>Scott!H171</f>
        <v>OpenG File Library 4.0.1.22</v>
      </c>
      <c r="I333" s="149" t="str">
        <f>Scott!I171</f>
        <v>VIPM Community</v>
      </c>
      <c r="J333" s="195" t="s">
        <v>550</v>
      </c>
    </row>
    <row r="334" spans="1:10" hidden="1" x14ac:dyDescent="0.25">
      <c r="A334" s="148" t="str">
        <f>Originals!A330</f>
        <v>4-Vinnie</v>
      </c>
      <c r="B334" s="148" t="str">
        <f>Originals!B330</f>
        <v>OpenG LabPython Library</v>
      </c>
      <c r="C334" s="148" t="str">
        <f>Originals!C330</f>
        <v>4.0.0.4</v>
      </c>
      <c r="D334" s="148" t="str">
        <f>Originals!D330</f>
        <v>32</v>
      </c>
      <c r="E334" s="148" t="str">
        <f>Originals!E330</f>
        <v>N/A</v>
      </c>
      <c r="F334" s="148" t="str">
        <f>Originals!F330</f>
        <v>Development</v>
      </c>
      <c r="G334" s="148" t="str">
        <f>Originals!G330</f>
        <v>OpenG_org</v>
      </c>
      <c r="H334" s="148" t="str">
        <f>Originals!H330</f>
        <v>OpenG LabPython Library 4.0.0.4</v>
      </c>
      <c r="I334" s="148" t="str">
        <f>Originals!I330</f>
        <v>VIPM Community</v>
      </c>
      <c r="J334" s="195" t="s">
        <v>550</v>
      </c>
    </row>
    <row r="335" spans="1:10" hidden="1" x14ac:dyDescent="0.25">
      <c r="A335" s="149" t="str">
        <f>Scott!A172</f>
        <v>3-Scott</v>
      </c>
      <c r="B335" s="149" t="str">
        <f>Scott!B172</f>
        <v>OpenG LabPython Library</v>
      </c>
      <c r="C335" s="149" t="str">
        <f>Scott!C172</f>
        <v>4.0.0.4</v>
      </c>
      <c r="D335" s="149" t="str">
        <f>Scott!D172</f>
        <v>32</v>
      </c>
      <c r="E335" s="149" t="str">
        <f>Scott!E172</f>
        <v>N/A</v>
      </c>
      <c r="F335" s="149" t="str">
        <f>Scott!F172</f>
        <v>Development</v>
      </c>
      <c r="G335" s="149" t="str">
        <f>Scott!G172</f>
        <v>OpenG_org</v>
      </c>
      <c r="H335" s="149" t="str">
        <f>Scott!H172</f>
        <v>OpenG LabPython Library 4.0.0.4</v>
      </c>
      <c r="I335" s="149" t="str">
        <f>Scott!I172</f>
        <v>VIPM Community</v>
      </c>
      <c r="J335" s="195" t="s">
        <v>550</v>
      </c>
    </row>
    <row r="336" spans="1:10" hidden="1" x14ac:dyDescent="0.25">
      <c r="A336" s="148" t="str">
        <f>Originals!A331</f>
        <v>4-Vinnie</v>
      </c>
      <c r="B336" s="148" t="str">
        <f>Originals!B331</f>
        <v>OpenG LabVIEW Data Library</v>
      </c>
      <c r="C336" s="148" t="str">
        <f>Originals!C331</f>
        <v>4.2.0.21</v>
      </c>
      <c r="D336" s="148" t="str">
        <f>Originals!D331</f>
        <v>32</v>
      </c>
      <c r="E336" s="148" t="str">
        <f>Originals!E331</f>
        <v>N/A</v>
      </c>
      <c r="F336" s="148" t="str">
        <f>Originals!F331</f>
        <v>Development</v>
      </c>
      <c r="G336" s="148" t="str">
        <f>Originals!G331</f>
        <v>Openg.org</v>
      </c>
      <c r="H336" s="148" t="str">
        <f>Originals!H331</f>
        <v>OpenG LabVIEW Data Library 4.2.0.21</v>
      </c>
      <c r="I336" s="148" t="str">
        <f>Originals!I331</f>
        <v>VIPM Community</v>
      </c>
      <c r="J336" s="195" t="s">
        <v>550</v>
      </c>
    </row>
    <row r="337" spans="1:10" hidden="1" x14ac:dyDescent="0.25">
      <c r="A337" s="149" t="str">
        <f>Scott!A173</f>
        <v>3-Scott</v>
      </c>
      <c r="B337" s="149" t="str">
        <f>Scott!B173</f>
        <v>OpenG LabVIEW Data Library</v>
      </c>
      <c r="C337" s="149" t="str">
        <f>Scott!C173</f>
        <v>4.2.0.21</v>
      </c>
      <c r="D337" s="149" t="str">
        <f>Scott!D173</f>
        <v>32</v>
      </c>
      <c r="E337" s="149" t="str">
        <f>Scott!E173</f>
        <v>N/A</v>
      </c>
      <c r="F337" s="149" t="str">
        <f>Scott!F173</f>
        <v>Development</v>
      </c>
      <c r="G337" s="149" t="str">
        <f>Scott!G173</f>
        <v>LAVA</v>
      </c>
      <c r="H337" s="149" t="str">
        <f>Scott!H173</f>
        <v>OpenG LabVIEW Data Library 4.2.0.21</v>
      </c>
      <c r="I337" s="149" t="str">
        <f>Scott!I173</f>
        <v>VIPM Community</v>
      </c>
      <c r="J337" s="195" t="s">
        <v>550</v>
      </c>
    </row>
    <row r="338" spans="1:10" hidden="1" x14ac:dyDescent="0.25">
      <c r="A338" s="148" t="str">
        <f>Originals!A332</f>
        <v>4-Vinnie</v>
      </c>
      <c r="B338" s="148" t="str">
        <f>Originals!B332</f>
        <v>OpenG LabVIEW ZIP Library</v>
      </c>
      <c r="C338" s="148" t="str">
        <f>Originals!C332</f>
        <v>4.0.0-2</v>
      </c>
      <c r="D338" s="148" t="str">
        <f>Originals!D332</f>
        <v>32</v>
      </c>
      <c r="E338" s="148" t="str">
        <f>Originals!E332</f>
        <v>N/A</v>
      </c>
      <c r="F338" s="148" t="str">
        <f>Originals!F332</f>
        <v>Development</v>
      </c>
      <c r="G338" s="148" t="str">
        <f>Originals!G332</f>
        <v>OpenG.org</v>
      </c>
      <c r="H338" s="148" t="str">
        <f>Originals!H332</f>
        <v>OpenG LabVIEW ZIP Library 4.0.0-2</v>
      </c>
      <c r="I338" s="148" t="str">
        <f>Originals!I332</f>
        <v>VIPM Community</v>
      </c>
      <c r="J338" s="195" t="s">
        <v>550</v>
      </c>
    </row>
    <row r="339" spans="1:10" hidden="1" x14ac:dyDescent="0.25">
      <c r="A339" s="149" t="str">
        <f>Scott!A174</f>
        <v>3-Scott</v>
      </c>
      <c r="B339" s="149" t="str">
        <f>Scott!B174</f>
        <v>OpenG LabVIEW ZIP Library</v>
      </c>
      <c r="C339" s="149" t="str">
        <f>Scott!C174</f>
        <v>4.0.0-2</v>
      </c>
      <c r="D339" s="149" t="str">
        <f>Scott!D174</f>
        <v>32</v>
      </c>
      <c r="E339" s="149" t="str">
        <f>Scott!E174</f>
        <v>N/A</v>
      </c>
      <c r="F339" s="149" t="str">
        <f>Scott!F174</f>
        <v>Development</v>
      </c>
      <c r="G339" s="149" t="str">
        <f>Scott!G174</f>
        <v>OpenG.org</v>
      </c>
      <c r="H339" s="149" t="str">
        <f>Scott!H174</f>
        <v>OpenG LabVIEW ZIP Library 4.0.0-2</v>
      </c>
      <c r="I339" s="149" t="str">
        <f>Scott!I174</f>
        <v>VIPM Community</v>
      </c>
      <c r="J339" s="195" t="s">
        <v>550</v>
      </c>
    </row>
    <row r="340" spans="1:10" hidden="1" x14ac:dyDescent="0.25">
      <c r="A340" s="148" t="str">
        <f>Originals!A333</f>
        <v>4-Vinnie</v>
      </c>
      <c r="B340" s="148" t="str">
        <f>Originals!B333</f>
        <v>OpenG Large File Library</v>
      </c>
      <c r="C340" s="148" t="str">
        <f>Originals!C333</f>
        <v>4.0.0.3</v>
      </c>
      <c r="D340" s="148" t="str">
        <f>Originals!D333</f>
        <v>32</v>
      </c>
      <c r="E340" s="148" t="str">
        <f>Originals!E333</f>
        <v>N/A</v>
      </c>
      <c r="F340" s="148" t="str">
        <f>Originals!F333</f>
        <v>Development</v>
      </c>
      <c r="G340" s="148" t="str">
        <f>Originals!G333</f>
        <v>OpenG.org</v>
      </c>
      <c r="H340" s="148" t="str">
        <f>Originals!H333</f>
        <v>OpenG Large File Library 4.0.0.3</v>
      </c>
      <c r="I340" s="148" t="str">
        <f>Originals!I333</f>
        <v>VIPM Community</v>
      </c>
      <c r="J340" s="195" t="s">
        <v>550</v>
      </c>
    </row>
    <row r="341" spans="1:10" hidden="1" x14ac:dyDescent="0.25">
      <c r="A341" s="149" t="str">
        <f>Scott!A175</f>
        <v>3-Scott</v>
      </c>
      <c r="B341" s="149" t="str">
        <f>Scott!B175</f>
        <v>OpenG Large File Library</v>
      </c>
      <c r="C341" s="149" t="str">
        <f>Scott!C175</f>
        <v>4.0.0.3</v>
      </c>
      <c r="D341" s="149" t="str">
        <f>Scott!D175</f>
        <v>32</v>
      </c>
      <c r="E341" s="149" t="str">
        <f>Scott!E175</f>
        <v>N/A</v>
      </c>
      <c r="F341" s="149" t="str">
        <f>Scott!F175</f>
        <v>Development</v>
      </c>
      <c r="G341" s="149" t="str">
        <f>Scott!G175</f>
        <v>OpenG.org</v>
      </c>
      <c r="H341" s="149" t="str">
        <f>Scott!H175</f>
        <v>OpenG Large File Library 4.0.0.3</v>
      </c>
      <c r="I341" s="149" t="str">
        <f>Scott!I175</f>
        <v>VIPM Community</v>
      </c>
      <c r="J341" s="195" t="s">
        <v>550</v>
      </c>
    </row>
    <row r="342" spans="1:10" hidden="1" x14ac:dyDescent="0.25">
      <c r="A342" s="148" t="str">
        <f>Originals!A334</f>
        <v>4-Vinnie</v>
      </c>
      <c r="B342" s="148" t="str">
        <f>Originals!B334</f>
        <v>OpenG Locate File In Project Tool</v>
      </c>
      <c r="C342" s="148" t="str">
        <f>Originals!C334</f>
        <v>4.0.0.7</v>
      </c>
      <c r="D342" s="148" t="str">
        <f>Originals!D334</f>
        <v>32</v>
      </c>
      <c r="E342" s="148" t="str">
        <f>Originals!E334</f>
        <v>N/A</v>
      </c>
      <c r="F342" s="148" t="str">
        <f>Originals!F334</f>
        <v>Development</v>
      </c>
      <c r="G342" s="148" t="str">
        <f>Originals!G334</f>
        <v>OpenG.org</v>
      </c>
      <c r="H342" s="148" t="str">
        <f>Originals!H334</f>
        <v>OpenG Locate File In Project Tool 4.0.0.7</v>
      </c>
      <c r="I342" s="148" t="str">
        <f>Originals!I334</f>
        <v>VIPM Community</v>
      </c>
      <c r="J342" s="195" t="s">
        <v>550</v>
      </c>
    </row>
    <row r="343" spans="1:10" hidden="1" x14ac:dyDescent="0.25">
      <c r="A343" s="149" t="str">
        <f>Scott!A176</f>
        <v>3-Scott</v>
      </c>
      <c r="B343" s="149" t="str">
        <f>Scott!B176</f>
        <v>OpenG Locate File In Project Tool</v>
      </c>
      <c r="C343" s="149" t="str">
        <f>Scott!C176</f>
        <v>4.0.0.7</v>
      </c>
      <c r="D343" s="149" t="str">
        <f>Scott!D176</f>
        <v>32</v>
      </c>
      <c r="E343" s="149" t="str">
        <f>Scott!E176</f>
        <v>N/A</v>
      </c>
      <c r="F343" s="149" t="str">
        <f>Scott!F176</f>
        <v>Development</v>
      </c>
      <c r="G343" s="149" t="str">
        <f>Scott!G176</f>
        <v>OpenG.org</v>
      </c>
      <c r="H343" s="149" t="str">
        <f>Scott!H176</f>
        <v>OpenG Locate File In Project Tool 4.0.0.7</v>
      </c>
      <c r="I343" s="149" t="str">
        <f>Scott!I176</f>
        <v>VIPM Community</v>
      </c>
      <c r="J343" s="195" t="s">
        <v>550</v>
      </c>
    </row>
    <row r="344" spans="1:10" hidden="1" x14ac:dyDescent="0.25">
      <c r="A344" s="148" t="str">
        <f>Originals!A335</f>
        <v>4-Vinnie</v>
      </c>
      <c r="B344" s="148" t="str">
        <f>Originals!B335</f>
        <v>OpenG MD5 Digest Library</v>
      </c>
      <c r="C344" s="148" t="str">
        <f>Originals!C335</f>
        <v>4.1.1.10</v>
      </c>
      <c r="D344" s="148" t="str">
        <f>Originals!D335</f>
        <v>32</v>
      </c>
      <c r="E344" s="148" t="str">
        <f>Originals!E335</f>
        <v>N/A</v>
      </c>
      <c r="F344" s="148" t="str">
        <f>Originals!F335</f>
        <v>Development</v>
      </c>
      <c r="G344" s="148" t="str">
        <f>Originals!G335</f>
        <v>OpenG.org</v>
      </c>
      <c r="H344" s="148" t="str">
        <f>Originals!H335</f>
        <v>OpenG MD5 Digest Library 4.1.1.10</v>
      </c>
      <c r="I344" s="148" t="str">
        <f>Originals!I335</f>
        <v>VIPM Community</v>
      </c>
      <c r="J344" s="195" t="s">
        <v>550</v>
      </c>
    </row>
    <row r="345" spans="1:10" hidden="1" x14ac:dyDescent="0.25">
      <c r="A345" s="149" t="str">
        <f>Scott!A177</f>
        <v>3-Scott</v>
      </c>
      <c r="B345" s="149" t="str">
        <f>Scott!B177</f>
        <v>OpenG MD5 Digest Library</v>
      </c>
      <c r="C345" s="149" t="str">
        <f>Scott!C177</f>
        <v>4.1.1.10</v>
      </c>
      <c r="D345" s="149" t="str">
        <f>Scott!D177</f>
        <v>32</v>
      </c>
      <c r="E345" s="149" t="str">
        <f>Scott!E177</f>
        <v>N/A</v>
      </c>
      <c r="F345" s="149" t="str">
        <f>Scott!F177</f>
        <v>Development</v>
      </c>
      <c r="G345" s="149" t="str">
        <f>Scott!G177</f>
        <v>OpenG.org</v>
      </c>
      <c r="H345" s="149" t="str">
        <f>Scott!H177</f>
        <v>OpenG MD5 Digest Library 4.1.1.10</v>
      </c>
      <c r="I345" s="149" t="str">
        <f>Scott!I177</f>
        <v>VIPM Community</v>
      </c>
      <c r="J345" s="195" t="s">
        <v>550</v>
      </c>
    </row>
    <row r="346" spans="1:10" hidden="1" x14ac:dyDescent="0.25">
      <c r="A346" s="148" t="str">
        <f>Originals!A336</f>
        <v>4-Vinnie</v>
      </c>
      <c r="B346" s="148" t="str">
        <f>Originals!B336</f>
        <v>OpenG Message Queue Library</v>
      </c>
      <c r="C346" s="148" t="str">
        <f>Originals!C336</f>
        <v>4.0.0.15</v>
      </c>
      <c r="D346" s="148" t="str">
        <f>Originals!D336</f>
        <v>32</v>
      </c>
      <c r="E346" s="148" t="str">
        <f>Originals!E336</f>
        <v>N/A</v>
      </c>
      <c r="F346" s="148" t="str">
        <f>Originals!F336</f>
        <v>Development</v>
      </c>
      <c r="G346" s="148" t="str">
        <f>Originals!G336</f>
        <v>OpenG.org</v>
      </c>
      <c r="H346" s="148" t="str">
        <f>Originals!H336</f>
        <v>OpenG Message Queue Library 4.0.0.15</v>
      </c>
      <c r="I346" s="148" t="str">
        <f>Originals!I336</f>
        <v>VIPM Community</v>
      </c>
      <c r="J346" s="195" t="s">
        <v>550</v>
      </c>
    </row>
    <row r="347" spans="1:10" hidden="1" x14ac:dyDescent="0.25">
      <c r="A347" s="149" t="str">
        <f>Scott!A178</f>
        <v>3-Scott</v>
      </c>
      <c r="B347" s="149" t="str">
        <f>Scott!B178</f>
        <v>OpenG Message Queue Library</v>
      </c>
      <c r="C347" s="149" t="str">
        <f>Scott!C178</f>
        <v>4.0.0.15</v>
      </c>
      <c r="D347" s="149" t="str">
        <f>Scott!D178</f>
        <v>32</v>
      </c>
      <c r="E347" s="149" t="str">
        <f>Scott!E178</f>
        <v>N/A</v>
      </c>
      <c r="F347" s="149" t="str">
        <f>Scott!F178</f>
        <v>Development</v>
      </c>
      <c r="G347" s="149" t="str">
        <f>Scott!G178</f>
        <v>OpenG.org</v>
      </c>
      <c r="H347" s="149" t="str">
        <f>Scott!H178</f>
        <v>OpenG Message Queue Library 4.0.0.15</v>
      </c>
      <c r="I347" s="149" t="str">
        <f>Scott!I178</f>
        <v>VIPM Community</v>
      </c>
      <c r="J347" s="195" t="s">
        <v>550</v>
      </c>
    </row>
    <row r="348" spans="1:10" hidden="1" x14ac:dyDescent="0.25">
      <c r="A348" s="148" t="str">
        <f>Originals!A337</f>
        <v>4-Vinnie</v>
      </c>
      <c r="B348" s="148" t="str">
        <f>Originals!B337</f>
        <v>OpenG Numeric Library</v>
      </c>
      <c r="C348" s="148" t="str">
        <f>Originals!C337</f>
        <v>4.1.0.8</v>
      </c>
      <c r="D348" s="148" t="str">
        <f>Originals!D337</f>
        <v>32</v>
      </c>
      <c r="E348" s="148" t="str">
        <f>Originals!E337</f>
        <v>N/A</v>
      </c>
      <c r="F348" s="148" t="str">
        <f>Originals!F337</f>
        <v>Development</v>
      </c>
      <c r="G348" s="148" t="str">
        <f>Originals!G337</f>
        <v>OpenG.org</v>
      </c>
      <c r="H348" s="148" t="str">
        <f>Originals!H337</f>
        <v>OpenG Numeric Library 4.1.0.8</v>
      </c>
      <c r="I348" s="148" t="str">
        <f>Originals!I337</f>
        <v>VIPM Community</v>
      </c>
      <c r="J348" s="195" t="s">
        <v>550</v>
      </c>
    </row>
    <row r="349" spans="1:10" hidden="1" x14ac:dyDescent="0.25">
      <c r="A349" s="149" t="str">
        <f>Scott!A179</f>
        <v>3-Scott</v>
      </c>
      <c r="B349" s="149" t="str">
        <f>Scott!B179</f>
        <v>OpenG Numeric Library</v>
      </c>
      <c r="C349" s="149" t="str">
        <f>Scott!C179</f>
        <v>4.1.0.8</v>
      </c>
      <c r="D349" s="149" t="str">
        <f>Scott!D179</f>
        <v>32</v>
      </c>
      <c r="E349" s="149" t="str">
        <f>Scott!E179</f>
        <v>N/A</v>
      </c>
      <c r="F349" s="149" t="str">
        <f>Scott!F179</f>
        <v>Development</v>
      </c>
      <c r="G349" s="149" t="str">
        <f>Scott!G179</f>
        <v>OpenG.org</v>
      </c>
      <c r="H349" s="149" t="str">
        <f>Scott!H179</f>
        <v>OpenG Numeric Library 4.1.0.8</v>
      </c>
      <c r="I349" s="149" t="str">
        <f>Scott!I179</f>
        <v>VIPM Community</v>
      </c>
      <c r="J349" s="195" t="s">
        <v>550</v>
      </c>
    </row>
    <row r="350" spans="1:10" hidden="1" x14ac:dyDescent="0.25">
      <c r="A350" s="148" t="str">
        <f>Originals!A338</f>
        <v>4-Vinnie</v>
      </c>
      <c r="B350" s="148" t="str">
        <f>Originals!B338</f>
        <v>OpenG Picture Library</v>
      </c>
      <c r="C350" s="148" t="str">
        <f>Originals!C338</f>
        <v>4.0.0.13</v>
      </c>
      <c r="D350" s="148" t="str">
        <f>Originals!D338</f>
        <v>32</v>
      </c>
      <c r="E350" s="148" t="str">
        <f>Originals!E338</f>
        <v>N/A</v>
      </c>
      <c r="F350" s="148" t="str">
        <f>Originals!F338</f>
        <v>Development</v>
      </c>
      <c r="G350" s="148" t="str">
        <f>Originals!G338</f>
        <v>OpenG.org</v>
      </c>
      <c r="H350" s="148" t="str">
        <f>Originals!H338</f>
        <v>OpenG Picture Library 4.0.0.13</v>
      </c>
      <c r="I350" s="148" t="str">
        <f>Originals!I338</f>
        <v>VIPM Community</v>
      </c>
      <c r="J350" s="195" t="s">
        <v>550</v>
      </c>
    </row>
    <row r="351" spans="1:10" hidden="1" x14ac:dyDescent="0.25">
      <c r="A351" s="149" t="str">
        <f>Scott!A180</f>
        <v>3-Scott</v>
      </c>
      <c r="B351" s="149" t="str">
        <f>Scott!B180</f>
        <v>OpenG Picture Library</v>
      </c>
      <c r="C351" s="149" t="str">
        <f>Scott!C180</f>
        <v>4.0.0.13</v>
      </c>
      <c r="D351" s="149" t="str">
        <f>Scott!D180</f>
        <v>32</v>
      </c>
      <c r="E351" s="149" t="str">
        <f>Scott!E180</f>
        <v>N/A</v>
      </c>
      <c r="F351" s="149" t="str">
        <f>Scott!F180</f>
        <v>Development</v>
      </c>
      <c r="G351" s="149" t="str">
        <f>Scott!G180</f>
        <v>OpenG.org</v>
      </c>
      <c r="H351" s="149" t="str">
        <f>Scott!H180</f>
        <v>OpenG Picture Library 4.0.0.13</v>
      </c>
      <c r="I351" s="149" t="str">
        <f>Scott!I180</f>
        <v>VIPM Community</v>
      </c>
      <c r="J351" s="195" t="s">
        <v>550</v>
      </c>
    </row>
    <row r="352" spans="1:10" hidden="1" x14ac:dyDescent="0.25">
      <c r="A352" s="148" t="str">
        <f>Originals!A339</f>
        <v>4-Vinnie</v>
      </c>
      <c r="B352" s="148" t="str">
        <f>Originals!B339</f>
        <v>OpenG Port IO</v>
      </c>
      <c r="C352" s="148" t="str">
        <f>Originals!C339</f>
        <v>4.0.0-2</v>
      </c>
      <c r="D352" s="148" t="str">
        <f>Originals!D339</f>
        <v>32</v>
      </c>
      <c r="E352" s="148" t="str">
        <f>Originals!E339</f>
        <v>N/A</v>
      </c>
      <c r="F352" s="148" t="str">
        <f>Originals!F339</f>
        <v>Development</v>
      </c>
      <c r="G352" s="148" t="str">
        <f>Originals!G339</f>
        <v>OpenG.org</v>
      </c>
      <c r="H352" s="148" t="str">
        <f>Originals!H339</f>
        <v>OpenG Port IO 4.0.0-2</v>
      </c>
      <c r="I352" s="148" t="str">
        <f>Originals!I339</f>
        <v>VIPM Community</v>
      </c>
      <c r="J352" s="195" t="s">
        <v>550</v>
      </c>
    </row>
    <row r="353" spans="1:10" hidden="1" x14ac:dyDescent="0.25">
      <c r="A353" s="149" t="str">
        <f>Scott!A181</f>
        <v>3-Scott</v>
      </c>
      <c r="B353" s="149" t="str">
        <f>Scott!B181</f>
        <v>OpenG Port IO</v>
      </c>
      <c r="C353" s="149" t="str">
        <f>Scott!C181</f>
        <v>4.0.0-2</v>
      </c>
      <c r="D353" s="149" t="str">
        <f>Scott!D181</f>
        <v>32</v>
      </c>
      <c r="E353" s="149" t="str">
        <f>Scott!E181</f>
        <v>N/A</v>
      </c>
      <c r="F353" s="149" t="str">
        <f>Scott!F181</f>
        <v>Development</v>
      </c>
      <c r="G353" s="149" t="str">
        <f>Scott!G181</f>
        <v>OpenG.org</v>
      </c>
      <c r="H353" s="149" t="str">
        <f>Scott!H181</f>
        <v>OpenG Port IO 4.0.0-2</v>
      </c>
      <c r="I353" s="149" t="str">
        <f>Scott!I181</f>
        <v>VIPM Community</v>
      </c>
      <c r="J353" s="195" t="s">
        <v>550</v>
      </c>
    </row>
    <row r="354" spans="1:10" hidden="1" x14ac:dyDescent="0.25">
      <c r="A354" s="148" t="str">
        <f>Originals!A340</f>
        <v>4-Vinnie</v>
      </c>
      <c r="B354" s="148" t="str">
        <f>Originals!B340</f>
        <v>OpenG Rename Folder of VIs Tool</v>
      </c>
      <c r="C354" s="148" t="str">
        <f>Originals!C340</f>
        <v>4.0.0.15</v>
      </c>
      <c r="D354" s="148" t="str">
        <f>Originals!D340</f>
        <v>32</v>
      </c>
      <c r="E354" s="148" t="str">
        <f>Originals!E340</f>
        <v>N/A</v>
      </c>
      <c r="F354" s="148" t="str">
        <f>Originals!F340</f>
        <v>Development</v>
      </c>
      <c r="G354" s="148" t="str">
        <f>Originals!G340</f>
        <v>OpenG.org</v>
      </c>
      <c r="H354" s="148" t="str">
        <f>Originals!H340</f>
        <v>OpenG Rename Folder of VIs Tool 4.0.0.15</v>
      </c>
      <c r="I354" s="148" t="str">
        <f>Originals!I340</f>
        <v>VIPM Community</v>
      </c>
      <c r="J354" s="195" t="s">
        <v>550</v>
      </c>
    </row>
    <row r="355" spans="1:10" hidden="1" x14ac:dyDescent="0.25">
      <c r="A355" s="149" t="str">
        <f>Scott!A182</f>
        <v>3-Scott</v>
      </c>
      <c r="B355" s="149" t="str">
        <f>Scott!B182</f>
        <v>OpenG Rename Folder of VIs Tool</v>
      </c>
      <c r="C355" s="149" t="str">
        <f>Scott!C182</f>
        <v>4.0.0.15</v>
      </c>
      <c r="D355" s="149" t="str">
        <f>Scott!D182</f>
        <v>32</v>
      </c>
      <c r="E355" s="149" t="str">
        <f>Scott!E182</f>
        <v>N/A</v>
      </c>
      <c r="F355" s="149" t="str">
        <f>Scott!F182</f>
        <v>Development</v>
      </c>
      <c r="G355" s="149" t="str">
        <f>Scott!G182</f>
        <v>OpenG.org</v>
      </c>
      <c r="H355" s="149" t="str">
        <f>Scott!H182</f>
        <v>OpenG Rename Folder of VIs Tool 4.0.0.15</v>
      </c>
      <c r="I355" s="149" t="str">
        <f>Scott!I182</f>
        <v>VIPM Community</v>
      </c>
      <c r="J355" s="195" t="s">
        <v>550</v>
      </c>
    </row>
    <row r="356" spans="1:10" hidden="1" x14ac:dyDescent="0.25">
      <c r="A356" s="148" t="str">
        <f>Originals!A341</f>
        <v>4-Vinnie</v>
      </c>
      <c r="B356" s="148" t="str">
        <f>Originals!B341</f>
        <v>OpenG String Library</v>
      </c>
      <c r="C356" s="148" t="str">
        <f>Originals!C341</f>
        <v>4.1.0.12</v>
      </c>
      <c r="D356" s="148" t="str">
        <f>Originals!D341</f>
        <v>32</v>
      </c>
      <c r="E356" s="148" t="str">
        <f>Originals!E341</f>
        <v>N/A</v>
      </c>
      <c r="F356" s="148" t="str">
        <f>Originals!F341</f>
        <v>Development</v>
      </c>
      <c r="G356" s="148" t="str">
        <f>Originals!G341</f>
        <v>OpenG.org</v>
      </c>
      <c r="H356" s="148" t="str">
        <f>Originals!H341</f>
        <v>OpenG String Library 4.1.0.12</v>
      </c>
      <c r="I356" s="148" t="str">
        <f>Originals!I341</f>
        <v>VIPM Community</v>
      </c>
      <c r="J356" s="195" t="s">
        <v>550</v>
      </c>
    </row>
    <row r="357" spans="1:10" hidden="1" x14ac:dyDescent="0.25">
      <c r="A357" s="149" t="str">
        <f>Scott!A183</f>
        <v>3-Scott</v>
      </c>
      <c r="B357" s="149" t="str">
        <f>Scott!B183</f>
        <v>OpenG String Library</v>
      </c>
      <c r="C357" s="149" t="str">
        <f>Scott!C183</f>
        <v>4.1.0.12</v>
      </c>
      <c r="D357" s="149" t="str">
        <f>Scott!D183</f>
        <v>32</v>
      </c>
      <c r="E357" s="149" t="str">
        <f>Scott!E183</f>
        <v>N/A</v>
      </c>
      <c r="F357" s="149" t="str">
        <f>Scott!F183</f>
        <v>Development</v>
      </c>
      <c r="G357" s="149" t="str">
        <f>Scott!G183</f>
        <v>OpenG.org</v>
      </c>
      <c r="H357" s="149" t="str">
        <f>Scott!H183</f>
        <v>OpenG String Library 4.1.0.12</v>
      </c>
      <c r="I357" s="149" t="str">
        <f>Scott!I183</f>
        <v>VIPM Community</v>
      </c>
      <c r="J357" s="195" t="s">
        <v>550</v>
      </c>
    </row>
    <row r="358" spans="1:10" hidden="1" x14ac:dyDescent="0.25">
      <c r="A358" s="148" t="str">
        <f>Originals!A342</f>
        <v>4-Vinnie</v>
      </c>
      <c r="B358" s="148" t="str">
        <f>Originals!B342</f>
        <v>OpenG Time Library</v>
      </c>
      <c r="C358" s="148" t="str">
        <f>Originals!C342</f>
        <v>4.0.1.3</v>
      </c>
      <c r="D358" s="148" t="str">
        <f>Originals!D342</f>
        <v>32</v>
      </c>
      <c r="E358" s="148" t="str">
        <f>Originals!E342</f>
        <v>N/A</v>
      </c>
      <c r="F358" s="148" t="str">
        <f>Originals!F342</f>
        <v>Development</v>
      </c>
      <c r="G358" s="148" t="str">
        <f>Originals!G342</f>
        <v>OpenG.org</v>
      </c>
      <c r="H358" s="148" t="str">
        <f>Originals!H342</f>
        <v>OpenG Time Library 4.0.1.3</v>
      </c>
      <c r="I358" s="148" t="str">
        <f>Originals!I342</f>
        <v>VIPM Community</v>
      </c>
      <c r="J358" s="195" t="s">
        <v>550</v>
      </c>
    </row>
    <row r="359" spans="1:10" hidden="1" x14ac:dyDescent="0.25">
      <c r="A359" s="148" t="str">
        <f>Originals!A343</f>
        <v>4-Vinnie</v>
      </c>
      <c r="B359" s="148" t="str">
        <f>Originals!B343</f>
        <v>OpenG Toolkit</v>
      </c>
      <c r="C359" s="148" t="str">
        <f>Originals!C343</f>
        <v>4.0.1.9</v>
      </c>
      <c r="D359" s="148" t="str">
        <f>Originals!D343</f>
        <v>32</v>
      </c>
      <c r="E359" s="148" t="str">
        <f>Originals!E343</f>
        <v>N/A</v>
      </c>
      <c r="F359" s="148" t="str">
        <f>Originals!F343</f>
        <v>Development</v>
      </c>
      <c r="G359" s="148" t="str">
        <f>Originals!G343</f>
        <v>OpenG.org</v>
      </c>
      <c r="H359" s="148" t="str">
        <f>Originals!H343</f>
        <v>OpenG Toolkit 4.0.1.9</v>
      </c>
      <c r="I359" s="148" t="str">
        <f>Originals!I343</f>
        <v>VIPM Community</v>
      </c>
      <c r="J359" s="195" t="s">
        <v>550</v>
      </c>
    </row>
    <row r="360" spans="1:10" hidden="1" x14ac:dyDescent="0.25">
      <c r="A360" s="149" t="str">
        <f>Scott!A184</f>
        <v>3-Scott</v>
      </c>
      <c r="B360" s="149" t="str">
        <f>Scott!B184</f>
        <v>OpenG Toolkit</v>
      </c>
      <c r="C360" s="149" t="str">
        <f>Scott!C184</f>
        <v>4.0.1.9</v>
      </c>
      <c r="D360" s="149" t="str">
        <f>Scott!D184</f>
        <v>32</v>
      </c>
      <c r="E360" s="149" t="str">
        <f>Scott!E184</f>
        <v>N/A</v>
      </c>
      <c r="F360" s="149" t="str">
        <f>Scott!F184</f>
        <v>Development</v>
      </c>
      <c r="G360" s="149" t="str">
        <f>Scott!G184</f>
        <v>OpenG.org</v>
      </c>
      <c r="H360" s="149" t="str">
        <f>Scott!H184</f>
        <v>OpenG Toolkit 4.0.1.9</v>
      </c>
      <c r="I360" s="149" t="str">
        <f>Scott!I184</f>
        <v>VIPM Community</v>
      </c>
      <c r="J360" s="195" t="s">
        <v>550</v>
      </c>
    </row>
    <row r="361" spans="1:10" hidden="1" x14ac:dyDescent="0.25">
      <c r="A361" s="148" t="str">
        <f>Originals!A344</f>
        <v>4-Vinnie</v>
      </c>
      <c r="B361" s="148" t="str">
        <f>Originals!B344</f>
        <v>OpenG Variant Configuration File Library</v>
      </c>
      <c r="C361" s="148" t="str">
        <f>Originals!C344</f>
        <v>4.0.0.5</v>
      </c>
      <c r="D361" s="148" t="str">
        <f>Originals!D344</f>
        <v>32</v>
      </c>
      <c r="E361" s="148" t="str">
        <f>Originals!E344</f>
        <v>N/A</v>
      </c>
      <c r="F361" s="148" t="str">
        <f>Originals!F344</f>
        <v>Development</v>
      </c>
      <c r="G361" s="148" t="str">
        <f>Originals!G344</f>
        <v>OpenG.org</v>
      </c>
      <c r="H361" s="148" t="str">
        <f>Originals!H344</f>
        <v>OpenG Variant Configuration File Library 4.0.0.5</v>
      </c>
      <c r="I361" s="148" t="str">
        <f>Originals!I344</f>
        <v>VIPM Community</v>
      </c>
      <c r="J361" s="195" t="s">
        <v>550</v>
      </c>
    </row>
    <row r="362" spans="1:10" hidden="1" x14ac:dyDescent="0.25">
      <c r="A362" s="149" t="str">
        <f>Scott!A185</f>
        <v>3-Scott</v>
      </c>
      <c r="B362" s="149" t="str">
        <f>Scott!B185</f>
        <v>OpenG Variant Configuration File Library</v>
      </c>
      <c r="C362" s="149" t="str">
        <f>Scott!C185</f>
        <v>4.0.0.5</v>
      </c>
      <c r="D362" s="149" t="str">
        <f>Scott!D185</f>
        <v>32</v>
      </c>
      <c r="E362" s="149" t="str">
        <f>Scott!E185</f>
        <v>N/A</v>
      </c>
      <c r="F362" s="149" t="str">
        <f>Scott!F185</f>
        <v>Development</v>
      </c>
      <c r="G362" s="149" t="str">
        <f>Scott!G185</f>
        <v>OpenG.org</v>
      </c>
      <c r="H362" s="149" t="str">
        <f>Scott!H185</f>
        <v>OpenG Variant Configuration File Library 4.0.0.5</v>
      </c>
      <c r="I362" s="149" t="str">
        <f>Scott!I185</f>
        <v>VIPM Community</v>
      </c>
      <c r="J362" s="195" t="s">
        <v>550</v>
      </c>
    </row>
    <row r="363" spans="1:10" hidden="1" x14ac:dyDescent="0.25">
      <c r="A363" s="148" t="str">
        <f>Originals!A345</f>
        <v>4-Vinnie</v>
      </c>
      <c r="B363" s="148" t="str">
        <f>Originals!B345</f>
        <v>OpenGDS</v>
      </c>
      <c r="C363" s="148" t="str">
        <f>Originals!C345</f>
        <v>1.1.17</v>
      </c>
      <c r="D363" s="148" t="str">
        <f>Originals!D345</f>
        <v>32</v>
      </c>
      <c r="E363" s="148" t="str">
        <f>Originals!E345</f>
        <v>N/A</v>
      </c>
      <c r="F363" s="148" t="str">
        <f>Originals!F345</f>
        <v>Development</v>
      </c>
      <c r="G363" s="148" t="str">
        <f>Originals!G345</f>
        <v>OpenGDS</v>
      </c>
      <c r="H363" s="148" t="str">
        <f>Originals!H345</f>
        <v>OpenGDS 1.1.17</v>
      </c>
      <c r="I363" s="148" t="str">
        <f>Originals!I345</f>
        <v>VIPM Community</v>
      </c>
      <c r="J363" s="195" t="s">
        <v>550</v>
      </c>
    </row>
    <row r="364" spans="1:10" hidden="1" x14ac:dyDescent="0.25">
      <c r="A364" s="149" t="str">
        <f>Scott!A186</f>
        <v>3-Scott</v>
      </c>
      <c r="B364" s="149" t="str">
        <f>Scott!B186</f>
        <v>OpenGDS</v>
      </c>
      <c r="C364" s="149" t="str">
        <f>Scott!C186</f>
        <v>1.1.17</v>
      </c>
      <c r="D364" s="149" t="str">
        <f>Scott!D186</f>
        <v>32</v>
      </c>
      <c r="E364" s="149" t="str">
        <f>Scott!E186</f>
        <v>N/A</v>
      </c>
      <c r="F364" s="149" t="str">
        <f>Scott!F186</f>
        <v>Development</v>
      </c>
      <c r="G364" s="149" t="str">
        <f>Scott!G186</f>
        <v>OpenGDS</v>
      </c>
      <c r="H364" s="149" t="str">
        <f>Scott!H186</f>
        <v>OpenGDS 1.1.17</v>
      </c>
      <c r="I364" s="149" t="str">
        <f>Scott!I186</f>
        <v>VIPM Community</v>
      </c>
      <c r="J364" s="195" t="s">
        <v>550</v>
      </c>
    </row>
    <row r="365" spans="1:10" hidden="1" x14ac:dyDescent="0.25">
      <c r="A365" s="149" t="str">
        <f>Scott!A187</f>
        <v>3-Scott</v>
      </c>
      <c r="B365" s="149" t="str">
        <f>Scott!B187</f>
        <v>PID Toolkit</v>
      </c>
      <c r="C365" s="149" t="str">
        <f>Scott!C187</f>
        <v>2.1.0</v>
      </c>
      <c r="D365" s="149">
        <f>Scott!D187</f>
        <v>32</v>
      </c>
      <c r="E365" s="149">
        <f>Scott!E187</f>
        <v>2015</v>
      </c>
      <c r="F365" s="149" t="str">
        <f>Scott!F187</f>
        <v>Development</v>
      </c>
      <c r="G365" s="149" t="str">
        <f>Scott!G187</f>
        <v>NI</v>
      </c>
      <c r="H365" s="149" t="str">
        <f>Scott!H187</f>
        <v>PID Toolkit 2.1.0</v>
      </c>
      <c r="I365" s="149" t="str">
        <f>Scott!I187</f>
        <v>NI Developer Suite 2015 DS2 Install</v>
      </c>
      <c r="J365" s="195" t="s">
        <v>550</v>
      </c>
    </row>
    <row r="366" spans="1:10" hidden="1" x14ac:dyDescent="0.25">
      <c r="A366" s="149" t="str">
        <f>Scott!A188</f>
        <v>3-Scott</v>
      </c>
      <c r="B366" s="149" t="str">
        <f>Scott!B188</f>
        <v>Profiler Toolkit</v>
      </c>
      <c r="C366" s="149" t="str">
        <f>Scott!C188</f>
        <v>1.0.0</v>
      </c>
      <c r="D366" s="149">
        <f>Scott!D188</f>
        <v>32</v>
      </c>
      <c r="E366" s="149">
        <f>Scott!E188</f>
        <v>2015</v>
      </c>
      <c r="F366" s="149" t="str">
        <f>Scott!F188</f>
        <v>Development</v>
      </c>
      <c r="G366" s="149" t="str">
        <f>Scott!G188</f>
        <v>NI</v>
      </c>
      <c r="H366" s="149" t="str">
        <f>Scott!H188</f>
        <v>Profiler Toolkit 1.0.0</v>
      </c>
      <c r="I366" s="149" t="str">
        <f>Scott!I188</f>
        <v>NI Developer Suite 2015 DS2 Install</v>
      </c>
      <c r="J366" s="195" t="s">
        <v>550</v>
      </c>
    </row>
    <row r="367" spans="1:10" hidden="1" x14ac:dyDescent="0.25">
      <c r="A367" s="148" t="str">
        <f>Originals!A346</f>
        <v>4-Vinnie</v>
      </c>
      <c r="B367" s="148" t="str">
        <f>Originals!B346</f>
        <v>Real-Time</v>
      </c>
      <c r="C367" s="148" t="str">
        <f>Originals!C346</f>
        <v>15.0.1</v>
      </c>
      <c r="D367" s="148" t="str">
        <f>Originals!D346</f>
        <v>32</v>
      </c>
      <c r="E367" s="148" t="str">
        <f>Originals!E346</f>
        <v>2015</v>
      </c>
      <c r="F367" s="148" t="str">
        <f>Originals!F346</f>
        <v>Development</v>
      </c>
      <c r="G367" s="148" t="str">
        <f>Originals!G346</f>
        <v>NI</v>
      </c>
      <c r="H367" s="148" t="str">
        <f>Originals!H346</f>
        <v>Real-Time 15.0.1</v>
      </c>
      <c r="I367" s="148" t="str">
        <f>Originals!I346</f>
        <v>2015 SP1 Update Service</v>
      </c>
      <c r="J367" s="195" t="s">
        <v>550</v>
      </c>
    </row>
    <row r="368" spans="1:10" hidden="1" x14ac:dyDescent="0.25">
      <c r="A368" s="148" t="str">
        <f>Originals!A347</f>
        <v>4-Vinnie</v>
      </c>
      <c r="B368" s="148" t="str">
        <f>Originals!B347</f>
        <v>Real-Time</v>
      </c>
      <c r="C368" s="148" t="str">
        <f>Originals!C347</f>
        <v>15.0.1</v>
      </c>
      <c r="D368" s="148" t="str">
        <f>Originals!D347</f>
        <v>32</v>
      </c>
      <c r="E368" s="148">
        <f>Originals!E347</f>
        <v>2015</v>
      </c>
      <c r="F368" s="148" t="str">
        <f>Originals!F347</f>
        <v>Development</v>
      </c>
      <c r="G368" s="148" t="str">
        <f>Originals!G347</f>
        <v>NI</v>
      </c>
      <c r="H368" s="148" t="str">
        <f>Originals!H347</f>
        <v>Real-Time 15.0.1</v>
      </c>
      <c r="I368" s="148" t="str">
        <f>Originals!I347</f>
        <v>2015 SP1 Update Service</v>
      </c>
      <c r="J368" s="195" t="s">
        <v>550</v>
      </c>
    </row>
    <row r="369" spans="1:10" hidden="1" x14ac:dyDescent="0.25">
      <c r="A369" s="149" t="str">
        <f>Scott!A189</f>
        <v>3-Scott</v>
      </c>
      <c r="B369" s="149" t="str">
        <f>Scott!B189</f>
        <v>Real-Time</v>
      </c>
      <c r="C369" s="149" t="str">
        <f>Scott!C189</f>
        <v>15.0.0</v>
      </c>
      <c r="D369" s="149">
        <f>Scott!D189</f>
        <v>32</v>
      </c>
      <c r="E369" s="149">
        <f>Scott!E189</f>
        <v>2015</v>
      </c>
      <c r="F369" s="149" t="str">
        <f>Scott!F189</f>
        <v>Development</v>
      </c>
      <c r="G369" s="149" t="str">
        <f>Scott!G189</f>
        <v>NI</v>
      </c>
      <c r="H369" s="149" t="str">
        <f>Scott!H189</f>
        <v>Real-Time 15.0.0</v>
      </c>
      <c r="I369" s="149" t="str">
        <f>Scott!I189</f>
        <v>NI Developer Suite 2015 DS2 Install</v>
      </c>
      <c r="J369" s="195" t="s">
        <v>550</v>
      </c>
    </row>
    <row r="370" spans="1:10" hidden="1" x14ac:dyDescent="0.25">
      <c r="A370" s="149" t="str">
        <f>Scott!A190</f>
        <v>3-Scott</v>
      </c>
      <c r="B370" s="149" t="str">
        <f>Scott!B190</f>
        <v>Real-Time</v>
      </c>
      <c r="C370" s="149" t="str">
        <f>Scott!C190</f>
        <v>15.0.1</v>
      </c>
      <c r="D370" s="149">
        <f>Scott!D190</f>
        <v>32</v>
      </c>
      <c r="E370" s="149">
        <f>Scott!E190</f>
        <v>2015</v>
      </c>
      <c r="F370" s="149" t="str">
        <f>Scott!F190</f>
        <v>Development</v>
      </c>
      <c r="G370" s="149" t="str">
        <f>Scott!G190</f>
        <v>NI</v>
      </c>
      <c r="H370" s="149" t="str">
        <f>Scott!H190</f>
        <v>Real-Time 15.0.1</v>
      </c>
      <c r="I370" s="149" t="str">
        <f>Scott!I190</f>
        <v>2015 SP1 Update Service</v>
      </c>
      <c r="J370" s="195" t="s">
        <v>550</v>
      </c>
    </row>
    <row r="371" spans="1:10" hidden="1" x14ac:dyDescent="0.25">
      <c r="A371" s="149" t="str">
        <f>Scott!A191</f>
        <v>3-Scott</v>
      </c>
      <c r="B371" s="149" t="str">
        <f>Scott!B191</f>
        <v>Real-Time Trace Viewer - CVI Support</v>
      </c>
      <c r="C371" s="149" t="str">
        <f>Scott!C191</f>
        <v>15.0.0</v>
      </c>
      <c r="D371" s="149">
        <f>Scott!D191</f>
        <v>32</v>
      </c>
      <c r="E371" s="149">
        <f>Scott!E191</f>
        <v>2015</v>
      </c>
      <c r="F371" s="149" t="str">
        <f>Scott!F191</f>
        <v>Development</v>
      </c>
      <c r="G371" s="149" t="str">
        <f>Scott!G191</f>
        <v>NI</v>
      </c>
      <c r="H371" s="149" t="str">
        <f>Scott!H191</f>
        <v>Real-Time Trace Viewer - CVI Support 15.0.0</v>
      </c>
      <c r="I371" s="149" t="str">
        <f>Scott!I191</f>
        <v>NI Developer Suite 2015 DS2 Install</v>
      </c>
      <c r="J371" s="195" t="s">
        <v>550</v>
      </c>
    </row>
    <row r="372" spans="1:10" hidden="1" x14ac:dyDescent="0.25">
      <c r="A372" s="148" t="str">
        <f>Originals!A348</f>
        <v>4-Vinnie</v>
      </c>
      <c r="B372" s="148" t="str">
        <f>Originals!B348</f>
        <v>Real-Time Trace Viewer - LabVIEW 2015 Support</v>
      </c>
      <c r="C372" s="148" t="str">
        <f>Originals!C348</f>
        <v>15.0.1</v>
      </c>
      <c r="D372" s="148" t="str">
        <f>Originals!D348</f>
        <v>32</v>
      </c>
      <c r="E372" s="148">
        <f>Originals!E348</f>
        <v>2015</v>
      </c>
      <c r="F372" s="148" t="str">
        <f>Originals!F348</f>
        <v>Development</v>
      </c>
      <c r="G372" s="148" t="str">
        <f>Originals!G348</f>
        <v>NI</v>
      </c>
      <c r="H372" s="148" t="str">
        <f>Originals!H348</f>
        <v>Real-Time Trace Viewer - LabVIEW 2015 Support 15.0.1</v>
      </c>
      <c r="I372" s="148">
        <f>Originals!I348</f>
        <v>0</v>
      </c>
      <c r="J372" s="195" t="s">
        <v>550</v>
      </c>
    </row>
    <row r="373" spans="1:10" hidden="1" x14ac:dyDescent="0.25">
      <c r="A373" s="149" t="str">
        <f>Scott!A192</f>
        <v>3-Scott</v>
      </c>
      <c r="B373" s="149" t="str">
        <f>Scott!B192</f>
        <v>Real-Time Trace Viewer - LabVIEW 2015 Support</v>
      </c>
      <c r="C373" s="149" t="str">
        <f>Scott!C192</f>
        <v>15.0.1</v>
      </c>
      <c r="D373" s="149">
        <f>Scott!D192</f>
        <v>32</v>
      </c>
      <c r="E373" s="149">
        <f>Scott!E192</f>
        <v>2015</v>
      </c>
      <c r="F373" s="149" t="str">
        <f>Scott!F192</f>
        <v>Development</v>
      </c>
      <c r="G373" s="149" t="str">
        <f>Scott!G192</f>
        <v>NI</v>
      </c>
      <c r="H373" s="149" t="str">
        <f>Scott!H192</f>
        <v>Real-Time Trace Viewer - LabVIEW 2015 Support 15.0.1</v>
      </c>
      <c r="I373" s="149" t="str">
        <f>Scott!I192</f>
        <v>2015 SP1 Update Service</v>
      </c>
      <c r="J373" s="195" t="s">
        <v>550</v>
      </c>
    </row>
    <row r="374" spans="1:10" hidden="1" x14ac:dyDescent="0.25">
      <c r="A374" s="148" t="str">
        <f>Originals!A349</f>
        <v>4-Vinnie</v>
      </c>
      <c r="B374" s="148" t="str">
        <f>Originals!B349</f>
        <v>Report Generation Toolkit For Microsoft Office</v>
      </c>
      <c r="C374" s="148" t="str">
        <f>Originals!C349</f>
        <v>15.0.0</v>
      </c>
      <c r="D374" s="148" t="str">
        <f>Originals!D349</f>
        <v>32</v>
      </c>
      <c r="E374" s="148">
        <f>Originals!E349</f>
        <v>2015</v>
      </c>
      <c r="F374" s="148" t="str">
        <f>Originals!F349</f>
        <v>Development</v>
      </c>
      <c r="G374" s="148" t="str">
        <f>Originals!G349</f>
        <v>NI</v>
      </c>
      <c r="H374" s="148" t="str">
        <f>Originals!H349</f>
        <v>Report Generation Toolkit For Microsoft Office 15.0.0</v>
      </c>
      <c r="I374" s="148" t="str">
        <f>Originals!I349</f>
        <v>NI Developer Suite 2015 DS2 Install</v>
      </c>
      <c r="J374" s="195" t="s">
        <v>550</v>
      </c>
    </row>
    <row r="375" spans="1:10" hidden="1" x14ac:dyDescent="0.25">
      <c r="A375" s="149" t="str">
        <f>Scott!A193</f>
        <v>3-Scott</v>
      </c>
      <c r="B375" s="149" t="str">
        <f>Scott!B193</f>
        <v>Report Generation Toolkit For Microsoft Office</v>
      </c>
      <c r="C375" s="149" t="str">
        <f>Scott!C193</f>
        <v>15.0.0</v>
      </c>
      <c r="D375" s="149">
        <f>Scott!D193</f>
        <v>32</v>
      </c>
      <c r="E375" s="149">
        <f>Scott!E193</f>
        <v>2015</v>
      </c>
      <c r="F375" s="149" t="str">
        <f>Scott!F193</f>
        <v>Development</v>
      </c>
      <c r="G375" s="149" t="str">
        <f>Scott!G193</f>
        <v>NI</v>
      </c>
      <c r="H375" s="149" t="str">
        <f>Scott!H193</f>
        <v>Report Generation Toolkit For Microsoft Office 15.0.0</v>
      </c>
      <c r="I375" s="149" t="str">
        <f>Scott!I193</f>
        <v>NI Developer Suite 2015 DS2 Install</v>
      </c>
      <c r="J375" s="195" t="s">
        <v>550</v>
      </c>
    </row>
    <row r="376" spans="1:10" hidden="1" x14ac:dyDescent="0.25">
      <c r="A376" s="148" t="str">
        <f>Originals!A350</f>
        <v>4-Vinnie</v>
      </c>
      <c r="B376" s="148" t="str">
        <f>Originals!B350</f>
        <v>Run-Time Enginer for Web Services</v>
      </c>
      <c r="C376" s="148" t="str">
        <f>Originals!C350</f>
        <v>15.0.0</v>
      </c>
      <c r="D376" s="148" t="str">
        <f>Originals!D350</f>
        <v>32</v>
      </c>
      <c r="E376" s="148" t="str">
        <f>Originals!E350</f>
        <v>2015</v>
      </c>
      <c r="F376" s="148" t="str">
        <f>Originals!F350</f>
        <v>C-RIO</v>
      </c>
      <c r="G376" s="148" t="str">
        <f>Originals!G350</f>
        <v>NI</v>
      </c>
      <c r="H376" s="148" t="str">
        <f>Originals!H350</f>
        <v>Run-Time Enginer for Web Services 15.0.0</v>
      </c>
      <c r="I376" s="148">
        <f>Originals!I350</f>
        <v>0</v>
      </c>
    </row>
    <row r="377" spans="1:10" hidden="1" x14ac:dyDescent="0.25">
      <c r="A377" s="149" t="str">
        <f>Scott!A194</f>
        <v>3-Scott</v>
      </c>
      <c r="B377" s="149" t="str">
        <f>Scott!B194</f>
        <v>Signal Processing Toolkit</v>
      </c>
      <c r="C377" s="149" t="str">
        <f>Scott!C194</f>
        <v>7.0.2</v>
      </c>
      <c r="D377" s="149">
        <f>Scott!D194</f>
        <v>32</v>
      </c>
      <c r="E377" s="149">
        <f>Scott!E194</f>
        <v>2015</v>
      </c>
      <c r="F377" s="149" t="str">
        <f>Scott!F194</f>
        <v>Development</v>
      </c>
      <c r="G377" s="149" t="str">
        <f>Scott!G194</f>
        <v>NI</v>
      </c>
      <c r="H377" s="149" t="str">
        <f>Scott!H194</f>
        <v>Signal Processing Toolkit 7.0.2</v>
      </c>
      <c r="I377" s="149" t="str">
        <f>Scott!I194</f>
        <v>NI Developer Suite 2015 DS2 Install</v>
      </c>
      <c r="J377" s="195" t="s">
        <v>550</v>
      </c>
    </row>
    <row r="378" spans="1:10" hidden="1" x14ac:dyDescent="0.25">
      <c r="A378" s="148" t="str">
        <f>Originals!A351</f>
        <v>4-Vinnie</v>
      </c>
      <c r="B378" s="148" t="str">
        <f>Originals!B351</f>
        <v>Software Management Web Support</v>
      </c>
      <c r="C378" s="148" t="str">
        <f>Originals!C351</f>
        <v>15.0.0</v>
      </c>
      <c r="D378" s="148" t="str">
        <f>Originals!D351</f>
        <v>32</v>
      </c>
      <c r="E378" s="148" t="str">
        <f>Originals!E351</f>
        <v>2015</v>
      </c>
      <c r="F378" s="148" t="str">
        <f>Originals!F351</f>
        <v>C-RIO</v>
      </c>
      <c r="G378" s="148" t="str">
        <f>Originals!G351</f>
        <v>NI</v>
      </c>
      <c r="H378" s="148" t="str">
        <f>Originals!H351</f>
        <v>Software Management Web Support 15.0.0</v>
      </c>
      <c r="I378" s="148">
        <f>Originals!I351</f>
        <v>0</v>
      </c>
    </row>
    <row r="379" spans="1:10" hidden="1" x14ac:dyDescent="0.25">
      <c r="A379" s="149" t="str">
        <f>Scott!A195</f>
        <v>3-Scott</v>
      </c>
      <c r="B379" s="149" t="str">
        <f>Scott!B195</f>
        <v>SQL Toolkit</v>
      </c>
      <c r="C379" s="149" t="str">
        <f>Scott!C195</f>
        <v>2.3.0</v>
      </c>
      <c r="D379" s="149">
        <f>Scott!D195</f>
        <v>32</v>
      </c>
      <c r="E379" s="149">
        <f>Scott!E195</f>
        <v>2015</v>
      </c>
      <c r="F379" s="149" t="str">
        <f>Scott!F195</f>
        <v>Development</v>
      </c>
      <c r="G379" s="149" t="str">
        <f>Scott!G195</f>
        <v>NI</v>
      </c>
      <c r="H379" s="149" t="str">
        <f>Scott!H195</f>
        <v>SQL Toolkit 2.3.0</v>
      </c>
      <c r="I379" s="149" t="str">
        <f>Scott!I195</f>
        <v>NI Developer Suite 2015 DS2 Install</v>
      </c>
      <c r="J379" s="195" t="s">
        <v>550</v>
      </c>
    </row>
    <row r="380" spans="1:10" hidden="1" x14ac:dyDescent="0.25">
      <c r="A380" s="148" t="str">
        <f>Originals!A352</f>
        <v>4-Vinnie</v>
      </c>
      <c r="B380" s="148" t="str">
        <f>Originals!B352</f>
        <v>SSL Support for LabVIEW</v>
      </c>
      <c r="C380" s="148" t="str">
        <f>Originals!C352</f>
        <v>15.0.0</v>
      </c>
      <c r="D380" s="148" t="str">
        <f>Originals!D352</f>
        <v>32</v>
      </c>
      <c r="E380" s="148" t="str">
        <f>Originals!E352</f>
        <v>2015</v>
      </c>
      <c r="F380" s="148" t="str">
        <f>Originals!F352</f>
        <v>C-RIO</v>
      </c>
      <c r="G380" s="148" t="str">
        <f>Originals!G352</f>
        <v>NI</v>
      </c>
      <c r="H380" s="148" t="str">
        <f>Originals!H352</f>
        <v>SSL Support for LabVIEW 15.0.0</v>
      </c>
      <c r="I380" s="148">
        <f>Originals!I352</f>
        <v>0</v>
      </c>
    </row>
    <row r="381" spans="1:10" hidden="1" x14ac:dyDescent="0.25">
      <c r="A381" s="149" t="str">
        <f>Scott!A196</f>
        <v>3-Scott</v>
      </c>
      <c r="B381" s="149" t="str">
        <f>Scott!B196</f>
        <v>Statechart Module</v>
      </c>
      <c r="C381" s="149" t="str">
        <f>Scott!C196</f>
        <v>15.0.0</v>
      </c>
      <c r="D381" s="149">
        <f>Scott!D196</f>
        <v>32</v>
      </c>
      <c r="E381" s="149">
        <f>Scott!E196</f>
        <v>2015</v>
      </c>
      <c r="F381" s="149" t="str">
        <f>Scott!F196</f>
        <v>Development</v>
      </c>
      <c r="G381" s="149" t="str">
        <f>Scott!G196</f>
        <v>NI</v>
      </c>
      <c r="H381" s="149" t="str">
        <f>Scott!H196</f>
        <v>Statechart Module 15.0.0</v>
      </c>
      <c r="I381" s="149" t="str">
        <f>Scott!I196</f>
        <v>NI Developer Suite 2015 DS2 Install</v>
      </c>
      <c r="J381" s="195" t="s">
        <v>550</v>
      </c>
    </row>
    <row r="382" spans="1:10" hidden="1" x14ac:dyDescent="0.25">
      <c r="A382" s="148" t="str">
        <f>Originals!A353</f>
        <v>4-Vinnie</v>
      </c>
      <c r="B382" s="148" t="str">
        <f>Originals!B353</f>
        <v>Structure Error Handler</v>
      </c>
      <c r="C382" s="148" t="str">
        <f>Originals!C353</f>
        <v>2.1.10.1</v>
      </c>
      <c r="D382" s="148" t="str">
        <f>Originals!D353</f>
        <v>32</v>
      </c>
      <c r="E382" s="148" t="str">
        <f>Originals!E353</f>
        <v>N/A</v>
      </c>
      <c r="F382" s="148" t="str">
        <f>Originals!F353</f>
        <v>Development</v>
      </c>
      <c r="G382" s="148" t="str">
        <f>Originals!G353</f>
        <v>NI</v>
      </c>
      <c r="H382" s="148" t="str">
        <f>Originals!H353</f>
        <v>Structure Error Handler 2.1.10.1</v>
      </c>
      <c r="I382" s="148" t="str">
        <f>Originals!I353</f>
        <v>VIPM Community</v>
      </c>
      <c r="J382" s="195" t="s">
        <v>550</v>
      </c>
    </row>
    <row r="383" spans="1:10" hidden="1" x14ac:dyDescent="0.25">
      <c r="A383" s="149" t="str">
        <f>Scott!A197</f>
        <v>3-Scott</v>
      </c>
      <c r="B383" s="149" t="str">
        <f>Scott!B197</f>
        <v>Structure Error Handler</v>
      </c>
      <c r="C383" s="149" t="str">
        <f>Scott!C197</f>
        <v>2.1.10.1</v>
      </c>
      <c r="D383" s="149" t="str">
        <f>Scott!D197</f>
        <v>32</v>
      </c>
      <c r="E383" s="149" t="str">
        <f>Scott!E197</f>
        <v>N/A</v>
      </c>
      <c r="F383" s="149" t="str">
        <f>Scott!F197</f>
        <v>Development</v>
      </c>
      <c r="G383" s="149" t="str">
        <f>Scott!G197</f>
        <v>NI</v>
      </c>
      <c r="H383" s="149" t="str">
        <f>Scott!H197</f>
        <v>Structure Error Handler 2.1.10.1</v>
      </c>
      <c r="I383" s="149" t="str">
        <f>Scott!I197</f>
        <v>VIPM Community</v>
      </c>
      <c r="J383" s="195" t="s">
        <v>550</v>
      </c>
    </row>
    <row r="384" spans="1:10" hidden="1" x14ac:dyDescent="0.25">
      <c r="A384" s="148" t="str">
        <f>Originals!A354</f>
        <v>4-Vinnie</v>
      </c>
      <c r="B384" s="148" t="str">
        <f>Originals!B354</f>
        <v>Time Configuration Web Support</v>
      </c>
      <c r="C384" s="148" t="str">
        <f>Originals!C354</f>
        <v>15.0.0</v>
      </c>
      <c r="D384" s="148" t="str">
        <f>Originals!D354</f>
        <v>32</v>
      </c>
      <c r="E384" s="148" t="str">
        <f>Originals!E354</f>
        <v>2015</v>
      </c>
      <c r="F384" s="148" t="str">
        <f>Originals!F354</f>
        <v>C-RIO</v>
      </c>
      <c r="G384" s="148" t="str">
        <f>Originals!G354</f>
        <v>NI</v>
      </c>
      <c r="H384" s="148" t="str">
        <f>Originals!H354</f>
        <v>Time Configuration Web Support 15.0.0</v>
      </c>
      <c r="I384" s="148">
        <f>Originals!I354</f>
        <v>0</v>
      </c>
    </row>
    <row r="385" spans="1:10" hidden="1" x14ac:dyDescent="0.25">
      <c r="A385" s="148" t="str">
        <f>Originals!A355</f>
        <v>4-Vinnie</v>
      </c>
      <c r="B385" s="148" t="str">
        <f>Originals!B355</f>
        <v>UI Tools</v>
      </c>
      <c r="C385" s="148" t="str">
        <f>Originals!C355</f>
        <v>1.4.1.74</v>
      </c>
      <c r="D385" s="148" t="str">
        <f>Originals!D355</f>
        <v>32</v>
      </c>
      <c r="E385" s="148" t="str">
        <f>Originals!E355</f>
        <v>N/A</v>
      </c>
      <c r="F385" s="148" t="str">
        <f>Originals!F355</f>
        <v>Development</v>
      </c>
      <c r="G385" s="148" t="str">
        <f>Originals!G355</f>
        <v>LAVA</v>
      </c>
      <c r="H385" s="148" t="str">
        <f>Originals!H355</f>
        <v>UI Tools 1.4.1.74</v>
      </c>
      <c r="I385" s="148" t="str">
        <f>Originals!I355</f>
        <v>VIPM Community</v>
      </c>
      <c r="J385" s="195" t="s">
        <v>550</v>
      </c>
    </row>
    <row r="386" spans="1:10" hidden="1" x14ac:dyDescent="0.25">
      <c r="A386" s="149" t="str">
        <f>Scott!A204</f>
        <v>3-Scott</v>
      </c>
      <c r="B386" s="149" t="str">
        <f>Scott!B204</f>
        <v>UI Tools</v>
      </c>
      <c r="C386" s="149" t="str">
        <f>Scott!C204</f>
        <v>1.4.1.74</v>
      </c>
      <c r="D386" s="149" t="str">
        <f>Scott!D204</f>
        <v>32</v>
      </c>
      <c r="E386" s="149" t="str">
        <f>Scott!E204</f>
        <v>N/A</v>
      </c>
      <c r="F386" s="149" t="str">
        <f>Scott!F204</f>
        <v>Development</v>
      </c>
      <c r="G386" s="149" t="str">
        <f>Scott!G204</f>
        <v>NI</v>
      </c>
      <c r="H386" s="149" t="str">
        <f>Scott!H204</f>
        <v>UI Tools 1.4.1.74</v>
      </c>
      <c r="I386" s="149" t="str">
        <f>Scott!I204</f>
        <v>VIPM Community</v>
      </c>
      <c r="J386" s="195" t="s">
        <v>550</v>
      </c>
    </row>
    <row r="387" spans="1:10" hidden="1" x14ac:dyDescent="0.25">
      <c r="A387" s="149" t="str">
        <f>Scott!A198</f>
        <v>3-Scott</v>
      </c>
      <c r="B387" s="149" t="str">
        <f>Scott!B198</f>
        <v>Unit Test Framework Toolkit</v>
      </c>
      <c r="C387" s="149" t="str">
        <f>Scott!C198</f>
        <v>15.0.0</v>
      </c>
      <c r="D387" s="149">
        <f>Scott!D198</f>
        <v>32</v>
      </c>
      <c r="E387" s="149">
        <f>Scott!E198</f>
        <v>2015</v>
      </c>
      <c r="F387" s="149" t="str">
        <f>Scott!F198</f>
        <v>Development</v>
      </c>
      <c r="G387" s="149" t="str">
        <f>Scott!G198</f>
        <v>NI</v>
      </c>
      <c r="H387" s="149" t="str">
        <f>Scott!H198</f>
        <v>Unit Test Framework Toolkit 15.0.0</v>
      </c>
      <c r="I387" s="149" t="str">
        <f>Scott!I198</f>
        <v>NI Developer Suite 2015 DS2 Install</v>
      </c>
      <c r="J387" s="195" t="s">
        <v>550</v>
      </c>
    </row>
    <row r="388" spans="1:10" hidden="1" x14ac:dyDescent="0.25">
      <c r="A388" s="148" t="str">
        <f>Originals!A356</f>
        <v>4-Vinnie</v>
      </c>
      <c r="B388" s="148" t="str">
        <f>Originals!B356</f>
        <v>USB3 Vision Driver</v>
      </c>
      <c r="C388" s="148" t="str">
        <f>Originals!C356</f>
        <v>18.5.0.49152</v>
      </c>
      <c r="D388" s="148" t="str">
        <f>Originals!D356</f>
        <v>32</v>
      </c>
      <c r="E388" s="148" t="str">
        <f>Originals!E356</f>
        <v>2018</v>
      </c>
      <c r="F388" s="148" t="str">
        <f>Originals!F356</f>
        <v>Development</v>
      </c>
      <c r="G388" s="148" t="str">
        <f>Originals!G356</f>
        <v>NI</v>
      </c>
      <c r="H388" s="148" t="str">
        <f>Originals!H356</f>
        <v>USB3 Vision Driver 18.5.0.49152</v>
      </c>
      <c r="I388" s="148">
        <f>Originals!I356</f>
        <v>0</v>
      </c>
      <c r="J388" s="195" t="s">
        <v>550</v>
      </c>
    </row>
    <row r="389" spans="1:10" hidden="1" x14ac:dyDescent="0.25">
      <c r="A389" s="149" t="str">
        <f>Scott!A199</f>
        <v>3-Scott</v>
      </c>
      <c r="B389" s="149" t="str">
        <f>Scott!B199</f>
        <v>USB3 Vision Driver</v>
      </c>
      <c r="C389" s="149" t="str">
        <f>Scott!C199</f>
        <v>19.0.0.49152</v>
      </c>
      <c r="D389" s="149" t="str">
        <f>Scott!D199</f>
        <v>32</v>
      </c>
      <c r="E389" s="149" t="str">
        <f>Scott!E199</f>
        <v>2019</v>
      </c>
      <c r="F389" s="149" t="str">
        <f>Scott!F199</f>
        <v>Development</v>
      </c>
      <c r="G389" s="149" t="str">
        <f>Scott!G199</f>
        <v>NI</v>
      </c>
      <c r="H389" s="149" t="str">
        <f>Scott!H199</f>
        <v>USB3 Vision Driver 19.0.0.49152</v>
      </c>
      <c r="I389" s="149" t="str">
        <f>Scott!I199</f>
        <v>LabVIEW 2019</v>
      </c>
      <c r="J389" s="195" t="s">
        <v>550</v>
      </c>
    </row>
    <row r="390" spans="1:10" hidden="1" x14ac:dyDescent="0.25">
      <c r="A390" s="148" t="str">
        <f>Originals!A357</f>
        <v>4-Vinnie</v>
      </c>
      <c r="B390" s="148" t="str">
        <f>Originals!B357</f>
        <v>Variable Client Support for LabVIEW RT</v>
      </c>
      <c r="C390" s="148" t="str">
        <f>Originals!C357</f>
        <v>15.0.0</v>
      </c>
      <c r="D390" s="148" t="str">
        <f>Originals!D357</f>
        <v>32</v>
      </c>
      <c r="E390" s="148" t="str">
        <f>Originals!E357</f>
        <v>2015</v>
      </c>
      <c r="F390" s="148" t="str">
        <f>Originals!F357</f>
        <v>C-RIO</v>
      </c>
      <c r="G390" s="148" t="str">
        <f>Originals!G357</f>
        <v>NI</v>
      </c>
      <c r="H390" s="148" t="str">
        <f>Originals!H357</f>
        <v>Variable Client Support for LabVIEW RT 15.0.0</v>
      </c>
      <c r="I390" s="148">
        <f>Originals!I357</f>
        <v>0</v>
      </c>
    </row>
    <row r="391" spans="1:10" hidden="1" x14ac:dyDescent="0.25">
      <c r="A391" s="148" t="str">
        <f>Originals!A358</f>
        <v>4-Vinnie</v>
      </c>
      <c r="B391" s="148" t="str">
        <f>Originals!B358</f>
        <v>Variable Legacy Protocol Support</v>
      </c>
      <c r="C391" s="148" t="str">
        <f>Originals!C358</f>
        <v>5.7.1</v>
      </c>
      <c r="D391" s="148" t="str">
        <f>Originals!D358</f>
        <v>32</v>
      </c>
      <c r="E391" s="148" t="str">
        <f>Originals!E358</f>
        <v>2015</v>
      </c>
      <c r="F391" s="148" t="str">
        <f>Originals!F358</f>
        <v>C-RIO</v>
      </c>
      <c r="G391" s="148" t="str">
        <f>Originals!G358</f>
        <v>NI</v>
      </c>
      <c r="H391" s="148" t="str">
        <f>Originals!H358</f>
        <v>Variable Legacy Protocol Support 5.7.1</v>
      </c>
      <c r="I391" s="148">
        <f>Originals!I358</f>
        <v>0</v>
      </c>
    </row>
    <row r="392" spans="1:10" hidden="1" x14ac:dyDescent="0.25">
      <c r="A392" s="148" t="str">
        <f>Originals!A359</f>
        <v>4-Vinnie</v>
      </c>
      <c r="B392" s="148" t="str">
        <f>Originals!B359</f>
        <v>Variable Legacy Server Support</v>
      </c>
      <c r="C392" s="148" t="str">
        <f>Originals!C359</f>
        <v>5.7.1</v>
      </c>
      <c r="D392" s="148" t="str">
        <f>Originals!D359</f>
        <v>32</v>
      </c>
      <c r="E392" s="148" t="str">
        <f>Originals!E359</f>
        <v>2015</v>
      </c>
      <c r="F392" s="148" t="str">
        <f>Originals!F359</f>
        <v>C-RIO</v>
      </c>
      <c r="G392" s="148" t="str">
        <f>Originals!G359</f>
        <v>NI</v>
      </c>
      <c r="H392" s="148" t="str">
        <f>Originals!H359</f>
        <v>Variable Legacy Server Support 5.7.1</v>
      </c>
      <c r="I392" s="148">
        <f>Originals!I359</f>
        <v>0</v>
      </c>
    </row>
    <row r="393" spans="1:10" hidden="1" x14ac:dyDescent="0.25">
      <c r="A393" s="149" t="str">
        <f>Scott!A200</f>
        <v>3-Scott</v>
      </c>
      <c r="B393" s="149" t="str">
        <f>Scott!B200</f>
        <v>VI Analyzer Toolkit</v>
      </c>
      <c r="C393" s="149" t="str">
        <f>Scott!C200</f>
        <v>15.0.0</v>
      </c>
      <c r="D393" s="149">
        <f>Scott!D200</f>
        <v>32</v>
      </c>
      <c r="E393" s="149">
        <f>Scott!E200</f>
        <v>2015</v>
      </c>
      <c r="F393" s="149" t="str">
        <f>Scott!F200</f>
        <v>Development</v>
      </c>
      <c r="G393" s="149" t="str">
        <f>Scott!G200</f>
        <v>NI</v>
      </c>
      <c r="H393" s="149" t="str">
        <f>Scott!H200</f>
        <v>VI Analyzer Toolkit 15.0.0</v>
      </c>
      <c r="I393" s="149" t="str">
        <f>Scott!I200</f>
        <v>NI Developer Suite 2015 DS2 Install</v>
      </c>
      <c r="J393" s="195" t="s">
        <v>550</v>
      </c>
    </row>
    <row r="394" spans="1:10" hidden="1" x14ac:dyDescent="0.25">
      <c r="A394" s="148" t="str">
        <f>Originals!A360</f>
        <v>4-Vinnie</v>
      </c>
      <c r="B394" s="148" t="str">
        <f>Originals!B360</f>
        <v>Vision Assistant</v>
      </c>
      <c r="C394" s="148" t="str">
        <f>Originals!C360</f>
        <v>18.5.0</v>
      </c>
      <c r="D394" s="148" t="str">
        <f>Originals!D360</f>
        <v>32</v>
      </c>
      <c r="E394" s="148" t="str">
        <f>Originals!E360</f>
        <v>2018</v>
      </c>
      <c r="F394" s="148" t="str">
        <f>Originals!F360</f>
        <v>Development</v>
      </c>
      <c r="G394" s="148" t="str">
        <f>Originals!G360</f>
        <v>NI</v>
      </c>
      <c r="H394" s="148" t="str">
        <f>Originals!H360</f>
        <v>Vision Assistant 18.5.0</v>
      </c>
      <c r="I394" s="148">
        <f>Originals!I360</f>
        <v>0</v>
      </c>
      <c r="J394" s="195" t="s">
        <v>550</v>
      </c>
    </row>
    <row r="395" spans="1:10" hidden="1" x14ac:dyDescent="0.25">
      <c r="A395" s="148" t="str">
        <f>Originals!A361</f>
        <v>4-Vinnie</v>
      </c>
      <c r="B395" s="148" t="str">
        <f>Originals!B361</f>
        <v>Vision Assistant</v>
      </c>
      <c r="C395" s="148" t="str">
        <f>Originals!C361</f>
        <v>18.5.0</v>
      </c>
      <c r="D395" s="148" t="str">
        <f>Originals!D361</f>
        <v>64</v>
      </c>
      <c r="E395" s="148" t="str">
        <f>Originals!E361</f>
        <v>2018</v>
      </c>
      <c r="F395" s="148" t="str">
        <f>Originals!F361</f>
        <v>Development</v>
      </c>
      <c r="G395" s="148" t="str">
        <f>Originals!G361</f>
        <v>NI</v>
      </c>
      <c r="H395" s="148" t="str">
        <f>Originals!H361</f>
        <v>Vision Assistant 18.5.0</v>
      </c>
      <c r="I395" s="148">
        <f>Originals!I361</f>
        <v>0</v>
      </c>
      <c r="J395" s="195" t="s">
        <v>550</v>
      </c>
    </row>
    <row r="396" spans="1:10" hidden="1" x14ac:dyDescent="0.25">
      <c r="A396" s="148" t="str">
        <f>Originals!A362</f>
        <v>4-Vinnie</v>
      </c>
      <c r="B396" s="148" t="str">
        <f>Originals!B362</f>
        <v>Vision Common Resources</v>
      </c>
      <c r="C396" s="148" t="str">
        <f>Originals!C362</f>
        <v>19.5.0</v>
      </c>
      <c r="D396" s="148" t="str">
        <f>Originals!D362</f>
        <v>32</v>
      </c>
      <c r="E396" s="148" t="str">
        <f>Originals!E362</f>
        <v>2019</v>
      </c>
      <c r="F396" s="148" t="str">
        <f>Originals!F362</f>
        <v>Development</v>
      </c>
      <c r="G396" s="148" t="str">
        <f>Originals!G362</f>
        <v>NI</v>
      </c>
      <c r="H396" s="148" t="str">
        <f>Originals!H362</f>
        <v>Vision Common Resources 19.5.0</v>
      </c>
      <c r="I396" s="148">
        <f>Originals!I362</f>
        <v>0</v>
      </c>
      <c r="J396" s="195" t="s">
        <v>550</v>
      </c>
    </row>
    <row r="397" spans="1:10" hidden="1" x14ac:dyDescent="0.25">
      <c r="A397" s="149" t="str">
        <f>Scott!A201</f>
        <v>3-Scott</v>
      </c>
      <c r="B397" s="149" t="str">
        <f>Scott!B201</f>
        <v>Vision Common Resources</v>
      </c>
      <c r="C397" s="149" t="str">
        <f>Scott!C201</f>
        <v>19.0.0</v>
      </c>
      <c r="D397" s="149" t="str">
        <f>Scott!D201</f>
        <v>32</v>
      </c>
      <c r="E397" s="149" t="str">
        <f>Scott!E201</f>
        <v>2019</v>
      </c>
      <c r="F397" s="149" t="str">
        <f>Scott!F201</f>
        <v>Development</v>
      </c>
      <c r="G397" s="149" t="str">
        <f>Scott!G201</f>
        <v>NI</v>
      </c>
      <c r="H397" s="149" t="str">
        <f>Scott!H201</f>
        <v>Vision Common Resources 19.0.0</v>
      </c>
      <c r="I397" s="149" t="str">
        <f>Scott!I201</f>
        <v>LabVIEW 2019</v>
      </c>
      <c r="J397" s="195" t="s">
        <v>550</v>
      </c>
    </row>
    <row r="398" spans="1:10" hidden="1" x14ac:dyDescent="0.25">
      <c r="A398" s="148" t="str">
        <f>Originals!A363</f>
        <v>4-Vinnie</v>
      </c>
      <c r="B398" s="148" t="str">
        <f>Originals!B363</f>
        <v>Vision Development Module</v>
      </c>
      <c r="C398" s="148" t="str">
        <f>Originals!C363</f>
        <v>18.5.0</v>
      </c>
      <c r="D398" s="148" t="str">
        <f>Originals!D363</f>
        <v>32</v>
      </c>
      <c r="E398" s="148" t="str">
        <f>Originals!E363</f>
        <v>2018</v>
      </c>
      <c r="F398" s="148" t="str">
        <f>Originals!F363</f>
        <v>Development</v>
      </c>
      <c r="G398" s="148" t="str">
        <f>Originals!G363</f>
        <v>NI</v>
      </c>
      <c r="H398" s="148" t="str">
        <f>Originals!H363</f>
        <v>Vision Development Module 18.5.0</v>
      </c>
      <c r="I398" s="148">
        <f>Originals!I363</f>
        <v>0</v>
      </c>
      <c r="J398" s="195" t="s">
        <v>550</v>
      </c>
    </row>
    <row r="399" spans="1:10" hidden="1" x14ac:dyDescent="0.25">
      <c r="A399" s="148" t="str">
        <f>Originals!A364</f>
        <v>4-Vinnie</v>
      </c>
      <c r="B399" s="148" t="str">
        <f>Originals!B364</f>
        <v>Vision Development Module</v>
      </c>
      <c r="C399" s="148" t="str">
        <f>Originals!C364</f>
        <v>19.5.0</v>
      </c>
      <c r="D399" s="148" t="str">
        <f>Originals!D364</f>
        <v>32</v>
      </c>
      <c r="E399" s="148" t="str">
        <f>Originals!E364</f>
        <v>2019</v>
      </c>
      <c r="F399" s="148" t="str">
        <f>Originals!F364</f>
        <v>Development</v>
      </c>
      <c r="G399" s="148" t="str">
        <f>Originals!G364</f>
        <v>NI</v>
      </c>
      <c r="H399" s="148" t="str">
        <f>Originals!H364</f>
        <v>Vision Development Module 19.5.0</v>
      </c>
      <c r="I399" s="148">
        <f>Originals!I364</f>
        <v>0</v>
      </c>
      <c r="J399" s="195" t="s">
        <v>550</v>
      </c>
    </row>
    <row r="400" spans="1:10" hidden="1" x14ac:dyDescent="0.25">
      <c r="A400" s="149" t="str">
        <f>Scott!A202</f>
        <v>3-Scott</v>
      </c>
      <c r="B400" s="149" t="str">
        <f>Scott!B202</f>
        <v>Vision Development Module</v>
      </c>
      <c r="C400" s="149" t="str">
        <f>Scott!C202</f>
        <v>19.0.0</v>
      </c>
      <c r="D400" s="149" t="str">
        <f>Scott!D202</f>
        <v>32</v>
      </c>
      <c r="E400" s="149" t="str">
        <f>Scott!E202</f>
        <v>2019</v>
      </c>
      <c r="F400" s="149" t="str">
        <f>Scott!F202</f>
        <v>Development</v>
      </c>
      <c r="G400" s="149" t="str">
        <f>Scott!G202</f>
        <v>NI</v>
      </c>
      <c r="H400" s="149" t="str">
        <f>Scott!H202</f>
        <v>Vision Development Module 19.0.0</v>
      </c>
      <c r="I400" s="149" t="str">
        <f>Scott!I202</f>
        <v>LabVIEW 2019</v>
      </c>
      <c r="J400" s="195" t="s">
        <v>550</v>
      </c>
    </row>
    <row r="401" spans="1:10" hidden="1" x14ac:dyDescent="0.25">
      <c r="A401" s="148" t="str">
        <f>Originals!A365</f>
        <v>4-Vinnie</v>
      </c>
      <c r="B401" s="148" t="str">
        <f>Originals!B365</f>
        <v>Vision Development Module Development Support</v>
      </c>
      <c r="C401" s="148" t="str">
        <f>Originals!C365</f>
        <v>18.5.0 SP1</v>
      </c>
      <c r="D401" s="148" t="str">
        <f>Originals!D365</f>
        <v>32</v>
      </c>
      <c r="E401" s="148" t="str">
        <f>Originals!E365</f>
        <v>2018</v>
      </c>
      <c r="F401" s="148" t="str">
        <f>Originals!F365</f>
        <v>Development</v>
      </c>
      <c r="G401" s="148" t="str">
        <f>Originals!G365</f>
        <v>NI</v>
      </c>
      <c r="H401" s="148" t="str">
        <f>Originals!H365</f>
        <v>Vision Development Module Development Support 18.5.0 SP1</v>
      </c>
      <c r="I401" s="148">
        <f>Originals!I365</f>
        <v>0</v>
      </c>
      <c r="J401" s="195" t="s">
        <v>550</v>
      </c>
    </row>
    <row r="402" spans="1:10" hidden="1" x14ac:dyDescent="0.25">
      <c r="A402" s="148" t="str">
        <f>Originals!A366</f>
        <v>4-Vinnie</v>
      </c>
      <c r="B402" s="148" t="str">
        <f>Originals!B366</f>
        <v>Vision Development Module Support</v>
      </c>
      <c r="C402" s="148" t="str">
        <f>Originals!C366</f>
        <v>19.5.0 SP1</v>
      </c>
      <c r="D402" s="148" t="str">
        <f>Originals!D366</f>
        <v>32</v>
      </c>
      <c r="E402" s="148" t="str">
        <f>Originals!E366</f>
        <v>2019</v>
      </c>
      <c r="F402" s="148" t="str">
        <f>Originals!F366</f>
        <v>Runtime</v>
      </c>
      <c r="G402" s="148" t="str">
        <f>Originals!G366</f>
        <v>NI</v>
      </c>
      <c r="H402" s="148" t="str">
        <f>Originals!H366</f>
        <v>Vision Development Module Support 19.5.0 SP1</v>
      </c>
      <c r="I402" s="148">
        <f>Originals!I366</f>
        <v>0</v>
      </c>
    </row>
    <row r="403" spans="1:10" hidden="1" x14ac:dyDescent="0.25">
      <c r="A403" s="149" t="str">
        <f>Scott!A203</f>
        <v>3-Scott</v>
      </c>
      <c r="B403" s="149" t="str">
        <f>Scott!B203</f>
        <v>Vision Development Module Support</v>
      </c>
      <c r="C403" s="149" t="str">
        <f>Scott!C203</f>
        <v>19.0.0</v>
      </c>
      <c r="D403" s="149" t="str">
        <f>Scott!D203</f>
        <v>32</v>
      </c>
      <c r="E403" s="149" t="str">
        <f>Scott!E203</f>
        <v>2019</v>
      </c>
      <c r="F403" s="149" t="str">
        <f>Scott!F203</f>
        <v>Runtime</v>
      </c>
      <c r="G403" s="149" t="str">
        <f>Scott!G203</f>
        <v>NI</v>
      </c>
      <c r="H403" s="149" t="str">
        <f>Scott!H203</f>
        <v>Vision Development Module Support 19.0.0</v>
      </c>
      <c r="I403" s="149" t="str">
        <f>Scott!I203</f>
        <v>LabVIEW 2019</v>
      </c>
    </row>
    <row r="404" spans="1:10" hidden="1" x14ac:dyDescent="0.25">
      <c r="A404" s="148" t="str">
        <f>Originals!A367</f>
        <v>4-Vinnie</v>
      </c>
      <c r="B404" s="148" t="str">
        <f>Originals!B367</f>
        <v>WebDAV Cleitn with SSL Support</v>
      </c>
      <c r="C404" s="148" t="str">
        <f>Originals!C367</f>
        <v>15.0.0</v>
      </c>
      <c r="D404" s="148" t="str">
        <f>Originals!D367</f>
        <v>32</v>
      </c>
      <c r="E404" s="148" t="str">
        <f>Originals!E367</f>
        <v>2015</v>
      </c>
      <c r="F404" s="148" t="str">
        <f>Originals!F367</f>
        <v>C-RIO</v>
      </c>
      <c r="G404" s="148" t="str">
        <f>Originals!G367</f>
        <v>NI</v>
      </c>
      <c r="H404" s="148" t="str">
        <f>Originals!H367</f>
        <v>WebDAV Cleitn with SSL Support 15.0.0</v>
      </c>
      <c r="I404" s="148">
        <f>Originals!I367</f>
        <v>0</v>
      </c>
    </row>
    <row r="405" spans="1:10" hidden="1" x14ac:dyDescent="0.25">
      <c r="A405" s="148" t="str">
        <f>Originals!A368</f>
        <v>4-Vinnie</v>
      </c>
      <c r="B405" s="148" t="str">
        <f>Originals!B368</f>
        <v>WebDAV Server</v>
      </c>
      <c r="C405" s="148" t="str">
        <f>Originals!C368</f>
        <v>15.0.0</v>
      </c>
      <c r="D405" s="148" t="str">
        <f>Originals!D368</f>
        <v>32</v>
      </c>
      <c r="E405" s="148" t="str">
        <f>Originals!E368</f>
        <v>2015</v>
      </c>
      <c r="F405" s="148" t="str">
        <f>Originals!F368</f>
        <v>C-RIO</v>
      </c>
      <c r="G405" s="148" t="str">
        <f>Originals!G368</f>
        <v>NI</v>
      </c>
      <c r="H405" s="148" t="str">
        <f>Originals!H368</f>
        <v>WebDAV Server 15.0.0</v>
      </c>
      <c r="I405" s="148">
        <f>Originals!I368</f>
        <v>0</v>
      </c>
    </row>
  </sheetData>
  <autoFilter ref="A1:J405" xr:uid="{6E45412E-67A0-4436-B27C-26CC56C27032}">
    <filterColumn colId="5">
      <filters>
        <filter val="Development"/>
      </filters>
    </filterColumn>
    <filterColumn colId="9">
      <filters>
        <filter val="Low Issue"/>
        <filter val="Maybe"/>
        <filter val="Not Installed"/>
        <filter val="Verison Mismatch 0"/>
        <filter val="Verison Mismatch 1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55"/>
  <sheetViews>
    <sheetView showZeros="0" zoomScaleNormal="100" workbookViewId="0">
      <pane ySplit="3" topLeftCell="A4" activePane="bottomLeft" state="frozen"/>
      <selection activeCell="A4" sqref="A4"/>
      <selection pane="bottomLeft" activeCell="A4" sqref="A4:I52"/>
    </sheetView>
  </sheetViews>
  <sheetFormatPr defaultColWidth="11.140625" defaultRowHeight="13.5" x14ac:dyDescent="0.25"/>
  <cols>
    <col min="1" max="1" width="12.5703125" style="5" bestFit="1" customWidth="1"/>
    <col min="2" max="2" width="33.42578125" style="5" bestFit="1" customWidth="1"/>
    <col min="3" max="3" width="11.7109375" style="12" bestFit="1" customWidth="1"/>
    <col min="4" max="4" width="9" style="12" bestFit="1" customWidth="1"/>
    <col min="5" max="5" width="11.5703125" style="12" bestFit="1" customWidth="1"/>
    <col min="6" max="6" width="21.28515625" style="12" bestFit="1" customWidth="1"/>
    <col min="7" max="7" width="11.42578125" style="12" bestFit="1" customWidth="1"/>
    <col min="8" max="8" width="43" style="5" bestFit="1" customWidth="1"/>
    <col min="9" max="9" width="31.7109375" style="5" bestFit="1" customWidth="1"/>
    <col min="10" max="16384" width="11.140625" style="5"/>
  </cols>
  <sheetData>
    <row r="1" spans="1:9" x14ac:dyDescent="0.25">
      <c r="A1" s="150" t="s">
        <v>506</v>
      </c>
      <c r="B1" s="150"/>
      <c r="C1" s="150"/>
      <c r="D1" s="150"/>
      <c r="E1" s="150"/>
      <c r="F1" s="150"/>
      <c r="G1" s="150"/>
      <c r="H1" s="150"/>
      <c r="I1" s="155"/>
    </row>
    <row r="2" spans="1:9" ht="14.25" thickBot="1" x14ac:dyDescent="0.3">
      <c r="A2" s="156"/>
      <c r="B2" s="156"/>
      <c r="C2" s="156"/>
      <c r="D2" s="156"/>
      <c r="E2" s="156"/>
      <c r="F2" s="156"/>
      <c r="G2" s="156"/>
      <c r="H2" s="156"/>
      <c r="I2" s="157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  <row r="4" spans="1:9" ht="15" x14ac:dyDescent="0.25">
      <c r="A4"/>
      <c r="B4"/>
      <c r="C4"/>
      <c r="D4"/>
      <c r="E4"/>
      <c r="F4"/>
      <c r="G4"/>
      <c r="H4"/>
      <c r="I4"/>
    </row>
    <row r="5" spans="1:9" ht="15" x14ac:dyDescent="0.25">
      <c r="A5"/>
      <c r="B5"/>
      <c r="C5"/>
      <c r="D5"/>
      <c r="E5"/>
      <c r="F5"/>
      <c r="G5"/>
      <c r="H5"/>
      <c r="I5"/>
    </row>
    <row r="6" spans="1:9" ht="15" x14ac:dyDescent="0.25">
      <c r="A6"/>
      <c r="B6"/>
      <c r="C6"/>
      <c r="D6"/>
      <c r="E6"/>
      <c r="F6"/>
      <c r="G6"/>
      <c r="H6"/>
      <c r="I6"/>
    </row>
    <row r="7" spans="1:9" ht="15" x14ac:dyDescent="0.25">
      <c r="A7"/>
      <c r="B7"/>
      <c r="C7"/>
      <c r="D7"/>
      <c r="E7"/>
      <c r="F7"/>
      <c r="G7"/>
      <c r="H7"/>
      <c r="I7"/>
    </row>
    <row r="8" spans="1:9" ht="15" x14ac:dyDescent="0.25">
      <c r="A8"/>
      <c r="B8"/>
      <c r="C8"/>
      <c r="D8"/>
      <c r="E8"/>
      <c r="F8"/>
      <c r="G8"/>
      <c r="H8"/>
      <c r="I8"/>
    </row>
    <row r="9" spans="1:9" ht="15" x14ac:dyDescent="0.25">
      <c r="A9"/>
      <c r="B9"/>
      <c r="C9"/>
      <c r="D9"/>
      <c r="E9"/>
      <c r="F9"/>
      <c r="G9"/>
      <c r="H9"/>
      <c r="I9"/>
    </row>
    <row r="10" spans="1:9" ht="15" x14ac:dyDescent="0.25">
      <c r="A10"/>
      <c r="B10"/>
      <c r="C10"/>
      <c r="D10"/>
      <c r="E10"/>
      <c r="F10"/>
      <c r="G10"/>
      <c r="H10"/>
      <c r="I10"/>
    </row>
    <row r="11" spans="1:9" ht="15" x14ac:dyDescent="0.25">
      <c r="A11"/>
      <c r="B11"/>
      <c r="C11"/>
      <c r="D11"/>
      <c r="E11"/>
      <c r="F11"/>
      <c r="G11"/>
      <c r="H11"/>
      <c r="I11"/>
    </row>
    <row r="12" spans="1:9" ht="15" x14ac:dyDescent="0.25">
      <c r="A12"/>
      <c r="B12"/>
      <c r="C12"/>
      <c r="D12"/>
      <c r="E12"/>
      <c r="F12"/>
      <c r="G12"/>
      <c r="H12"/>
      <c r="I12"/>
    </row>
    <row r="13" spans="1:9" ht="15" x14ac:dyDescent="0.25">
      <c r="A13"/>
      <c r="B13"/>
      <c r="C13"/>
      <c r="D13"/>
      <c r="E13"/>
      <c r="F13"/>
      <c r="G13"/>
      <c r="H13"/>
      <c r="I13"/>
    </row>
    <row r="14" spans="1:9" ht="15" x14ac:dyDescent="0.25">
      <c r="A14"/>
      <c r="B14"/>
      <c r="C14"/>
      <c r="D14"/>
      <c r="E14"/>
      <c r="F14"/>
      <c r="G14"/>
      <c r="H14"/>
      <c r="I14"/>
    </row>
    <row r="15" spans="1:9" ht="15" x14ac:dyDescent="0.25">
      <c r="A15"/>
      <c r="B15"/>
      <c r="C15"/>
      <c r="D15"/>
      <c r="E15"/>
      <c r="F15"/>
      <c r="G15"/>
      <c r="H15"/>
      <c r="I15"/>
    </row>
    <row r="16" spans="1:9" ht="15" x14ac:dyDescent="0.25">
      <c r="A16"/>
      <c r="B16"/>
      <c r="C16"/>
      <c r="D16"/>
      <c r="E16"/>
      <c r="F16"/>
      <c r="G16"/>
      <c r="H16"/>
      <c r="I16"/>
    </row>
    <row r="17" spans="1:9" ht="15" x14ac:dyDescent="0.25">
      <c r="A17"/>
      <c r="B17"/>
      <c r="C17"/>
      <c r="D17"/>
      <c r="E17"/>
      <c r="F17"/>
      <c r="G17"/>
      <c r="H17"/>
      <c r="I17"/>
    </row>
    <row r="18" spans="1:9" ht="15" x14ac:dyDescent="0.25">
      <c r="A18"/>
      <c r="B18"/>
      <c r="C18"/>
      <c r="D18"/>
      <c r="E18"/>
      <c r="F18"/>
      <c r="G18"/>
      <c r="H18"/>
      <c r="I18"/>
    </row>
    <row r="19" spans="1:9" ht="15" x14ac:dyDescent="0.25">
      <c r="A19"/>
      <c r="B19"/>
      <c r="C19"/>
      <c r="D19"/>
      <c r="E19"/>
      <c r="F19"/>
      <c r="G19"/>
      <c r="H19"/>
      <c r="I19"/>
    </row>
    <row r="20" spans="1:9" ht="15" x14ac:dyDescent="0.25">
      <c r="A20"/>
      <c r="B20"/>
      <c r="C20"/>
      <c r="D20"/>
      <c r="E20"/>
      <c r="F20"/>
      <c r="G20"/>
      <c r="H20"/>
      <c r="I20"/>
    </row>
    <row r="21" spans="1:9" ht="15" x14ac:dyDescent="0.25">
      <c r="A21"/>
      <c r="B21"/>
      <c r="C21"/>
      <c r="D21"/>
      <c r="E21"/>
      <c r="F21"/>
      <c r="G21"/>
      <c r="H21"/>
      <c r="I21"/>
    </row>
    <row r="22" spans="1:9" ht="15" x14ac:dyDescent="0.25">
      <c r="A22"/>
      <c r="B22"/>
      <c r="C22"/>
      <c r="D22"/>
      <c r="E22"/>
      <c r="F22"/>
      <c r="G22"/>
      <c r="H22"/>
      <c r="I22"/>
    </row>
    <row r="23" spans="1:9" ht="15" x14ac:dyDescent="0.25">
      <c r="A23"/>
      <c r="B23"/>
      <c r="C23"/>
      <c r="D23"/>
      <c r="E23"/>
      <c r="F23"/>
      <c r="G23"/>
      <c r="H23"/>
      <c r="I23"/>
    </row>
    <row r="24" spans="1:9" ht="15" x14ac:dyDescent="0.25">
      <c r="A24"/>
      <c r="B24"/>
      <c r="C24"/>
      <c r="D24"/>
      <c r="E24"/>
      <c r="F24"/>
      <c r="G24"/>
      <c r="H24"/>
      <c r="I24"/>
    </row>
    <row r="25" spans="1:9" ht="15" x14ac:dyDescent="0.25">
      <c r="A25"/>
      <c r="B25"/>
      <c r="C25"/>
      <c r="D25"/>
      <c r="E25"/>
      <c r="F25"/>
      <c r="G25"/>
      <c r="H25"/>
      <c r="I25"/>
    </row>
    <row r="26" spans="1:9" ht="15" x14ac:dyDescent="0.25">
      <c r="A26"/>
      <c r="B26"/>
      <c r="C26"/>
      <c r="D26"/>
      <c r="E26"/>
      <c r="F26"/>
      <c r="G26"/>
      <c r="H26"/>
      <c r="I26"/>
    </row>
    <row r="27" spans="1:9" ht="15" x14ac:dyDescent="0.25">
      <c r="A27"/>
      <c r="B27"/>
      <c r="C27"/>
      <c r="D27"/>
      <c r="E27"/>
      <c r="F27"/>
      <c r="G27"/>
      <c r="H27"/>
      <c r="I27"/>
    </row>
    <row r="28" spans="1:9" ht="15" x14ac:dyDescent="0.25">
      <c r="A28"/>
      <c r="B28"/>
      <c r="C28"/>
      <c r="D28"/>
      <c r="E28"/>
      <c r="F28"/>
      <c r="G28"/>
      <c r="H28"/>
      <c r="I28"/>
    </row>
    <row r="29" spans="1:9" ht="15" x14ac:dyDescent="0.25">
      <c r="A29"/>
      <c r="B29"/>
      <c r="C29"/>
      <c r="D29"/>
      <c r="E29"/>
      <c r="F29"/>
      <c r="G29"/>
      <c r="H29"/>
      <c r="I29"/>
    </row>
    <row r="30" spans="1:9" ht="15" x14ac:dyDescent="0.25">
      <c r="A30"/>
      <c r="B30"/>
      <c r="C30"/>
      <c r="D30"/>
      <c r="E30"/>
      <c r="F30"/>
      <c r="G30"/>
      <c r="H30"/>
      <c r="I30"/>
    </row>
    <row r="31" spans="1:9" ht="15" x14ac:dyDescent="0.25">
      <c r="A31"/>
      <c r="B31"/>
      <c r="C31"/>
      <c r="D31"/>
      <c r="E31"/>
      <c r="F31"/>
      <c r="G31"/>
      <c r="H31"/>
      <c r="I31"/>
    </row>
    <row r="32" spans="1:9" ht="15" x14ac:dyDescent="0.25">
      <c r="A32"/>
      <c r="B32"/>
      <c r="C32"/>
      <c r="D32"/>
      <c r="E32"/>
      <c r="F32"/>
      <c r="G32"/>
      <c r="H32"/>
      <c r="I32"/>
    </row>
    <row r="33" spans="1:9" ht="15" x14ac:dyDescent="0.25">
      <c r="A33"/>
      <c r="B33"/>
      <c r="C33"/>
      <c r="D33"/>
      <c r="E33"/>
      <c r="F33"/>
      <c r="G33"/>
      <c r="H33"/>
      <c r="I33"/>
    </row>
    <row r="34" spans="1:9" ht="15" x14ac:dyDescent="0.25">
      <c r="A34"/>
      <c r="B34"/>
      <c r="C34"/>
      <c r="D34"/>
      <c r="E34"/>
      <c r="F34"/>
      <c r="G34"/>
      <c r="H34"/>
      <c r="I34"/>
    </row>
    <row r="35" spans="1:9" ht="15" x14ac:dyDescent="0.25">
      <c r="A35"/>
      <c r="B35"/>
      <c r="C35"/>
      <c r="D35"/>
      <c r="E35"/>
      <c r="F35"/>
      <c r="G35"/>
      <c r="H35"/>
      <c r="I35"/>
    </row>
    <row r="36" spans="1:9" ht="15" x14ac:dyDescent="0.25">
      <c r="A36"/>
      <c r="B36"/>
      <c r="C36"/>
      <c r="D36"/>
      <c r="E36"/>
      <c r="F36"/>
      <c r="G36"/>
      <c r="H36"/>
      <c r="I36"/>
    </row>
    <row r="37" spans="1:9" ht="15" x14ac:dyDescent="0.25">
      <c r="A37"/>
      <c r="B37"/>
      <c r="C37"/>
      <c r="D37"/>
      <c r="E37"/>
      <c r="F37"/>
      <c r="G37"/>
      <c r="H37"/>
      <c r="I37"/>
    </row>
    <row r="38" spans="1:9" ht="15" x14ac:dyDescent="0.25">
      <c r="A38"/>
      <c r="B38"/>
      <c r="C38"/>
      <c r="D38"/>
      <c r="E38"/>
      <c r="F38"/>
      <c r="G38"/>
      <c r="H38"/>
      <c r="I38"/>
    </row>
    <row r="39" spans="1:9" ht="15" x14ac:dyDescent="0.25">
      <c r="A39"/>
      <c r="B39"/>
      <c r="C39"/>
      <c r="D39"/>
      <c r="E39"/>
      <c r="F39"/>
      <c r="G39"/>
      <c r="H39"/>
      <c r="I39"/>
    </row>
    <row r="40" spans="1:9" ht="15" x14ac:dyDescent="0.25">
      <c r="A40"/>
      <c r="B40"/>
      <c r="C40"/>
      <c r="D40"/>
      <c r="E40"/>
      <c r="F40"/>
      <c r="G40"/>
      <c r="H40"/>
      <c r="I40"/>
    </row>
    <row r="41" spans="1:9" ht="15" x14ac:dyDescent="0.25">
      <c r="A41"/>
      <c r="B41"/>
      <c r="C41"/>
      <c r="D41"/>
      <c r="E41"/>
      <c r="F41"/>
      <c r="G41"/>
      <c r="H41"/>
      <c r="I41"/>
    </row>
    <row r="42" spans="1:9" ht="15" x14ac:dyDescent="0.25">
      <c r="A42"/>
      <c r="B42"/>
      <c r="C42"/>
      <c r="D42"/>
      <c r="E42"/>
      <c r="F42"/>
      <c r="G42"/>
      <c r="H42"/>
      <c r="I42"/>
    </row>
    <row r="43" spans="1:9" ht="15" x14ac:dyDescent="0.25">
      <c r="A43"/>
      <c r="B43"/>
      <c r="C43"/>
      <c r="D43"/>
      <c r="E43"/>
      <c r="F43"/>
      <c r="G43"/>
      <c r="H43"/>
      <c r="I43"/>
    </row>
    <row r="44" spans="1:9" ht="15" x14ac:dyDescent="0.25">
      <c r="A44"/>
      <c r="B44"/>
      <c r="C44"/>
      <c r="D44"/>
      <c r="E44"/>
      <c r="F44"/>
      <c r="G44"/>
      <c r="H44"/>
      <c r="I44"/>
    </row>
    <row r="45" spans="1:9" ht="15" x14ac:dyDescent="0.25">
      <c r="A45"/>
      <c r="B45"/>
      <c r="C45"/>
      <c r="D45"/>
      <c r="E45"/>
      <c r="F45"/>
      <c r="G45"/>
      <c r="H45"/>
      <c r="I45"/>
    </row>
    <row r="46" spans="1:9" ht="15" x14ac:dyDescent="0.25">
      <c r="A46"/>
      <c r="B46"/>
      <c r="C46"/>
      <c r="D46"/>
      <c r="E46"/>
      <c r="F46"/>
      <c r="G46"/>
      <c r="H46"/>
      <c r="I46"/>
    </row>
    <row r="47" spans="1:9" ht="15" x14ac:dyDescent="0.25">
      <c r="A47"/>
      <c r="B47"/>
      <c r="C47"/>
      <c r="D47"/>
      <c r="E47"/>
      <c r="F47"/>
      <c r="G47"/>
      <c r="H47"/>
      <c r="I47"/>
    </row>
    <row r="48" spans="1:9" ht="15" x14ac:dyDescent="0.25">
      <c r="A48"/>
      <c r="B48"/>
      <c r="C48"/>
      <c r="D48"/>
      <c r="E48"/>
      <c r="F48"/>
      <c r="G48"/>
      <c r="H48"/>
      <c r="I48"/>
    </row>
    <row r="49" spans="1:9" ht="15" x14ac:dyDescent="0.25">
      <c r="A49"/>
      <c r="B49"/>
      <c r="C49"/>
      <c r="D49"/>
      <c r="E49"/>
      <c r="F49"/>
      <c r="G49"/>
      <c r="H49"/>
      <c r="I49"/>
    </row>
    <row r="50" spans="1:9" ht="15" x14ac:dyDescent="0.25">
      <c r="A50"/>
      <c r="B50"/>
      <c r="C50"/>
      <c r="D50"/>
      <c r="E50"/>
      <c r="F50"/>
      <c r="G50"/>
      <c r="H50"/>
      <c r="I50"/>
    </row>
    <row r="51" spans="1:9" ht="15" x14ac:dyDescent="0.25">
      <c r="A51"/>
      <c r="B51"/>
      <c r="C51"/>
      <c r="D51"/>
      <c r="E51"/>
      <c r="F51"/>
      <c r="G51"/>
      <c r="H51"/>
      <c r="I51"/>
    </row>
    <row r="52" spans="1:9" ht="15" x14ac:dyDescent="0.25">
      <c r="A52"/>
      <c r="B52"/>
      <c r="C52"/>
      <c r="D52"/>
      <c r="E52"/>
      <c r="F52"/>
      <c r="G52"/>
      <c r="H52"/>
      <c r="I52"/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</sheetData>
  <autoFilter ref="A3:I3" xr:uid="{F7F44E2F-0633-42B7-8978-CE6606F45AA2}">
    <sortState xmlns:xlrd2="http://schemas.microsoft.com/office/spreadsheetml/2017/richdata2" ref="A4:I3">
      <sortCondition ref="B3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/>
  <dimension ref="A1:I221"/>
  <sheetViews>
    <sheetView showZeros="0" zoomScaleNormal="100" workbookViewId="0">
      <pane ySplit="3" topLeftCell="A4" activePane="bottomLeft" state="frozen"/>
      <selection sqref="A1:I2"/>
      <selection pane="bottomLeft" activeCell="A4" sqref="A4:I257"/>
    </sheetView>
  </sheetViews>
  <sheetFormatPr defaultColWidth="9.28515625" defaultRowHeight="13.5" x14ac:dyDescent="0.25"/>
  <cols>
    <col min="1" max="1" width="11.28515625" style="59" bestFit="1" customWidth="1"/>
    <col min="2" max="2" width="44.140625" style="59" bestFit="1" customWidth="1"/>
    <col min="3" max="3" width="12.28515625" style="60" bestFit="1" customWidth="1"/>
    <col min="4" max="4" width="10" style="60" bestFit="1" customWidth="1"/>
    <col min="5" max="5" width="11.140625" style="60" bestFit="1" customWidth="1"/>
    <col min="6" max="6" width="24.42578125" style="60" bestFit="1" customWidth="1"/>
    <col min="7" max="7" width="10" style="60" bestFit="1" customWidth="1"/>
    <col min="8" max="8" width="51" style="59" bestFit="1" customWidth="1"/>
    <col min="9" max="9" width="42.85546875" style="59" bestFit="1" customWidth="1"/>
    <col min="10" max="16384" width="9.28515625" style="59"/>
  </cols>
  <sheetData>
    <row r="1" spans="1:9" x14ac:dyDescent="0.25">
      <c r="A1" s="150" t="s">
        <v>505</v>
      </c>
      <c r="B1" s="151"/>
      <c r="C1" s="151"/>
      <c r="D1" s="151"/>
      <c r="E1" s="151"/>
      <c r="F1" s="151"/>
      <c r="G1" s="151"/>
      <c r="H1" s="151"/>
      <c r="I1" s="152"/>
    </row>
    <row r="2" spans="1:9" ht="14.25" thickBot="1" x14ac:dyDescent="0.3">
      <c r="A2" s="153"/>
      <c r="B2" s="153"/>
      <c r="C2" s="153"/>
      <c r="D2" s="153"/>
      <c r="E2" s="153"/>
      <c r="F2" s="153"/>
      <c r="G2" s="153"/>
      <c r="H2" s="153"/>
      <c r="I2" s="154"/>
    </row>
    <row r="3" spans="1:9" ht="15" x14ac:dyDescent="0.25">
      <c r="A3" s="31" t="s">
        <v>98</v>
      </c>
      <c r="B3" s="32" t="s">
        <v>99</v>
      </c>
      <c r="C3" s="32" t="s">
        <v>3</v>
      </c>
      <c r="D3" s="32" t="s">
        <v>4</v>
      </c>
      <c r="E3" s="32" t="s">
        <v>5</v>
      </c>
      <c r="F3" s="32" t="s">
        <v>100</v>
      </c>
      <c r="G3" s="32" t="s">
        <v>6</v>
      </c>
      <c r="H3" s="33" t="s">
        <v>101</v>
      </c>
      <c r="I3" s="34" t="s">
        <v>7</v>
      </c>
    </row>
    <row r="4" spans="1:9" ht="15" x14ac:dyDescent="0.25">
      <c r="A4"/>
      <c r="B4"/>
      <c r="C4"/>
      <c r="D4"/>
      <c r="E4"/>
      <c r="F4"/>
      <c r="G4"/>
      <c r="H4"/>
      <c r="I4"/>
    </row>
    <row r="5" spans="1:9" ht="15" x14ac:dyDescent="0.25">
      <c r="A5"/>
      <c r="B5"/>
      <c r="C5"/>
      <c r="D5"/>
      <c r="E5"/>
      <c r="F5"/>
      <c r="G5"/>
      <c r="H5"/>
      <c r="I5"/>
    </row>
    <row r="6" spans="1:9" ht="15" x14ac:dyDescent="0.25">
      <c r="A6"/>
      <c r="B6"/>
      <c r="C6"/>
      <c r="D6"/>
      <c r="E6"/>
      <c r="F6"/>
      <c r="G6"/>
      <c r="H6"/>
      <c r="I6"/>
    </row>
    <row r="7" spans="1:9" ht="15" x14ac:dyDescent="0.25">
      <c r="A7"/>
      <c r="B7"/>
      <c r="C7"/>
      <c r="D7"/>
      <c r="E7"/>
      <c r="F7"/>
      <c r="G7"/>
      <c r="H7"/>
      <c r="I7"/>
    </row>
    <row r="8" spans="1:9" ht="15" x14ac:dyDescent="0.25">
      <c r="A8"/>
      <c r="B8"/>
      <c r="C8"/>
      <c r="D8"/>
      <c r="E8"/>
      <c r="F8"/>
      <c r="G8"/>
      <c r="H8"/>
      <c r="I8"/>
    </row>
    <row r="9" spans="1:9" ht="15" x14ac:dyDescent="0.25">
      <c r="A9"/>
      <c r="B9"/>
      <c r="C9"/>
      <c r="D9"/>
      <c r="E9"/>
      <c r="F9"/>
      <c r="G9"/>
      <c r="H9"/>
      <c r="I9"/>
    </row>
    <row r="10" spans="1:9" ht="15" x14ac:dyDescent="0.25">
      <c r="A10"/>
      <c r="B10"/>
      <c r="C10"/>
      <c r="D10"/>
      <c r="E10"/>
      <c r="F10"/>
      <c r="G10"/>
      <c r="H10"/>
      <c r="I10"/>
    </row>
    <row r="11" spans="1:9" ht="15" x14ac:dyDescent="0.25">
      <c r="A11"/>
      <c r="B11"/>
      <c r="C11"/>
      <c r="D11"/>
      <c r="E11"/>
      <c r="F11"/>
      <c r="G11"/>
      <c r="H11"/>
      <c r="I11"/>
    </row>
    <row r="12" spans="1:9" ht="15" x14ac:dyDescent="0.25">
      <c r="A12"/>
      <c r="B12"/>
      <c r="C12"/>
      <c r="D12"/>
      <c r="E12"/>
      <c r="F12"/>
      <c r="G12"/>
      <c r="H12"/>
      <c r="I12"/>
    </row>
    <row r="13" spans="1:9" ht="15" x14ac:dyDescent="0.25">
      <c r="A13"/>
      <c r="B13"/>
      <c r="C13"/>
      <c r="D13"/>
      <c r="E13"/>
      <c r="F13"/>
      <c r="G13"/>
      <c r="H13"/>
      <c r="I13"/>
    </row>
    <row r="14" spans="1:9" ht="15" x14ac:dyDescent="0.25">
      <c r="A14"/>
      <c r="B14"/>
      <c r="C14"/>
      <c r="D14"/>
      <c r="E14"/>
      <c r="F14"/>
      <c r="G14"/>
      <c r="H14"/>
      <c r="I14"/>
    </row>
    <row r="15" spans="1:9" ht="15" x14ac:dyDescent="0.25">
      <c r="A15"/>
      <c r="B15"/>
      <c r="C15"/>
      <c r="D15"/>
      <c r="E15"/>
      <c r="F15"/>
      <c r="G15"/>
      <c r="H15"/>
      <c r="I15"/>
    </row>
    <row r="16" spans="1:9" ht="15" x14ac:dyDescent="0.25">
      <c r="A16"/>
      <c r="B16"/>
      <c r="C16"/>
      <c r="D16"/>
      <c r="E16"/>
      <c r="F16"/>
      <c r="G16"/>
      <c r="H16"/>
      <c r="I16"/>
    </row>
    <row r="17" spans="1:9" ht="15" x14ac:dyDescent="0.25">
      <c r="A17"/>
      <c r="B17"/>
      <c r="C17"/>
      <c r="D17"/>
      <c r="E17"/>
      <c r="F17"/>
      <c r="G17"/>
      <c r="H17"/>
      <c r="I17"/>
    </row>
    <row r="18" spans="1:9" ht="15" x14ac:dyDescent="0.25">
      <c r="A18"/>
      <c r="B18"/>
      <c r="C18"/>
      <c r="D18"/>
      <c r="E18"/>
      <c r="F18"/>
      <c r="G18"/>
      <c r="H18"/>
      <c r="I18"/>
    </row>
    <row r="19" spans="1:9" ht="15" x14ac:dyDescent="0.25">
      <c r="A19"/>
      <c r="B19"/>
      <c r="C19"/>
      <c r="D19"/>
      <c r="E19"/>
      <c r="F19"/>
      <c r="G19"/>
      <c r="H19"/>
      <c r="I19"/>
    </row>
    <row r="20" spans="1:9" ht="15" x14ac:dyDescent="0.25">
      <c r="A20"/>
      <c r="B20"/>
      <c r="C20"/>
      <c r="D20"/>
      <c r="E20"/>
      <c r="F20"/>
      <c r="G20"/>
      <c r="H20"/>
      <c r="I20"/>
    </row>
    <row r="21" spans="1:9" ht="15" x14ac:dyDescent="0.25">
      <c r="A21"/>
      <c r="B21"/>
      <c r="C21"/>
      <c r="D21"/>
      <c r="E21"/>
      <c r="F21"/>
      <c r="G21"/>
      <c r="H21"/>
      <c r="I21"/>
    </row>
    <row r="22" spans="1:9" ht="15" x14ac:dyDescent="0.25">
      <c r="A22"/>
      <c r="B22"/>
      <c r="C22"/>
      <c r="D22"/>
      <c r="E22"/>
      <c r="F22"/>
      <c r="G22"/>
      <c r="H22"/>
      <c r="I22"/>
    </row>
    <row r="23" spans="1:9" ht="15" x14ac:dyDescent="0.25">
      <c r="A23"/>
      <c r="B23"/>
      <c r="C23"/>
      <c r="D23"/>
      <c r="E23"/>
      <c r="F23"/>
      <c r="G23"/>
      <c r="H23"/>
      <c r="I23"/>
    </row>
    <row r="24" spans="1:9" ht="15" x14ac:dyDescent="0.25">
      <c r="A24"/>
      <c r="B24"/>
      <c r="C24"/>
      <c r="D24"/>
      <c r="E24"/>
      <c r="F24"/>
      <c r="G24"/>
      <c r="H24"/>
      <c r="I24"/>
    </row>
    <row r="25" spans="1:9" ht="15" x14ac:dyDescent="0.25">
      <c r="A25"/>
      <c r="B25"/>
      <c r="C25"/>
      <c r="D25"/>
      <c r="E25"/>
      <c r="F25"/>
      <c r="G25"/>
      <c r="H25"/>
      <c r="I25"/>
    </row>
    <row r="26" spans="1:9" ht="15" x14ac:dyDescent="0.25">
      <c r="A26"/>
      <c r="B26"/>
      <c r="C26"/>
      <c r="D26"/>
      <c r="E26"/>
      <c r="F26"/>
      <c r="G26"/>
      <c r="H26"/>
      <c r="I26"/>
    </row>
    <row r="27" spans="1:9" ht="15" x14ac:dyDescent="0.25">
      <c r="A27"/>
      <c r="B27"/>
      <c r="C27"/>
      <c r="D27"/>
      <c r="E27"/>
      <c r="F27"/>
      <c r="G27"/>
      <c r="H27"/>
      <c r="I27"/>
    </row>
    <row r="28" spans="1:9" ht="15" x14ac:dyDescent="0.25">
      <c r="A28"/>
      <c r="B28"/>
      <c r="C28"/>
      <c r="D28"/>
      <c r="E28"/>
      <c r="F28"/>
      <c r="G28"/>
      <c r="H28"/>
      <c r="I28"/>
    </row>
    <row r="29" spans="1:9" ht="15" x14ac:dyDescent="0.25">
      <c r="A29"/>
      <c r="B29"/>
      <c r="C29"/>
      <c r="D29"/>
      <c r="E29"/>
      <c r="F29"/>
      <c r="G29"/>
      <c r="H29"/>
      <c r="I29"/>
    </row>
    <row r="30" spans="1:9" ht="15" x14ac:dyDescent="0.25">
      <c r="A30"/>
      <c r="B30"/>
      <c r="C30"/>
      <c r="D30"/>
      <c r="E30"/>
      <c r="F30"/>
      <c r="G30"/>
      <c r="H30"/>
      <c r="I30"/>
    </row>
    <row r="31" spans="1:9" ht="15" x14ac:dyDescent="0.25">
      <c r="A31"/>
      <c r="B31"/>
      <c r="C31"/>
      <c r="D31"/>
      <c r="E31"/>
      <c r="F31"/>
      <c r="G31"/>
      <c r="H31"/>
      <c r="I31"/>
    </row>
    <row r="32" spans="1:9" ht="15" x14ac:dyDescent="0.25">
      <c r="A32"/>
      <c r="B32"/>
      <c r="C32"/>
      <c r="D32"/>
      <c r="E32"/>
      <c r="F32"/>
      <c r="G32"/>
      <c r="H32"/>
      <c r="I32"/>
    </row>
    <row r="33" spans="1:9" ht="15" x14ac:dyDescent="0.25">
      <c r="A33"/>
      <c r="B33"/>
      <c r="C33"/>
      <c r="D33"/>
      <c r="E33"/>
      <c r="F33"/>
      <c r="G33"/>
      <c r="H33"/>
      <c r="I33"/>
    </row>
    <row r="34" spans="1:9" ht="15" x14ac:dyDescent="0.25">
      <c r="A34"/>
      <c r="B34"/>
      <c r="C34"/>
      <c r="D34"/>
      <c r="E34"/>
      <c r="F34"/>
      <c r="G34"/>
      <c r="H34"/>
      <c r="I34"/>
    </row>
    <row r="35" spans="1:9" ht="15" x14ac:dyDescent="0.25">
      <c r="A35"/>
      <c r="B35"/>
      <c r="C35"/>
      <c r="D35"/>
      <c r="E35"/>
      <c r="F35"/>
      <c r="G35"/>
      <c r="H35"/>
      <c r="I35"/>
    </row>
    <row r="36" spans="1:9" ht="15" x14ac:dyDescent="0.25">
      <c r="A36"/>
      <c r="B36"/>
      <c r="C36"/>
      <c r="D36"/>
      <c r="E36"/>
      <c r="F36"/>
      <c r="G36"/>
      <c r="H36"/>
      <c r="I36"/>
    </row>
    <row r="37" spans="1:9" ht="15" x14ac:dyDescent="0.25">
      <c r="A37"/>
      <c r="B37"/>
      <c r="C37"/>
      <c r="D37"/>
      <c r="E37"/>
      <c r="F37"/>
      <c r="G37"/>
      <c r="H37"/>
      <c r="I37"/>
    </row>
    <row r="38" spans="1:9" ht="15" x14ac:dyDescent="0.25">
      <c r="A38"/>
      <c r="B38"/>
      <c r="C38"/>
      <c r="D38"/>
      <c r="E38"/>
      <c r="F38"/>
      <c r="G38"/>
      <c r="H38"/>
      <c r="I38"/>
    </row>
    <row r="39" spans="1:9" ht="15" x14ac:dyDescent="0.25">
      <c r="A39"/>
      <c r="B39"/>
      <c r="C39"/>
      <c r="D39"/>
      <c r="E39"/>
      <c r="F39"/>
      <c r="G39"/>
      <c r="H39"/>
      <c r="I39"/>
    </row>
    <row r="40" spans="1:9" ht="15" x14ac:dyDescent="0.25">
      <c r="A40"/>
      <c r="B40"/>
      <c r="C40"/>
      <c r="D40"/>
      <c r="E40"/>
      <c r="F40"/>
      <c r="G40"/>
      <c r="H40"/>
      <c r="I40"/>
    </row>
    <row r="41" spans="1:9" ht="15" x14ac:dyDescent="0.25">
      <c r="A41"/>
      <c r="B41"/>
      <c r="C41"/>
      <c r="D41"/>
      <c r="E41"/>
      <c r="F41"/>
      <c r="G41"/>
      <c r="H41"/>
      <c r="I41"/>
    </row>
    <row r="42" spans="1:9" ht="15" x14ac:dyDescent="0.25">
      <c r="A42"/>
      <c r="B42"/>
      <c r="C42"/>
      <c r="D42"/>
      <c r="E42"/>
      <c r="F42"/>
      <c r="G42"/>
      <c r="H42"/>
      <c r="I42"/>
    </row>
    <row r="43" spans="1:9" ht="15" x14ac:dyDescent="0.25">
      <c r="A43"/>
      <c r="B43"/>
      <c r="C43"/>
      <c r="D43"/>
      <c r="E43"/>
      <c r="F43"/>
      <c r="G43"/>
      <c r="H43"/>
      <c r="I43"/>
    </row>
    <row r="44" spans="1:9" ht="15" x14ac:dyDescent="0.25">
      <c r="A44"/>
      <c r="B44"/>
      <c r="C44"/>
      <c r="D44"/>
      <c r="E44"/>
      <c r="F44"/>
      <c r="G44"/>
      <c r="H44"/>
      <c r="I44"/>
    </row>
    <row r="45" spans="1:9" ht="15" x14ac:dyDescent="0.25">
      <c r="A45"/>
      <c r="B45"/>
      <c r="C45"/>
      <c r="D45"/>
      <c r="E45"/>
      <c r="F45"/>
      <c r="G45"/>
      <c r="H45"/>
      <c r="I45"/>
    </row>
    <row r="46" spans="1:9" ht="15" x14ac:dyDescent="0.25">
      <c r="A46"/>
      <c r="B46"/>
      <c r="C46"/>
      <c r="D46"/>
      <c r="E46"/>
      <c r="F46"/>
      <c r="G46"/>
      <c r="H46"/>
      <c r="I46"/>
    </row>
    <row r="47" spans="1:9" ht="15" x14ac:dyDescent="0.25">
      <c r="A47"/>
      <c r="B47"/>
      <c r="C47"/>
      <c r="D47"/>
      <c r="E47"/>
      <c r="F47"/>
      <c r="G47"/>
      <c r="H47"/>
      <c r="I47"/>
    </row>
    <row r="48" spans="1:9" ht="15" x14ac:dyDescent="0.25">
      <c r="A48"/>
      <c r="B48"/>
      <c r="C48"/>
      <c r="D48"/>
      <c r="E48"/>
      <c r="F48"/>
      <c r="G48"/>
      <c r="H48"/>
      <c r="I48"/>
    </row>
    <row r="49" spans="1:9" ht="15" x14ac:dyDescent="0.25">
      <c r="A49"/>
      <c r="B49"/>
      <c r="C49"/>
      <c r="D49"/>
      <c r="E49"/>
      <c r="F49"/>
      <c r="G49"/>
      <c r="H49"/>
      <c r="I49"/>
    </row>
    <row r="50" spans="1:9" ht="15" x14ac:dyDescent="0.25">
      <c r="A50"/>
      <c r="B50"/>
      <c r="C50"/>
      <c r="D50"/>
      <c r="E50"/>
      <c r="F50"/>
      <c r="G50"/>
      <c r="H50"/>
      <c r="I50"/>
    </row>
    <row r="51" spans="1:9" ht="15" x14ac:dyDescent="0.25">
      <c r="A51"/>
      <c r="B51"/>
      <c r="C51"/>
      <c r="D51"/>
      <c r="E51"/>
      <c r="F51"/>
      <c r="G51"/>
      <c r="H51"/>
      <c r="I51"/>
    </row>
    <row r="52" spans="1:9" ht="15" x14ac:dyDescent="0.25">
      <c r="A52"/>
      <c r="B52"/>
      <c r="C52"/>
      <c r="D52"/>
      <c r="E52"/>
      <c r="F52"/>
      <c r="G52"/>
      <c r="H52"/>
      <c r="I52"/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  <row r="81" spans="1:9" ht="15" x14ac:dyDescent="0.25">
      <c r="A81"/>
      <c r="B81"/>
      <c r="C81"/>
      <c r="D81"/>
      <c r="E81"/>
      <c r="F81"/>
      <c r="G81"/>
      <c r="H81"/>
      <c r="I81"/>
    </row>
    <row r="82" spans="1:9" ht="15" x14ac:dyDescent="0.25">
      <c r="A82"/>
      <c r="B82"/>
      <c r="C82"/>
      <c r="D82"/>
      <c r="E82"/>
      <c r="F82"/>
      <c r="G82"/>
      <c r="H82"/>
      <c r="I82"/>
    </row>
    <row r="83" spans="1:9" ht="15" x14ac:dyDescent="0.25">
      <c r="A83"/>
      <c r="B83"/>
      <c r="C83"/>
      <c r="D83"/>
      <c r="E83"/>
      <c r="F83"/>
      <c r="G83"/>
      <c r="H83"/>
      <c r="I83"/>
    </row>
    <row r="84" spans="1:9" ht="15" x14ac:dyDescent="0.25">
      <c r="A84"/>
      <c r="B84"/>
      <c r="C84"/>
      <c r="D84"/>
      <c r="E84"/>
      <c r="F84"/>
      <c r="G84"/>
      <c r="H84"/>
      <c r="I84"/>
    </row>
    <row r="85" spans="1:9" ht="15" x14ac:dyDescent="0.25">
      <c r="A85"/>
      <c r="B85"/>
      <c r="C85"/>
      <c r="D85"/>
      <c r="E85"/>
      <c r="F85"/>
      <c r="G85"/>
      <c r="H85"/>
      <c r="I85"/>
    </row>
    <row r="86" spans="1:9" ht="15" x14ac:dyDescent="0.25">
      <c r="A86"/>
      <c r="B86"/>
      <c r="C86"/>
      <c r="D86"/>
      <c r="E86"/>
      <c r="F86"/>
      <c r="G86"/>
      <c r="H86"/>
      <c r="I86"/>
    </row>
    <row r="87" spans="1:9" ht="15" x14ac:dyDescent="0.25">
      <c r="A87"/>
      <c r="B87"/>
      <c r="C87"/>
      <c r="D87"/>
      <c r="E87"/>
      <c r="F87"/>
      <c r="G87"/>
      <c r="H87"/>
      <c r="I87"/>
    </row>
    <row r="88" spans="1:9" ht="15" x14ac:dyDescent="0.25">
      <c r="A88"/>
      <c r="B88"/>
      <c r="C88"/>
      <c r="D88"/>
      <c r="E88"/>
      <c r="F88"/>
      <c r="G88"/>
      <c r="H88"/>
      <c r="I88"/>
    </row>
    <row r="89" spans="1:9" ht="15" x14ac:dyDescent="0.25">
      <c r="A89"/>
      <c r="B89"/>
      <c r="C89"/>
      <c r="D89"/>
      <c r="E89"/>
      <c r="F89"/>
      <c r="G89"/>
      <c r="H89"/>
      <c r="I89"/>
    </row>
    <row r="90" spans="1:9" ht="15" x14ac:dyDescent="0.25">
      <c r="A90"/>
      <c r="B90"/>
      <c r="C90"/>
      <c r="D90"/>
      <c r="E90"/>
      <c r="F90"/>
      <c r="G90"/>
      <c r="H90"/>
      <c r="I90"/>
    </row>
    <row r="91" spans="1:9" ht="15" x14ac:dyDescent="0.25">
      <c r="A91"/>
      <c r="B91"/>
      <c r="C91"/>
      <c r="D91"/>
      <c r="E91"/>
      <c r="F91"/>
      <c r="G91"/>
      <c r="H91"/>
      <c r="I91"/>
    </row>
    <row r="92" spans="1:9" ht="15" x14ac:dyDescent="0.25">
      <c r="A92"/>
      <c r="B92"/>
      <c r="C92"/>
      <c r="D92"/>
      <c r="E92"/>
      <c r="F92"/>
      <c r="G92"/>
      <c r="H92"/>
      <c r="I92"/>
    </row>
    <row r="93" spans="1:9" ht="15" x14ac:dyDescent="0.25">
      <c r="A93"/>
      <c r="B93"/>
      <c r="C93"/>
      <c r="D93"/>
      <c r="E93"/>
      <c r="F93"/>
      <c r="G93"/>
      <c r="H93"/>
      <c r="I93"/>
    </row>
    <row r="94" spans="1:9" ht="15" x14ac:dyDescent="0.25">
      <c r="A94"/>
      <c r="B94"/>
      <c r="C94"/>
      <c r="D94"/>
      <c r="E94"/>
      <c r="F94"/>
      <c r="G94"/>
      <c r="H94"/>
      <c r="I94"/>
    </row>
    <row r="95" spans="1:9" ht="15" x14ac:dyDescent="0.25">
      <c r="A95"/>
      <c r="B95"/>
      <c r="C95"/>
      <c r="D95"/>
      <c r="E95"/>
      <c r="F95"/>
      <c r="G95"/>
      <c r="H95"/>
      <c r="I95"/>
    </row>
    <row r="96" spans="1:9" ht="15" x14ac:dyDescent="0.25">
      <c r="A96"/>
      <c r="B96"/>
      <c r="C96"/>
      <c r="D96"/>
      <c r="E96"/>
      <c r="F96"/>
      <c r="G96"/>
      <c r="H96"/>
      <c r="I96"/>
    </row>
    <row r="97" spans="1:9" ht="15" x14ac:dyDescent="0.25">
      <c r="A97"/>
      <c r="B97"/>
      <c r="C97"/>
      <c r="D97"/>
      <c r="E97"/>
      <c r="F97"/>
      <c r="G97"/>
      <c r="H97"/>
      <c r="I97"/>
    </row>
    <row r="98" spans="1:9" ht="15" x14ac:dyDescent="0.25">
      <c r="A98"/>
      <c r="B98"/>
      <c r="C98"/>
      <c r="D98"/>
      <c r="E98"/>
      <c r="F98"/>
      <c r="G98"/>
      <c r="H98"/>
      <c r="I98"/>
    </row>
    <row r="99" spans="1:9" ht="15" x14ac:dyDescent="0.25">
      <c r="A99"/>
      <c r="B99"/>
      <c r="C99"/>
      <c r="D99"/>
      <c r="E99"/>
      <c r="F99"/>
      <c r="G99"/>
      <c r="H99"/>
      <c r="I99"/>
    </row>
    <row r="100" spans="1:9" ht="15" x14ac:dyDescent="0.25">
      <c r="A100"/>
      <c r="B100"/>
      <c r="C100"/>
      <c r="D100"/>
      <c r="E100"/>
      <c r="F100"/>
      <c r="G100"/>
      <c r="H100"/>
      <c r="I100"/>
    </row>
    <row r="101" spans="1:9" ht="15" x14ac:dyDescent="0.25">
      <c r="A101"/>
      <c r="B101"/>
      <c r="C101"/>
      <c r="D101"/>
      <c r="E101"/>
      <c r="F101"/>
      <c r="G101"/>
      <c r="H101"/>
      <c r="I101"/>
    </row>
    <row r="102" spans="1:9" ht="15" x14ac:dyDescent="0.25">
      <c r="A102"/>
      <c r="B102"/>
      <c r="C102"/>
      <c r="D102"/>
      <c r="E102"/>
      <c r="F102"/>
      <c r="G102"/>
      <c r="H102"/>
      <c r="I102"/>
    </row>
    <row r="103" spans="1:9" ht="15" x14ac:dyDescent="0.25">
      <c r="A103"/>
      <c r="B103"/>
      <c r="C103"/>
      <c r="D103"/>
      <c r="E103"/>
      <c r="F103"/>
      <c r="G103"/>
      <c r="H103"/>
      <c r="I103"/>
    </row>
    <row r="104" spans="1:9" ht="15" x14ac:dyDescent="0.25">
      <c r="A104"/>
      <c r="B104"/>
      <c r="C104"/>
      <c r="D104"/>
      <c r="E104"/>
      <c r="F104"/>
      <c r="G104"/>
      <c r="H104"/>
      <c r="I104"/>
    </row>
    <row r="105" spans="1:9" ht="15" x14ac:dyDescent="0.25">
      <c r="A105"/>
      <c r="B105"/>
      <c r="C105"/>
      <c r="D105"/>
      <c r="E105"/>
      <c r="F105"/>
      <c r="G105"/>
      <c r="H105"/>
      <c r="I105"/>
    </row>
    <row r="106" spans="1:9" ht="15" x14ac:dyDescent="0.25">
      <c r="A106"/>
      <c r="B106"/>
      <c r="C106"/>
      <c r="D106"/>
      <c r="E106"/>
      <c r="F106"/>
      <c r="G106"/>
      <c r="H106"/>
      <c r="I106"/>
    </row>
    <row r="107" spans="1:9" ht="15" x14ac:dyDescent="0.25">
      <c r="A107"/>
      <c r="B107"/>
      <c r="C107"/>
      <c r="D107"/>
      <c r="E107"/>
      <c r="F107"/>
      <c r="G107"/>
      <c r="H107"/>
      <c r="I107"/>
    </row>
    <row r="108" spans="1:9" ht="15" x14ac:dyDescent="0.25">
      <c r="A108"/>
      <c r="B108"/>
      <c r="C108"/>
      <c r="D108"/>
      <c r="E108"/>
      <c r="F108"/>
      <c r="G108"/>
      <c r="H108"/>
      <c r="I108"/>
    </row>
    <row r="109" spans="1:9" ht="15" x14ac:dyDescent="0.25">
      <c r="A109"/>
      <c r="B109"/>
      <c r="C109"/>
      <c r="D109"/>
      <c r="E109"/>
      <c r="F109"/>
      <c r="G109"/>
      <c r="H109"/>
      <c r="I109"/>
    </row>
    <row r="110" spans="1:9" ht="15" x14ac:dyDescent="0.25">
      <c r="A110"/>
      <c r="B110"/>
      <c r="C110"/>
      <c r="D110"/>
      <c r="E110"/>
      <c r="F110"/>
      <c r="G110"/>
      <c r="H110"/>
      <c r="I110"/>
    </row>
    <row r="111" spans="1:9" ht="15" x14ac:dyDescent="0.25">
      <c r="A111"/>
      <c r="B111"/>
      <c r="C111"/>
      <c r="D111"/>
      <c r="E111"/>
      <c r="F111"/>
      <c r="G111"/>
      <c r="H111"/>
      <c r="I111"/>
    </row>
    <row r="112" spans="1:9" ht="15" x14ac:dyDescent="0.25">
      <c r="A112"/>
      <c r="B112"/>
      <c r="C112"/>
      <c r="D112"/>
      <c r="E112"/>
      <c r="F112"/>
      <c r="G112"/>
      <c r="H112"/>
      <c r="I112"/>
    </row>
    <row r="113" spans="1:9" ht="15" x14ac:dyDescent="0.25">
      <c r="A113"/>
      <c r="B113"/>
      <c r="C113"/>
      <c r="D113"/>
      <c r="E113"/>
      <c r="F113"/>
      <c r="G113"/>
      <c r="H113"/>
      <c r="I113"/>
    </row>
    <row r="114" spans="1:9" ht="15" x14ac:dyDescent="0.25">
      <c r="A114"/>
      <c r="B114"/>
      <c r="C114"/>
      <c r="D114"/>
      <c r="E114"/>
      <c r="F114"/>
      <c r="G114"/>
      <c r="H114"/>
      <c r="I114"/>
    </row>
    <row r="115" spans="1:9" ht="15" x14ac:dyDescent="0.25">
      <c r="A115"/>
      <c r="B115"/>
      <c r="C115"/>
      <c r="D115"/>
      <c r="E115"/>
      <c r="F115"/>
      <c r="G115"/>
      <c r="H115"/>
      <c r="I115"/>
    </row>
    <row r="116" spans="1:9" ht="15" x14ac:dyDescent="0.25">
      <c r="A116"/>
      <c r="B116"/>
      <c r="C116"/>
      <c r="D116"/>
      <c r="E116"/>
      <c r="F116"/>
      <c r="G116"/>
      <c r="H116"/>
      <c r="I116"/>
    </row>
    <row r="117" spans="1:9" ht="15" x14ac:dyDescent="0.25">
      <c r="A117"/>
      <c r="B117"/>
      <c r="C117"/>
      <c r="D117"/>
      <c r="E117"/>
      <c r="F117"/>
      <c r="G117"/>
      <c r="H117"/>
      <c r="I117"/>
    </row>
    <row r="118" spans="1:9" ht="15" x14ac:dyDescent="0.25">
      <c r="A118"/>
      <c r="B118"/>
      <c r="C118"/>
      <c r="D118"/>
      <c r="E118"/>
      <c r="F118"/>
      <c r="G118"/>
      <c r="H118"/>
      <c r="I118"/>
    </row>
    <row r="119" spans="1:9" ht="15" x14ac:dyDescent="0.25">
      <c r="A119"/>
      <c r="B119"/>
      <c r="C119"/>
      <c r="D119"/>
      <c r="E119"/>
      <c r="F119"/>
      <c r="G119"/>
      <c r="H119"/>
      <c r="I119"/>
    </row>
    <row r="120" spans="1:9" ht="15" x14ac:dyDescent="0.25">
      <c r="A120"/>
      <c r="B120"/>
      <c r="C120"/>
      <c r="D120"/>
      <c r="E120"/>
      <c r="F120"/>
      <c r="G120"/>
      <c r="H120"/>
      <c r="I120"/>
    </row>
    <row r="121" spans="1:9" ht="15" x14ac:dyDescent="0.25">
      <c r="A121"/>
      <c r="B121"/>
      <c r="C121"/>
      <c r="D121"/>
      <c r="E121"/>
      <c r="F121"/>
      <c r="G121"/>
      <c r="H121"/>
      <c r="I121"/>
    </row>
    <row r="122" spans="1:9" ht="15" x14ac:dyDescent="0.25">
      <c r="A122"/>
      <c r="B122"/>
      <c r="C122"/>
      <c r="D122"/>
      <c r="E122"/>
      <c r="F122"/>
      <c r="G122"/>
      <c r="H122"/>
      <c r="I122"/>
    </row>
    <row r="123" spans="1:9" ht="15" x14ac:dyDescent="0.25">
      <c r="A123"/>
      <c r="B123"/>
      <c r="C123"/>
      <c r="D123"/>
      <c r="E123"/>
      <c r="F123"/>
      <c r="G123"/>
      <c r="H123"/>
      <c r="I123"/>
    </row>
    <row r="124" spans="1:9" ht="15" x14ac:dyDescent="0.25">
      <c r="A124"/>
      <c r="B124"/>
      <c r="C124"/>
      <c r="D124"/>
      <c r="E124"/>
      <c r="F124"/>
      <c r="G124"/>
      <c r="H124"/>
      <c r="I124"/>
    </row>
    <row r="125" spans="1:9" ht="15" x14ac:dyDescent="0.25">
      <c r="A125"/>
      <c r="B125"/>
      <c r="C125"/>
      <c r="D125"/>
      <c r="E125"/>
      <c r="F125"/>
      <c r="G125"/>
      <c r="H125"/>
      <c r="I125"/>
    </row>
    <row r="126" spans="1:9" ht="15" x14ac:dyDescent="0.25">
      <c r="A126"/>
      <c r="B126"/>
      <c r="C126"/>
      <c r="D126"/>
      <c r="E126"/>
      <c r="F126"/>
      <c r="G126"/>
      <c r="H126"/>
      <c r="I126"/>
    </row>
    <row r="127" spans="1:9" ht="15" x14ac:dyDescent="0.25">
      <c r="A127"/>
      <c r="B127"/>
      <c r="C127"/>
      <c r="D127"/>
      <c r="E127"/>
      <c r="F127"/>
      <c r="G127"/>
      <c r="H127"/>
      <c r="I127"/>
    </row>
    <row r="128" spans="1:9" ht="15" x14ac:dyDescent="0.25">
      <c r="A128"/>
      <c r="B128"/>
      <c r="C128"/>
      <c r="D128"/>
      <c r="E128"/>
      <c r="F128"/>
      <c r="G128"/>
      <c r="H128"/>
      <c r="I128"/>
    </row>
    <row r="129" spans="1:9" ht="15" x14ac:dyDescent="0.25">
      <c r="A129"/>
      <c r="B129"/>
      <c r="C129"/>
      <c r="D129"/>
      <c r="E129"/>
      <c r="F129"/>
      <c r="G129"/>
      <c r="H129"/>
      <c r="I129"/>
    </row>
    <row r="130" spans="1:9" ht="15" x14ac:dyDescent="0.25">
      <c r="A130"/>
      <c r="B130"/>
      <c r="C130"/>
      <c r="D130"/>
      <c r="E130"/>
      <c r="F130"/>
      <c r="G130"/>
      <c r="H130"/>
      <c r="I130"/>
    </row>
    <row r="131" spans="1:9" ht="15" x14ac:dyDescent="0.25">
      <c r="A131"/>
      <c r="B131"/>
      <c r="C131"/>
      <c r="D131"/>
      <c r="E131"/>
      <c r="F131"/>
      <c r="G131"/>
      <c r="H131"/>
      <c r="I131"/>
    </row>
    <row r="132" spans="1:9" ht="15" x14ac:dyDescent="0.25">
      <c r="A132"/>
      <c r="B132"/>
      <c r="C132"/>
      <c r="D132"/>
      <c r="E132"/>
      <c r="F132"/>
      <c r="G132"/>
      <c r="H132"/>
      <c r="I132"/>
    </row>
    <row r="133" spans="1:9" ht="15" x14ac:dyDescent="0.25">
      <c r="A133"/>
      <c r="B133"/>
      <c r="C133"/>
      <c r="D133"/>
      <c r="E133"/>
      <c r="F133"/>
      <c r="G133"/>
      <c r="H133"/>
      <c r="I133"/>
    </row>
    <row r="134" spans="1:9" ht="15" x14ac:dyDescent="0.25">
      <c r="A134"/>
      <c r="B134"/>
      <c r="C134"/>
      <c r="D134"/>
      <c r="E134"/>
      <c r="F134"/>
      <c r="G134"/>
      <c r="H134"/>
      <c r="I134"/>
    </row>
    <row r="135" spans="1:9" ht="15" x14ac:dyDescent="0.25">
      <c r="A135"/>
      <c r="B135"/>
      <c r="C135"/>
      <c r="D135"/>
      <c r="E135"/>
      <c r="F135"/>
      <c r="G135"/>
      <c r="H135"/>
      <c r="I135"/>
    </row>
    <row r="136" spans="1:9" ht="15" x14ac:dyDescent="0.25">
      <c r="A136"/>
      <c r="B136"/>
      <c r="C136"/>
      <c r="D136"/>
      <c r="E136"/>
      <c r="F136"/>
      <c r="G136"/>
      <c r="H136"/>
      <c r="I136"/>
    </row>
    <row r="137" spans="1:9" ht="15" x14ac:dyDescent="0.25">
      <c r="A137"/>
      <c r="B137"/>
      <c r="C137"/>
      <c r="D137"/>
      <c r="E137"/>
      <c r="F137"/>
      <c r="G137"/>
      <c r="H137"/>
      <c r="I137"/>
    </row>
    <row r="138" spans="1:9" ht="15" x14ac:dyDescent="0.25">
      <c r="A138"/>
      <c r="B138"/>
      <c r="C138"/>
      <c r="D138"/>
      <c r="E138"/>
      <c r="F138"/>
      <c r="G138"/>
      <c r="H138"/>
      <c r="I138"/>
    </row>
    <row r="139" spans="1:9" ht="15" x14ac:dyDescent="0.25">
      <c r="A139"/>
      <c r="B139"/>
      <c r="C139"/>
      <c r="D139"/>
      <c r="E139"/>
      <c r="F139"/>
      <c r="G139"/>
      <c r="H139"/>
      <c r="I139"/>
    </row>
    <row r="140" spans="1:9" ht="15" x14ac:dyDescent="0.25">
      <c r="A140"/>
      <c r="B140"/>
      <c r="C140"/>
      <c r="D140"/>
      <c r="E140"/>
      <c r="F140"/>
      <c r="G140"/>
      <c r="H140"/>
      <c r="I140"/>
    </row>
    <row r="141" spans="1:9" ht="15" x14ac:dyDescent="0.25">
      <c r="A141"/>
      <c r="B141"/>
      <c r="C141"/>
      <c r="D141"/>
      <c r="E141"/>
      <c r="F141"/>
      <c r="G141"/>
      <c r="H141"/>
      <c r="I141"/>
    </row>
    <row r="142" spans="1:9" ht="15" x14ac:dyDescent="0.25">
      <c r="A142"/>
      <c r="B142"/>
      <c r="C142"/>
      <c r="D142"/>
      <c r="E142"/>
      <c r="F142"/>
      <c r="G142"/>
      <c r="H142"/>
      <c r="I142"/>
    </row>
    <row r="143" spans="1:9" ht="15" x14ac:dyDescent="0.25">
      <c r="A143"/>
      <c r="B143"/>
      <c r="C143"/>
      <c r="D143"/>
      <c r="E143"/>
      <c r="F143"/>
      <c r="G143"/>
      <c r="H143"/>
      <c r="I143"/>
    </row>
    <row r="144" spans="1:9" ht="15" x14ac:dyDescent="0.25">
      <c r="A144"/>
      <c r="B144"/>
      <c r="C144"/>
      <c r="D144"/>
      <c r="E144"/>
      <c r="F144"/>
      <c r="G144"/>
      <c r="H144"/>
      <c r="I144"/>
    </row>
    <row r="145" spans="1:9" ht="15" x14ac:dyDescent="0.25">
      <c r="A145"/>
      <c r="B145"/>
      <c r="C145"/>
      <c r="D145"/>
      <c r="E145"/>
      <c r="F145"/>
      <c r="G145"/>
      <c r="H145"/>
      <c r="I145"/>
    </row>
    <row r="146" spans="1:9" ht="15" x14ac:dyDescent="0.25">
      <c r="A146"/>
      <c r="B146"/>
      <c r="C146"/>
      <c r="D146"/>
      <c r="E146"/>
      <c r="F146"/>
      <c r="G146"/>
      <c r="H146"/>
      <c r="I146"/>
    </row>
    <row r="147" spans="1:9" ht="15" x14ac:dyDescent="0.25">
      <c r="A147"/>
      <c r="B147"/>
      <c r="C147"/>
      <c r="D147"/>
      <c r="E147"/>
      <c r="F147"/>
      <c r="G147"/>
      <c r="H147"/>
      <c r="I147"/>
    </row>
    <row r="148" spans="1:9" ht="15" x14ac:dyDescent="0.25">
      <c r="A148"/>
      <c r="B148"/>
      <c r="C148"/>
      <c r="D148"/>
      <c r="E148"/>
      <c r="F148"/>
      <c r="G148"/>
      <c r="H148"/>
      <c r="I148"/>
    </row>
    <row r="149" spans="1:9" ht="15" x14ac:dyDescent="0.25">
      <c r="A149"/>
      <c r="B149"/>
      <c r="C149"/>
      <c r="D149"/>
      <c r="E149"/>
      <c r="F149"/>
      <c r="G149"/>
      <c r="H149"/>
      <c r="I149"/>
    </row>
    <row r="150" spans="1:9" ht="15" x14ac:dyDescent="0.25">
      <c r="A150"/>
      <c r="B150"/>
      <c r="C150"/>
      <c r="D150"/>
      <c r="E150"/>
      <c r="F150"/>
      <c r="G150"/>
      <c r="H150"/>
      <c r="I150"/>
    </row>
    <row r="151" spans="1:9" ht="15" x14ac:dyDescent="0.25">
      <c r="A151"/>
      <c r="B151"/>
      <c r="C151"/>
      <c r="D151"/>
      <c r="E151"/>
      <c r="F151"/>
      <c r="G151"/>
      <c r="H151"/>
      <c r="I151"/>
    </row>
    <row r="152" spans="1:9" ht="15" x14ac:dyDescent="0.25">
      <c r="A152"/>
      <c r="B152"/>
      <c r="C152"/>
      <c r="D152"/>
      <c r="E152"/>
      <c r="F152"/>
      <c r="G152"/>
      <c r="H152"/>
      <c r="I152"/>
    </row>
    <row r="153" spans="1:9" ht="15" x14ac:dyDescent="0.25">
      <c r="A153"/>
      <c r="B153"/>
      <c r="C153"/>
      <c r="D153"/>
      <c r="E153"/>
      <c r="F153"/>
      <c r="G153"/>
      <c r="H153"/>
      <c r="I153"/>
    </row>
    <row r="154" spans="1:9" ht="15" x14ac:dyDescent="0.25">
      <c r="A154"/>
      <c r="B154"/>
      <c r="C154"/>
      <c r="D154"/>
      <c r="E154"/>
      <c r="F154"/>
      <c r="G154"/>
      <c r="H154"/>
      <c r="I154"/>
    </row>
    <row r="155" spans="1:9" ht="15" x14ac:dyDescent="0.25">
      <c r="A155"/>
      <c r="B155"/>
      <c r="C155"/>
      <c r="D155"/>
      <c r="E155"/>
      <c r="F155"/>
      <c r="G155"/>
      <c r="H155"/>
      <c r="I155"/>
    </row>
    <row r="156" spans="1:9" ht="15" x14ac:dyDescent="0.25">
      <c r="A156"/>
      <c r="B156"/>
      <c r="C156"/>
      <c r="D156"/>
      <c r="E156"/>
      <c r="F156"/>
      <c r="G156"/>
      <c r="H156"/>
      <c r="I156"/>
    </row>
    <row r="157" spans="1:9" ht="15" x14ac:dyDescent="0.25">
      <c r="A157"/>
      <c r="B157"/>
      <c r="C157"/>
      <c r="D157"/>
      <c r="E157"/>
      <c r="F157"/>
      <c r="G157"/>
      <c r="H157"/>
      <c r="I157"/>
    </row>
    <row r="158" spans="1:9" ht="15" x14ac:dyDescent="0.25">
      <c r="A158"/>
      <c r="B158"/>
      <c r="C158"/>
      <c r="D158"/>
      <c r="E158"/>
      <c r="F158"/>
      <c r="G158"/>
      <c r="H158"/>
      <c r="I158"/>
    </row>
    <row r="159" spans="1:9" ht="15" x14ac:dyDescent="0.25">
      <c r="A159"/>
      <c r="B159"/>
      <c r="C159"/>
      <c r="D159"/>
      <c r="E159"/>
      <c r="F159"/>
      <c r="G159"/>
      <c r="H159"/>
      <c r="I159"/>
    </row>
    <row r="160" spans="1:9" ht="15" x14ac:dyDescent="0.25">
      <c r="A160"/>
      <c r="B160"/>
      <c r="C160"/>
      <c r="D160"/>
      <c r="E160"/>
      <c r="F160"/>
      <c r="G160"/>
      <c r="H160"/>
      <c r="I160"/>
    </row>
    <row r="161" spans="1:9" ht="15" x14ac:dyDescent="0.25">
      <c r="A161"/>
      <c r="B161"/>
      <c r="C161"/>
      <c r="D161"/>
      <c r="E161"/>
      <c r="F161"/>
      <c r="G161"/>
      <c r="H161"/>
      <c r="I161"/>
    </row>
    <row r="162" spans="1:9" ht="15" x14ac:dyDescent="0.25">
      <c r="A162"/>
      <c r="B162"/>
      <c r="C162"/>
      <c r="D162"/>
      <c r="E162"/>
      <c r="F162"/>
      <c r="G162"/>
      <c r="H162"/>
      <c r="I162"/>
    </row>
    <row r="163" spans="1:9" ht="15" x14ac:dyDescent="0.25">
      <c r="A163"/>
      <c r="B163"/>
      <c r="C163"/>
      <c r="D163"/>
      <c r="E163"/>
      <c r="F163"/>
      <c r="G163"/>
      <c r="H163"/>
      <c r="I163"/>
    </row>
    <row r="164" spans="1:9" ht="15" x14ac:dyDescent="0.25">
      <c r="A164"/>
      <c r="B164"/>
      <c r="C164"/>
      <c r="D164"/>
      <c r="E164"/>
      <c r="F164"/>
      <c r="G164"/>
      <c r="H164"/>
      <c r="I164"/>
    </row>
    <row r="165" spans="1:9" ht="15" x14ac:dyDescent="0.25">
      <c r="A165"/>
      <c r="B165"/>
      <c r="C165"/>
      <c r="D165"/>
      <c r="E165"/>
      <c r="F165"/>
      <c r="G165"/>
      <c r="H165"/>
      <c r="I165"/>
    </row>
    <row r="166" spans="1:9" ht="15" x14ac:dyDescent="0.25">
      <c r="A166"/>
      <c r="B166"/>
      <c r="C166"/>
      <c r="D166"/>
      <c r="E166"/>
      <c r="F166"/>
      <c r="G166"/>
      <c r="H166"/>
      <c r="I166"/>
    </row>
    <row r="167" spans="1:9" ht="15" x14ac:dyDescent="0.25">
      <c r="A167"/>
      <c r="B167"/>
      <c r="C167"/>
      <c r="D167"/>
      <c r="E167"/>
      <c r="F167"/>
      <c r="G167"/>
      <c r="H167"/>
      <c r="I167"/>
    </row>
    <row r="168" spans="1:9" ht="15" x14ac:dyDescent="0.25">
      <c r="A168"/>
      <c r="B168"/>
      <c r="C168"/>
      <c r="D168"/>
      <c r="E168"/>
      <c r="F168"/>
      <c r="G168"/>
      <c r="H168"/>
      <c r="I168"/>
    </row>
    <row r="169" spans="1:9" ht="15" x14ac:dyDescent="0.25">
      <c r="A169"/>
      <c r="B169"/>
      <c r="C169"/>
      <c r="D169"/>
      <c r="E169"/>
      <c r="F169"/>
      <c r="G169"/>
      <c r="H169"/>
      <c r="I169"/>
    </row>
    <row r="170" spans="1:9" ht="15" x14ac:dyDescent="0.25">
      <c r="A170"/>
      <c r="B170"/>
      <c r="C170"/>
      <c r="D170"/>
      <c r="E170"/>
      <c r="F170"/>
      <c r="G170"/>
      <c r="H170"/>
      <c r="I170"/>
    </row>
    <row r="171" spans="1:9" ht="15" x14ac:dyDescent="0.25">
      <c r="A171"/>
      <c r="B171"/>
      <c r="C171"/>
      <c r="D171"/>
      <c r="E171"/>
      <c r="F171"/>
      <c r="G171"/>
      <c r="H171"/>
      <c r="I171"/>
    </row>
    <row r="172" spans="1:9" ht="15" x14ac:dyDescent="0.25">
      <c r="A172"/>
      <c r="B172"/>
      <c r="C172"/>
      <c r="D172"/>
      <c r="E172"/>
      <c r="F172"/>
      <c r="G172"/>
      <c r="H172"/>
      <c r="I172"/>
    </row>
    <row r="173" spans="1:9" ht="15" x14ac:dyDescent="0.25">
      <c r="A173"/>
      <c r="B173"/>
      <c r="C173"/>
      <c r="D173"/>
      <c r="E173"/>
      <c r="F173"/>
      <c r="G173"/>
      <c r="H173"/>
      <c r="I173"/>
    </row>
    <row r="174" spans="1:9" ht="15" x14ac:dyDescent="0.25">
      <c r="A174"/>
      <c r="B174"/>
      <c r="C174"/>
      <c r="D174"/>
      <c r="E174"/>
      <c r="F174"/>
      <c r="G174"/>
      <c r="H174"/>
      <c r="I174"/>
    </row>
    <row r="175" spans="1:9" ht="15" x14ac:dyDescent="0.25">
      <c r="A175"/>
      <c r="B175"/>
      <c r="C175"/>
      <c r="D175"/>
      <c r="E175"/>
      <c r="F175"/>
      <c r="G175"/>
      <c r="H175"/>
      <c r="I175"/>
    </row>
    <row r="176" spans="1:9" ht="15" x14ac:dyDescent="0.25">
      <c r="A176"/>
      <c r="B176"/>
      <c r="C176"/>
      <c r="D176"/>
      <c r="E176"/>
      <c r="F176"/>
      <c r="G176"/>
      <c r="H176"/>
      <c r="I176"/>
    </row>
    <row r="177" spans="1:9" ht="15" x14ac:dyDescent="0.25">
      <c r="A177"/>
      <c r="B177"/>
      <c r="C177"/>
      <c r="D177"/>
      <c r="E177"/>
      <c r="F177"/>
      <c r="G177"/>
      <c r="H177"/>
      <c r="I177"/>
    </row>
    <row r="178" spans="1:9" ht="15" x14ac:dyDescent="0.25">
      <c r="A178"/>
      <c r="B178"/>
      <c r="C178"/>
      <c r="D178"/>
      <c r="E178"/>
      <c r="F178"/>
      <c r="G178"/>
      <c r="H178"/>
      <c r="I178"/>
    </row>
    <row r="179" spans="1:9" ht="15" x14ac:dyDescent="0.25">
      <c r="A179"/>
      <c r="B179"/>
      <c r="C179"/>
      <c r="D179"/>
      <c r="E179"/>
      <c r="F179"/>
      <c r="G179"/>
      <c r="H179"/>
      <c r="I179"/>
    </row>
    <row r="180" spans="1:9" ht="15" x14ac:dyDescent="0.25">
      <c r="A180"/>
      <c r="B180"/>
      <c r="C180"/>
      <c r="D180"/>
      <c r="E180"/>
      <c r="F180"/>
      <c r="G180"/>
      <c r="H180"/>
      <c r="I180"/>
    </row>
    <row r="181" spans="1:9" ht="15" x14ac:dyDescent="0.25">
      <c r="A181"/>
      <c r="B181"/>
      <c r="C181"/>
      <c r="D181"/>
      <c r="E181"/>
      <c r="F181"/>
      <c r="G181"/>
      <c r="H181"/>
      <c r="I181"/>
    </row>
    <row r="182" spans="1:9" ht="15" x14ac:dyDescent="0.25">
      <c r="A182"/>
      <c r="B182"/>
      <c r="C182"/>
      <c r="D182"/>
      <c r="E182"/>
      <c r="F182"/>
      <c r="G182"/>
      <c r="H182"/>
      <c r="I182"/>
    </row>
    <row r="183" spans="1:9" ht="15" x14ac:dyDescent="0.25">
      <c r="A183"/>
      <c r="B183"/>
      <c r="C183"/>
      <c r="D183"/>
      <c r="E183"/>
      <c r="F183"/>
      <c r="G183"/>
      <c r="H183"/>
      <c r="I183"/>
    </row>
    <row r="184" spans="1:9" ht="15" x14ac:dyDescent="0.25">
      <c r="A184"/>
      <c r="B184"/>
      <c r="C184"/>
      <c r="D184"/>
      <c r="E184"/>
      <c r="F184"/>
      <c r="G184"/>
      <c r="H184"/>
      <c r="I184"/>
    </row>
    <row r="185" spans="1:9" ht="15" x14ac:dyDescent="0.25">
      <c r="A185"/>
      <c r="B185"/>
      <c r="C185"/>
      <c r="D185"/>
      <c r="E185"/>
      <c r="F185"/>
      <c r="G185"/>
      <c r="H185"/>
      <c r="I185"/>
    </row>
    <row r="186" spans="1:9" ht="15" x14ac:dyDescent="0.25">
      <c r="A186"/>
      <c r="B186"/>
      <c r="C186"/>
      <c r="D186"/>
      <c r="E186"/>
      <c r="F186"/>
      <c r="G186"/>
      <c r="H186"/>
      <c r="I186"/>
    </row>
    <row r="187" spans="1:9" ht="15" x14ac:dyDescent="0.25">
      <c r="A187"/>
      <c r="B187"/>
      <c r="C187"/>
      <c r="D187"/>
      <c r="E187"/>
      <c r="F187"/>
      <c r="G187"/>
      <c r="H187"/>
      <c r="I187"/>
    </row>
    <row r="188" spans="1:9" ht="15" x14ac:dyDescent="0.25">
      <c r="A188"/>
      <c r="B188"/>
      <c r="C188"/>
      <c r="D188"/>
      <c r="E188"/>
      <c r="F188"/>
      <c r="G188"/>
      <c r="H188"/>
      <c r="I188"/>
    </row>
    <row r="189" spans="1:9" ht="15" x14ac:dyDescent="0.25">
      <c r="A189"/>
      <c r="B189"/>
      <c r="C189"/>
      <c r="D189"/>
      <c r="E189"/>
      <c r="F189"/>
      <c r="G189"/>
      <c r="H189"/>
      <c r="I189"/>
    </row>
    <row r="190" spans="1:9" ht="15" x14ac:dyDescent="0.25">
      <c r="A190"/>
      <c r="B190"/>
      <c r="C190"/>
      <c r="D190"/>
      <c r="E190"/>
      <c r="F190"/>
      <c r="G190"/>
      <c r="H190"/>
      <c r="I190"/>
    </row>
    <row r="191" spans="1:9" ht="15" x14ac:dyDescent="0.25">
      <c r="A191"/>
      <c r="B191"/>
      <c r="C191"/>
      <c r="D191"/>
      <c r="E191"/>
      <c r="F191"/>
      <c r="G191"/>
      <c r="H191"/>
      <c r="I191"/>
    </row>
    <row r="192" spans="1:9" ht="15" x14ac:dyDescent="0.25">
      <c r="A192"/>
      <c r="B192"/>
      <c r="C192"/>
      <c r="D192"/>
      <c r="E192"/>
      <c r="F192"/>
      <c r="G192"/>
      <c r="H192"/>
      <c r="I192"/>
    </row>
    <row r="193" spans="1:9" ht="15" x14ac:dyDescent="0.25">
      <c r="A193"/>
      <c r="B193"/>
      <c r="C193"/>
      <c r="D193"/>
      <c r="E193"/>
      <c r="F193"/>
      <c r="G193"/>
      <c r="H193"/>
      <c r="I193"/>
    </row>
    <row r="194" spans="1:9" ht="15" x14ac:dyDescent="0.25">
      <c r="A194"/>
      <c r="B194"/>
      <c r="C194"/>
      <c r="D194"/>
      <c r="E194"/>
      <c r="F194"/>
      <c r="G194"/>
      <c r="H194"/>
      <c r="I194"/>
    </row>
    <row r="195" spans="1:9" ht="15" x14ac:dyDescent="0.25">
      <c r="A195"/>
      <c r="B195"/>
      <c r="C195"/>
      <c r="D195"/>
      <c r="E195"/>
      <c r="F195"/>
      <c r="G195"/>
      <c r="H195"/>
      <c r="I195"/>
    </row>
    <row r="196" spans="1:9" ht="15" x14ac:dyDescent="0.25">
      <c r="A196"/>
      <c r="B196"/>
      <c r="C196"/>
      <c r="D196"/>
      <c r="E196"/>
      <c r="F196"/>
      <c r="G196"/>
      <c r="H196"/>
      <c r="I196"/>
    </row>
    <row r="197" spans="1:9" ht="15" x14ac:dyDescent="0.25">
      <c r="A197"/>
      <c r="B197"/>
      <c r="C197"/>
      <c r="D197"/>
      <c r="E197"/>
      <c r="F197"/>
      <c r="G197"/>
      <c r="H197"/>
      <c r="I197"/>
    </row>
    <row r="198" spans="1:9" ht="15" x14ac:dyDescent="0.25">
      <c r="A198"/>
      <c r="B198"/>
      <c r="C198"/>
      <c r="D198"/>
      <c r="E198"/>
      <c r="F198"/>
      <c r="G198"/>
      <c r="H198"/>
      <c r="I198"/>
    </row>
    <row r="199" spans="1:9" ht="15" x14ac:dyDescent="0.25">
      <c r="A199"/>
      <c r="B199"/>
      <c r="C199"/>
      <c r="D199"/>
      <c r="E199"/>
      <c r="F199"/>
      <c r="G199"/>
      <c r="H199"/>
      <c r="I199"/>
    </row>
    <row r="200" spans="1:9" ht="15" x14ac:dyDescent="0.25">
      <c r="A200"/>
      <c r="B200"/>
      <c r="C200"/>
      <c r="D200"/>
      <c r="E200"/>
      <c r="F200"/>
      <c r="G200"/>
      <c r="H200"/>
      <c r="I200"/>
    </row>
    <row r="201" spans="1:9" ht="15" x14ac:dyDescent="0.25">
      <c r="A201"/>
      <c r="B201"/>
      <c r="C201"/>
      <c r="D201"/>
      <c r="E201"/>
      <c r="F201"/>
      <c r="G201"/>
      <c r="H201"/>
      <c r="I201"/>
    </row>
    <row r="202" spans="1:9" ht="15" x14ac:dyDescent="0.25">
      <c r="A202"/>
      <c r="B202"/>
      <c r="C202"/>
      <c r="D202"/>
      <c r="E202"/>
      <c r="F202"/>
      <c r="G202"/>
      <c r="H202"/>
      <c r="I202"/>
    </row>
    <row r="203" spans="1:9" ht="15" x14ac:dyDescent="0.25">
      <c r="A203"/>
      <c r="B203"/>
      <c r="C203"/>
      <c r="D203"/>
      <c r="E203"/>
      <c r="F203"/>
      <c r="G203"/>
      <c r="H203"/>
      <c r="I203"/>
    </row>
    <row r="204" spans="1:9" ht="15" x14ac:dyDescent="0.25">
      <c r="A204"/>
      <c r="B204"/>
      <c r="C204"/>
      <c r="D204"/>
      <c r="E204"/>
      <c r="F204"/>
      <c r="G204"/>
      <c r="H204"/>
      <c r="I204"/>
    </row>
    <row r="205" spans="1:9" ht="15" x14ac:dyDescent="0.25">
      <c r="A205"/>
      <c r="B205"/>
      <c r="C205"/>
      <c r="D205"/>
      <c r="E205"/>
      <c r="F205"/>
      <c r="G205"/>
      <c r="H205"/>
      <c r="I205"/>
    </row>
    <row r="206" spans="1:9" ht="15" x14ac:dyDescent="0.25">
      <c r="A206"/>
      <c r="B206"/>
      <c r="C206"/>
      <c r="D206"/>
      <c r="E206"/>
      <c r="F206"/>
      <c r="G206"/>
      <c r="H206"/>
      <c r="I206"/>
    </row>
    <row r="207" spans="1:9" ht="15" x14ac:dyDescent="0.25">
      <c r="A207"/>
      <c r="B207"/>
      <c r="C207"/>
      <c r="D207"/>
      <c r="E207"/>
      <c r="F207"/>
      <c r="G207"/>
      <c r="H207"/>
      <c r="I207"/>
    </row>
    <row r="208" spans="1:9" ht="15" x14ac:dyDescent="0.25">
      <c r="A208"/>
      <c r="B208"/>
      <c r="C208"/>
      <c r="D208"/>
      <c r="E208"/>
      <c r="F208"/>
      <c r="G208"/>
      <c r="H208"/>
      <c r="I208"/>
    </row>
    <row r="209" spans="1:9" ht="15" x14ac:dyDescent="0.25">
      <c r="A209"/>
      <c r="B209"/>
      <c r="C209"/>
      <c r="D209"/>
      <c r="E209"/>
      <c r="F209"/>
      <c r="G209"/>
      <c r="H209"/>
      <c r="I209"/>
    </row>
    <row r="210" spans="1:9" ht="15" x14ac:dyDescent="0.25">
      <c r="A210"/>
      <c r="B210"/>
      <c r="C210"/>
      <c r="D210"/>
      <c r="E210"/>
      <c r="F210"/>
      <c r="G210"/>
      <c r="H210"/>
      <c r="I210"/>
    </row>
    <row r="211" spans="1:9" ht="15" x14ac:dyDescent="0.25">
      <c r="A211"/>
      <c r="B211"/>
      <c r="C211"/>
      <c r="D211"/>
      <c r="E211"/>
      <c r="F211"/>
      <c r="G211"/>
      <c r="H211"/>
      <c r="I211"/>
    </row>
    <row r="212" spans="1:9" ht="15" x14ac:dyDescent="0.25">
      <c r="A212"/>
      <c r="B212"/>
      <c r="C212"/>
      <c r="D212"/>
      <c r="E212"/>
      <c r="F212"/>
      <c r="G212"/>
      <c r="H212"/>
      <c r="I212"/>
    </row>
    <row r="213" spans="1:9" ht="15" x14ac:dyDescent="0.25">
      <c r="A213"/>
      <c r="B213"/>
      <c r="C213"/>
      <c r="D213"/>
      <c r="E213"/>
      <c r="F213"/>
      <c r="G213"/>
      <c r="H213"/>
      <c r="I213"/>
    </row>
    <row r="214" spans="1:9" ht="15" x14ac:dyDescent="0.25">
      <c r="A214"/>
      <c r="B214"/>
      <c r="C214"/>
      <c r="D214"/>
      <c r="E214"/>
      <c r="F214"/>
      <c r="G214"/>
      <c r="H214"/>
      <c r="I214"/>
    </row>
    <row r="215" spans="1:9" ht="15" x14ac:dyDescent="0.25">
      <c r="A215"/>
      <c r="B215"/>
      <c r="C215"/>
      <c r="D215"/>
      <c r="E215"/>
      <c r="F215"/>
      <c r="G215"/>
      <c r="H215"/>
      <c r="I215"/>
    </row>
    <row r="216" spans="1:9" ht="15" x14ac:dyDescent="0.25">
      <c r="A216"/>
      <c r="B216"/>
      <c r="C216"/>
      <c r="D216"/>
      <c r="E216"/>
      <c r="F216"/>
      <c r="G216"/>
      <c r="H216"/>
      <c r="I216"/>
    </row>
    <row r="217" spans="1:9" ht="15" x14ac:dyDescent="0.25">
      <c r="A217"/>
      <c r="B217"/>
      <c r="C217"/>
      <c r="D217"/>
      <c r="E217"/>
      <c r="F217"/>
      <c r="G217"/>
      <c r="H217"/>
      <c r="I217"/>
    </row>
    <row r="218" spans="1:9" ht="15" x14ac:dyDescent="0.25">
      <c r="A218"/>
      <c r="B218"/>
      <c r="C218"/>
      <c r="D218"/>
      <c r="E218"/>
      <c r="F218"/>
      <c r="G218"/>
      <c r="H218"/>
      <c r="I218"/>
    </row>
    <row r="219" spans="1:9" ht="15" x14ac:dyDescent="0.25">
      <c r="A219"/>
      <c r="B219"/>
      <c r="C219"/>
      <c r="D219"/>
      <c r="E219"/>
      <c r="F219"/>
      <c r="G219"/>
      <c r="H219"/>
      <c r="I219"/>
    </row>
    <row r="220" spans="1:9" ht="15" x14ac:dyDescent="0.25">
      <c r="A220"/>
      <c r="B220"/>
      <c r="C220"/>
      <c r="D220"/>
      <c r="E220"/>
      <c r="F220"/>
      <c r="G220"/>
      <c r="H220"/>
      <c r="I220"/>
    </row>
    <row r="221" spans="1:9" ht="15" x14ac:dyDescent="0.25">
      <c r="A221"/>
      <c r="B221"/>
      <c r="C221"/>
      <c r="D221"/>
      <c r="E221"/>
      <c r="F221"/>
      <c r="G221"/>
      <c r="H221"/>
      <c r="I221"/>
    </row>
  </sheetData>
  <autoFilter ref="A3:I3" xr:uid="{F7F44E2F-0633-42B7-8978-CE6606F45AA2}">
    <sortState xmlns:xlrd2="http://schemas.microsoft.com/office/spreadsheetml/2017/richdata2" ref="A4:I3">
      <sortCondition ref="B3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3"/>
  <sheetViews>
    <sheetView showZeros="0" workbookViewId="0">
      <pane ySplit="3" topLeftCell="A4" activePane="bottomLeft" state="frozen"/>
      <selection pane="bottomLeft" activeCell="A4" sqref="A4:I306"/>
    </sheetView>
  </sheetViews>
  <sheetFormatPr defaultRowHeight="13.5" x14ac:dyDescent="0.25"/>
  <cols>
    <col min="1" max="1" width="11.28515625" style="116" bestFit="1" customWidth="1"/>
    <col min="2" max="2" width="44.140625" style="116" bestFit="1" customWidth="1"/>
    <col min="3" max="3" width="12.28515625" style="116" bestFit="1" customWidth="1"/>
    <col min="4" max="4" width="9" style="116" bestFit="1" customWidth="1"/>
    <col min="5" max="5" width="11.140625" style="116" bestFit="1" customWidth="1"/>
    <col min="6" max="6" width="21.28515625" style="116" bestFit="1" customWidth="1"/>
    <col min="7" max="7" width="10" style="116" bestFit="1" customWidth="1"/>
    <col min="8" max="8" width="51" style="116" bestFit="1" customWidth="1"/>
    <col min="9" max="9" width="42.85546875" style="116" bestFit="1" customWidth="1"/>
    <col min="10" max="16384" width="9.140625" style="116"/>
  </cols>
  <sheetData>
    <row r="1" spans="1:9" x14ac:dyDescent="0.25">
      <c r="A1" s="150" t="s">
        <v>497</v>
      </c>
      <c r="B1" s="150"/>
      <c r="C1" s="150"/>
      <c r="D1" s="150"/>
      <c r="E1" s="150"/>
      <c r="F1" s="150"/>
      <c r="G1" s="150"/>
      <c r="H1" s="150"/>
      <c r="I1" s="155"/>
    </row>
    <row r="2" spans="1:9" ht="14.25" thickBot="1" x14ac:dyDescent="0.3">
      <c r="A2" s="156"/>
      <c r="B2" s="156"/>
      <c r="C2" s="156"/>
      <c r="D2" s="156"/>
      <c r="E2" s="156"/>
      <c r="F2" s="156"/>
      <c r="G2" s="156"/>
      <c r="H2" s="156"/>
      <c r="I2" s="157"/>
    </row>
    <row r="3" spans="1:9" x14ac:dyDescent="0.25">
      <c r="A3" s="99" t="s">
        <v>98</v>
      </c>
      <c r="B3" s="100" t="s">
        <v>99</v>
      </c>
      <c r="C3" s="100" t="s">
        <v>3</v>
      </c>
      <c r="D3" s="100" t="s">
        <v>4</v>
      </c>
      <c r="E3" s="100" t="s">
        <v>5</v>
      </c>
      <c r="F3" s="100" t="s">
        <v>100</v>
      </c>
      <c r="G3" s="100" t="s">
        <v>6</v>
      </c>
      <c r="H3" s="101" t="s">
        <v>101</v>
      </c>
      <c r="I3" s="102" t="s">
        <v>7</v>
      </c>
    </row>
  </sheetData>
  <autoFilter ref="A3:I3" xr:uid="{F476CE54-98D6-4475-AD15-D3EE4F674097}">
    <sortState xmlns:xlrd2="http://schemas.microsoft.com/office/spreadsheetml/2017/richdata2" ref="A4:I3">
      <sortCondition ref="B3"/>
    </sortState>
  </autoFilter>
  <mergeCells count="1">
    <mergeCell ref="A1:I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356-5D70-4488-95B0-A7D7F394D7AB}">
  <sheetPr filterMode="1"/>
  <dimension ref="A1:N329"/>
  <sheetViews>
    <sheetView showZeros="0" workbookViewId="0">
      <pane ySplit="3" topLeftCell="A35" activePane="bottomLeft" state="frozen"/>
      <selection pane="bottomLeft" activeCell="C143" sqref="C143"/>
    </sheetView>
  </sheetViews>
  <sheetFormatPr defaultColWidth="9.28515625" defaultRowHeight="13.5" x14ac:dyDescent="0.25"/>
  <cols>
    <col min="1" max="1" width="7.85546875" style="98" bestFit="1" customWidth="1"/>
    <col min="2" max="2" width="9.7109375" style="98" bestFit="1" customWidth="1"/>
    <col min="3" max="3" width="8.140625" style="98" bestFit="1" customWidth="1"/>
    <col min="4" max="4" width="7.28515625" style="98" bestFit="1" customWidth="1"/>
    <col min="5" max="5" width="12.42578125" style="98" bestFit="1" customWidth="1"/>
    <col min="6" max="6" width="44.140625" style="98" bestFit="1" customWidth="1"/>
    <col min="7" max="7" width="12.28515625" style="98" bestFit="1" customWidth="1"/>
    <col min="8" max="8" width="9" style="98" bestFit="1" customWidth="1"/>
    <col min="9" max="9" width="11.140625" style="98" bestFit="1" customWidth="1"/>
    <col min="10" max="10" width="21.28515625" style="98" bestFit="1" customWidth="1"/>
    <col min="11" max="11" width="10" style="98" bestFit="1" customWidth="1"/>
    <col min="12" max="12" width="51" style="98" bestFit="1" customWidth="1"/>
    <col min="13" max="13" width="42.85546875" style="98" bestFit="1" customWidth="1"/>
    <col min="14" max="14" width="9.7109375" style="98" bestFit="1" customWidth="1"/>
    <col min="15" max="16384" width="9.28515625" style="98"/>
  </cols>
  <sheetData>
    <row r="1" spans="1:14" x14ac:dyDescent="0.25">
      <c r="A1" s="150" t="s">
        <v>511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5"/>
    </row>
    <row r="2" spans="1:14" ht="14.25" thickBot="1" x14ac:dyDescent="0.3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7"/>
    </row>
    <row r="3" spans="1:14" x14ac:dyDescent="0.25">
      <c r="A3" s="99" t="s">
        <v>0</v>
      </c>
      <c r="B3" s="99" t="s">
        <v>1</v>
      </c>
      <c r="C3" s="99" t="s">
        <v>2</v>
      </c>
      <c r="D3" s="99" t="s">
        <v>96</v>
      </c>
      <c r="E3" s="99" t="s">
        <v>466</v>
      </c>
      <c r="F3" s="100" t="s">
        <v>99</v>
      </c>
      <c r="G3" s="100" t="s">
        <v>3</v>
      </c>
      <c r="H3" s="100" t="s">
        <v>4</v>
      </c>
      <c r="I3" s="100" t="s">
        <v>5</v>
      </c>
      <c r="J3" s="100" t="s">
        <v>100</v>
      </c>
      <c r="K3" s="100" t="s">
        <v>6</v>
      </c>
      <c r="L3" s="101" t="s">
        <v>101</v>
      </c>
      <c r="M3" s="102" t="s">
        <v>7</v>
      </c>
      <c r="N3" s="102" t="s">
        <v>508</v>
      </c>
    </row>
    <row r="4" spans="1:14" x14ac:dyDescent="0.25">
      <c r="A4" s="103" t="s">
        <v>507</v>
      </c>
      <c r="B4" s="103" t="s">
        <v>507</v>
      </c>
      <c r="C4" s="104" t="s">
        <v>510</v>
      </c>
      <c r="D4" s="103" t="s">
        <v>507</v>
      </c>
      <c r="E4" s="104" t="s">
        <v>510</v>
      </c>
      <c r="F4" s="105" t="str">
        <f>Originals!B4</f>
        <v>Advanced Signal Processing Toolkit</v>
      </c>
      <c r="G4" s="105" t="str">
        <f>Originals!C4</f>
        <v>15.0.0</v>
      </c>
      <c r="H4" s="105" t="str">
        <f>Originals!D4</f>
        <v>32</v>
      </c>
      <c r="I4" s="105" t="str">
        <f>Originals!E4</f>
        <v>2015</v>
      </c>
      <c r="J4" s="105" t="str">
        <f>Originals!F4</f>
        <v>Development</v>
      </c>
      <c r="K4" s="105" t="str">
        <f>Originals!G4</f>
        <v>NI</v>
      </c>
      <c r="L4" s="105" t="str">
        <f>Originals!H4</f>
        <v>Advanced Signal Processing Toolkit 15.0.0</v>
      </c>
      <c r="M4" s="105" t="str">
        <f>Originals!I4</f>
        <v>NI Developer Suite 2015 DS2 Install</v>
      </c>
      <c r="N4" s="98" t="s">
        <v>136</v>
      </c>
    </row>
    <row r="5" spans="1:14" x14ac:dyDescent="0.25">
      <c r="A5" s="103" t="s">
        <v>507</v>
      </c>
      <c r="B5" s="103" t="s">
        <v>507</v>
      </c>
      <c r="C5" s="104" t="s">
        <v>510</v>
      </c>
      <c r="D5" s="104" t="s">
        <v>510</v>
      </c>
      <c r="E5" s="104" t="s">
        <v>510</v>
      </c>
      <c r="F5" s="105" t="str">
        <f>Originals!B5</f>
        <v>C Series Module Support</v>
      </c>
      <c r="G5" s="105" t="str">
        <f>Originals!C5</f>
        <v>15.0.0</v>
      </c>
      <c r="H5" s="105" t="str">
        <f>Originals!D5</f>
        <v>32</v>
      </c>
      <c r="I5" s="105" t="str">
        <f>Originals!E5</f>
        <v>2015</v>
      </c>
      <c r="J5" s="105" t="str">
        <f>Originals!F5</f>
        <v>Development</v>
      </c>
      <c r="K5" s="105" t="str">
        <f>Originals!G5</f>
        <v>NI</v>
      </c>
      <c r="L5" s="105" t="str">
        <f>Originals!H5</f>
        <v>C Series Module Support 15.0.0</v>
      </c>
      <c r="M5" s="105" t="str">
        <f>Originals!I5</f>
        <v>NI Developer Suite 2015 DS2 Install</v>
      </c>
      <c r="N5" s="98" t="s">
        <v>136</v>
      </c>
    </row>
    <row r="6" spans="1:14" x14ac:dyDescent="0.25">
      <c r="A6" s="104" t="s">
        <v>510</v>
      </c>
      <c r="B6" s="104" t="s">
        <v>510</v>
      </c>
      <c r="C6" s="103" t="s">
        <v>507</v>
      </c>
      <c r="D6" s="104" t="s">
        <v>510</v>
      </c>
      <c r="E6" s="104" t="s">
        <v>510</v>
      </c>
      <c r="F6" s="106" t="str">
        <f>Originals!B166</f>
        <v>C Series Module Support</v>
      </c>
      <c r="G6" s="106" t="str">
        <f>Originals!C166</f>
        <v>15.5.0</v>
      </c>
      <c r="H6" s="106" t="str">
        <f>Originals!D166</f>
        <v>32</v>
      </c>
      <c r="I6" s="106">
        <f>Originals!E166</f>
        <v>2015</v>
      </c>
      <c r="J6" s="106" t="str">
        <f>Originals!F166</f>
        <v>Development</v>
      </c>
      <c r="K6" s="106" t="str">
        <f>Originals!G166</f>
        <v>NI</v>
      </c>
      <c r="L6" s="106" t="str">
        <f>Originals!H166</f>
        <v>C Series Module Support 15.5.0</v>
      </c>
      <c r="M6" s="106">
        <f>Originals!I166</f>
        <v>0</v>
      </c>
      <c r="N6" s="107" t="s">
        <v>2</v>
      </c>
    </row>
    <row r="7" spans="1:14" hidden="1" x14ac:dyDescent="0.25">
      <c r="A7" s="104" t="s">
        <v>510</v>
      </c>
      <c r="B7" s="104" t="s">
        <v>510</v>
      </c>
      <c r="C7" s="104" t="s">
        <v>510</v>
      </c>
      <c r="D7" s="103" t="s">
        <v>507</v>
      </c>
      <c r="E7" s="104" t="s">
        <v>510</v>
      </c>
      <c r="F7" s="108" t="str">
        <f>Scott!B5</f>
        <v>C Series Module Support</v>
      </c>
      <c r="G7" s="108" t="str">
        <f>Scott!C5</f>
        <v>18.1.0</v>
      </c>
      <c r="H7" s="108" t="str">
        <f>Scott!D5</f>
        <v>32</v>
      </c>
      <c r="I7" s="108" t="str">
        <f>Scott!E5</f>
        <v>2018</v>
      </c>
      <c r="J7" s="108" t="str">
        <f>Scott!F5</f>
        <v>Development</v>
      </c>
      <c r="K7" s="108" t="str">
        <f>Scott!G5</f>
        <v>NI</v>
      </c>
      <c r="L7" s="108" t="str">
        <f>Scott!H5</f>
        <v>C Series Module Support 18.1.0</v>
      </c>
      <c r="M7" s="108" t="str">
        <f>Scott!I5</f>
        <v>CompactRIO 18.1.0</v>
      </c>
      <c r="N7" s="109" t="s">
        <v>96</v>
      </c>
    </row>
    <row r="8" spans="1:14" x14ac:dyDescent="0.25">
      <c r="A8" s="104" t="s">
        <v>510</v>
      </c>
      <c r="B8" s="104" t="s">
        <v>510</v>
      </c>
      <c r="C8" s="103" t="s">
        <v>507</v>
      </c>
      <c r="D8" s="103" t="s">
        <v>507</v>
      </c>
      <c r="E8" s="104" t="s">
        <v>510</v>
      </c>
      <c r="F8" s="105" t="str">
        <f>Originals!B167</f>
        <v>Caraya Unit Test Framework</v>
      </c>
      <c r="G8" s="105" t="str">
        <f>Originals!C167</f>
        <v>0.6.3.54</v>
      </c>
      <c r="H8" s="105" t="str">
        <f>Originals!D167</f>
        <v>32</v>
      </c>
      <c r="I8" s="105" t="str">
        <f>Originals!E167</f>
        <v>N/A</v>
      </c>
      <c r="J8" s="105" t="str">
        <f>Originals!F167</f>
        <v>Development</v>
      </c>
      <c r="K8" s="105" t="str">
        <f>Originals!G167</f>
        <v>JKI</v>
      </c>
      <c r="L8" s="105" t="str">
        <f>Originals!H167</f>
        <v>Caraya Unit Test Framework 0.6.3.54</v>
      </c>
      <c r="M8" s="105" t="str">
        <f>Originals!I167</f>
        <v>VIPM Community</v>
      </c>
      <c r="N8" s="98" t="s">
        <v>136</v>
      </c>
    </row>
    <row r="9" spans="1:14" x14ac:dyDescent="0.25">
      <c r="A9" s="103" t="s">
        <v>507</v>
      </c>
      <c r="B9" s="103" t="s">
        <v>507</v>
      </c>
      <c r="C9" s="104" t="s">
        <v>510</v>
      </c>
      <c r="D9" s="104" t="s">
        <v>510</v>
      </c>
      <c r="E9" s="104" t="s">
        <v>510</v>
      </c>
      <c r="F9" s="105" t="str">
        <f>Originals!B6</f>
        <v>CompactRIO</v>
      </c>
      <c r="G9" s="105" t="str">
        <f>Originals!C6</f>
        <v>15.0.0</v>
      </c>
      <c r="H9" s="105" t="str">
        <f>Originals!D6</f>
        <v>32</v>
      </c>
      <c r="I9" s="105" t="str">
        <f>Originals!E6</f>
        <v>2015</v>
      </c>
      <c r="J9" s="105" t="str">
        <f>Originals!F6</f>
        <v>Development</v>
      </c>
      <c r="K9" s="105" t="str">
        <f>Originals!G6</f>
        <v>NI</v>
      </c>
      <c r="L9" s="105" t="str">
        <f>Originals!H6</f>
        <v>CompactRIO 15.0.0</v>
      </c>
      <c r="M9" s="105" t="str">
        <f>Originals!I6</f>
        <v>NI Developer Suite 2015 DS2 Install</v>
      </c>
      <c r="N9" s="98" t="s">
        <v>136</v>
      </c>
    </row>
    <row r="10" spans="1:14" x14ac:dyDescent="0.25">
      <c r="A10" s="104" t="s">
        <v>510</v>
      </c>
      <c r="B10" s="104" t="s">
        <v>510</v>
      </c>
      <c r="C10" s="103" t="s">
        <v>507</v>
      </c>
      <c r="D10" s="104" t="s">
        <v>510</v>
      </c>
      <c r="E10" s="104" t="s">
        <v>510</v>
      </c>
      <c r="F10" s="105" t="str">
        <f>Originals!B168</f>
        <v>CompactRIO</v>
      </c>
      <c r="G10" s="105" t="str">
        <f>Originals!C168</f>
        <v>15.5.0</v>
      </c>
      <c r="H10" s="105" t="str">
        <f>Originals!D168</f>
        <v>32</v>
      </c>
      <c r="I10" s="105">
        <f>Originals!E168</f>
        <v>2015</v>
      </c>
      <c r="J10" s="105" t="str">
        <f>Originals!F168</f>
        <v>Development</v>
      </c>
      <c r="K10" s="105" t="str">
        <f>Originals!G168</f>
        <v>NI</v>
      </c>
      <c r="L10" s="105" t="str">
        <f>Originals!H168</f>
        <v>CompactRIO 15.5.0</v>
      </c>
      <c r="M10" s="105">
        <f>Originals!I168</f>
        <v>0</v>
      </c>
      <c r="N10" s="98" t="s">
        <v>136</v>
      </c>
    </row>
    <row r="11" spans="1:14" x14ac:dyDescent="0.25">
      <c r="A11" s="104" t="s">
        <v>510</v>
      </c>
      <c r="B11" s="104" t="s">
        <v>510</v>
      </c>
      <c r="C11" s="104" t="s">
        <v>510</v>
      </c>
      <c r="D11" s="103" t="s">
        <v>507</v>
      </c>
      <c r="E11" s="103" t="s">
        <v>507</v>
      </c>
      <c r="F11" s="105" t="str">
        <f>Originals!B369</f>
        <v>CompactRIO</v>
      </c>
      <c r="G11" s="105" t="str">
        <f>Originals!C369</f>
        <v>18.1.0</v>
      </c>
      <c r="H11" s="105" t="str">
        <f>Originals!D369</f>
        <v>32</v>
      </c>
      <c r="I11" s="105" t="str">
        <f>Originals!E369</f>
        <v>2018</v>
      </c>
      <c r="J11" s="105" t="str">
        <f>Originals!F369</f>
        <v>Development</v>
      </c>
      <c r="K11" s="105" t="str">
        <f>Originals!G369</f>
        <v>NI</v>
      </c>
      <c r="L11" s="105" t="str">
        <f>Originals!H369</f>
        <v>CompactRIO 18.1.0</v>
      </c>
      <c r="M11" s="105" t="str">
        <f>Originals!I369</f>
        <v>CompactRIO 18.1.0</v>
      </c>
      <c r="N11" s="98" t="s">
        <v>136</v>
      </c>
    </row>
    <row r="12" spans="1:14" x14ac:dyDescent="0.25">
      <c r="A12" s="104" t="s">
        <v>510</v>
      </c>
      <c r="B12" s="104" t="s">
        <v>510</v>
      </c>
      <c r="C12" s="103" t="s">
        <v>507</v>
      </c>
      <c r="D12" s="104" t="s">
        <v>510</v>
      </c>
      <c r="E12" s="104" t="s">
        <v>510</v>
      </c>
      <c r="F12" s="105" t="str">
        <f>Originals!B169</f>
        <v>CompactRIO Suport</v>
      </c>
      <c r="G12" s="105" t="str">
        <f>Originals!C169</f>
        <v>15.5</v>
      </c>
      <c r="H12" s="105" t="str">
        <f>Originals!D169</f>
        <v>32</v>
      </c>
      <c r="I12" s="105" t="str">
        <f>Originals!E169</f>
        <v>2015</v>
      </c>
      <c r="J12" s="105" t="str">
        <f>Originals!F169</f>
        <v>C-RIO</v>
      </c>
      <c r="K12" s="105" t="str">
        <f>Originals!G169</f>
        <v>NI</v>
      </c>
      <c r="L12" s="105" t="str">
        <f>Originals!H169</f>
        <v>CompactRIO Suport 15.5</v>
      </c>
      <c r="M12" s="105">
        <f>Originals!I169</f>
        <v>0</v>
      </c>
      <c r="N12" s="98" t="s">
        <v>136</v>
      </c>
    </row>
    <row r="13" spans="1:14" x14ac:dyDescent="0.25">
      <c r="A13" s="103" t="s">
        <v>507</v>
      </c>
      <c r="B13" s="103" t="s">
        <v>507</v>
      </c>
      <c r="C13" s="104" t="s">
        <v>510</v>
      </c>
      <c r="D13" s="103" t="s">
        <v>507</v>
      </c>
      <c r="E13" s="104" t="s">
        <v>510</v>
      </c>
      <c r="F13" s="105" t="str">
        <f>Originals!B7</f>
        <v>CVI</v>
      </c>
      <c r="G13" s="105" t="str">
        <f>Originals!C7</f>
        <v>15.0.0.408</v>
      </c>
      <c r="H13" s="105" t="str">
        <f>Originals!D7</f>
        <v>32</v>
      </c>
      <c r="I13" s="105" t="str">
        <f>Originals!E7</f>
        <v>2015</v>
      </c>
      <c r="J13" s="105" t="str">
        <f>Originals!F7</f>
        <v>Runtime</v>
      </c>
      <c r="K13" s="105" t="str">
        <f>Originals!G7</f>
        <v>NI</v>
      </c>
      <c r="L13" s="105" t="str">
        <f>Originals!H7</f>
        <v>CVI 15.0.0.408</v>
      </c>
      <c r="M13" s="105" t="str">
        <f>Originals!I7</f>
        <v>LabVIEW 2015 SP1</v>
      </c>
      <c r="N13" s="98" t="s">
        <v>136</v>
      </c>
    </row>
    <row r="14" spans="1:14" x14ac:dyDescent="0.25">
      <c r="A14" s="104" t="s">
        <v>510</v>
      </c>
      <c r="B14" s="104" t="s">
        <v>510</v>
      </c>
      <c r="C14" s="103" t="s">
        <v>507</v>
      </c>
      <c r="D14" s="104" t="s">
        <v>510</v>
      </c>
      <c r="E14" s="104" t="s">
        <v>510</v>
      </c>
      <c r="F14" s="105" t="str">
        <f>Originals!B170</f>
        <v>CVI</v>
      </c>
      <c r="G14" s="105" t="str">
        <f>Originals!C170</f>
        <v>19.0.0.49154</v>
      </c>
      <c r="H14" s="105" t="str">
        <f>Originals!D170</f>
        <v>32</v>
      </c>
      <c r="I14" s="105" t="str">
        <f>Originals!E170</f>
        <v>2019</v>
      </c>
      <c r="J14" s="105" t="str">
        <f>Originals!F170</f>
        <v>Runtime</v>
      </c>
      <c r="K14" s="105" t="str">
        <f>Originals!G170</f>
        <v>NI</v>
      </c>
      <c r="L14" s="105" t="str">
        <f>Originals!H170</f>
        <v>CVI 19.0.0.49154</v>
      </c>
      <c r="M14" s="105">
        <f>Originals!I170</f>
        <v>0</v>
      </c>
      <c r="N14" s="98" t="s">
        <v>136</v>
      </c>
    </row>
    <row r="15" spans="1:14" x14ac:dyDescent="0.25">
      <c r="A15" s="104" t="s">
        <v>510</v>
      </c>
      <c r="B15" s="104" t="s">
        <v>510</v>
      </c>
      <c r="C15" s="104" t="s">
        <v>510</v>
      </c>
      <c r="D15" s="103" t="s">
        <v>507</v>
      </c>
      <c r="E15" s="104" t="s">
        <v>510</v>
      </c>
      <c r="F15" s="105" t="str">
        <f>Scott!B7</f>
        <v>CompactRIO</v>
      </c>
      <c r="G15" s="105" t="str">
        <f>Scott!C7</f>
        <v>18.1.0</v>
      </c>
      <c r="H15" s="105" t="str">
        <f>Scott!D7</f>
        <v>32</v>
      </c>
      <c r="I15" s="105" t="str">
        <f>Scott!E7</f>
        <v>2018</v>
      </c>
      <c r="J15" s="105" t="str">
        <f>Scott!F7</f>
        <v>Development</v>
      </c>
      <c r="K15" s="105" t="str">
        <f>Scott!G7</f>
        <v>NI</v>
      </c>
      <c r="L15" s="105" t="str">
        <f>Scott!H7</f>
        <v>CompactRIO 18.1.0</v>
      </c>
      <c r="M15" s="105" t="str">
        <f>Scott!I7</f>
        <v>CompactRIO 18.1.0</v>
      </c>
      <c r="N15" s="98" t="s">
        <v>136</v>
      </c>
    </row>
    <row r="16" spans="1:14" x14ac:dyDescent="0.25">
      <c r="A16" s="104" t="s">
        <v>510</v>
      </c>
      <c r="B16" s="104" t="s">
        <v>510</v>
      </c>
      <c r="C16" s="104" t="s">
        <v>510</v>
      </c>
      <c r="D16" s="103" t="s">
        <v>507</v>
      </c>
      <c r="E16" s="104" t="s">
        <v>510</v>
      </c>
      <c r="F16" s="105" t="str">
        <f>Scott!B9</f>
        <v>CVI</v>
      </c>
      <c r="G16" s="105" t="str">
        <f>Scott!C9</f>
        <v>15.0.0.408</v>
      </c>
      <c r="H16" s="105">
        <f>Scott!D9</f>
        <v>32</v>
      </c>
      <c r="I16" s="105">
        <f>Scott!E9</f>
        <v>2015</v>
      </c>
      <c r="J16" s="105" t="str">
        <f>Scott!F9</f>
        <v>Runtime</v>
      </c>
      <c r="K16" s="105" t="str">
        <f>Scott!G9</f>
        <v>NI</v>
      </c>
      <c r="L16" s="105" t="str">
        <f>Scott!H9</f>
        <v>CVI 15.0.0.408</v>
      </c>
      <c r="M16" s="105" t="str">
        <f>Scott!I9</f>
        <v>LabVIEW 2015 SP1</v>
      </c>
      <c r="N16" s="98" t="s">
        <v>136</v>
      </c>
    </row>
    <row r="17" spans="1:14" x14ac:dyDescent="0.25">
      <c r="A17" s="103" t="s">
        <v>507</v>
      </c>
      <c r="B17" s="103" t="s">
        <v>507</v>
      </c>
      <c r="C17" s="103" t="s">
        <v>507</v>
      </c>
      <c r="D17" s="103" t="s">
        <v>507</v>
      </c>
      <c r="E17" s="103" t="s">
        <v>507</v>
      </c>
      <c r="F17" s="105" t="str">
        <f>Originals!B8</f>
        <v>Database Connectivity Toolkit</v>
      </c>
      <c r="G17" s="105" t="str">
        <f>Originals!C8</f>
        <v>15.0.0</v>
      </c>
      <c r="H17" s="105" t="str">
        <f>Originals!D8</f>
        <v>32</v>
      </c>
      <c r="I17" s="105" t="str">
        <f>Originals!E8</f>
        <v>2015</v>
      </c>
      <c r="J17" s="105" t="str">
        <f>Originals!F8</f>
        <v>Development</v>
      </c>
      <c r="K17" s="105" t="str">
        <f>Originals!G8</f>
        <v>NI</v>
      </c>
      <c r="L17" s="105" t="str">
        <f>Originals!H8</f>
        <v>Database Connectivity Toolkit 15.0.0</v>
      </c>
      <c r="M17" s="105" t="str">
        <f>Originals!I8</f>
        <v>NI Developer Suite 2015 DS2 Install</v>
      </c>
      <c r="N17" s="98" t="s">
        <v>136</v>
      </c>
    </row>
    <row r="18" spans="1:14" x14ac:dyDescent="0.25">
      <c r="A18" s="103" t="s">
        <v>507</v>
      </c>
      <c r="B18" s="103" t="s">
        <v>507</v>
      </c>
      <c r="C18" s="104" t="s">
        <v>510</v>
      </c>
      <c r="D18" s="103" t="s">
        <v>507</v>
      </c>
      <c r="E18" s="104" t="s">
        <v>510</v>
      </c>
      <c r="F18" s="105" t="str">
        <f>Originals!B9</f>
        <v>DataFinder Toolkit</v>
      </c>
      <c r="G18" s="105" t="str">
        <f>Originals!C9</f>
        <v>15.0.06020</v>
      </c>
      <c r="H18" s="105" t="str">
        <f>Originals!D9</f>
        <v>32</v>
      </c>
      <c r="I18" s="105" t="str">
        <f>Originals!E9</f>
        <v>2015</v>
      </c>
      <c r="J18" s="105" t="str">
        <f>Originals!F9</f>
        <v>Development</v>
      </c>
      <c r="K18" s="105" t="str">
        <f>Originals!G9</f>
        <v>NI</v>
      </c>
      <c r="L18" s="105" t="str">
        <f>Originals!H9</f>
        <v>DataFinder Toolkit 15.0.06020</v>
      </c>
      <c r="M18" s="105" t="str">
        <f>Originals!I9</f>
        <v>NI Developer Suite 2015 DS2 Install</v>
      </c>
      <c r="N18" s="98" t="s">
        <v>136</v>
      </c>
    </row>
    <row r="19" spans="1:14" x14ac:dyDescent="0.25">
      <c r="A19" s="104" t="s">
        <v>510</v>
      </c>
      <c r="B19" s="104" t="s">
        <v>510</v>
      </c>
      <c r="C19" s="103" t="s">
        <v>507</v>
      </c>
      <c r="D19" s="103" t="s">
        <v>507</v>
      </c>
      <c r="E19" s="104" t="s">
        <v>510</v>
      </c>
      <c r="F19" s="105" t="str">
        <f>Originals!B172</f>
        <v>Delacor QMH</v>
      </c>
      <c r="G19" s="105" t="str">
        <f>Originals!C172</f>
        <v>4.0.0.28</v>
      </c>
      <c r="H19" s="105" t="str">
        <f>Originals!D172</f>
        <v>32</v>
      </c>
      <c r="I19" s="105" t="str">
        <f>Originals!E172</f>
        <v>N/A</v>
      </c>
      <c r="J19" s="105" t="str">
        <f>Originals!F172</f>
        <v>Development</v>
      </c>
      <c r="K19" s="105" t="str">
        <f>Originals!G172</f>
        <v>DQMH Consortium</v>
      </c>
      <c r="L19" s="105" t="str">
        <f>Originals!H172</f>
        <v>Delacor QMH 4.0.0.28</v>
      </c>
      <c r="M19" s="105" t="str">
        <f>Originals!I172</f>
        <v>VIPM Community</v>
      </c>
      <c r="N19" s="98" t="s">
        <v>136</v>
      </c>
    </row>
    <row r="20" spans="1:14" x14ac:dyDescent="0.25">
      <c r="A20" s="104" t="s">
        <v>510</v>
      </c>
      <c r="B20" s="104" t="s">
        <v>510</v>
      </c>
      <c r="C20" s="103" t="s">
        <v>507</v>
      </c>
      <c r="D20" s="103" t="s">
        <v>507</v>
      </c>
      <c r="E20" s="104" t="s">
        <v>510</v>
      </c>
      <c r="F20" s="105" t="str">
        <f>Originals!B173</f>
        <v>Delacor QMH Event Scripter</v>
      </c>
      <c r="G20" s="105" t="str">
        <f>Originals!C173</f>
        <v>4.0.0.68</v>
      </c>
      <c r="H20" s="105" t="str">
        <f>Originals!D173</f>
        <v>32</v>
      </c>
      <c r="I20" s="105" t="str">
        <f>Originals!E173</f>
        <v>N/A</v>
      </c>
      <c r="J20" s="105" t="str">
        <f>Originals!F173</f>
        <v>Development</v>
      </c>
      <c r="K20" s="105" t="str">
        <f>Originals!G173</f>
        <v>DQMH Consortium</v>
      </c>
      <c r="L20" s="105" t="str">
        <f>Originals!H173</f>
        <v>Delacor QMH Event Scripter 4.0.0.68</v>
      </c>
      <c r="M20" s="105" t="str">
        <f>Originals!I173</f>
        <v>VIPM Community</v>
      </c>
      <c r="N20" s="98" t="s">
        <v>136</v>
      </c>
    </row>
    <row r="21" spans="1:14" x14ac:dyDescent="0.25">
      <c r="A21" s="104" t="s">
        <v>510</v>
      </c>
      <c r="B21" s="104" t="s">
        <v>510</v>
      </c>
      <c r="C21" s="103" t="s">
        <v>507</v>
      </c>
      <c r="D21" s="103" t="s">
        <v>507</v>
      </c>
      <c r="E21" s="104" t="s">
        <v>510</v>
      </c>
      <c r="F21" s="105" t="str">
        <f>Originals!B174</f>
        <v>Delacor QMH Palette</v>
      </c>
      <c r="G21" s="105" t="str">
        <f>Originals!C174</f>
        <v>3.0.0.1</v>
      </c>
      <c r="H21" s="105" t="str">
        <f>Originals!D174</f>
        <v>32</v>
      </c>
      <c r="I21" s="105" t="str">
        <f>Originals!E174</f>
        <v>N/A</v>
      </c>
      <c r="J21" s="105" t="str">
        <f>Originals!F174</f>
        <v>Development</v>
      </c>
      <c r="K21" s="105" t="str">
        <f>Originals!G174</f>
        <v>DQMH Consortium</v>
      </c>
      <c r="L21" s="105" t="str">
        <f>Originals!H174</f>
        <v>Delacor QMH Palette 3.0.0.1</v>
      </c>
      <c r="M21" s="105" t="str">
        <f>Originals!I174</f>
        <v>VIPM Community</v>
      </c>
      <c r="N21" s="98" t="s">
        <v>136</v>
      </c>
    </row>
    <row r="22" spans="1:14" x14ac:dyDescent="0.25">
      <c r="A22" s="104" t="s">
        <v>510</v>
      </c>
      <c r="B22" s="104" t="s">
        <v>510</v>
      </c>
      <c r="C22" s="103" t="s">
        <v>507</v>
      </c>
      <c r="D22" s="103" t="s">
        <v>507</v>
      </c>
      <c r="E22" s="104" t="s">
        <v>510</v>
      </c>
      <c r="F22" s="105" t="str">
        <f>Originals!B175</f>
        <v>Delacor QMH Project Template</v>
      </c>
      <c r="G22" s="105" t="str">
        <f>Originals!C175</f>
        <v>4.0.0.47</v>
      </c>
      <c r="H22" s="105" t="str">
        <f>Originals!D175</f>
        <v>32</v>
      </c>
      <c r="I22" s="105" t="str">
        <f>Originals!E175</f>
        <v>N/A</v>
      </c>
      <c r="J22" s="105" t="str">
        <f>Originals!F175</f>
        <v>Development</v>
      </c>
      <c r="K22" s="105" t="str">
        <f>Originals!G175</f>
        <v>DQMH Consortium</v>
      </c>
      <c r="L22" s="105" t="str">
        <f>Originals!H175</f>
        <v>Delacor QMH Project Template 4.0.0.47</v>
      </c>
      <c r="M22" s="105" t="str">
        <f>Originals!I175</f>
        <v>VIPM Community</v>
      </c>
      <c r="N22" s="98" t="s">
        <v>136</v>
      </c>
    </row>
    <row r="23" spans="1:14" x14ac:dyDescent="0.25">
      <c r="A23" s="104" t="s">
        <v>510</v>
      </c>
      <c r="B23" s="104" t="s">
        <v>510</v>
      </c>
      <c r="C23" s="103" t="s">
        <v>507</v>
      </c>
      <c r="D23" s="103" t="s">
        <v>507</v>
      </c>
      <c r="E23" s="104" t="s">
        <v>510</v>
      </c>
      <c r="F23" s="105" t="str">
        <f>Originals!B176</f>
        <v>Delacor QMH Thermal Chamber Examples</v>
      </c>
      <c r="G23" s="105" t="str">
        <f>Originals!C176</f>
        <v>4.0.0.21</v>
      </c>
      <c r="H23" s="105" t="str">
        <f>Originals!D176</f>
        <v>32</v>
      </c>
      <c r="I23" s="105" t="str">
        <f>Originals!E176</f>
        <v>N/A</v>
      </c>
      <c r="J23" s="105" t="str">
        <f>Originals!F176</f>
        <v>Development</v>
      </c>
      <c r="K23" s="105" t="str">
        <f>Originals!G176</f>
        <v>DQMH Consortium</v>
      </c>
      <c r="L23" s="105" t="str">
        <f>Originals!H176</f>
        <v>Delacor QMH Thermal Chamber Examples 4.0.0.21</v>
      </c>
      <c r="M23" s="105" t="str">
        <f>Originals!I176</f>
        <v>VIPM Community</v>
      </c>
      <c r="N23" s="98" t="s">
        <v>136</v>
      </c>
    </row>
    <row r="24" spans="1:14" x14ac:dyDescent="0.25">
      <c r="A24" s="103" t="s">
        <v>507</v>
      </c>
      <c r="B24" s="103" t="s">
        <v>507</v>
      </c>
      <c r="C24" s="104" t="s">
        <v>510</v>
      </c>
      <c r="D24" s="103" t="s">
        <v>507</v>
      </c>
      <c r="E24" s="104" t="s">
        <v>510</v>
      </c>
      <c r="F24" s="105" t="str">
        <f>Originals!B10</f>
        <v>Digital Filter Design Toolkit</v>
      </c>
      <c r="G24" s="105" t="str">
        <f>Originals!C10</f>
        <v>15.0.0</v>
      </c>
      <c r="H24" s="105" t="str">
        <f>Originals!D10</f>
        <v>32</v>
      </c>
      <c r="I24" s="105" t="str">
        <f>Originals!E10</f>
        <v>2015</v>
      </c>
      <c r="J24" s="105" t="str">
        <f>Originals!F10</f>
        <v>Development</v>
      </c>
      <c r="K24" s="105" t="str">
        <f>Originals!G10</f>
        <v>NI</v>
      </c>
      <c r="L24" s="105" t="str">
        <f>Originals!H10</f>
        <v>Digital Filter Design Toolkit 15.0.0</v>
      </c>
      <c r="M24" s="105" t="str">
        <f>Originals!I10</f>
        <v>NI Developer Suite 2015 DS2 Install</v>
      </c>
      <c r="N24" s="98" t="s">
        <v>136</v>
      </c>
    </row>
    <row r="25" spans="1:14" x14ac:dyDescent="0.25">
      <c r="A25" s="104" t="s">
        <v>510</v>
      </c>
      <c r="B25" s="104" t="s">
        <v>510</v>
      </c>
      <c r="C25" s="103" t="s">
        <v>507</v>
      </c>
      <c r="D25" s="104" t="s">
        <v>510</v>
      </c>
      <c r="E25" s="104" t="s">
        <v>510</v>
      </c>
      <c r="F25" s="105" t="str">
        <f>Originals!B177</f>
        <v>DMC UX Toolkit</v>
      </c>
      <c r="G25" s="105" t="str">
        <f>Originals!C177</f>
        <v>1.0.0.2</v>
      </c>
      <c r="H25" s="105" t="str">
        <f>Originals!D177</f>
        <v>32</v>
      </c>
      <c r="I25" s="105" t="str">
        <f>Originals!E177</f>
        <v>N/A</v>
      </c>
      <c r="J25" s="105" t="str">
        <f>Originals!F177</f>
        <v>Development</v>
      </c>
      <c r="K25" s="105" t="str">
        <f>Originals!G177</f>
        <v>DMC</v>
      </c>
      <c r="L25" s="105" t="str">
        <f>Originals!H177</f>
        <v>DMC UX Toolkit 1.0.0.2</v>
      </c>
      <c r="M25" s="105" t="str">
        <f>Originals!I177</f>
        <v>VIPM Community</v>
      </c>
      <c r="N25" s="98" t="s">
        <v>136</v>
      </c>
    </row>
    <row r="26" spans="1:14" x14ac:dyDescent="0.25">
      <c r="A26" s="104" t="s">
        <v>510</v>
      </c>
      <c r="B26" s="104" t="s">
        <v>510</v>
      </c>
      <c r="C26" s="103" t="s">
        <v>507</v>
      </c>
      <c r="D26" s="104" t="s">
        <v>510</v>
      </c>
      <c r="E26" s="104" t="s">
        <v>510</v>
      </c>
      <c r="F26" s="105" t="str">
        <f>Originals!B178</f>
        <v>FieldPoint</v>
      </c>
      <c r="G26" s="105">
        <f>Originals!C178</f>
        <v>15</v>
      </c>
      <c r="H26" s="105" t="str">
        <f>Originals!D178</f>
        <v>32</v>
      </c>
      <c r="I26" s="105" t="str">
        <f>Originals!E178</f>
        <v>2015</v>
      </c>
      <c r="J26" s="105" t="str">
        <f>Originals!F178</f>
        <v>Development</v>
      </c>
      <c r="K26" s="105" t="str">
        <f>Originals!G178</f>
        <v>NI</v>
      </c>
      <c r="L26" s="105" t="str">
        <f>Originals!H178</f>
        <v>FieldPoint 15</v>
      </c>
      <c r="M26" s="105">
        <f>Originals!I178</f>
        <v>0</v>
      </c>
      <c r="N26" s="98" t="s">
        <v>136</v>
      </c>
    </row>
    <row r="27" spans="1:14" x14ac:dyDescent="0.25">
      <c r="A27" s="103" t="s">
        <v>507</v>
      </c>
      <c r="B27" s="103" t="s">
        <v>507</v>
      </c>
      <c r="C27" s="103" t="s">
        <v>507</v>
      </c>
      <c r="D27" s="103" t="s">
        <v>507</v>
      </c>
      <c r="E27" s="104" t="s">
        <v>510</v>
      </c>
      <c r="F27" s="105" t="str">
        <f>Originals!B11</f>
        <v>FlexRIO</v>
      </c>
      <c r="G27" s="105" t="str">
        <f>Originals!C11</f>
        <v xml:space="preserve">15.0.0f0 </v>
      </c>
      <c r="H27" s="105" t="str">
        <f>Originals!D11</f>
        <v>32</v>
      </c>
      <c r="I27" s="105" t="str">
        <f>Originals!E11</f>
        <v>2015</v>
      </c>
      <c r="J27" s="105" t="str">
        <f>Originals!F11</f>
        <v>Development</v>
      </c>
      <c r="K27" s="105" t="str">
        <f>Originals!G11</f>
        <v>NI</v>
      </c>
      <c r="L27" s="105" t="str">
        <f>Originals!H11</f>
        <v xml:space="preserve">FlexRIO 15.0.0f0 </v>
      </c>
      <c r="M27" s="105" t="str">
        <f>Originals!I11</f>
        <v>NI Developer Suite 2015 DS2 Install</v>
      </c>
      <c r="N27" s="98" t="s">
        <v>136</v>
      </c>
    </row>
    <row r="28" spans="1:14" x14ac:dyDescent="0.25">
      <c r="A28" s="104" t="s">
        <v>510</v>
      </c>
      <c r="B28" s="104" t="s">
        <v>510</v>
      </c>
      <c r="C28" s="103" t="s">
        <v>507</v>
      </c>
      <c r="D28" s="104" t="s">
        <v>510</v>
      </c>
      <c r="E28" s="104" t="s">
        <v>510</v>
      </c>
      <c r="F28" s="105" t="str">
        <f>Originals!B180</f>
        <v>FPGA</v>
      </c>
      <c r="G28" s="105" t="str">
        <f>Originals!C180</f>
        <v>15.0.1</v>
      </c>
      <c r="H28" s="105" t="str">
        <f>Originals!D180</f>
        <v>32</v>
      </c>
      <c r="I28" s="105">
        <f>Originals!E180</f>
        <v>2015</v>
      </c>
      <c r="J28" s="105" t="str">
        <f>Originals!F180</f>
        <v>Development</v>
      </c>
      <c r="K28" s="105" t="str">
        <f>Originals!G180</f>
        <v>NI</v>
      </c>
      <c r="L28" s="105" t="str">
        <f>Originals!H180</f>
        <v>FPGA 15.0.1</v>
      </c>
      <c r="M28" s="105">
        <f>Originals!I180</f>
        <v>0</v>
      </c>
      <c r="N28" s="98" t="s">
        <v>136</v>
      </c>
    </row>
    <row r="29" spans="1:14" x14ac:dyDescent="0.25">
      <c r="A29" s="104" t="s">
        <v>510</v>
      </c>
      <c r="B29" s="104" t="s">
        <v>510</v>
      </c>
      <c r="C29" s="104" t="s">
        <v>510</v>
      </c>
      <c r="D29" s="103" t="s">
        <v>507</v>
      </c>
      <c r="E29" s="104" t="s">
        <v>510</v>
      </c>
      <c r="F29" s="105" t="str">
        <f>Scott!B14</f>
        <v>Delacor QMH Event Scripter</v>
      </c>
      <c r="G29" s="105" t="str">
        <f>Scott!C14</f>
        <v>4.0.0.68</v>
      </c>
      <c r="H29" s="105" t="str">
        <f>Scott!D14</f>
        <v>32</v>
      </c>
      <c r="I29" s="105" t="str">
        <f>Scott!E14</f>
        <v>N/A</v>
      </c>
      <c r="J29" s="105" t="str">
        <f>Scott!F14</f>
        <v>Development</v>
      </c>
      <c r="K29" s="105" t="str">
        <f>Scott!G14</f>
        <v>DQMH Consortium</v>
      </c>
      <c r="L29" s="105" t="str">
        <f>Scott!H14</f>
        <v>Delacor QMH Event Scripter 4.0.0.68</v>
      </c>
      <c r="M29" s="105" t="str">
        <f>Scott!I14</f>
        <v>VIPM Community</v>
      </c>
      <c r="N29" s="98" t="s">
        <v>136</v>
      </c>
    </row>
    <row r="30" spans="1:14" x14ac:dyDescent="0.25">
      <c r="A30" s="104" t="s">
        <v>510</v>
      </c>
      <c r="B30" s="104" t="s">
        <v>510</v>
      </c>
      <c r="C30" s="103" t="s">
        <v>507</v>
      </c>
      <c r="D30" s="103" t="s">
        <v>507</v>
      </c>
      <c r="E30" s="104" t="s">
        <v>510</v>
      </c>
      <c r="F30" s="105" t="str">
        <f>Originals!B181</f>
        <v>GPower All Toolsets</v>
      </c>
      <c r="G30" s="105" t="str">
        <f>Originals!C181</f>
        <v>2017.0.0.11</v>
      </c>
      <c r="H30" s="105" t="str">
        <f>Originals!D181</f>
        <v>32</v>
      </c>
      <c r="I30" s="105" t="str">
        <f>Originals!E181</f>
        <v>N/A</v>
      </c>
      <c r="J30" s="105" t="str">
        <f>Originals!F181</f>
        <v>Development</v>
      </c>
      <c r="K30" s="105" t="str">
        <f>Originals!G181</f>
        <v>GPower</v>
      </c>
      <c r="L30" s="105" t="str">
        <f>Originals!H181</f>
        <v>GPower All Toolsets 2017.0.0.11</v>
      </c>
      <c r="M30" s="105" t="str">
        <f>Originals!I181</f>
        <v>VIPM Community</v>
      </c>
      <c r="N30" s="98" t="s">
        <v>136</v>
      </c>
    </row>
    <row r="31" spans="1:14" x14ac:dyDescent="0.25">
      <c r="A31" s="104" t="s">
        <v>510</v>
      </c>
      <c r="B31" s="104" t="s">
        <v>510</v>
      </c>
      <c r="C31" s="103" t="s">
        <v>507</v>
      </c>
      <c r="D31" s="103" t="s">
        <v>507</v>
      </c>
      <c r="E31" s="104" t="s">
        <v>510</v>
      </c>
      <c r="F31" s="105" t="str">
        <f>Originals!B182</f>
        <v>GPower Array</v>
      </c>
      <c r="G31" s="105" t="str">
        <f>Originals!C182</f>
        <v>2016.2.0.27</v>
      </c>
      <c r="H31" s="105" t="str">
        <f>Originals!D182</f>
        <v>32</v>
      </c>
      <c r="I31" s="105" t="str">
        <f>Originals!E182</f>
        <v>N/A</v>
      </c>
      <c r="J31" s="105" t="str">
        <f>Originals!F182</f>
        <v>Development</v>
      </c>
      <c r="K31" s="105" t="str">
        <f>Originals!G182</f>
        <v>GPower</v>
      </c>
      <c r="L31" s="105" t="str">
        <f>Originals!H182</f>
        <v>GPower Array 2016.2.0.27</v>
      </c>
      <c r="M31" s="105" t="str">
        <f>Originals!I182</f>
        <v>VIPM Community</v>
      </c>
      <c r="N31" s="98" t="s">
        <v>136</v>
      </c>
    </row>
    <row r="32" spans="1:14" x14ac:dyDescent="0.25">
      <c r="A32" s="104" t="s">
        <v>510</v>
      </c>
      <c r="B32" s="104" t="s">
        <v>510</v>
      </c>
      <c r="C32" s="103" t="s">
        <v>507</v>
      </c>
      <c r="D32" s="104" t="s">
        <v>510</v>
      </c>
      <c r="E32" s="104" t="s">
        <v>510</v>
      </c>
      <c r="F32" s="105" t="str">
        <f>Originals!B183</f>
        <v>Gpower Array Library</v>
      </c>
      <c r="G32" s="105" t="str">
        <f>Originals!C183</f>
        <v>2016.2.0.27</v>
      </c>
      <c r="H32" s="105" t="str">
        <f>Originals!D183</f>
        <v>32</v>
      </c>
      <c r="I32" s="105" t="str">
        <f>Originals!E183</f>
        <v>2016</v>
      </c>
      <c r="J32" s="105" t="str">
        <f>Originals!F183</f>
        <v>Development</v>
      </c>
      <c r="K32" s="105" t="str">
        <f>Originals!G183</f>
        <v>Gpower</v>
      </c>
      <c r="L32" s="105" t="str">
        <f>Originals!H183</f>
        <v>Gpower Array Library 2016.2.0.27</v>
      </c>
      <c r="M32" s="105" t="str">
        <f>Originals!I183</f>
        <v>VIPM Community</v>
      </c>
      <c r="N32" s="98" t="s">
        <v>136</v>
      </c>
    </row>
    <row r="33" spans="1:14" x14ac:dyDescent="0.25">
      <c r="A33" s="104" t="s">
        <v>510</v>
      </c>
      <c r="B33" s="104" t="s">
        <v>510</v>
      </c>
      <c r="C33" s="103" t="s">
        <v>507</v>
      </c>
      <c r="D33" s="103" t="s">
        <v>507</v>
      </c>
      <c r="E33" s="104" t="s">
        <v>510</v>
      </c>
      <c r="F33" s="105" t="str">
        <f>Originals!B184</f>
        <v>GPower Comparison</v>
      </c>
      <c r="G33" s="105" t="str">
        <f>Originals!C184</f>
        <v>2016.0.0.4</v>
      </c>
      <c r="H33" s="105" t="str">
        <f>Originals!D184</f>
        <v>32</v>
      </c>
      <c r="I33" s="105" t="str">
        <f>Originals!E184</f>
        <v>N/A</v>
      </c>
      <c r="J33" s="105" t="str">
        <f>Originals!F184</f>
        <v>Development</v>
      </c>
      <c r="K33" s="105" t="str">
        <f>Originals!G184</f>
        <v>GPower</v>
      </c>
      <c r="L33" s="105" t="str">
        <f>Originals!H184</f>
        <v>GPower Comparison 2016.0.0.4</v>
      </c>
      <c r="M33" s="105" t="str">
        <f>Originals!I184</f>
        <v>VIPM Community</v>
      </c>
      <c r="N33" s="98" t="s">
        <v>136</v>
      </c>
    </row>
    <row r="34" spans="1:14" x14ac:dyDescent="0.25">
      <c r="A34" s="104" t="s">
        <v>510</v>
      </c>
      <c r="B34" s="104" t="s">
        <v>510</v>
      </c>
      <c r="C34" s="103" t="s">
        <v>507</v>
      </c>
      <c r="D34" s="103" t="s">
        <v>507</v>
      </c>
      <c r="E34" s="104" t="s">
        <v>510</v>
      </c>
      <c r="F34" s="105" t="str">
        <f>Originals!B185</f>
        <v>GPower Error &amp; Warning</v>
      </c>
      <c r="G34" s="105" t="str">
        <f>Originals!C185</f>
        <v>2014.0.0.38</v>
      </c>
      <c r="H34" s="105" t="str">
        <f>Originals!D185</f>
        <v>32</v>
      </c>
      <c r="I34" s="105" t="str">
        <f>Originals!E185</f>
        <v>N/A</v>
      </c>
      <c r="J34" s="105" t="str">
        <f>Originals!F185</f>
        <v>Development</v>
      </c>
      <c r="K34" s="105" t="str">
        <f>Originals!G185</f>
        <v>GPower</v>
      </c>
      <c r="L34" s="105" t="str">
        <f>Originals!H185</f>
        <v>GPower Error &amp; Warning 2014.0.0.38</v>
      </c>
      <c r="M34" s="105" t="str">
        <f>Originals!I185</f>
        <v>VIPM Community</v>
      </c>
      <c r="N34" s="98" t="s">
        <v>136</v>
      </c>
    </row>
    <row r="35" spans="1:14" x14ac:dyDescent="0.25">
      <c r="A35" s="104" t="s">
        <v>510</v>
      </c>
      <c r="B35" s="104" t="s">
        <v>510</v>
      </c>
      <c r="C35" s="103" t="s">
        <v>507</v>
      </c>
      <c r="D35" s="103" t="s">
        <v>507</v>
      </c>
      <c r="E35" s="104" t="s">
        <v>510</v>
      </c>
      <c r="F35" s="105" t="str">
        <f>Originals!B186</f>
        <v>GPower Events</v>
      </c>
      <c r="G35" s="105" t="str">
        <f>Originals!C186</f>
        <v>2012.0.0.7</v>
      </c>
      <c r="H35" s="105" t="str">
        <f>Originals!D186</f>
        <v>32</v>
      </c>
      <c r="I35" s="105" t="str">
        <f>Originals!E186</f>
        <v>N/A</v>
      </c>
      <c r="J35" s="105" t="str">
        <f>Originals!F186</f>
        <v>Development</v>
      </c>
      <c r="K35" s="105" t="str">
        <f>Originals!G186</f>
        <v>GPower</v>
      </c>
      <c r="L35" s="105" t="str">
        <f>Originals!H186</f>
        <v>GPower Events 2012.0.0.7</v>
      </c>
      <c r="M35" s="105" t="str">
        <f>Originals!I186</f>
        <v>VIPM Community</v>
      </c>
      <c r="N35" s="98" t="s">
        <v>136</v>
      </c>
    </row>
    <row r="36" spans="1:14" x14ac:dyDescent="0.25">
      <c r="A36" s="104" t="s">
        <v>510</v>
      </c>
      <c r="B36" s="104" t="s">
        <v>510</v>
      </c>
      <c r="C36" s="103" t="s">
        <v>507</v>
      </c>
      <c r="D36" s="103" t="s">
        <v>507</v>
      </c>
      <c r="E36" s="104" t="s">
        <v>510</v>
      </c>
      <c r="F36" s="105" t="str">
        <f>Originals!B187</f>
        <v>GPower Math</v>
      </c>
      <c r="G36" s="105" t="str">
        <f>Originals!C187</f>
        <v>2012.1.0.6</v>
      </c>
      <c r="H36" s="105" t="str">
        <f>Originals!D187</f>
        <v>32</v>
      </c>
      <c r="I36" s="105" t="str">
        <f>Originals!E187</f>
        <v>N/A</v>
      </c>
      <c r="J36" s="105" t="str">
        <f>Originals!F187</f>
        <v>Development</v>
      </c>
      <c r="K36" s="105" t="str">
        <f>Originals!G187</f>
        <v>GPower</v>
      </c>
      <c r="L36" s="105" t="str">
        <f>Originals!H187</f>
        <v>GPower Math 2012.1.0.6</v>
      </c>
      <c r="M36" s="105" t="str">
        <f>Originals!I187</f>
        <v>VIPM Community</v>
      </c>
      <c r="N36" s="98" t="s">
        <v>136</v>
      </c>
    </row>
    <row r="37" spans="1:14" x14ac:dyDescent="0.25">
      <c r="A37" s="104" t="s">
        <v>510</v>
      </c>
      <c r="B37" s="104" t="s">
        <v>510</v>
      </c>
      <c r="C37" s="103" t="s">
        <v>507</v>
      </c>
      <c r="D37" s="103" t="s">
        <v>507</v>
      </c>
      <c r="E37" s="104" t="s">
        <v>510</v>
      </c>
      <c r="F37" s="105" t="str">
        <f>Originals!B188</f>
        <v>GPower Numeric</v>
      </c>
      <c r="G37" s="105" t="str">
        <f>Originals!C188</f>
        <v>2016.2.0.14</v>
      </c>
      <c r="H37" s="105" t="str">
        <f>Originals!D188</f>
        <v>32</v>
      </c>
      <c r="I37" s="105" t="str">
        <f>Originals!E188</f>
        <v>N/A</v>
      </c>
      <c r="J37" s="105" t="str">
        <f>Originals!F188</f>
        <v>Development</v>
      </c>
      <c r="K37" s="105" t="str">
        <f>Originals!G188</f>
        <v>GPower</v>
      </c>
      <c r="L37" s="105" t="str">
        <f>Originals!H188</f>
        <v>GPower Numeric 2016.2.0.14</v>
      </c>
      <c r="M37" s="105" t="str">
        <f>Originals!I188</f>
        <v>VIPM Community</v>
      </c>
      <c r="N37" s="98" t="s">
        <v>136</v>
      </c>
    </row>
    <row r="38" spans="1:14" x14ac:dyDescent="0.25">
      <c r="A38" s="104" t="s">
        <v>510</v>
      </c>
      <c r="B38" s="104" t="s">
        <v>510</v>
      </c>
      <c r="C38" s="103" t="s">
        <v>507</v>
      </c>
      <c r="D38" s="103" t="s">
        <v>507</v>
      </c>
      <c r="E38" s="104" t="s">
        <v>510</v>
      </c>
      <c r="F38" s="105" t="str">
        <f>Originals!B189</f>
        <v>GPower Overflow</v>
      </c>
      <c r="G38" s="105" t="str">
        <f>Originals!C189</f>
        <v>2014.0.0.4</v>
      </c>
      <c r="H38" s="105" t="str">
        <f>Originals!D189</f>
        <v>32</v>
      </c>
      <c r="I38" s="105" t="str">
        <f>Originals!E189</f>
        <v>N/A</v>
      </c>
      <c r="J38" s="105" t="str">
        <f>Originals!F189</f>
        <v>Development</v>
      </c>
      <c r="K38" s="105" t="str">
        <f>Originals!G189</f>
        <v>GPower</v>
      </c>
      <c r="L38" s="105" t="str">
        <f>Originals!H189</f>
        <v>GPower Overflow 2014.0.0.4</v>
      </c>
      <c r="M38" s="105" t="str">
        <f>Originals!I189</f>
        <v>VIPM Community</v>
      </c>
      <c r="N38" s="98" t="s">
        <v>136</v>
      </c>
    </row>
    <row r="39" spans="1:14" x14ac:dyDescent="0.25">
      <c r="A39" s="104" t="s">
        <v>510</v>
      </c>
      <c r="B39" s="104" t="s">
        <v>510</v>
      </c>
      <c r="C39" s="103" t="s">
        <v>507</v>
      </c>
      <c r="D39" s="103" t="s">
        <v>507</v>
      </c>
      <c r="E39" s="104" t="s">
        <v>510</v>
      </c>
      <c r="F39" s="105" t="str">
        <f>Originals!B190</f>
        <v>GPower String</v>
      </c>
      <c r="G39" s="105" t="str">
        <f>Originals!C190</f>
        <v>2016.1.0.11</v>
      </c>
      <c r="H39" s="105" t="str">
        <f>Originals!D190</f>
        <v>32</v>
      </c>
      <c r="I39" s="105" t="str">
        <f>Originals!E190</f>
        <v>N/A</v>
      </c>
      <c r="J39" s="105" t="str">
        <f>Originals!F190</f>
        <v>Development</v>
      </c>
      <c r="K39" s="105" t="str">
        <f>Originals!G190</f>
        <v>GPower</v>
      </c>
      <c r="L39" s="105" t="str">
        <f>Originals!H190</f>
        <v>GPower String 2016.1.0.11</v>
      </c>
      <c r="M39" s="105" t="str">
        <f>Originals!I190</f>
        <v>VIPM Community</v>
      </c>
      <c r="N39" s="98" t="s">
        <v>136</v>
      </c>
    </row>
    <row r="40" spans="1:14" x14ac:dyDescent="0.25">
      <c r="A40" s="104" t="s">
        <v>510</v>
      </c>
      <c r="B40" s="104" t="s">
        <v>510</v>
      </c>
      <c r="C40" s="103" t="s">
        <v>507</v>
      </c>
      <c r="D40" s="103" t="s">
        <v>507</v>
      </c>
      <c r="E40" s="104" t="s">
        <v>510</v>
      </c>
      <c r="F40" s="105" t="str">
        <f>Originals!B191</f>
        <v>GPower Timing</v>
      </c>
      <c r="G40" s="105" t="str">
        <f>Originals!C191</f>
        <v>2017.0.0.26</v>
      </c>
      <c r="H40" s="105" t="str">
        <f>Originals!D191</f>
        <v>32</v>
      </c>
      <c r="I40" s="105" t="str">
        <f>Originals!E191</f>
        <v>N/A</v>
      </c>
      <c r="J40" s="105" t="str">
        <f>Originals!F191</f>
        <v>Development</v>
      </c>
      <c r="K40" s="105" t="str">
        <f>Originals!G191</f>
        <v>GPower</v>
      </c>
      <c r="L40" s="105" t="str">
        <f>Originals!H191</f>
        <v>GPower Timing 2017.0.0.26</v>
      </c>
      <c r="M40" s="105" t="str">
        <f>Originals!I191</f>
        <v>VIPM Community</v>
      </c>
      <c r="N40" s="98" t="s">
        <v>136</v>
      </c>
    </row>
    <row r="41" spans="1:14" x14ac:dyDescent="0.25">
      <c r="A41" s="104" t="s">
        <v>510</v>
      </c>
      <c r="B41" s="104" t="s">
        <v>510</v>
      </c>
      <c r="C41" s="103" t="s">
        <v>507</v>
      </c>
      <c r="D41" s="103" t="s">
        <v>507</v>
      </c>
      <c r="E41" s="104" t="s">
        <v>510</v>
      </c>
      <c r="F41" s="105" t="str">
        <f>Originals!B192</f>
        <v>GPower VI Launcher</v>
      </c>
      <c r="G41" s="105" t="str">
        <f>Originals!C192</f>
        <v>2012.2.0.26</v>
      </c>
      <c r="H41" s="105" t="str">
        <f>Originals!D192</f>
        <v>32</v>
      </c>
      <c r="I41" s="105" t="str">
        <f>Originals!E192</f>
        <v>N/A</v>
      </c>
      <c r="J41" s="105" t="str">
        <f>Originals!F192</f>
        <v>Development</v>
      </c>
      <c r="K41" s="105" t="str">
        <f>Originals!G192</f>
        <v>GPower</v>
      </c>
      <c r="L41" s="105" t="str">
        <f>Originals!H192</f>
        <v>GPower VI Launcher 2012.2.0.26</v>
      </c>
      <c r="M41" s="105" t="str">
        <f>Originals!I192</f>
        <v>VIPM Community</v>
      </c>
      <c r="N41" s="98" t="s">
        <v>136</v>
      </c>
    </row>
    <row r="42" spans="1:14" x14ac:dyDescent="0.25">
      <c r="A42" s="104" t="s">
        <v>510</v>
      </c>
      <c r="B42" s="104" t="s">
        <v>510</v>
      </c>
      <c r="C42" s="103" t="s">
        <v>507</v>
      </c>
      <c r="D42" s="103" t="s">
        <v>507</v>
      </c>
      <c r="E42" s="104" t="s">
        <v>510</v>
      </c>
      <c r="F42" s="105" t="str">
        <f>Originals!B193</f>
        <v>GPower VI Register</v>
      </c>
      <c r="G42" s="105" t="str">
        <f>Originals!C193</f>
        <v>2016.0.0.31</v>
      </c>
      <c r="H42" s="105" t="str">
        <f>Originals!D193</f>
        <v>32</v>
      </c>
      <c r="I42" s="105" t="str">
        <f>Originals!E193</f>
        <v>N/A</v>
      </c>
      <c r="J42" s="105" t="str">
        <f>Originals!F193</f>
        <v>Development</v>
      </c>
      <c r="K42" s="105" t="str">
        <f>Originals!G193</f>
        <v>GPower</v>
      </c>
      <c r="L42" s="105" t="str">
        <f>Originals!H193</f>
        <v>GPower VI Register 2016.0.0.31</v>
      </c>
      <c r="M42" s="105" t="str">
        <f>Originals!I193</f>
        <v>VIPM Community</v>
      </c>
      <c r="N42" s="98" t="s">
        <v>136</v>
      </c>
    </row>
    <row r="43" spans="1:14" x14ac:dyDescent="0.25">
      <c r="A43" s="104" t="s">
        <v>510</v>
      </c>
      <c r="B43" s="104" t="s">
        <v>510</v>
      </c>
      <c r="C43" s="103" t="s">
        <v>507</v>
      </c>
      <c r="D43" s="104" t="s">
        <v>510</v>
      </c>
      <c r="E43" s="104" t="s">
        <v>510</v>
      </c>
      <c r="F43" s="105" t="str">
        <f>Originals!B194</f>
        <v>Hardware Configuration and Web Support</v>
      </c>
      <c r="G43" s="105" t="str">
        <f>Originals!C194</f>
        <v>15.0.0</v>
      </c>
      <c r="H43" s="105" t="str">
        <f>Originals!D194</f>
        <v>32</v>
      </c>
      <c r="I43" s="105" t="str">
        <f>Originals!E194</f>
        <v>2015</v>
      </c>
      <c r="J43" s="105" t="str">
        <f>Originals!F194</f>
        <v>C-RIO</v>
      </c>
      <c r="K43" s="105" t="str">
        <f>Originals!G194</f>
        <v>NI</v>
      </c>
      <c r="L43" s="105" t="str">
        <f>Originals!H194</f>
        <v>Hardware Configuration and Web Support 15.0.0</v>
      </c>
      <c r="M43" s="105">
        <f>Originals!I194</f>
        <v>0</v>
      </c>
      <c r="N43" s="98" t="s">
        <v>136</v>
      </c>
    </row>
    <row r="44" spans="1:14" x14ac:dyDescent="0.25">
      <c r="A44" s="104" t="s">
        <v>510</v>
      </c>
      <c r="B44" s="104" t="s">
        <v>510</v>
      </c>
      <c r="C44" s="103" t="s">
        <v>507</v>
      </c>
      <c r="D44" s="104" t="s">
        <v>510</v>
      </c>
      <c r="E44" s="104" t="s">
        <v>510</v>
      </c>
      <c r="F44" s="105" t="str">
        <f>Originals!B195</f>
        <v>HTTP Client with SSL Support</v>
      </c>
      <c r="G44" s="105" t="str">
        <f>Originals!C195</f>
        <v>15.0.0</v>
      </c>
      <c r="H44" s="105" t="str">
        <f>Originals!D195</f>
        <v>32</v>
      </c>
      <c r="I44" s="105" t="str">
        <f>Originals!E195</f>
        <v>2015</v>
      </c>
      <c r="J44" s="105" t="str">
        <f>Originals!F195</f>
        <v>C-RIO</v>
      </c>
      <c r="K44" s="105" t="str">
        <f>Originals!G195</f>
        <v>NI</v>
      </c>
      <c r="L44" s="105" t="str">
        <f>Originals!H195</f>
        <v>HTTP Client with SSL Support 15.0.0</v>
      </c>
      <c r="M44" s="105">
        <f>Originals!I195</f>
        <v>0</v>
      </c>
      <c r="N44" s="98" t="s">
        <v>136</v>
      </c>
    </row>
    <row r="45" spans="1:14" x14ac:dyDescent="0.25">
      <c r="A45" s="104" t="s">
        <v>510</v>
      </c>
      <c r="B45" s="104" t="s">
        <v>510</v>
      </c>
      <c r="C45" s="103" t="s">
        <v>507</v>
      </c>
      <c r="D45" s="104" t="s">
        <v>510</v>
      </c>
      <c r="E45" s="104" t="s">
        <v>510</v>
      </c>
      <c r="F45" s="105" t="str">
        <f>Originals!B196</f>
        <v>I/O Variable Remorte Configuration Web Server</v>
      </c>
      <c r="G45" s="105">
        <f>Originals!C196</f>
        <v>0</v>
      </c>
      <c r="H45" s="105" t="str">
        <f>Originals!D196</f>
        <v>32</v>
      </c>
      <c r="I45" s="105" t="str">
        <f>Originals!E196</f>
        <v>N/A</v>
      </c>
      <c r="J45" s="105" t="str">
        <f>Originals!F196</f>
        <v>C-RIO</v>
      </c>
      <c r="K45" s="105" t="str">
        <f>Originals!G196</f>
        <v>NI</v>
      </c>
      <c r="L45" s="105" t="str">
        <f>Originals!H196</f>
        <v xml:space="preserve">I/O Variable Remorte Configuration Web Server </v>
      </c>
      <c r="M45" s="105">
        <f>Originals!I196</f>
        <v>0</v>
      </c>
      <c r="N45" s="98" t="s">
        <v>136</v>
      </c>
    </row>
    <row r="46" spans="1:14" x14ac:dyDescent="0.25">
      <c r="A46" s="104" t="s">
        <v>510</v>
      </c>
      <c r="B46" s="104" t="s">
        <v>510</v>
      </c>
      <c r="C46" s="103" t="s">
        <v>507</v>
      </c>
      <c r="D46" s="103" t="s">
        <v>507</v>
      </c>
      <c r="E46" s="104" t="s">
        <v>510</v>
      </c>
      <c r="F46" s="105" t="str">
        <f>Originals!B197</f>
        <v>Image Processing and Machine Vision</v>
      </c>
      <c r="G46" s="105" t="str">
        <f>Originals!C197</f>
        <v>19.5.0.49152</v>
      </c>
      <c r="H46" s="105" t="str">
        <f>Originals!D197</f>
        <v>32</v>
      </c>
      <c r="I46" s="105" t="str">
        <f>Originals!E197</f>
        <v>2019</v>
      </c>
      <c r="J46" s="105" t="str">
        <f>Originals!F197</f>
        <v>Development</v>
      </c>
      <c r="K46" s="105" t="str">
        <f>Originals!G197</f>
        <v>NI</v>
      </c>
      <c r="L46" s="105" t="str">
        <f>Originals!H197</f>
        <v>Image Processing and Machine Vision 19.5.0.49152</v>
      </c>
      <c r="M46" s="105" t="str">
        <f>Originals!I197</f>
        <v>LabVIEW 2019</v>
      </c>
      <c r="N46" s="98" t="s">
        <v>136</v>
      </c>
    </row>
    <row r="47" spans="1:14" x14ac:dyDescent="0.25">
      <c r="A47" s="104" t="s">
        <v>510</v>
      </c>
      <c r="B47" s="104" t="s">
        <v>510</v>
      </c>
      <c r="C47" s="103" t="s">
        <v>507</v>
      </c>
      <c r="D47" s="103" t="s">
        <v>507</v>
      </c>
      <c r="E47" s="104" t="s">
        <v>510</v>
      </c>
      <c r="F47" s="105" t="str">
        <f>Originals!B198</f>
        <v>Image Services</v>
      </c>
      <c r="G47" s="105" t="str">
        <f>Originals!C198</f>
        <v>19.5.0.49152</v>
      </c>
      <c r="H47" s="105" t="str">
        <f>Originals!D198</f>
        <v>32</v>
      </c>
      <c r="I47" s="105" t="str">
        <f>Originals!E198</f>
        <v>2019</v>
      </c>
      <c r="J47" s="105" t="str">
        <f>Originals!F198</f>
        <v>Development</v>
      </c>
      <c r="K47" s="105" t="str">
        <f>Originals!G198</f>
        <v>NI</v>
      </c>
      <c r="L47" s="105" t="str">
        <f>Originals!H198</f>
        <v>Image Services 19.5.0.49152</v>
      </c>
      <c r="M47" s="105" t="str">
        <f>Originals!I198</f>
        <v>LabVIEW 2019</v>
      </c>
      <c r="N47" s="98" t="s">
        <v>136</v>
      </c>
    </row>
    <row r="48" spans="1:14" x14ac:dyDescent="0.25">
      <c r="A48" s="103" t="s">
        <v>507</v>
      </c>
      <c r="B48" s="103" t="s">
        <v>507</v>
      </c>
      <c r="C48" s="104" t="s">
        <v>510</v>
      </c>
      <c r="D48" s="103" t="s">
        <v>507</v>
      </c>
      <c r="E48" s="104" t="s">
        <v>510</v>
      </c>
      <c r="F48" s="105" t="str">
        <f>Originals!B12</f>
        <v>IVI Compliance Package</v>
      </c>
      <c r="G48" s="105" t="str">
        <f>Originals!C12</f>
        <v>15.0</v>
      </c>
      <c r="H48" s="105" t="str">
        <f>Originals!D12</f>
        <v>32</v>
      </c>
      <c r="I48" s="105" t="str">
        <f>Originals!E12</f>
        <v>2015</v>
      </c>
      <c r="J48" s="105" t="str">
        <f>Originals!F12</f>
        <v>Development</v>
      </c>
      <c r="K48" s="105" t="str">
        <f>Originals!G12</f>
        <v>NI</v>
      </c>
      <c r="L48" s="105" t="str">
        <f>Originals!H12</f>
        <v>IVI Compliance Package 15.0</v>
      </c>
      <c r="M48" s="105" t="str">
        <f>Originals!I12</f>
        <v>NI Developer Suite 2015 DS2 Install</v>
      </c>
      <c r="N48" s="98" t="s">
        <v>136</v>
      </c>
    </row>
    <row r="49" spans="1:14" x14ac:dyDescent="0.25">
      <c r="A49" s="104" t="s">
        <v>510</v>
      </c>
      <c r="B49" s="104" t="s">
        <v>510</v>
      </c>
      <c r="C49" s="103" t="s">
        <v>507</v>
      </c>
      <c r="D49" s="104" t="s">
        <v>510</v>
      </c>
      <c r="E49" s="104" t="s">
        <v>510</v>
      </c>
      <c r="F49" s="105" t="str">
        <f>Originals!B199</f>
        <v>IVI Driver Toolset</v>
      </c>
      <c r="G49" s="105">
        <f>Originals!C199</f>
        <v>1.5</v>
      </c>
      <c r="H49" s="105" t="str">
        <f>Originals!D199</f>
        <v>32</v>
      </c>
      <c r="I49" s="105" t="str">
        <f>Originals!E199</f>
        <v>N/A</v>
      </c>
      <c r="J49" s="105" t="str">
        <f>Originals!F199</f>
        <v>Development</v>
      </c>
      <c r="K49" s="105" t="str">
        <f>Originals!G199</f>
        <v>NI</v>
      </c>
      <c r="L49" s="105" t="str">
        <f>Originals!H199</f>
        <v>IVI Driver Toolset 1.5</v>
      </c>
      <c r="M49" s="105">
        <f>Originals!I199</f>
        <v>0</v>
      </c>
      <c r="N49" s="98" t="s">
        <v>136</v>
      </c>
    </row>
    <row r="50" spans="1:14" x14ac:dyDescent="0.25">
      <c r="A50" s="104" t="s">
        <v>510</v>
      </c>
      <c r="B50" s="104" t="s">
        <v>510</v>
      </c>
      <c r="C50" s="103" t="s">
        <v>507</v>
      </c>
      <c r="D50" s="104" t="s">
        <v>510</v>
      </c>
      <c r="E50" s="104" t="s">
        <v>510</v>
      </c>
      <c r="F50" s="105" t="str">
        <f>Originals!B200</f>
        <v>IVI Engine</v>
      </c>
      <c r="G50" s="105" t="str">
        <f>Originals!C200</f>
        <v>15.0.0.f0</v>
      </c>
      <c r="H50" s="105" t="str">
        <f>Originals!D200</f>
        <v>32</v>
      </c>
      <c r="I50" s="105">
        <f>Originals!E200</f>
        <v>2015</v>
      </c>
      <c r="J50" s="105" t="str">
        <f>Originals!F200</f>
        <v>Development</v>
      </c>
      <c r="K50" s="105" t="str">
        <f>Originals!G200</f>
        <v>NI</v>
      </c>
      <c r="L50" s="105" t="str">
        <f>Originals!H200</f>
        <v>IVI Engine 15.0.0.f0</v>
      </c>
      <c r="M50" s="105">
        <f>Originals!I200</f>
        <v>0</v>
      </c>
      <c r="N50" s="98" t="s">
        <v>136</v>
      </c>
    </row>
    <row r="51" spans="1:14" x14ac:dyDescent="0.25">
      <c r="A51" s="104" t="s">
        <v>510</v>
      </c>
      <c r="B51" s="104" t="s">
        <v>510</v>
      </c>
      <c r="C51" s="103" t="s">
        <v>507</v>
      </c>
      <c r="D51" s="104" t="s">
        <v>510</v>
      </c>
      <c r="E51" s="104" t="s">
        <v>510</v>
      </c>
      <c r="F51" s="105" t="str">
        <f>Originals!B201</f>
        <v>JKI State Machine</v>
      </c>
      <c r="G51" s="105" t="str">
        <f>Originals!C201</f>
        <v>3.0.0.8</v>
      </c>
      <c r="H51" s="105" t="str">
        <f>Originals!D201</f>
        <v>32</v>
      </c>
      <c r="I51" s="105" t="str">
        <f>Originals!E201</f>
        <v>N/A</v>
      </c>
      <c r="J51" s="105" t="str">
        <f>Originals!F201</f>
        <v>Development</v>
      </c>
      <c r="K51" s="105" t="str">
        <f>Originals!G201</f>
        <v>JKI</v>
      </c>
      <c r="L51" s="105" t="str">
        <f>Originals!H201</f>
        <v>JKI State Machine 3.0.0.8</v>
      </c>
      <c r="M51" s="105" t="str">
        <f>Originals!I201</f>
        <v>VIPM Community</v>
      </c>
      <c r="N51" s="98" t="s">
        <v>136</v>
      </c>
    </row>
    <row r="52" spans="1:14" x14ac:dyDescent="0.25">
      <c r="A52" s="104" t="s">
        <v>510</v>
      </c>
      <c r="B52" s="104" t="s">
        <v>510</v>
      </c>
      <c r="C52" s="103" t="s">
        <v>507</v>
      </c>
      <c r="D52" s="103" t="s">
        <v>507</v>
      </c>
      <c r="E52" s="104" t="s">
        <v>510</v>
      </c>
      <c r="F52" s="105" t="str">
        <f>Originals!B202</f>
        <v>JKI State Machine Editor</v>
      </c>
      <c r="G52" s="105" t="str">
        <f>Originals!C202</f>
        <v>2013.6.3.239</v>
      </c>
      <c r="H52" s="105" t="str">
        <f>Originals!D202</f>
        <v>32</v>
      </c>
      <c r="I52" s="105" t="str">
        <f>Originals!E202</f>
        <v>N/A</v>
      </c>
      <c r="J52" s="105" t="str">
        <f>Originals!F202</f>
        <v>Development</v>
      </c>
      <c r="K52" s="105" t="str">
        <f>Originals!G202</f>
        <v>JKI</v>
      </c>
      <c r="L52" s="105" t="str">
        <f>Originals!H202</f>
        <v>JKI State Machine Editor 2013.6.3.239</v>
      </c>
      <c r="M52" s="105" t="str">
        <f>Originals!I202</f>
        <v>VIPM Community</v>
      </c>
      <c r="N52" s="98" t="s">
        <v>136</v>
      </c>
    </row>
    <row r="53" spans="1:14" x14ac:dyDescent="0.25">
      <c r="A53" s="104" t="s">
        <v>510</v>
      </c>
      <c r="B53" s="104" t="s">
        <v>510</v>
      </c>
      <c r="C53" s="103" t="s">
        <v>507</v>
      </c>
      <c r="D53" s="103" t="s">
        <v>507</v>
      </c>
      <c r="E53" s="104" t="s">
        <v>510</v>
      </c>
      <c r="F53" s="105" t="str">
        <f>Originals!B203</f>
        <v>JKI State Machine Objects (SMO)</v>
      </c>
      <c r="G53" s="105" t="str">
        <f>Originals!C203</f>
        <v>1.3.0.56</v>
      </c>
      <c r="H53" s="105" t="str">
        <f>Originals!D203</f>
        <v>32</v>
      </c>
      <c r="I53" s="105" t="str">
        <f>Originals!E203</f>
        <v>N/A</v>
      </c>
      <c r="J53" s="105" t="str">
        <f>Originals!F203</f>
        <v>Development</v>
      </c>
      <c r="K53" s="105" t="str">
        <f>Originals!G203</f>
        <v>JKI</v>
      </c>
      <c r="L53" s="105" t="str">
        <f>Originals!H203</f>
        <v>JKI State Machine Objects (SMO) 1.3.0.56</v>
      </c>
      <c r="M53" s="105" t="str">
        <f>Originals!I203</f>
        <v>VIPM Community</v>
      </c>
      <c r="N53" s="98" t="s">
        <v>136</v>
      </c>
    </row>
    <row r="54" spans="1:14" x14ac:dyDescent="0.25">
      <c r="A54" s="104" t="s">
        <v>510</v>
      </c>
      <c r="B54" s="104" t="s">
        <v>510</v>
      </c>
      <c r="C54" s="103" t="s">
        <v>507</v>
      </c>
      <c r="D54" s="104" t="s">
        <v>510</v>
      </c>
      <c r="E54" s="104" t="s">
        <v>510</v>
      </c>
      <c r="F54" s="105" t="str">
        <f>Originals!B204</f>
        <v>JKI VIPM</v>
      </c>
      <c r="G54" s="105">
        <f>Originals!C204</f>
        <v>0</v>
      </c>
      <c r="H54" s="105">
        <f>Originals!D204</f>
        <v>0</v>
      </c>
      <c r="I54" s="105" t="str">
        <f>Originals!E204</f>
        <v>N/A</v>
      </c>
      <c r="J54" s="105" t="str">
        <f>Originals!F204</f>
        <v>Development</v>
      </c>
      <c r="K54" s="105" t="str">
        <f>Originals!G204</f>
        <v>NI</v>
      </c>
      <c r="L54" s="105" t="str">
        <f>Originals!H204</f>
        <v xml:space="preserve">JKI VIPM </v>
      </c>
      <c r="M54" s="105" t="str">
        <f>Originals!I204</f>
        <v>vipm-22.0.2371-windows-setup</v>
      </c>
      <c r="N54" s="98" t="s">
        <v>136</v>
      </c>
    </row>
    <row r="55" spans="1:14" x14ac:dyDescent="0.25">
      <c r="A55" s="104" t="s">
        <v>510</v>
      </c>
      <c r="B55" s="104" t="s">
        <v>510</v>
      </c>
      <c r="C55" s="103" t="s">
        <v>507</v>
      </c>
      <c r="D55" s="103" t="s">
        <v>507</v>
      </c>
      <c r="E55" s="104" t="s">
        <v>510</v>
      </c>
      <c r="F55" s="105" t="str">
        <f>Originals!B205</f>
        <v>jki_rsc_toolkits_palette</v>
      </c>
      <c r="G55" s="105" t="str">
        <f>Originals!C205</f>
        <v>1.1-1</v>
      </c>
      <c r="H55" s="105" t="str">
        <f>Originals!D205</f>
        <v>32</v>
      </c>
      <c r="I55" s="105" t="str">
        <f>Originals!E205</f>
        <v>N/A</v>
      </c>
      <c r="J55" s="105" t="str">
        <f>Originals!F205</f>
        <v>Development</v>
      </c>
      <c r="K55" s="105" t="str">
        <f>Originals!G205</f>
        <v>JKI Software</v>
      </c>
      <c r="L55" s="105" t="str">
        <f>Originals!H205</f>
        <v>jki_rsc_toolkits_palette 1.1-1</v>
      </c>
      <c r="M55" s="105" t="str">
        <f>Originals!I205</f>
        <v>VIPM Community</v>
      </c>
      <c r="N55" s="98" t="s">
        <v>136</v>
      </c>
    </row>
    <row r="56" spans="1:14" x14ac:dyDescent="0.25">
      <c r="A56" s="103" t="s">
        <v>507</v>
      </c>
      <c r="B56" s="103" t="s">
        <v>507</v>
      </c>
      <c r="C56" s="104" t="s">
        <v>510</v>
      </c>
      <c r="D56" s="104" t="s">
        <v>510</v>
      </c>
      <c r="E56" s="103" t="s">
        <v>507</v>
      </c>
      <c r="F56" s="105" t="str">
        <f>Originals!B13</f>
        <v>LabVIEW</v>
      </c>
      <c r="G56" s="105" t="str">
        <f>Originals!C13</f>
        <v>15.0.1</v>
      </c>
      <c r="H56" s="105" t="str">
        <f>Originals!D13</f>
        <v>32</v>
      </c>
      <c r="I56" s="105" t="str">
        <f>Originals!E13</f>
        <v>2015 SP1 f10</v>
      </c>
      <c r="J56" s="105" t="str">
        <f>Originals!F13</f>
        <v>Development</v>
      </c>
      <c r="K56" s="105" t="str">
        <f>Originals!G13</f>
        <v>NI</v>
      </c>
      <c r="L56" s="105" t="str">
        <f>Originals!H13</f>
        <v>LabVIEW 2015 SP1 f10 15.0.1</v>
      </c>
      <c r="M56" s="105" t="str">
        <f>Originals!I13</f>
        <v>2015 SP1 Update Service</v>
      </c>
      <c r="N56" s="98" t="s">
        <v>136</v>
      </c>
    </row>
    <row r="57" spans="1:14" hidden="1" x14ac:dyDescent="0.25">
      <c r="A57" s="103" t="s">
        <v>507</v>
      </c>
      <c r="B57" s="104" t="s">
        <v>510</v>
      </c>
      <c r="C57" s="104" t="s">
        <v>510</v>
      </c>
      <c r="D57" s="104" t="s">
        <v>510</v>
      </c>
      <c r="E57" s="104" t="s">
        <v>510</v>
      </c>
      <c r="F57" s="110" t="str">
        <f>Originals!B14</f>
        <v>LabVIEW</v>
      </c>
      <c r="G57" s="110" t="str">
        <f>Originals!C14</f>
        <v>15.0.1</v>
      </c>
      <c r="H57" s="110" t="str">
        <f>Originals!D14</f>
        <v>32</v>
      </c>
      <c r="I57" s="110" t="str">
        <f>Originals!E14</f>
        <v>2015 SP1</v>
      </c>
      <c r="J57" s="110" t="str">
        <f>Originals!F14</f>
        <v>Runtime</v>
      </c>
      <c r="K57" s="110" t="str">
        <f>Originals!G14</f>
        <v>NI</v>
      </c>
      <c r="L57" s="110" t="str">
        <f>Originals!H14</f>
        <v>LabVIEW 2015 SP1 15.0.1</v>
      </c>
      <c r="M57" s="110" t="str">
        <f>Originals!I14</f>
        <v>LabVIEW 2015 SP1</v>
      </c>
      <c r="N57" s="111" t="s">
        <v>0</v>
      </c>
    </row>
    <row r="58" spans="1:14" x14ac:dyDescent="0.25">
      <c r="A58" s="103" t="s">
        <v>507</v>
      </c>
      <c r="B58" s="103" t="s">
        <v>507</v>
      </c>
      <c r="C58" s="103" t="s">
        <v>507</v>
      </c>
      <c r="D58" s="103" t="s">
        <v>507</v>
      </c>
      <c r="E58" s="103" t="s">
        <v>507</v>
      </c>
      <c r="F58" s="105" t="str">
        <f>Originals!B15</f>
        <v>LabVIEW</v>
      </c>
      <c r="G58" s="105" t="str">
        <f>Originals!C15</f>
        <v>12.0.1</v>
      </c>
      <c r="H58" s="105" t="str">
        <f>Originals!D15</f>
        <v>32</v>
      </c>
      <c r="I58" s="105" t="str">
        <f>Originals!E15</f>
        <v>2012 SP1 f9</v>
      </c>
      <c r="J58" s="105" t="str">
        <f>Originals!F15</f>
        <v>Runtime</v>
      </c>
      <c r="K58" s="105" t="str">
        <f>Originals!G15</f>
        <v>NI</v>
      </c>
      <c r="L58" s="105" t="str">
        <f>Originals!H15</f>
        <v>LabVIEW 2012 SP1 f9 12.0.1</v>
      </c>
      <c r="M58" s="105" t="str">
        <f>Originals!I15</f>
        <v>NI Developer Suite 2015 DS2 Install</v>
      </c>
      <c r="N58" s="98" t="s">
        <v>136</v>
      </c>
    </row>
    <row r="59" spans="1:14" x14ac:dyDescent="0.25">
      <c r="A59" s="103" t="s">
        <v>507</v>
      </c>
      <c r="B59" s="103" t="s">
        <v>507</v>
      </c>
      <c r="C59" s="104" t="s">
        <v>510</v>
      </c>
      <c r="D59" s="103" t="s">
        <v>507</v>
      </c>
      <c r="E59" s="104" t="s">
        <v>510</v>
      </c>
      <c r="F59" s="105" t="str">
        <f>Originals!B16</f>
        <v>LabVIEW</v>
      </c>
      <c r="G59" s="105" t="str">
        <f>Originals!C16</f>
        <v>12.0.1</v>
      </c>
      <c r="H59" s="105" t="str">
        <f>Originals!D16</f>
        <v>64</v>
      </c>
      <c r="I59" s="105" t="str">
        <f>Originals!E16</f>
        <v>2012 SP1 f9</v>
      </c>
      <c r="J59" s="105" t="str">
        <f>Originals!F16</f>
        <v>Runtime</v>
      </c>
      <c r="K59" s="105" t="str">
        <f>Originals!G16</f>
        <v>NI</v>
      </c>
      <c r="L59" s="105" t="str">
        <f>Originals!H16</f>
        <v>LabVIEW 2012 SP1 f9 12.0.1</v>
      </c>
      <c r="M59" s="105" t="str">
        <f>Originals!I16</f>
        <v>NI Developer Suite 2015 DS2 Install</v>
      </c>
      <c r="N59" s="98" t="s">
        <v>136</v>
      </c>
    </row>
    <row r="60" spans="1:14" x14ac:dyDescent="0.25">
      <c r="A60" s="103" t="s">
        <v>507</v>
      </c>
      <c r="B60" s="103" t="s">
        <v>507</v>
      </c>
      <c r="C60" s="104" t="s">
        <v>510</v>
      </c>
      <c r="D60" s="103" t="s">
        <v>507</v>
      </c>
      <c r="E60" s="104" t="s">
        <v>510</v>
      </c>
      <c r="F60" s="105" t="str">
        <f>Originals!B17</f>
        <v>LabVIEW</v>
      </c>
      <c r="G60" s="105" t="str">
        <f>Originals!C17</f>
        <v>13.0.1</v>
      </c>
      <c r="H60" s="105" t="str">
        <f>Originals!D17</f>
        <v>32</v>
      </c>
      <c r="I60" s="105" t="str">
        <f>Originals!E17</f>
        <v>2013 SP1 f6</v>
      </c>
      <c r="J60" s="105" t="str">
        <f>Originals!F17</f>
        <v>Runtime</v>
      </c>
      <c r="K60" s="105" t="str">
        <f>Originals!G17</f>
        <v>NI</v>
      </c>
      <c r="L60" s="105" t="str">
        <f>Originals!H17</f>
        <v>LabVIEW 2013 SP1 f6 13.0.1</v>
      </c>
      <c r="M60" s="105" t="str">
        <f>Originals!I17</f>
        <v>NI Developer Suite 2015 DS2 Install</v>
      </c>
      <c r="N60" s="98" t="s">
        <v>136</v>
      </c>
    </row>
    <row r="61" spans="1:14" x14ac:dyDescent="0.25">
      <c r="A61" s="103" t="s">
        <v>507</v>
      </c>
      <c r="B61" s="103" t="s">
        <v>507</v>
      </c>
      <c r="C61" s="103" t="s">
        <v>507</v>
      </c>
      <c r="D61" s="103" t="s">
        <v>507</v>
      </c>
      <c r="E61" s="103" t="s">
        <v>507</v>
      </c>
      <c r="F61" s="105" t="str">
        <f>Originals!B18</f>
        <v>LabVIEW</v>
      </c>
      <c r="G61" s="105" t="str">
        <f>Originals!C18</f>
        <v>14.0.1</v>
      </c>
      <c r="H61" s="105" t="str">
        <f>Originals!D18</f>
        <v>32</v>
      </c>
      <c r="I61" s="105" t="str">
        <f>Originals!E18</f>
        <v>2014 SP1 f11</v>
      </c>
      <c r="J61" s="105" t="str">
        <f>Originals!F18</f>
        <v>Runtime</v>
      </c>
      <c r="K61" s="105" t="str">
        <f>Originals!G18</f>
        <v>NI</v>
      </c>
      <c r="L61" s="105" t="str">
        <f>Originals!H18</f>
        <v>LabVIEW 2014 SP1 f11 14.0.1</v>
      </c>
      <c r="M61" s="105" t="str">
        <f>Originals!I18</f>
        <v>2015 SP1 Update Service</v>
      </c>
      <c r="N61" s="98" t="s">
        <v>136</v>
      </c>
    </row>
    <row r="62" spans="1:14" x14ac:dyDescent="0.25">
      <c r="A62" s="103" t="s">
        <v>507</v>
      </c>
      <c r="B62" s="103" t="s">
        <v>507</v>
      </c>
      <c r="C62" s="104" t="s">
        <v>510</v>
      </c>
      <c r="D62" s="103" t="s">
        <v>507</v>
      </c>
      <c r="E62" s="104" t="s">
        <v>510</v>
      </c>
      <c r="F62" s="105" t="str">
        <f>Originals!B19</f>
        <v>LabVIEW</v>
      </c>
      <c r="G62" s="105" t="str">
        <f>Originals!C19</f>
        <v>14.0.1</v>
      </c>
      <c r="H62" s="105" t="str">
        <f>Originals!D19</f>
        <v>64</v>
      </c>
      <c r="I62" s="105" t="str">
        <f>Originals!E19</f>
        <v>2014 SP1 f11</v>
      </c>
      <c r="J62" s="105" t="str">
        <f>Originals!F19</f>
        <v>Runtime</v>
      </c>
      <c r="K62" s="105" t="str">
        <f>Originals!G19</f>
        <v>NI</v>
      </c>
      <c r="L62" s="105" t="str">
        <f>Originals!H19</f>
        <v>LabVIEW 2014 SP1 f11 14.0.1</v>
      </c>
      <c r="M62" s="105" t="str">
        <f>Originals!I19</f>
        <v>2015 SP1 Update Service</v>
      </c>
      <c r="N62" s="98" t="s">
        <v>136</v>
      </c>
    </row>
    <row r="63" spans="1:14" hidden="1" x14ac:dyDescent="0.25">
      <c r="A63" s="103" t="s">
        <v>507</v>
      </c>
      <c r="B63" s="104" t="s">
        <v>510</v>
      </c>
      <c r="C63" s="104" t="s">
        <v>510</v>
      </c>
      <c r="D63" s="104" t="s">
        <v>510</v>
      </c>
      <c r="E63" s="104" t="s">
        <v>510</v>
      </c>
      <c r="F63" s="110" t="str">
        <f>Originals!B20</f>
        <v>LabVIEW</v>
      </c>
      <c r="G63" s="110" t="str">
        <f>Originals!C20</f>
        <v>19.0.1</v>
      </c>
      <c r="H63" s="110" t="str">
        <f>Originals!D20</f>
        <v>32</v>
      </c>
      <c r="I63" s="110" t="str">
        <f>Originals!E20</f>
        <v>2019 SP1 f3</v>
      </c>
      <c r="J63" s="110" t="str">
        <f>Originals!F20</f>
        <v>Runtime</v>
      </c>
      <c r="K63" s="110" t="str">
        <f>Originals!G20</f>
        <v>NI</v>
      </c>
      <c r="L63" s="110" t="str">
        <f>Originals!H20</f>
        <v>LabVIEW 2019 SP1 f3 19.0.1</v>
      </c>
      <c r="M63" s="110">
        <f>Originals!I20</f>
        <v>0</v>
      </c>
      <c r="N63" s="111" t="s">
        <v>0</v>
      </c>
    </row>
    <row r="64" spans="1:14" x14ac:dyDescent="0.25">
      <c r="A64" s="104" t="s">
        <v>510</v>
      </c>
      <c r="B64" s="103" t="s">
        <v>507</v>
      </c>
      <c r="C64" s="103" t="s">
        <v>507</v>
      </c>
      <c r="D64" s="103" t="s">
        <v>507</v>
      </c>
      <c r="E64" s="104" t="s">
        <v>510</v>
      </c>
      <c r="F64" s="105" t="str">
        <f>Originals!B98</f>
        <v>LabVIEW</v>
      </c>
      <c r="G64" s="105" t="str">
        <f>Originals!C98</f>
        <v>15.0.1</v>
      </c>
      <c r="H64" s="105" t="str">
        <f>Originals!D98</f>
        <v>32</v>
      </c>
      <c r="I64" s="105" t="str">
        <f>Originals!E98</f>
        <v>2015 SP1</v>
      </c>
      <c r="J64" s="105" t="str">
        <f>Originals!F98</f>
        <v>Runtime</v>
      </c>
      <c r="K64" s="105" t="str">
        <f>Originals!G98</f>
        <v>NI</v>
      </c>
      <c r="L64" s="105" t="str">
        <f>Originals!H98</f>
        <v>LabVIEW 2015 SP1 15.0.1</v>
      </c>
      <c r="M64" s="105" t="str">
        <f>Originals!I98</f>
        <v>LabVIEW 2015 SP1</v>
      </c>
      <c r="N64" s="98" t="s">
        <v>136</v>
      </c>
    </row>
    <row r="65" spans="1:14" hidden="1" x14ac:dyDescent="0.25">
      <c r="A65" s="104" t="s">
        <v>510</v>
      </c>
      <c r="B65" s="103" t="s">
        <v>507</v>
      </c>
      <c r="C65" s="104" t="s">
        <v>510</v>
      </c>
      <c r="D65" s="104" t="s">
        <v>510</v>
      </c>
      <c r="E65" s="104" t="s">
        <v>510</v>
      </c>
      <c r="F65" s="112" t="str">
        <f>Originals!B99</f>
        <v>LabVIEW</v>
      </c>
      <c r="G65" s="112" t="str">
        <f>Originals!C99</f>
        <v>19.0.1</v>
      </c>
      <c r="H65" s="112" t="str">
        <f>Originals!D99</f>
        <v>32</v>
      </c>
      <c r="I65" s="112" t="str">
        <f>Originals!E99</f>
        <v>2019 SP1 f5</v>
      </c>
      <c r="J65" s="112" t="str">
        <f>Originals!F99</f>
        <v>Runtime</v>
      </c>
      <c r="K65" s="112" t="str">
        <f>Originals!G99</f>
        <v>NI</v>
      </c>
      <c r="L65" s="112" t="str">
        <f>Originals!H99</f>
        <v>LabVIEW 2019 SP1 f5 19.0.1</v>
      </c>
      <c r="M65" s="112">
        <f>Originals!I99</f>
        <v>0</v>
      </c>
      <c r="N65" s="113" t="s">
        <v>1</v>
      </c>
    </row>
    <row r="66" spans="1:14" x14ac:dyDescent="0.25">
      <c r="A66" s="104" t="s">
        <v>510</v>
      </c>
      <c r="B66" s="104" t="s">
        <v>510</v>
      </c>
      <c r="C66" s="103" t="s">
        <v>507</v>
      </c>
      <c r="D66" s="104" t="s">
        <v>510</v>
      </c>
      <c r="E66" s="104" t="s">
        <v>510</v>
      </c>
      <c r="F66" s="106" t="str">
        <f>Originals!B208</f>
        <v>LabVIEW</v>
      </c>
      <c r="G66" s="106" t="str">
        <f>Originals!C208</f>
        <v>16.0.0</v>
      </c>
      <c r="H66" s="106" t="str">
        <f>Originals!D208</f>
        <v>32</v>
      </c>
      <c r="I66" s="106" t="str">
        <f>Originals!E208</f>
        <v>2016  f6</v>
      </c>
      <c r="J66" s="106" t="str">
        <f>Originals!F208</f>
        <v>Runtime</v>
      </c>
      <c r="K66" s="106" t="str">
        <f>Originals!G208</f>
        <v>NI</v>
      </c>
      <c r="L66" s="106" t="str">
        <f>Originals!H208</f>
        <v>LabVIEW 2016  f6 16.0.0</v>
      </c>
      <c r="M66" s="106">
        <f>Originals!I208</f>
        <v>0</v>
      </c>
      <c r="N66" s="107" t="s">
        <v>2</v>
      </c>
    </row>
    <row r="67" spans="1:14" x14ac:dyDescent="0.25">
      <c r="A67" s="104" t="s">
        <v>510</v>
      </c>
      <c r="B67" s="104" t="s">
        <v>510</v>
      </c>
      <c r="C67" s="103" t="s">
        <v>507</v>
      </c>
      <c r="D67" s="103" t="s">
        <v>507</v>
      </c>
      <c r="E67" s="103" t="s">
        <v>507</v>
      </c>
      <c r="F67" s="105" t="str">
        <f>Originals!B209</f>
        <v>LabVIEW</v>
      </c>
      <c r="G67" s="105" t="str">
        <f>Originals!C209</f>
        <v>17.0.1</v>
      </c>
      <c r="H67" s="105" t="str">
        <f>Originals!D209</f>
        <v>32</v>
      </c>
      <c r="I67" s="105" t="str">
        <f>Originals!E209</f>
        <v>2017 SP1 f3</v>
      </c>
      <c r="J67" s="105" t="str">
        <f>Originals!F209</f>
        <v>Runtime</v>
      </c>
      <c r="K67" s="105" t="str">
        <f>Originals!G209</f>
        <v>NI</v>
      </c>
      <c r="L67" s="105" t="str">
        <f>Originals!H209</f>
        <v>LabVIEW 2017 SP1 f3 17.0.1</v>
      </c>
      <c r="M67" s="105">
        <f>Originals!I209</f>
        <v>0</v>
      </c>
      <c r="N67" s="98" t="s">
        <v>136</v>
      </c>
    </row>
    <row r="68" spans="1:14" x14ac:dyDescent="0.25">
      <c r="A68" s="104" t="s">
        <v>510</v>
      </c>
      <c r="B68" s="104" t="s">
        <v>510</v>
      </c>
      <c r="C68" s="103" t="s">
        <v>507</v>
      </c>
      <c r="D68" s="104" t="s">
        <v>510</v>
      </c>
      <c r="E68" s="104" t="s">
        <v>510</v>
      </c>
      <c r="F68" s="106" t="str">
        <f>Originals!B210</f>
        <v>LabVIEW</v>
      </c>
      <c r="G68" s="106" t="str">
        <f>Originals!C210</f>
        <v>18.0.1</v>
      </c>
      <c r="H68" s="106" t="str">
        <f>Originals!D210</f>
        <v>64</v>
      </c>
      <c r="I68" s="106" t="str">
        <f>Originals!E210</f>
        <v>2018 SP1</v>
      </c>
      <c r="J68" s="106" t="str">
        <f>Originals!F210</f>
        <v>Runtime</v>
      </c>
      <c r="K68" s="106" t="str">
        <f>Originals!G210</f>
        <v>NI</v>
      </c>
      <c r="L68" s="106" t="str">
        <f>Originals!H210</f>
        <v>LabVIEW 2018 SP1 18.0.1</v>
      </c>
      <c r="M68" s="106" t="str">
        <f>Originals!I210</f>
        <v>LabVIEW 2019</v>
      </c>
      <c r="N68" s="107" t="s">
        <v>2</v>
      </c>
    </row>
    <row r="69" spans="1:14" x14ac:dyDescent="0.25">
      <c r="A69" s="104" t="s">
        <v>510</v>
      </c>
      <c r="B69" s="104" t="s">
        <v>510</v>
      </c>
      <c r="C69" s="103" t="s">
        <v>507</v>
      </c>
      <c r="D69" s="104" t="s">
        <v>510</v>
      </c>
      <c r="E69" s="104" t="s">
        <v>510</v>
      </c>
      <c r="F69" s="106" t="str">
        <f>Originals!B211</f>
        <v>LabVIEW</v>
      </c>
      <c r="G69" s="106" t="str">
        <f>Originals!C211</f>
        <v>19.0.1</v>
      </c>
      <c r="H69" s="106" t="str">
        <f>Originals!D211</f>
        <v>32</v>
      </c>
      <c r="I69" s="106" t="str">
        <f>Originals!E211</f>
        <v>2019 SP1 f1</v>
      </c>
      <c r="J69" s="106" t="str">
        <f>Originals!F211</f>
        <v>Runtime</v>
      </c>
      <c r="K69" s="106" t="str">
        <f>Originals!G211</f>
        <v>NI</v>
      </c>
      <c r="L69" s="106" t="str">
        <f>Originals!H211</f>
        <v>LabVIEW 2019 SP1 f1 19.0.1</v>
      </c>
      <c r="M69" s="106">
        <f>Originals!I211</f>
        <v>0</v>
      </c>
      <c r="N69" s="107" t="s">
        <v>2</v>
      </c>
    </row>
    <row r="70" spans="1:14" x14ac:dyDescent="0.25">
      <c r="A70" s="104" t="s">
        <v>510</v>
      </c>
      <c r="B70" s="104" t="s">
        <v>510</v>
      </c>
      <c r="C70" s="103" t="s">
        <v>507</v>
      </c>
      <c r="D70" s="104" t="s">
        <v>510</v>
      </c>
      <c r="E70" s="104" t="s">
        <v>510</v>
      </c>
      <c r="F70" s="106" t="str">
        <f>Originals!B212</f>
        <v>LabVIEW</v>
      </c>
      <c r="G70" s="106" t="str">
        <f>Originals!C212</f>
        <v>15</v>
      </c>
      <c r="H70" s="106" t="str">
        <f>Originals!D212</f>
        <v>32</v>
      </c>
      <c r="I70" s="106" t="str">
        <f>Originals!E212</f>
        <v>2015 SP1 f7</v>
      </c>
      <c r="J70" s="106" t="str">
        <f>Originals!F212</f>
        <v>Development</v>
      </c>
      <c r="K70" s="106" t="str">
        <f>Originals!G212</f>
        <v>NI</v>
      </c>
      <c r="L70" s="106" t="str">
        <f>Originals!H212</f>
        <v>LabVIEW 2015 SP1 f7 15</v>
      </c>
      <c r="M70" s="106">
        <f>Originals!I212</f>
        <v>0</v>
      </c>
      <c r="N70" s="107" t="s">
        <v>2</v>
      </c>
    </row>
    <row r="71" spans="1:14" x14ac:dyDescent="0.25">
      <c r="A71" s="104" t="s">
        <v>510</v>
      </c>
      <c r="B71" s="104" t="s">
        <v>510</v>
      </c>
      <c r="C71" s="104" t="s">
        <v>510</v>
      </c>
      <c r="D71" s="103" t="s">
        <v>507</v>
      </c>
      <c r="E71" s="103" t="s">
        <v>507</v>
      </c>
      <c r="F71" s="105" t="str">
        <f>Originals!B373</f>
        <v>LabVIEW</v>
      </c>
      <c r="G71" s="105" t="str">
        <f>Originals!C373</f>
        <v>16.0.0</v>
      </c>
      <c r="H71" s="105" t="str">
        <f>Originals!D373</f>
        <v>32</v>
      </c>
      <c r="I71" s="105" t="str">
        <f>Originals!E373</f>
        <v>2016 f5</v>
      </c>
      <c r="J71" s="105" t="str">
        <f>Originals!F373</f>
        <v>Runtime</v>
      </c>
      <c r="K71" s="105" t="str">
        <f>Originals!G373</f>
        <v>NI</v>
      </c>
      <c r="L71" s="105" t="str">
        <f>Originals!H373</f>
        <v>LabVIEW 2016 f5 16.0.0</v>
      </c>
      <c r="M71" s="105" t="str">
        <f>Originals!I373</f>
        <v>CompactRIO 18.1.0</v>
      </c>
      <c r="N71" s="98" t="s">
        <v>136</v>
      </c>
    </row>
    <row r="72" spans="1:14" hidden="1" x14ac:dyDescent="0.25">
      <c r="A72" s="104" t="s">
        <v>510</v>
      </c>
      <c r="B72" s="104" t="s">
        <v>510</v>
      </c>
      <c r="C72" s="104" t="s">
        <v>510</v>
      </c>
      <c r="D72" s="104" t="s">
        <v>510</v>
      </c>
      <c r="E72" s="103" t="s">
        <v>507</v>
      </c>
      <c r="F72" s="114" t="str">
        <f>Originals!B375</f>
        <v>LabVIEW</v>
      </c>
      <c r="G72" s="114" t="str">
        <f>Originals!C375</f>
        <v>18.0.0</v>
      </c>
      <c r="H72" s="114" t="str">
        <f>Originals!D375</f>
        <v>32</v>
      </c>
      <c r="I72" s="114" t="str">
        <f>Originals!E375</f>
        <v>2018 f2</v>
      </c>
      <c r="J72" s="114" t="str">
        <f>Originals!F375</f>
        <v>Runtime</v>
      </c>
      <c r="K72" s="114" t="str">
        <f>Originals!G375</f>
        <v>NI</v>
      </c>
      <c r="L72" s="114" t="str">
        <f>Originals!H375</f>
        <v>LabVIEW 2018 f2 18.0.0</v>
      </c>
      <c r="M72" s="114">
        <f>Originals!I375</f>
        <v>0</v>
      </c>
      <c r="N72" s="115" t="s">
        <v>466</v>
      </c>
    </row>
    <row r="73" spans="1:14" hidden="1" x14ac:dyDescent="0.25">
      <c r="A73" s="104" t="s">
        <v>510</v>
      </c>
      <c r="B73" s="104" t="s">
        <v>510</v>
      </c>
      <c r="C73" s="104" t="s">
        <v>510</v>
      </c>
      <c r="D73" s="104" t="s">
        <v>510</v>
      </c>
      <c r="E73" s="103" t="s">
        <v>507</v>
      </c>
      <c r="F73" s="114" t="str">
        <f>Originals!B377</f>
        <v>LabVIEW</v>
      </c>
      <c r="G73" s="114" t="str">
        <f>Originals!C377</f>
        <v>15.0.1</v>
      </c>
      <c r="H73" s="114" t="str">
        <f>Originals!D377</f>
        <v>32</v>
      </c>
      <c r="I73" s="114" t="str">
        <f>Originals!E377</f>
        <v>2015 SP1 f10</v>
      </c>
      <c r="J73" s="114" t="str">
        <f>Originals!F377</f>
        <v>Runtime</v>
      </c>
      <c r="K73" s="114" t="str">
        <f>Originals!G377</f>
        <v>NI</v>
      </c>
      <c r="L73" s="114" t="str">
        <f>Originals!H377</f>
        <v>LabVIEW 2015 SP1 f10 15.0.1</v>
      </c>
      <c r="M73" s="114">
        <f>Originals!I377</f>
        <v>0</v>
      </c>
      <c r="N73" s="115" t="s">
        <v>466</v>
      </c>
    </row>
    <row r="74" spans="1:14" x14ac:dyDescent="0.25">
      <c r="A74" s="104" t="s">
        <v>510</v>
      </c>
      <c r="B74" s="104" t="s">
        <v>510</v>
      </c>
      <c r="C74" s="103" t="s">
        <v>507</v>
      </c>
      <c r="D74" s="103" t="s">
        <v>507</v>
      </c>
      <c r="E74" s="104" t="s">
        <v>510</v>
      </c>
      <c r="F74" s="105" t="str">
        <f>Scott!B18</f>
        <v>Digital Filter Design Toolkit</v>
      </c>
      <c r="G74" s="105" t="str">
        <f>Scott!C18</f>
        <v>15.0.0</v>
      </c>
      <c r="H74" s="105">
        <f>Scott!D18</f>
        <v>32</v>
      </c>
      <c r="I74" s="105">
        <f>Scott!E18</f>
        <v>2015</v>
      </c>
      <c r="J74" s="105" t="str">
        <f>Scott!F18</f>
        <v>Development</v>
      </c>
      <c r="K74" s="105" t="str">
        <f>Scott!G18</f>
        <v>NI</v>
      </c>
      <c r="L74" s="105" t="str">
        <f>Scott!H18</f>
        <v>Digital Filter Design Toolkit 15.0.0</v>
      </c>
      <c r="M74" s="105" t="str">
        <f>Scott!I18</f>
        <v>NI Developer Suite 2015 DS2 Install</v>
      </c>
      <c r="N74" s="98" t="s">
        <v>136</v>
      </c>
    </row>
    <row r="75" spans="1:14" x14ac:dyDescent="0.25">
      <c r="A75" s="104" t="s">
        <v>510</v>
      </c>
      <c r="B75" s="104" t="s">
        <v>510</v>
      </c>
      <c r="C75" s="103" t="s">
        <v>507</v>
      </c>
      <c r="D75" s="103" t="s">
        <v>507</v>
      </c>
      <c r="E75" s="104" t="s">
        <v>510</v>
      </c>
      <c r="F75" s="105" t="str">
        <f>Scott!B19</f>
        <v>DMC UX Toolkit</v>
      </c>
      <c r="G75" s="105" t="str">
        <f>Scott!C19</f>
        <v>1.0.0.2</v>
      </c>
      <c r="H75" s="105" t="str">
        <f>Scott!D19</f>
        <v>32</v>
      </c>
      <c r="I75" s="105" t="str">
        <f>Scott!E19</f>
        <v>2015</v>
      </c>
      <c r="J75" s="105">
        <f>Scott!F19</f>
        <v>0</v>
      </c>
      <c r="K75" s="105">
        <f>Scott!G19</f>
        <v>0</v>
      </c>
      <c r="L75" s="105" t="str">
        <f>Scott!H19</f>
        <v>DMC UX Toolkit 1.0.0.2</v>
      </c>
      <c r="M75" s="105" t="str">
        <f>Scott!I19</f>
        <v>VIPM Community</v>
      </c>
      <c r="N75" s="98" t="s">
        <v>136</v>
      </c>
    </row>
    <row r="76" spans="1:14" x14ac:dyDescent="0.25">
      <c r="A76" s="104" t="s">
        <v>510</v>
      </c>
      <c r="B76" s="104" t="s">
        <v>510</v>
      </c>
      <c r="C76" s="103" t="s">
        <v>507</v>
      </c>
      <c r="D76" s="103" t="s">
        <v>507</v>
      </c>
      <c r="E76" s="104" t="s">
        <v>510</v>
      </c>
      <c r="F76" s="105" t="str">
        <f>Scott!B25</f>
        <v>GPower Error &amp; Warning</v>
      </c>
      <c r="G76" s="105" t="str">
        <f>Scott!C25</f>
        <v>2014.0.0.38</v>
      </c>
      <c r="H76" s="105" t="str">
        <f>Scott!D25</f>
        <v>32</v>
      </c>
      <c r="I76" s="105" t="str">
        <f>Scott!E25</f>
        <v>N/A</v>
      </c>
      <c r="J76" s="105" t="str">
        <f>Scott!F25</f>
        <v>Development</v>
      </c>
      <c r="K76" s="105" t="str">
        <f>Scott!G25</f>
        <v>GPower</v>
      </c>
      <c r="L76" s="105" t="str">
        <f>Scott!H25</f>
        <v>GPower Error &amp; Warning 2014.0.0.38</v>
      </c>
      <c r="M76" s="105" t="str">
        <f>Scott!I25</f>
        <v>VIPM Community</v>
      </c>
      <c r="N76" s="98" t="s">
        <v>136</v>
      </c>
    </row>
    <row r="77" spans="1:14" x14ac:dyDescent="0.25">
      <c r="A77" s="104" t="s">
        <v>510</v>
      </c>
      <c r="B77" s="104" t="s">
        <v>510</v>
      </c>
      <c r="C77" s="103" t="s">
        <v>507</v>
      </c>
      <c r="D77" s="103" t="s">
        <v>507</v>
      </c>
      <c r="E77" s="104" t="s">
        <v>510</v>
      </c>
      <c r="F77" s="105" t="str">
        <f>Scott!B26</f>
        <v>GPower Events</v>
      </c>
      <c r="G77" s="105" t="str">
        <f>Scott!C26</f>
        <v>2012.0.0.7</v>
      </c>
      <c r="H77" s="105" t="str">
        <f>Scott!D26</f>
        <v>32</v>
      </c>
      <c r="I77" s="105" t="str">
        <f>Scott!E26</f>
        <v>N/A</v>
      </c>
      <c r="J77" s="105" t="str">
        <f>Scott!F26</f>
        <v>Development</v>
      </c>
      <c r="K77" s="105" t="str">
        <f>Scott!G26</f>
        <v>GPower</v>
      </c>
      <c r="L77" s="105" t="str">
        <f>Scott!H26</f>
        <v>GPower Events 2012.0.0.7</v>
      </c>
      <c r="M77" s="105" t="str">
        <f>Scott!I26</f>
        <v>VIPM Community</v>
      </c>
      <c r="N77" s="98" t="s">
        <v>136</v>
      </c>
    </row>
    <row r="78" spans="1:14" hidden="1" x14ac:dyDescent="0.25">
      <c r="A78" s="104" t="s">
        <v>510</v>
      </c>
      <c r="B78" s="104" t="s">
        <v>510</v>
      </c>
      <c r="C78" s="104" t="s">
        <v>510</v>
      </c>
      <c r="D78" s="103" t="s">
        <v>507</v>
      </c>
      <c r="E78" s="104" t="s">
        <v>510</v>
      </c>
      <c r="F78" s="108" t="str">
        <f>Scott!B28</f>
        <v>GPower Numeric</v>
      </c>
      <c r="G78" s="108" t="str">
        <f>Scott!C28</f>
        <v>2016.2.0.14</v>
      </c>
      <c r="H78" s="108" t="str">
        <f>Scott!D28</f>
        <v>32</v>
      </c>
      <c r="I78" s="108" t="str">
        <f>Scott!E28</f>
        <v>N/A</v>
      </c>
      <c r="J78" s="108" t="str">
        <f>Scott!F28</f>
        <v>Development</v>
      </c>
      <c r="K78" s="108" t="str">
        <f>Scott!G28</f>
        <v>GPower</v>
      </c>
      <c r="L78" s="108" t="str">
        <f>Scott!H28</f>
        <v>GPower Numeric 2016.2.0.14</v>
      </c>
      <c r="M78" s="108" t="str">
        <f>Scott!I28</f>
        <v>VIPM Community</v>
      </c>
      <c r="N78" s="109" t="s">
        <v>96</v>
      </c>
    </row>
    <row r="79" spans="1:14" x14ac:dyDescent="0.25">
      <c r="A79" s="104" t="s">
        <v>510</v>
      </c>
      <c r="B79" s="104" t="s">
        <v>510</v>
      </c>
      <c r="C79" s="103" t="s">
        <v>507</v>
      </c>
      <c r="D79" s="104" t="s">
        <v>510</v>
      </c>
      <c r="E79" s="104" t="s">
        <v>510</v>
      </c>
      <c r="F79" s="106" t="str">
        <f>Originals!B215</f>
        <v>LabVIEW Real-Time</v>
      </c>
      <c r="G79" s="106" t="str">
        <f>Originals!C215</f>
        <v>15.0.1</v>
      </c>
      <c r="H79" s="106" t="str">
        <f>Originals!D215</f>
        <v>32</v>
      </c>
      <c r="I79" s="106" t="str">
        <f>Originals!E215</f>
        <v>2015</v>
      </c>
      <c r="J79" s="106" t="str">
        <f>Originals!F215</f>
        <v>C-RIO</v>
      </c>
      <c r="K79" s="106" t="str">
        <f>Originals!G215</f>
        <v>NI</v>
      </c>
      <c r="L79" s="106" t="str">
        <f>Originals!H215</f>
        <v>LabVIEW Real-Time 15.0.1</v>
      </c>
      <c r="M79" s="106">
        <f>Originals!I215</f>
        <v>0</v>
      </c>
      <c r="N79" s="107" t="s">
        <v>2</v>
      </c>
    </row>
    <row r="80" spans="1:14" hidden="1" x14ac:dyDescent="0.25">
      <c r="A80" s="104" t="s">
        <v>510</v>
      </c>
      <c r="B80" s="104" t="s">
        <v>510</v>
      </c>
      <c r="C80" s="104" t="s">
        <v>510</v>
      </c>
      <c r="D80" s="104" t="s">
        <v>510</v>
      </c>
      <c r="E80" s="103" t="s">
        <v>507</v>
      </c>
      <c r="F80" s="114" t="str">
        <f>Originals!B378</f>
        <v xml:space="preserve">LabWindows/CVI </v>
      </c>
      <c r="G80" s="114">
        <f>Originals!C378</f>
        <v>0</v>
      </c>
      <c r="H80" s="114" t="str">
        <f>Originals!D378</f>
        <v>32</v>
      </c>
      <c r="I80" s="114" t="str">
        <f>Originals!E378</f>
        <v>2013 SP2</v>
      </c>
      <c r="J80" s="114" t="str">
        <f>Originals!F378</f>
        <v>Runtime</v>
      </c>
      <c r="K80" s="114" t="str">
        <f>Originals!G378</f>
        <v>NI</v>
      </c>
      <c r="L80" s="114" t="str">
        <f>Originals!H378</f>
        <v xml:space="preserve">LabWindows/CVI  </v>
      </c>
      <c r="M80" s="114">
        <f>Originals!I378</f>
        <v>0</v>
      </c>
      <c r="N80" s="115" t="s">
        <v>466</v>
      </c>
    </row>
    <row r="81" spans="1:14" x14ac:dyDescent="0.25">
      <c r="A81" s="104" t="s">
        <v>510</v>
      </c>
      <c r="B81" s="104" t="s">
        <v>510</v>
      </c>
      <c r="C81" s="103" t="s">
        <v>507</v>
      </c>
      <c r="D81" s="103" t="s">
        <v>507</v>
      </c>
      <c r="E81" s="104" t="s">
        <v>510</v>
      </c>
      <c r="F81" s="105" t="str">
        <f>Originals!B216</f>
        <v>LAVA Palette</v>
      </c>
      <c r="G81" s="105" t="str">
        <f>Originals!C216</f>
        <v>1.0.0.1</v>
      </c>
      <c r="H81" s="105" t="str">
        <f>Originals!D216</f>
        <v>32</v>
      </c>
      <c r="I81" s="105" t="str">
        <f>Originals!E216</f>
        <v>N/A</v>
      </c>
      <c r="J81" s="105" t="str">
        <f>Originals!F216</f>
        <v>Development</v>
      </c>
      <c r="K81" s="105" t="str">
        <f>Originals!G216</f>
        <v>LAVA</v>
      </c>
      <c r="L81" s="105" t="str">
        <f>Originals!H216</f>
        <v>LAVA Palette 1.0.0.1</v>
      </c>
      <c r="M81" s="105" t="str">
        <f>Originals!I216</f>
        <v>VIPM Community</v>
      </c>
      <c r="N81" s="98" t="s">
        <v>136</v>
      </c>
    </row>
    <row r="82" spans="1:14" x14ac:dyDescent="0.25">
      <c r="A82" s="103" t="s">
        <v>507</v>
      </c>
      <c r="B82" s="104" t="s">
        <v>510</v>
      </c>
      <c r="C82" s="104" t="s">
        <v>510</v>
      </c>
      <c r="D82" s="103" t="s">
        <v>507</v>
      </c>
      <c r="E82" s="104" t="s">
        <v>510</v>
      </c>
      <c r="F82" s="105" t="str">
        <f>Originals!B21</f>
        <v>MathScript RT Module</v>
      </c>
      <c r="G82" s="105" t="str">
        <f>Originals!C21</f>
        <v>15.0.0</v>
      </c>
      <c r="H82" s="105" t="str">
        <f>Originals!D21</f>
        <v>32</v>
      </c>
      <c r="I82" s="105" t="str">
        <f>Originals!E21</f>
        <v>2015</v>
      </c>
      <c r="J82" s="105" t="str">
        <f>Originals!F21</f>
        <v>Development</v>
      </c>
      <c r="K82" s="105" t="str">
        <f>Originals!G21</f>
        <v>NI</v>
      </c>
      <c r="L82" s="105" t="str">
        <f>Originals!H21</f>
        <v>MathScript RT Module 15.0.0</v>
      </c>
      <c r="M82" s="105" t="str">
        <f>Originals!I21</f>
        <v>NI Developer Suite 2015 DS2 Install</v>
      </c>
      <c r="N82" s="98" t="s">
        <v>136</v>
      </c>
    </row>
    <row r="83" spans="1:14" x14ac:dyDescent="0.25">
      <c r="A83" s="103" t="s">
        <v>507</v>
      </c>
      <c r="B83" s="103" t="s">
        <v>507</v>
      </c>
      <c r="C83" s="104" t="s">
        <v>510</v>
      </c>
      <c r="D83" s="104" t="s">
        <v>510</v>
      </c>
      <c r="E83" s="104" t="s">
        <v>510</v>
      </c>
      <c r="F83" s="105" t="str">
        <f>Originals!B22</f>
        <v>Measurement &amp; Automation Explorer</v>
      </c>
      <c r="G83" s="105" t="str">
        <f>Originals!C22</f>
        <v>15.3.0f0</v>
      </c>
      <c r="H83" s="105" t="str">
        <f>Originals!D22</f>
        <v>32</v>
      </c>
      <c r="I83" s="105" t="str">
        <f>Originals!E22</f>
        <v>2015</v>
      </c>
      <c r="J83" s="105" t="str">
        <f>Originals!F22</f>
        <v>Development</v>
      </c>
      <c r="K83" s="105" t="str">
        <f>Originals!G22</f>
        <v>NI</v>
      </c>
      <c r="L83" s="105" t="str">
        <f>Originals!H22</f>
        <v>Measurement &amp; Automation Explorer 15.3.0f0</v>
      </c>
      <c r="M83" s="105" t="str">
        <f>Originals!I22</f>
        <v>LabVIEW 2015 SP1</v>
      </c>
      <c r="N83" s="98" t="s">
        <v>136</v>
      </c>
    </row>
    <row r="84" spans="1:14" x14ac:dyDescent="0.25">
      <c r="A84" s="104" t="s">
        <v>510</v>
      </c>
      <c r="B84" s="104" t="s">
        <v>510</v>
      </c>
      <c r="C84" s="103" t="s">
        <v>507</v>
      </c>
      <c r="D84" s="104" t="s">
        <v>510</v>
      </c>
      <c r="E84" s="104" t="s">
        <v>510</v>
      </c>
      <c r="F84" s="106" t="str">
        <f>Originals!B217</f>
        <v>Measurement &amp; Automation Explorer</v>
      </c>
      <c r="G84" s="106" t="str">
        <f>Originals!C217</f>
        <v>19.5.0f0</v>
      </c>
      <c r="H84" s="106" t="str">
        <f>Originals!D217</f>
        <v>32</v>
      </c>
      <c r="I84" s="106" t="str">
        <f>Originals!E217</f>
        <v>2019</v>
      </c>
      <c r="J84" s="106" t="str">
        <f>Originals!F217</f>
        <v>Development</v>
      </c>
      <c r="K84" s="106" t="str">
        <f>Originals!G217</f>
        <v>NI</v>
      </c>
      <c r="L84" s="106" t="str">
        <f>Originals!H217</f>
        <v>Measurement &amp; Automation Explorer 19.5.0f0</v>
      </c>
      <c r="M84" s="106">
        <f>Originals!I217</f>
        <v>0</v>
      </c>
      <c r="N84" s="107" t="s">
        <v>2</v>
      </c>
    </row>
    <row r="85" spans="1:14" x14ac:dyDescent="0.25">
      <c r="A85" s="104" t="s">
        <v>510</v>
      </c>
      <c r="B85" s="104" t="s">
        <v>510</v>
      </c>
      <c r="C85" s="104" t="s">
        <v>510</v>
      </c>
      <c r="D85" s="103" t="s">
        <v>507</v>
      </c>
      <c r="E85" s="103" t="s">
        <v>507</v>
      </c>
      <c r="F85" s="105" t="str">
        <f>Scott!B32</f>
        <v>GPower VI Launcher</v>
      </c>
      <c r="G85" s="105" t="str">
        <f>Scott!C32</f>
        <v>2012.2.0.26</v>
      </c>
      <c r="H85" s="105" t="str">
        <f>Scott!D32</f>
        <v>32</v>
      </c>
      <c r="I85" s="105" t="str">
        <f>Scott!E32</f>
        <v>N/A</v>
      </c>
      <c r="J85" s="105" t="str">
        <f>Scott!F32</f>
        <v>Development</v>
      </c>
      <c r="K85" s="105" t="str">
        <f>Scott!G32</f>
        <v>GPower</v>
      </c>
      <c r="L85" s="105" t="str">
        <f>Scott!H32</f>
        <v>GPower VI Launcher 2012.2.0.26</v>
      </c>
      <c r="M85" s="105" t="str">
        <f>Scott!I32</f>
        <v>VIPM Community</v>
      </c>
      <c r="N85" s="98" t="s">
        <v>136</v>
      </c>
    </row>
    <row r="86" spans="1:14" x14ac:dyDescent="0.25">
      <c r="A86" s="103" t="s">
        <v>507</v>
      </c>
      <c r="B86" s="103" t="s">
        <v>507</v>
      </c>
      <c r="C86" s="103" t="s">
        <v>507</v>
      </c>
      <c r="D86" s="103" t="s">
        <v>507</v>
      </c>
      <c r="E86" s="104" t="s">
        <v>510</v>
      </c>
      <c r="F86" s="105" t="str">
        <f>Originals!B23</f>
        <v>Measurement Studio</v>
      </c>
      <c r="G86" s="105">
        <f>Originals!C23</f>
        <v>0</v>
      </c>
      <c r="H86" s="105" t="str">
        <f>Originals!D23</f>
        <v>32</v>
      </c>
      <c r="I86" s="105" t="str">
        <f>Originals!E23</f>
        <v>2010</v>
      </c>
      <c r="J86" s="105" t="str">
        <f>Originals!F23</f>
        <v>Development</v>
      </c>
      <c r="K86" s="105" t="str">
        <f>Originals!G23</f>
        <v>NI</v>
      </c>
      <c r="L86" s="105" t="str">
        <f>Originals!H23</f>
        <v xml:space="preserve">Measurement Studio </v>
      </c>
      <c r="M86" s="105" t="str">
        <f>Originals!I23</f>
        <v>NI Developer Suite 2015 DS2 Install</v>
      </c>
      <c r="N86" s="98" t="s">
        <v>136</v>
      </c>
    </row>
    <row r="87" spans="1:14" x14ac:dyDescent="0.25">
      <c r="A87" s="104" t="s">
        <v>510</v>
      </c>
      <c r="B87" s="104" t="s">
        <v>510</v>
      </c>
      <c r="C87" s="103" t="s">
        <v>507</v>
      </c>
      <c r="D87" s="104" t="s">
        <v>510</v>
      </c>
      <c r="E87" s="104" t="s">
        <v>510</v>
      </c>
      <c r="F87" s="106" t="str">
        <f>Originals!B218</f>
        <v>Measurement Studio</v>
      </c>
      <c r="G87" s="106">
        <f>Originals!C218</f>
        <v>0</v>
      </c>
      <c r="H87" s="106" t="str">
        <f>Originals!D218</f>
        <v>32</v>
      </c>
      <c r="I87" s="106" t="str">
        <f>Originals!E218</f>
        <v>2005</v>
      </c>
      <c r="J87" s="106" t="str">
        <f>Originals!F218</f>
        <v>Development</v>
      </c>
      <c r="K87" s="106" t="str">
        <f>Originals!G218</f>
        <v>NI</v>
      </c>
      <c r="L87" s="106" t="str">
        <f>Originals!H218</f>
        <v xml:space="preserve">Measurement Studio </v>
      </c>
      <c r="M87" s="106">
        <f>Originals!I218</f>
        <v>0</v>
      </c>
      <c r="N87" s="107" t="s">
        <v>2</v>
      </c>
    </row>
    <row r="88" spans="1:14" x14ac:dyDescent="0.25">
      <c r="A88" s="104" t="s">
        <v>510</v>
      </c>
      <c r="B88" s="104" t="s">
        <v>510</v>
      </c>
      <c r="C88" s="103" t="s">
        <v>507</v>
      </c>
      <c r="D88" s="104" t="s">
        <v>510</v>
      </c>
      <c r="E88" s="104" t="s">
        <v>510</v>
      </c>
      <c r="F88" s="106" t="str">
        <f>Originals!B219</f>
        <v>Measurement Studio</v>
      </c>
      <c r="G88" s="106">
        <f>Originals!C219</f>
        <v>0</v>
      </c>
      <c r="H88" s="106" t="str">
        <f>Originals!D219</f>
        <v>32</v>
      </c>
      <c r="I88" s="106" t="str">
        <f>Originals!E219</f>
        <v>2018</v>
      </c>
      <c r="J88" s="106" t="str">
        <f>Originals!F219</f>
        <v>Development</v>
      </c>
      <c r="K88" s="106" t="str">
        <f>Originals!G219</f>
        <v>NI</v>
      </c>
      <c r="L88" s="106" t="str">
        <f>Originals!H219</f>
        <v xml:space="preserve">Measurement Studio </v>
      </c>
      <c r="M88" s="106">
        <f>Originals!I219</f>
        <v>0</v>
      </c>
      <c r="N88" s="107" t="s">
        <v>2</v>
      </c>
    </row>
    <row r="89" spans="1:14" x14ac:dyDescent="0.25">
      <c r="A89" s="103" t="s">
        <v>507</v>
      </c>
      <c r="B89" s="104" t="s">
        <v>510</v>
      </c>
      <c r="C89" s="103" t="s">
        <v>507</v>
      </c>
      <c r="D89" s="103" t="s">
        <v>507</v>
      </c>
      <c r="E89" s="104" t="s">
        <v>510</v>
      </c>
      <c r="F89" s="105" t="str">
        <f>Originals!B24</f>
        <v>Measurement Studio Common</v>
      </c>
      <c r="G89" s="105" t="str">
        <f>Originals!C24</f>
        <v>15.0.40.49154</v>
      </c>
      <c r="H89" s="105" t="str">
        <f>Originals!D24</f>
        <v>32</v>
      </c>
      <c r="I89" s="105" t="str">
        <f>Originals!E24</f>
        <v>2015</v>
      </c>
      <c r="J89" s="105" t="str">
        <f>Originals!F24</f>
        <v>Development</v>
      </c>
      <c r="K89" s="105" t="str">
        <f>Originals!G24</f>
        <v>NI</v>
      </c>
      <c r="L89" s="105" t="str">
        <f>Originals!H24</f>
        <v>Measurement Studio Common 15.0.40.49154</v>
      </c>
      <c r="M89" s="105" t="str">
        <f>Originals!I24</f>
        <v>NI Developer Suite 2015 DS2 Install</v>
      </c>
      <c r="N89" s="98" t="s">
        <v>136</v>
      </c>
    </row>
    <row r="90" spans="1:14" x14ac:dyDescent="0.25">
      <c r="A90" s="103" t="s">
        <v>507</v>
      </c>
      <c r="B90" s="104" t="s">
        <v>510</v>
      </c>
      <c r="C90" s="103" t="s">
        <v>507</v>
      </c>
      <c r="D90" s="103" t="s">
        <v>507</v>
      </c>
      <c r="E90" s="104" t="s">
        <v>510</v>
      </c>
      <c r="F90" s="105" t="str">
        <f>Originals!B25</f>
        <v>Measurement Studio Common</v>
      </c>
      <c r="G90" s="105" t="str">
        <f>Originals!C25</f>
        <v>15.0.40.49154</v>
      </c>
      <c r="H90" s="105" t="str">
        <f>Originals!D25</f>
        <v>64</v>
      </c>
      <c r="I90" s="105" t="str">
        <f>Originals!E25</f>
        <v>2015</v>
      </c>
      <c r="J90" s="105" t="str">
        <f>Originals!F25</f>
        <v>Development</v>
      </c>
      <c r="K90" s="105" t="str">
        <f>Originals!G25</f>
        <v>NI</v>
      </c>
      <c r="L90" s="105" t="str">
        <f>Originals!H25</f>
        <v>Measurement Studio Common 15.0.40.49154</v>
      </c>
      <c r="M90" s="105" t="str">
        <f>Originals!I25</f>
        <v>NI Developer Suite 2015 DS2 Install</v>
      </c>
      <c r="N90" s="98" t="s">
        <v>136</v>
      </c>
    </row>
    <row r="91" spans="1:14" hidden="1" x14ac:dyDescent="0.25">
      <c r="A91" s="104" t="s">
        <v>510</v>
      </c>
      <c r="B91" s="103" t="s">
        <v>507</v>
      </c>
      <c r="C91" s="104" t="s">
        <v>510</v>
      </c>
      <c r="D91" s="104" t="s">
        <v>510</v>
      </c>
      <c r="E91" s="104" t="s">
        <v>510</v>
      </c>
      <c r="F91" s="112" t="str">
        <f>Originals!B102</f>
        <v>Measurement Studio Common</v>
      </c>
      <c r="G91" s="112" t="str">
        <f>Originals!C102</f>
        <v>15.1.40.49152</v>
      </c>
      <c r="H91" s="112" t="str">
        <f>Originals!D102</f>
        <v>32</v>
      </c>
      <c r="I91" s="112" t="str">
        <f>Originals!E102</f>
        <v>2015</v>
      </c>
      <c r="J91" s="112" t="str">
        <f>Originals!F102</f>
        <v>Development</v>
      </c>
      <c r="K91" s="112" t="str">
        <f>Originals!G102</f>
        <v>NI</v>
      </c>
      <c r="L91" s="112" t="str">
        <f>Originals!H102</f>
        <v>Measurement Studio Common 15.1.40.49152</v>
      </c>
      <c r="M91" s="112">
        <f>Originals!I102</f>
        <v>0</v>
      </c>
      <c r="N91" s="113" t="s">
        <v>1</v>
      </c>
    </row>
    <row r="92" spans="1:14" hidden="1" x14ac:dyDescent="0.25">
      <c r="A92" s="104" t="s">
        <v>510</v>
      </c>
      <c r="B92" s="103" t="s">
        <v>507</v>
      </c>
      <c r="C92" s="104" t="s">
        <v>510</v>
      </c>
      <c r="D92" s="104" t="s">
        <v>510</v>
      </c>
      <c r="E92" s="104" t="s">
        <v>510</v>
      </c>
      <c r="F92" s="112" t="str">
        <f>Originals!B103</f>
        <v>Measurement Studio Common</v>
      </c>
      <c r="G92" s="112" t="str">
        <f>Originals!C103</f>
        <v>15.1.40.49152</v>
      </c>
      <c r="H92" s="112" t="str">
        <f>Originals!D103</f>
        <v>64</v>
      </c>
      <c r="I92" s="112" t="str">
        <f>Originals!E103</f>
        <v>2015</v>
      </c>
      <c r="J92" s="112" t="str">
        <f>Originals!F103</f>
        <v>Development</v>
      </c>
      <c r="K92" s="112" t="str">
        <f>Originals!G103</f>
        <v>NI</v>
      </c>
      <c r="L92" s="112" t="str">
        <f>Originals!H103</f>
        <v>Measurement Studio Common 15.1.40.49152</v>
      </c>
      <c r="M92" s="112">
        <f>Originals!I103</f>
        <v>0</v>
      </c>
      <c r="N92" s="113" t="s">
        <v>1</v>
      </c>
    </row>
    <row r="93" spans="1:14" x14ac:dyDescent="0.25">
      <c r="A93" s="104" t="s">
        <v>510</v>
      </c>
      <c r="B93" s="104" t="s">
        <v>510</v>
      </c>
      <c r="C93" s="103" t="s">
        <v>507</v>
      </c>
      <c r="D93" s="104" t="s">
        <v>510</v>
      </c>
      <c r="E93" s="104" t="s">
        <v>510</v>
      </c>
      <c r="F93" s="106" t="str">
        <f>Originals!B221</f>
        <v>Measurement Studio Common</v>
      </c>
      <c r="G93" s="106" t="str">
        <f>Originals!C221</f>
        <v>12.0.20.258</v>
      </c>
      <c r="H93" s="106" t="str">
        <f>Originals!D221</f>
        <v>32</v>
      </c>
      <c r="I93" s="106" t="str">
        <f>Originals!E221</f>
        <v>2005</v>
      </c>
      <c r="J93" s="106" t="str">
        <f>Originals!F221</f>
        <v>Development</v>
      </c>
      <c r="K93" s="106" t="str">
        <f>Originals!G221</f>
        <v>NI</v>
      </c>
      <c r="L93" s="106" t="str">
        <f>Originals!H221</f>
        <v>Measurement Studio Common 12.0.20.258</v>
      </c>
      <c r="M93" s="106">
        <f>Originals!I221</f>
        <v>0</v>
      </c>
      <c r="N93" s="107" t="s">
        <v>2</v>
      </c>
    </row>
    <row r="94" spans="1:14" x14ac:dyDescent="0.25">
      <c r="A94" s="104" t="s">
        <v>510</v>
      </c>
      <c r="B94" s="104" t="s">
        <v>510</v>
      </c>
      <c r="C94" s="103" t="s">
        <v>507</v>
      </c>
      <c r="D94" s="104" t="s">
        <v>510</v>
      </c>
      <c r="E94" s="104" t="s">
        <v>510</v>
      </c>
      <c r="F94" s="106" t="str">
        <f>Originals!B222</f>
        <v>Measurement Studio Common</v>
      </c>
      <c r="G94" s="106" t="str">
        <f>Originals!C222</f>
        <v>13.5.35.173</v>
      </c>
      <c r="H94" s="106" t="str">
        <f>Originals!D222</f>
        <v>32</v>
      </c>
      <c r="I94" s="106" t="str">
        <f>Originals!E222</f>
        <v>2018</v>
      </c>
      <c r="J94" s="106" t="str">
        <f>Originals!F222</f>
        <v>Development</v>
      </c>
      <c r="K94" s="106" t="str">
        <f>Originals!G222</f>
        <v>NI</v>
      </c>
      <c r="L94" s="106" t="str">
        <f>Originals!H222</f>
        <v>Measurement Studio Common 13.5.35.173</v>
      </c>
      <c r="M94" s="106">
        <f>Originals!I222</f>
        <v>0</v>
      </c>
      <c r="N94" s="107" t="s">
        <v>2</v>
      </c>
    </row>
    <row r="95" spans="1:14" x14ac:dyDescent="0.25">
      <c r="A95" s="104" t="s">
        <v>510</v>
      </c>
      <c r="B95" s="104" t="s">
        <v>510</v>
      </c>
      <c r="C95" s="103" t="s">
        <v>507</v>
      </c>
      <c r="D95" s="104" t="s">
        <v>510</v>
      </c>
      <c r="E95" s="104" t="s">
        <v>510</v>
      </c>
      <c r="F95" s="106" t="str">
        <f>Originals!B223</f>
        <v>Measurement Studio Common</v>
      </c>
      <c r="G95" s="106" t="str">
        <f>Originals!C223</f>
        <v>13.5.35.173</v>
      </c>
      <c r="H95" s="106" t="str">
        <f>Originals!D223</f>
        <v>64</v>
      </c>
      <c r="I95" s="106" t="str">
        <f>Originals!E223</f>
        <v>2018</v>
      </c>
      <c r="J95" s="106" t="str">
        <f>Originals!F223</f>
        <v>Development</v>
      </c>
      <c r="K95" s="106" t="str">
        <f>Originals!G223</f>
        <v>NI</v>
      </c>
      <c r="L95" s="106" t="str">
        <f>Originals!H223</f>
        <v>Measurement Studio Common 13.5.35.173</v>
      </c>
      <c r="M95" s="106">
        <f>Originals!I223</f>
        <v>0</v>
      </c>
      <c r="N95" s="107" t="s">
        <v>2</v>
      </c>
    </row>
    <row r="96" spans="1:14" x14ac:dyDescent="0.25">
      <c r="A96" s="103" t="s">
        <v>507</v>
      </c>
      <c r="B96" s="103" t="s">
        <v>507</v>
      </c>
      <c r="C96" s="103" t="s">
        <v>507</v>
      </c>
      <c r="D96" s="103" t="s">
        <v>507</v>
      </c>
      <c r="E96" s="104" t="s">
        <v>510</v>
      </c>
      <c r="F96" s="105" t="str">
        <f>Originals!B26</f>
        <v>Measurement Studio DotNET</v>
      </c>
      <c r="G96" s="105">
        <f>Originals!C26</f>
        <v>0</v>
      </c>
      <c r="H96" s="105" t="str">
        <f>Originals!D26</f>
        <v>32</v>
      </c>
      <c r="I96" s="105" t="str">
        <f>Originals!E26</f>
        <v>2010</v>
      </c>
      <c r="J96" s="105" t="str">
        <f>Originals!F26</f>
        <v>Development</v>
      </c>
      <c r="K96" s="105" t="str">
        <f>Originals!G26</f>
        <v>NI</v>
      </c>
      <c r="L96" s="105" t="str">
        <f>Originals!H26</f>
        <v xml:space="preserve">Measurement Studio DotNET </v>
      </c>
      <c r="M96" s="105" t="str">
        <f>Originals!I26</f>
        <v>NI Developer Suite 2015 DS2 Install</v>
      </c>
      <c r="N96" s="98" t="s">
        <v>136</v>
      </c>
    </row>
    <row r="97" spans="1:14" x14ac:dyDescent="0.25">
      <c r="A97" s="104" t="s">
        <v>510</v>
      </c>
      <c r="B97" s="104" t="s">
        <v>510</v>
      </c>
      <c r="C97" s="103" t="s">
        <v>507</v>
      </c>
      <c r="D97" s="104" t="s">
        <v>510</v>
      </c>
      <c r="E97" s="104" t="s">
        <v>510</v>
      </c>
      <c r="F97" s="106" t="str">
        <f>Originals!B226</f>
        <v>Measurement Studio DotNET</v>
      </c>
      <c r="G97" s="106">
        <f>Originals!C226</f>
        <v>0</v>
      </c>
      <c r="H97" s="106" t="str">
        <f>Originals!D226</f>
        <v>32</v>
      </c>
      <c r="I97" s="106" t="str">
        <f>Originals!E226</f>
        <v>2005</v>
      </c>
      <c r="J97" s="106" t="str">
        <f>Originals!F226</f>
        <v>Development</v>
      </c>
      <c r="K97" s="106" t="str">
        <f>Originals!G226</f>
        <v>NI</v>
      </c>
      <c r="L97" s="106" t="str">
        <f>Originals!H226</f>
        <v xml:space="preserve">Measurement Studio DotNET </v>
      </c>
      <c r="M97" s="106">
        <f>Originals!I226</f>
        <v>0</v>
      </c>
      <c r="N97" s="107" t="s">
        <v>2</v>
      </c>
    </row>
    <row r="98" spans="1:14" x14ac:dyDescent="0.25">
      <c r="A98" s="104" t="s">
        <v>510</v>
      </c>
      <c r="B98" s="104" t="s">
        <v>510</v>
      </c>
      <c r="C98" s="103" t="s">
        <v>507</v>
      </c>
      <c r="D98" s="104" t="s">
        <v>510</v>
      </c>
      <c r="E98" s="104" t="s">
        <v>510</v>
      </c>
      <c r="F98" s="106" t="str">
        <f>Originals!B227</f>
        <v>Measurement Studio DotNET</v>
      </c>
      <c r="G98" s="106">
        <f>Originals!C227</f>
        <v>0</v>
      </c>
      <c r="H98" s="106" t="str">
        <f>Originals!D227</f>
        <v>32</v>
      </c>
      <c r="I98" s="106" t="str">
        <f>Originals!E227</f>
        <v>2018</v>
      </c>
      <c r="J98" s="106" t="str">
        <f>Originals!F227</f>
        <v>Development</v>
      </c>
      <c r="K98" s="106" t="str">
        <f>Originals!G227</f>
        <v>NI</v>
      </c>
      <c r="L98" s="106" t="str">
        <f>Originals!H227</f>
        <v xml:space="preserve">Measurement Studio DotNET </v>
      </c>
      <c r="M98" s="106">
        <f>Originals!I227</f>
        <v>0</v>
      </c>
      <c r="N98" s="107" t="s">
        <v>2</v>
      </c>
    </row>
    <row r="99" spans="1:14" x14ac:dyDescent="0.25">
      <c r="A99" s="104" t="s">
        <v>510</v>
      </c>
      <c r="B99" s="104" t="s">
        <v>510</v>
      </c>
      <c r="C99" s="103" t="s">
        <v>507</v>
      </c>
      <c r="D99" s="104" t="s">
        <v>510</v>
      </c>
      <c r="E99" s="104" t="s">
        <v>510</v>
      </c>
      <c r="F99" s="106" t="str">
        <f>Originals!B229</f>
        <v>Measurement Studio Vision</v>
      </c>
      <c r="G99" s="106">
        <f>Originals!C229</f>
        <v>0</v>
      </c>
      <c r="H99" s="106" t="str">
        <f>Originals!D229</f>
        <v>32</v>
      </c>
      <c r="I99" s="106" t="str">
        <f>Originals!E229</f>
        <v>2005</v>
      </c>
      <c r="J99" s="106" t="str">
        <f>Originals!F229</f>
        <v>Development</v>
      </c>
      <c r="K99" s="106" t="str">
        <f>Originals!G229</f>
        <v>NI</v>
      </c>
      <c r="L99" s="106" t="str">
        <f>Originals!H229</f>
        <v xml:space="preserve">Measurement Studio Vision </v>
      </c>
      <c r="M99" s="106">
        <f>Originals!I229</f>
        <v>0</v>
      </c>
      <c r="N99" s="107" t="s">
        <v>2</v>
      </c>
    </row>
    <row r="100" spans="1:14" x14ac:dyDescent="0.25">
      <c r="A100" s="104" t="s">
        <v>510</v>
      </c>
      <c r="B100" s="104" t="s">
        <v>510</v>
      </c>
      <c r="C100" s="103" t="s">
        <v>507</v>
      </c>
      <c r="D100" s="104" t="s">
        <v>510</v>
      </c>
      <c r="E100" s="104" t="s">
        <v>510</v>
      </c>
      <c r="F100" s="106" t="str">
        <f>Originals!B230</f>
        <v>Measurement Studio Vision</v>
      </c>
      <c r="G100" s="106">
        <f>Originals!C230</f>
        <v>0</v>
      </c>
      <c r="H100" s="106" t="str">
        <f>Originals!D230</f>
        <v>32</v>
      </c>
      <c r="I100" s="106" t="str">
        <f>Originals!E230</f>
        <v>2018</v>
      </c>
      <c r="J100" s="106" t="str">
        <f>Originals!F230</f>
        <v>Development</v>
      </c>
      <c r="K100" s="106" t="str">
        <f>Originals!G230</f>
        <v>NI</v>
      </c>
      <c r="L100" s="106" t="str">
        <f>Originals!H230</f>
        <v xml:space="preserve">Measurement Studio Vision </v>
      </c>
      <c r="M100" s="106">
        <f>Originals!I230</f>
        <v>0</v>
      </c>
      <c r="N100" s="107" t="s">
        <v>2</v>
      </c>
    </row>
    <row r="101" spans="1:14" x14ac:dyDescent="0.25">
      <c r="A101" s="104" t="s">
        <v>510</v>
      </c>
      <c r="B101" s="104" t="s">
        <v>510</v>
      </c>
      <c r="C101" s="103" t="s">
        <v>507</v>
      </c>
      <c r="D101" s="103" t="s">
        <v>507</v>
      </c>
      <c r="E101" s="104" t="s">
        <v>510</v>
      </c>
      <c r="F101" s="105" t="str">
        <f>Originals!B231</f>
        <v>MGI 1D Array</v>
      </c>
      <c r="G101" s="105" t="str">
        <f>Originals!C231</f>
        <v>1.0.2.3</v>
      </c>
      <c r="H101" s="105" t="str">
        <f>Originals!D231</f>
        <v>32</v>
      </c>
      <c r="I101" s="105" t="str">
        <f>Originals!E231</f>
        <v>N/A</v>
      </c>
      <c r="J101" s="105" t="str">
        <f>Originals!F231</f>
        <v>Development</v>
      </c>
      <c r="K101" s="105" t="str">
        <f>Originals!G231</f>
        <v>MGI</v>
      </c>
      <c r="L101" s="105" t="str">
        <f>Originals!H231</f>
        <v>MGI 1D Array 1.0.2.3</v>
      </c>
      <c r="M101" s="105" t="str">
        <f>Originals!I231</f>
        <v>VIPM Community</v>
      </c>
      <c r="N101" s="98" t="s">
        <v>136</v>
      </c>
    </row>
    <row r="102" spans="1:14" x14ac:dyDescent="0.25">
      <c r="A102" s="104" t="s">
        <v>510</v>
      </c>
      <c r="B102" s="104" t="s">
        <v>510</v>
      </c>
      <c r="C102" s="103" t="s">
        <v>507</v>
      </c>
      <c r="D102" s="103" t="s">
        <v>507</v>
      </c>
      <c r="E102" s="104" t="s">
        <v>510</v>
      </c>
      <c r="F102" s="105" t="str">
        <f>Originals!B232</f>
        <v>MGI 2D Array</v>
      </c>
      <c r="G102" s="105" t="str">
        <f>Originals!C232</f>
        <v>1.1.1.5</v>
      </c>
      <c r="H102" s="105" t="str">
        <f>Originals!D232</f>
        <v>32</v>
      </c>
      <c r="I102" s="105" t="str">
        <f>Originals!E232</f>
        <v>N/A</v>
      </c>
      <c r="J102" s="105" t="str">
        <f>Originals!F232</f>
        <v>Development</v>
      </c>
      <c r="K102" s="105" t="str">
        <f>Originals!G232</f>
        <v>MGI</v>
      </c>
      <c r="L102" s="105" t="str">
        <f>Originals!H232</f>
        <v>MGI 2D Array 1.1.1.5</v>
      </c>
      <c r="M102" s="105" t="str">
        <f>Originals!I232</f>
        <v>VIPM Community</v>
      </c>
      <c r="N102" s="98" t="s">
        <v>136</v>
      </c>
    </row>
    <row r="103" spans="1:14" x14ac:dyDescent="0.25">
      <c r="A103" s="104" t="s">
        <v>510</v>
      </c>
      <c r="B103" s="104" t="s">
        <v>510</v>
      </c>
      <c r="C103" s="103" t="s">
        <v>507</v>
      </c>
      <c r="D103" s="103" t="s">
        <v>507</v>
      </c>
      <c r="E103" s="104" t="s">
        <v>510</v>
      </c>
      <c r="F103" s="105" t="str">
        <f>Originals!B233</f>
        <v>MGI Actor Framework Message Maker</v>
      </c>
      <c r="G103" s="105" t="str">
        <f>Originals!C233</f>
        <v>1.0.1.6</v>
      </c>
      <c r="H103" s="105" t="str">
        <f>Originals!D233</f>
        <v>32</v>
      </c>
      <c r="I103" s="105" t="str">
        <f>Originals!E233</f>
        <v>N/A</v>
      </c>
      <c r="J103" s="105" t="str">
        <f>Originals!F233</f>
        <v>Development</v>
      </c>
      <c r="K103" s="105" t="str">
        <f>Originals!G233</f>
        <v>MGI</v>
      </c>
      <c r="L103" s="105" t="str">
        <f>Originals!H233</f>
        <v>MGI Actor Framework Message Maker 1.0.1.6</v>
      </c>
      <c r="M103" s="105" t="str">
        <f>Originals!I233</f>
        <v>VIPM Community</v>
      </c>
      <c r="N103" s="98" t="s">
        <v>136</v>
      </c>
    </row>
    <row r="104" spans="1:14" x14ac:dyDescent="0.25">
      <c r="A104" s="104" t="s">
        <v>510</v>
      </c>
      <c r="B104" s="104" t="s">
        <v>510</v>
      </c>
      <c r="C104" s="103" t="s">
        <v>507</v>
      </c>
      <c r="D104" s="103" t="s">
        <v>507</v>
      </c>
      <c r="E104" s="104" t="s">
        <v>510</v>
      </c>
      <c r="F104" s="105" t="str">
        <f>Originals!B234</f>
        <v>MGI Application Control</v>
      </c>
      <c r="G104" s="105" t="str">
        <f>Originals!C234</f>
        <v>1.1.1.10</v>
      </c>
      <c r="H104" s="105" t="str">
        <f>Originals!D234</f>
        <v>32</v>
      </c>
      <c r="I104" s="105" t="str">
        <f>Originals!E234</f>
        <v>N/A</v>
      </c>
      <c r="J104" s="105" t="str">
        <f>Originals!F234</f>
        <v>Development</v>
      </c>
      <c r="K104" s="105" t="str">
        <f>Originals!G234</f>
        <v>MGI</v>
      </c>
      <c r="L104" s="105" t="str">
        <f>Originals!H234</f>
        <v>MGI Application Control 1.1.1.10</v>
      </c>
      <c r="M104" s="105" t="str">
        <f>Originals!I234</f>
        <v>VIPM Community</v>
      </c>
      <c r="N104" s="98" t="s">
        <v>136</v>
      </c>
    </row>
    <row r="105" spans="1:14" x14ac:dyDescent="0.25">
      <c r="A105" s="104" t="s">
        <v>510</v>
      </c>
      <c r="B105" s="104" t="s">
        <v>510</v>
      </c>
      <c r="C105" s="103" t="s">
        <v>507</v>
      </c>
      <c r="D105" s="103" t="s">
        <v>507</v>
      </c>
      <c r="E105" s="104" t="s">
        <v>510</v>
      </c>
      <c r="F105" s="105" t="str">
        <f>Originals!B235</f>
        <v>MGI Bezier</v>
      </c>
      <c r="G105" s="105" t="str">
        <f>Originals!C235</f>
        <v>1.1.1.2</v>
      </c>
      <c r="H105" s="105" t="str">
        <f>Originals!D235</f>
        <v>32</v>
      </c>
      <c r="I105" s="105" t="str">
        <f>Originals!E235</f>
        <v>N/A</v>
      </c>
      <c r="J105" s="105" t="str">
        <f>Originals!F235</f>
        <v>Development</v>
      </c>
      <c r="K105" s="105" t="str">
        <f>Originals!G235</f>
        <v>MGI</v>
      </c>
      <c r="L105" s="105" t="str">
        <f>Originals!H235</f>
        <v>MGI Bezier 1.1.1.2</v>
      </c>
      <c r="M105" s="105" t="str">
        <f>Originals!I235</f>
        <v>VIPM Community</v>
      </c>
      <c r="N105" s="98" t="s">
        <v>136</v>
      </c>
    </row>
    <row r="106" spans="1:14" x14ac:dyDescent="0.25">
      <c r="A106" s="104" t="s">
        <v>510</v>
      </c>
      <c r="B106" s="104" t="s">
        <v>510</v>
      </c>
      <c r="C106" s="103" t="s">
        <v>507</v>
      </c>
      <c r="D106" s="103" t="s">
        <v>507</v>
      </c>
      <c r="E106" s="104" t="s">
        <v>510</v>
      </c>
      <c r="F106" s="105" t="str">
        <f>Originals!B236</f>
        <v>MGI Boolean</v>
      </c>
      <c r="G106" s="105" t="str">
        <f>Originals!C236</f>
        <v>1.0.1.3</v>
      </c>
      <c r="H106" s="105" t="str">
        <f>Originals!D236</f>
        <v>32</v>
      </c>
      <c r="I106" s="105" t="str">
        <f>Originals!E236</f>
        <v>N/A</v>
      </c>
      <c r="J106" s="105" t="str">
        <f>Originals!F236</f>
        <v>Development</v>
      </c>
      <c r="K106" s="105" t="str">
        <f>Originals!G236</f>
        <v>MGI</v>
      </c>
      <c r="L106" s="105" t="str">
        <f>Originals!H236</f>
        <v>MGI Boolean 1.0.1.3</v>
      </c>
      <c r="M106" s="105" t="str">
        <f>Originals!I236</f>
        <v>VIPM Community</v>
      </c>
      <c r="N106" s="98" t="s">
        <v>136</v>
      </c>
    </row>
    <row r="107" spans="1:14" x14ac:dyDescent="0.25">
      <c r="A107" s="104" t="s">
        <v>510</v>
      </c>
      <c r="B107" s="104" t="s">
        <v>510</v>
      </c>
      <c r="C107" s="103" t="s">
        <v>507</v>
      </c>
      <c r="D107" s="103" t="s">
        <v>507</v>
      </c>
      <c r="E107" s="104" t="s">
        <v>510</v>
      </c>
      <c r="F107" s="105" t="str">
        <f>Originals!B237</f>
        <v>MGI Class Method Browser</v>
      </c>
      <c r="G107" s="105" t="str">
        <f>Originals!C237</f>
        <v>1.0.0.20</v>
      </c>
      <c r="H107" s="105" t="str">
        <f>Originals!D237</f>
        <v>32</v>
      </c>
      <c r="I107" s="105" t="str">
        <f>Originals!E237</f>
        <v>N/A</v>
      </c>
      <c r="J107" s="105" t="str">
        <f>Originals!F237</f>
        <v>Development</v>
      </c>
      <c r="K107" s="105" t="str">
        <f>Originals!G237</f>
        <v>MGI</v>
      </c>
      <c r="L107" s="105" t="str">
        <f>Originals!H237</f>
        <v>MGI Class Method Browser 1.0.0.20</v>
      </c>
      <c r="M107" s="105" t="str">
        <f>Originals!I237</f>
        <v>VIPM Community</v>
      </c>
      <c r="N107" s="98" t="s">
        <v>136</v>
      </c>
    </row>
    <row r="108" spans="1:14" x14ac:dyDescent="0.25">
      <c r="A108" s="104" t="s">
        <v>510</v>
      </c>
      <c r="B108" s="104" t="s">
        <v>510</v>
      </c>
      <c r="C108" s="103" t="s">
        <v>507</v>
      </c>
      <c r="D108" s="103" t="s">
        <v>507</v>
      </c>
      <c r="E108" s="104" t="s">
        <v>510</v>
      </c>
      <c r="F108" s="105" t="str">
        <f>Originals!B238</f>
        <v>MGI Cluster</v>
      </c>
      <c r="G108" s="105" t="str">
        <f>Originals!C238</f>
        <v>1.1.0.1</v>
      </c>
      <c r="H108" s="105" t="str">
        <f>Originals!D238</f>
        <v>32</v>
      </c>
      <c r="I108" s="105" t="str">
        <f>Originals!E238</f>
        <v>N/A</v>
      </c>
      <c r="J108" s="105" t="str">
        <f>Originals!F238</f>
        <v>Development</v>
      </c>
      <c r="K108" s="105" t="str">
        <f>Originals!G238</f>
        <v>MGI</v>
      </c>
      <c r="L108" s="105" t="str">
        <f>Originals!H238</f>
        <v>MGI Cluster 1.1.0.1</v>
      </c>
      <c r="M108" s="105" t="str">
        <f>Originals!I238</f>
        <v>VIPM Community</v>
      </c>
      <c r="N108" s="98" t="s">
        <v>136</v>
      </c>
    </row>
    <row r="109" spans="1:14" x14ac:dyDescent="0.25">
      <c r="A109" s="104" t="s">
        <v>510</v>
      </c>
      <c r="B109" s="104" t="s">
        <v>510</v>
      </c>
      <c r="C109" s="103" t="s">
        <v>507</v>
      </c>
      <c r="D109" s="103" t="s">
        <v>507</v>
      </c>
      <c r="E109" s="104" t="s">
        <v>510</v>
      </c>
      <c r="F109" s="105" t="str">
        <f>Originals!B239</f>
        <v>MGI Coordinates</v>
      </c>
      <c r="G109" s="105" t="str">
        <f>Originals!C239</f>
        <v>1.1.1.2</v>
      </c>
      <c r="H109" s="105" t="str">
        <f>Originals!D239</f>
        <v>32</v>
      </c>
      <c r="I109" s="105" t="str">
        <f>Originals!E239</f>
        <v>N/A</v>
      </c>
      <c r="J109" s="105" t="str">
        <f>Originals!F239</f>
        <v>Development</v>
      </c>
      <c r="K109" s="105" t="str">
        <f>Originals!G239</f>
        <v>MGI</v>
      </c>
      <c r="L109" s="105" t="str">
        <f>Originals!H239</f>
        <v>MGI Coordinates 1.1.1.2</v>
      </c>
      <c r="M109" s="105" t="str">
        <f>Originals!I239</f>
        <v>VIPM Community</v>
      </c>
      <c r="N109" s="98" t="s">
        <v>136</v>
      </c>
    </row>
    <row r="110" spans="1:14" x14ac:dyDescent="0.25">
      <c r="A110" s="104" t="s">
        <v>510</v>
      </c>
      <c r="B110" s="104" t="s">
        <v>510</v>
      </c>
      <c r="C110" s="103" t="s">
        <v>507</v>
      </c>
      <c r="D110" s="103" t="s">
        <v>507</v>
      </c>
      <c r="E110" s="104" t="s">
        <v>510</v>
      </c>
      <c r="F110" s="105" t="str">
        <f>Originals!B240</f>
        <v>MGI Error Handling</v>
      </c>
      <c r="G110" s="105" t="str">
        <f>Originals!C240</f>
        <v>1.1.1.3</v>
      </c>
      <c r="H110" s="105" t="str">
        <f>Originals!D240</f>
        <v>32</v>
      </c>
      <c r="I110" s="105" t="str">
        <f>Originals!E240</f>
        <v>N/A</v>
      </c>
      <c r="J110" s="105" t="str">
        <f>Originals!F240</f>
        <v>Development</v>
      </c>
      <c r="K110" s="105" t="str">
        <f>Originals!G240</f>
        <v>MGI</v>
      </c>
      <c r="L110" s="105" t="str">
        <f>Originals!H240</f>
        <v>MGI Error Handling 1.1.1.3</v>
      </c>
      <c r="M110" s="105" t="str">
        <f>Originals!I240</f>
        <v>VIPM Community</v>
      </c>
      <c r="N110" s="98" t="s">
        <v>136</v>
      </c>
    </row>
    <row r="111" spans="1:14" x14ac:dyDescent="0.25">
      <c r="A111" s="104" t="s">
        <v>510</v>
      </c>
      <c r="B111" s="104" t="s">
        <v>510</v>
      </c>
      <c r="C111" s="103" t="s">
        <v>507</v>
      </c>
      <c r="D111" s="103" t="s">
        <v>507</v>
      </c>
      <c r="E111" s="104" t="s">
        <v>510</v>
      </c>
      <c r="F111" s="105" t="str">
        <f>Originals!B241</f>
        <v>MGI Error Reporter</v>
      </c>
      <c r="G111" s="105" t="str">
        <f>Originals!C241</f>
        <v>1.0.2.5</v>
      </c>
      <c r="H111" s="105" t="str">
        <f>Originals!D241</f>
        <v>32</v>
      </c>
      <c r="I111" s="105" t="str">
        <f>Originals!E241</f>
        <v>N/A</v>
      </c>
      <c r="J111" s="105" t="str">
        <f>Originals!F241</f>
        <v>Development</v>
      </c>
      <c r="K111" s="105" t="str">
        <f>Originals!G241</f>
        <v>MGI</v>
      </c>
      <c r="L111" s="105" t="str">
        <f>Originals!H241</f>
        <v>MGI Error Reporter 1.0.2.5</v>
      </c>
      <c r="M111" s="105" t="str">
        <f>Originals!I241</f>
        <v>VIPM Community</v>
      </c>
      <c r="N111" s="98" t="s">
        <v>136</v>
      </c>
    </row>
    <row r="112" spans="1:14" x14ac:dyDescent="0.25">
      <c r="A112" s="104" t="s">
        <v>510</v>
      </c>
      <c r="B112" s="104" t="s">
        <v>510</v>
      </c>
      <c r="C112" s="103" t="s">
        <v>507</v>
      </c>
      <c r="D112" s="103" t="s">
        <v>507</v>
      </c>
      <c r="E112" s="104" t="s">
        <v>510</v>
      </c>
      <c r="F112" s="105" t="str">
        <f>Originals!B242</f>
        <v>MGI File</v>
      </c>
      <c r="G112" s="105" t="str">
        <f>Originals!C242</f>
        <v>1.1.0.4</v>
      </c>
      <c r="H112" s="105" t="str">
        <f>Originals!D242</f>
        <v>32</v>
      </c>
      <c r="I112" s="105" t="str">
        <f>Originals!E242</f>
        <v>N/A</v>
      </c>
      <c r="J112" s="105" t="str">
        <f>Originals!F242</f>
        <v>Development</v>
      </c>
      <c r="K112" s="105" t="str">
        <f>Originals!G242</f>
        <v>MGI</v>
      </c>
      <c r="L112" s="105" t="str">
        <f>Originals!H242</f>
        <v>MGI File 1.1.0.4</v>
      </c>
      <c r="M112" s="105" t="str">
        <f>Originals!I242</f>
        <v>VIPM Community</v>
      </c>
      <c r="N112" s="98" t="s">
        <v>136</v>
      </c>
    </row>
    <row r="113" spans="1:14" x14ac:dyDescent="0.25">
      <c r="A113" s="104" t="s">
        <v>510</v>
      </c>
      <c r="B113" s="104" t="s">
        <v>510</v>
      </c>
      <c r="C113" s="103" t="s">
        <v>507</v>
      </c>
      <c r="D113" s="103" t="s">
        <v>507</v>
      </c>
      <c r="E113" s="104" t="s">
        <v>510</v>
      </c>
      <c r="F113" s="105" t="str">
        <f>Originals!B243</f>
        <v>MGI Graph</v>
      </c>
      <c r="G113" s="105" t="str">
        <f>Originals!C243</f>
        <v>1.0.2.6</v>
      </c>
      <c r="H113" s="105" t="str">
        <f>Originals!D243</f>
        <v>32</v>
      </c>
      <c r="I113" s="105" t="str">
        <f>Originals!E243</f>
        <v>N/A</v>
      </c>
      <c r="J113" s="105" t="str">
        <f>Originals!F243</f>
        <v>Development</v>
      </c>
      <c r="K113" s="105" t="str">
        <f>Originals!G243</f>
        <v>MGI</v>
      </c>
      <c r="L113" s="105" t="str">
        <f>Originals!H243</f>
        <v>MGI Graph 1.0.2.6</v>
      </c>
      <c r="M113" s="105" t="str">
        <f>Originals!I243</f>
        <v>VIPM Community</v>
      </c>
      <c r="N113" s="98" t="s">
        <v>136</v>
      </c>
    </row>
    <row r="114" spans="1:14" x14ac:dyDescent="0.25">
      <c r="A114" s="104" t="s">
        <v>510</v>
      </c>
      <c r="B114" s="104" t="s">
        <v>510</v>
      </c>
      <c r="C114" s="103" t="s">
        <v>507</v>
      </c>
      <c r="D114" s="103" t="s">
        <v>507</v>
      </c>
      <c r="E114" s="104" t="s">
        <v>510</v>
      </c>
      <c r="F114" s="105" t="str">
        <f>Originals!B244</f>
        <v>MGI Library</v>
      </c>
      <c r="G114" s="105" t="str">
        <f>Originals!C244</f>
        <v>1.2.0.4</v>
      </c>
      <c r="H114" s="105" t="str">
        <f>Originals!D244</f>
        <v>32</v>
      </c>
      <c r="I114" s="105" t="str">
        <f>Originals!E244</f>
        <v>N/A</v>
      </c>
      <c r="J114" s="105" t="str">
        <f>Originals!F244</f>
        <v>Development</v>
      </c>
      <c r="K114" s="105" t="str">
        <f>Originals!G244</f>
        <v>MGI</v>
      </c>
      <c r="L114" s="105" t="str">
        <f>Originals!H244</f>
        <v>MGI Library 1.2.0.4</v>
      </c>
      <c r="M114" s="105" t="str">
        <f>Originals!I244</f>
        <v>VIPM Community</v>
      </c>
      <c r="N114" s="98" t="s">
        <v>136</v>
      </c>
    </row>
    <row r="115" spans="1:14" x14ac:dyDescent="0.25">
      <c r="A115" s="104" t="s">
        <v>510</v>
      </c>
      <c r="B115" s="104" t="s">
        <v>510</v>
      </c>
      <c r="C115" s="103" t="s">
        <v>507</v>
      </c>
      <c r="D115" s="103" t="s">
        <v>507</v>
      </c>
      <c r="E115" s="104" t="s">
        <v>510</v>
      </c>
      <c r="F115" s="105" t="str">
        <f>Originals!B245</f>
        <v>MGI Matrix &amp; Vector</v>
      </c>
      <c r="G115" s="105" t="str">
        <f>Originals!C245</f>
        <v>1.1.0.1</v>
      </c>
      <c r="H115" s="105" t="str">
        <f>Originals!D245</f>
        <v>32</v>
      </c>
      <c r="I115" s="105" t="str">
        <f>Originals!E245</f>
        <v>N/A</v>
      </c>
      <c r="J115" s="105" t="str">
        <f>Originals!F245</f>
        <v>Development</v>
      </c>
      <c r="K115" s="105" t="str">
        <f>Originals!G245</f>
        <v>MGI</v>
      </c>
      <c r="L115" s="105" t="str">
        <f>Originals!H245</f>
        <v>MGI Matrix &amp; Vector 1.1.0.1</v>
      </c>
      <c r="M115" s="105" t="str">
        <f>Originals!I245</f>
        <v>VIPM Community</v>
      </c>
      <c r="N115" s="98" t="s">
        <v>136</v>
      </c>
    </row>
    <row r="116" spans="1:14" x14ac:dyDescent="0.25">
      <c r="A116" s="104" t="s">
        <v>510</v>
      </c>
      <c r="B116" s="104" t="s">
        <v>510</v>
      </c>
      <c r="C116" s="103" t="s">
        <v>507</v>
      </c>
      <c r="D116" s="103" t="s">
        <v>507</v>
      </c>
      <c r="E116" s="104" t="s">
        <v>510</v>
      </c>
      <c r="F116" s="105" t="str">
        <f>Originals!B246</f>
        <v>MGI Menu Building</v>
      </c>
      <c r="G116" s="105" t="str">
        <f>Originals!C246</f>
        <v>1.0.1.4</v>
      </c>
      <c r="H116" s="105" t="str">
        <f>Originals!D246</f>
        <v>32</v>
      </c>
      <c r="I116" s="105" t="str">
        <f>Originals!E246</f>
        <v>N/A</v>
      </c>
      <c r="J116" s="105" t="str">
        <f>Originals!F246</f>
        <v>Development</v>
      </c>
      <c r="K116" s="105" t="str">
        <f>Originals!G246</f>
        <v>MGI</v>
      </c>
      <c r="L116" s="105" t="str">
        <f>Originals!H246</f>
        <v>MGI Menu Building 1.0.1.4</v>
      </c>
      <c r="M116" s="105" t="str">
        <f>Originals!I246</f>
        <v>VIPM Community</v>
      </c>
      <c r="N116" s="98" t="s">
        <v>136</v>
      </c>
    </row>
    <row r="117" spans="1:14" x14ac:dyDescent="0.25">
      <c r="A117" s="104" t="s">
        <v>510</v>
      </c>
      <c r="B117" s="104" t="s">
        <v>510</v>
      </c>
      <c r="C117" s="103" t="s">
        <v>507</v>
      </c>
      <c r="D117" s="103" t="s">
        <v>507</v>
      </c>
      <c r="E117" s="104" t="s">
        <v>510</v>
      </c>
      <c r="F117" s="105" t="str">
        <f>Originals!B247</f>
        <v>MGI Monitored Actor</v>
      </c>
      <c r="G117" s="105" t="str">
        <f>Originals!C247</f>
        <v>2.0.0.23</v>
      </c>
      <c r="H117" s="105" t="str">
        <f>Originals!D247</f>
        <v>32</v>
      </c>
      <c r="I117" s="105" t="str">
        <f>Originals!E247</f>
        <v>N/A</v>
      </c>
      <c r="J117" s="105" t="str">
        <f>Originals!F247</f>
        <v>Development</v>
      </c>
      <c r="K117" s="105" t="str">
        <f>Originals!G247</f>
        <v>MGI</v>
      </c>
      <c r="L117" s="105" t="str">
        <f>Originals!H247</f>
        <v>MGI Monitored Actor 2.0.0.23</v>
      </c>
      <c r="M117" s="105" t="str">
        <f>Originals!I247</f>
        <v>VIPM Community</v>
      </c>
      <c r="N117" s="98" t="s">
        <v>136</v>
      </c>
    </row>
    <row r="118" spans="1:14" x14ac:dyDescent="0.25">
      <c r="A118" s="104" t="s">
        <v>510</v>
      </c>
      <c r="B118" s="104" t="s">
        <v>510</v>
      </c>
      <c r="C118" s="103" t="s">
        <v>507</v>
      </c>
      <c r="D118" s="103" t="s">
        <v>507</v>
      </c>
      <c r="E118" s="104" t="s">
        <v>510</v>
      </c>
      <c r="F118" s="105" t="str">
        <f>Originals!B248</f>
        <v>MGI Numeric</v>
      </c>
      <c r="G118" s="105" t="str">
        <f>Originals!C248</f>
        <v>1.1.0.2</v>
      </c>
      <c r="H118" s="105" t="str">
        <f>Originals!D248</f>
        <v>32</v>
      </c>
      <c r="I118" s="105" t="str">
        <f>Originals!E248</f>
        <v>N/A</v>
      </c>
      <c r="J118" s="105" t="str">
        <f>Originals!F248</f>
        <v>Development</v>
      </c>
      <c r="K118" s="105" t="str">
        <f>Originals!G248</f>
        <v>MGI</v>
      </c>
      <c r="L118" s="105" t="str">
        <f>Originals!H248</f>
        <v>MGI Numeric 1.1.0.2</v>
      </c>
      <c r="M118" s="105" t="str">
        <f>Originals!I248</f>
        <v>VIPM Community</v>
      </c>
      <c r="N118" s="98" t="s">
        <v>136</v>
      </c>
    </row>
    <row r="119" spans="1:14" x14ac:dyDescent="0.25">
      <c r="A119" s="104" t="s">
        <v>510</v>
      </c>
      <c r="B119" s="104" t="s">
        <v>510</v>
      </c>
      <c r="C119" s="103" t="s">
        <v>507</v>
      </c>
      <c r="D119" s="103" t="s">
        <v>507</v>
      </c>
      <c r="E119" s="104" t="s">
        <v>510</v>
      </c>
      <c r="F119" s="105" t="str">
        <f>Originals!B249</f>
        <v>MGI Panel Manager</v>
      </c>
      <c r="G119" s="105" t="str">
        <f>Originals!C249</f>
        <v>1.0.1.4</v>
      </c>
      <c r="H119" s="105" t="str">
        <f>Originals!D249</f>
        <v>32</v>
      </c>
      <c r="I119" s="105" t="str">
        <f>Originals!E249</f>
        <v>N/A</v>
      </c>
      <c r="J119" s="105" t="str">
        <f>Originals!F249</f>
        <v>Development</v>
      </c>
      <c r="K119" s="105" t="str">
        <f>Originals!G249</f>
        <v>MGI</v>
      </c>
      <c r="L119" s="105" t="str">
        <f>Originals!H249</f>
        <v>MGI Panel Manager 1.0.1.4</v>
      </c>
      <c r="M119" s="105" t="str">
        <f>Originals!I249</f>
        <v>VIPM Community</v>
      </c>
      <c r="N119" s="98" t="s">
        <v>136</v>
      </c>
    </row>
    <row r="120" spans="1:14" x14ac:dyDescent="0.25">
      <c r="A120" s="104" t="s">
        <v>510</v>
      </c>
      <c r="B120" s="104" t="s">
        <v>510</v>
      </c>
      <c r="C120" s="103" t="s">
        <v>507</v>
      </c>
      <c r="D120" s="103" t="s">
        <v>507</v>
      </c>
      <c r="E120" s="104" t="s">
        <v>510</v>
      </c>
      <c r="F120" s="105" t="str">
        <f>Originals!B250</f>
        <v>MGI Panel Manager - DQMH Panels</v>
      </c>
      <c r="G120" s="105" t="str">
        <f>Originals!C250</f>
        <v>1.0.1.6</v>
      </c>
      <c r="H120" s="105" t="str">
        <f>Originals!D250</f>
        <v>32</v>
      </c>
      <c r="I120" s="105" t="str">
        <f>Originals!E250</f>
        <v>N/A</v>
      </c>
      <c r="J120" s="105" t="str">
        <f>Originals!F250</f>
        <v>Development</v>
      </c>
      <c r="K120" s="105" t="str">
        <f>Originals!G250</f>
        <v>MGI</v>
      </c>
      <c r="L120" s="105" t="str">
        <f>Originals!H250</f>
        <v>MGI Panel Manager - DQMH Panels 1.0.1.6</v>
      </c>
      <c r="M120" s="105" t="str">
        <f>Originals!I250</f>
        <v>VIPM Community</v>
      </c>
      <c r="N120" s="98" t="s">
        <v>136</v>
      </c>
    </row>
    <row r="121" spans="1:14" x14ac:dyDescent="0.25">
      <c r="A121" s="104" t="s">
        <v>510</v>
      </c>
      <c r="B121" s="104" t="s">
        <v>510</v>
      </c>
      <c r="C121" s="103" t="s">
        <v>507</v>
      </c>
      <c r="D121" s="103" t="s">
        <v>507</v>
      </c>
      <c r="E121" s="104" t="s">
        <v>510</v>
      </c>
      <c r="F121" s="105" t="str">
        <f>Originals!B251</f>
        <v>MGI Picture &amp; Image</v>
      </c>
      <c r="G121" s="105" t="str">
        <f>Originals!C251</f>
        <v>1.0.2.1</v>
      </c>
      <c r="H121" s="105" t="str">
        <f>Originals!D251</f>
        <v>32</v>
      </c>
      <c r="I121" s="105" t="str">
        <f>Originals!E251</f>
        <v>N/A</v>
      </c>
      <c r="J121" s="105" t="str">
        <f>Originals!F251</f>
        <v>Development</v>
      </c>
      <c r="K121" s="105" t="str">
        <f>Originals!G251</f>
        <v>MGI</v>
      </c>
      <c r="L121" s="105" t="str">
        <f>Originals!H251</f>
        <v>MGI Picture &amp; Image 1.0.2.1</v>
      </c>
      <c r="M121" s="105" t="str">
        <f>Originals!I251</f>
        <v>VIPM Community</v>
      </c>
      <c r="N121" s="98" t="s">
        <v>136</v>
      </c>
    </row>
    <row r="122" spans="1:14" x14ac:dyDescent="0.25">
      <c r="A122" s="104" t="s">
        <v>510</v>
      </c>
      <c r="B122" s="104" t="s">
        <v>510</v>
      </c>
      <c r="C122" s="103" t="s">
        <v>507</v>
      </c>
      <c r="D122" s="103" t="s">
        <v>507</v>
      </c>
      <c r="E122" s="104" t="s">
        <v>510</v>
      </c>
      <c r="F122" s="105" t="str">
        <f>Originals!B252</f>
        <v>MGI Read/Write Anything</v>
      </c>
      <c r="G122" s="105" t="str">
        <f>Originals!C252</f>
        <v>2.1.4.4</v>
      </c>
      <c r="H122" s="105" t="str">
        <f>Originals!D252</f>
        <v>32</v>
      </c>
      <c r="I122" s="105" t="str">
        <f>Originals!E252</f>
        <v>N/A</v>
      </c>
      <c r="J122" s="105" t="str">
        <f>Originals!F252</f>
        <v>Development</v>
      </c>
      <c r="K122" s="105" t="str">
        <f>Originals!G252</f>
        <v>MGI</v>
      </c>
      <c r="L122" s="105" t="str">
        <f>Originals!H252</f>
        <v>MGI Read/Write Anything 2.1.4.4</v>
      </c>
      <c r="M122" s="105" t="str">
        <f>Originals!I252</f>
        <v>VIPM Community</v>
      </c>
      <c r="N122" s="98" t="s">
        <v>136</v>
      </c>
    </row>
    <row r="123" spans="1:14" x14ac:dyDescent="0.25">
      <c r="A123" s="104" t="s">
        <v>510</v>
      </c>
      <c r="B123" s="104" t="s">
        <v>510</v>
      </c>
      <c r="C123" s="103" t="s">
        <v>507</v>
      </c>
      <c r="D123" s="103" t="s">
        <v>507</v>
      </c>
      <c r="E123" s="104" t="s">
        <v>510</v>
      </c>
      <c r="F123" s="105" t="str">
        <f>Originals!B253</f>
        <v>MGI Robust XML</v>
      </c>
      <c r="G123" s="105" t="str">
        <f>Originals!C253</f>
        <v>1.0.3.4</v>
      </c>
      <c r="H123" s="105" t="str">
        <f>Originals!D253</f>
        <v>32</v>
      </c>
      <c r="I123" s="105" t="str">
        <f>Originals!E253</f>
        <v>N/A</v>
      </c>
      <c r="J123" s="105" t="str">
        <f>Originals!F253</f>
        <v>Development</v>
      </c>
      <c r="K123" s="105" t="str">
        <f>Originals!G253</f>
        <v>MGI</v>
      </c>
      <c r="L123" s="105" t="str">
        <f>Originals!H253</f>
        <v>MGI Robust XML 1.0.3.4</v>
      </c>
      <c r="M123" s="105" t="str">
        <f>Originals!I253</f>
        <v>VIPM Community</v>
      </c>
      <c r="N123" s="98" t="s">
        <v>136</v>
      </c>
    </row>
    <row r="124" spans="1:14" x14ac:dyDescent="0.25">
      <c r="A124" s="104" t="s">
        <v>510</v>
      </c>
      <c r="B124" s="104" t="s">
        <v>510</v>
      </c>
      <c r="C124" s="103" t="s">
        <v>507</v>
      </c>
      <c r="D124" s="103" t="s">
        <v>507</v>
      </c>
      <c r="E124" s="104" t="s">
        <v>510</v>
      </c>
      <c r="F124" s="105" t="str">
        <f>Originals!B254</f>
        <v>MGI Spline</v>
      </c>
      <c r="G124" s="105" t="str">
        <f>Originals!C254</f>
        <v>1.1.0.1</v>
      </c>
      <c r="H124" s="105" t="str">
        <f>Originals!D254</f>
        <v>32</v>
      </c>
      <c r="I124" s="105" t="str">
        <f>Originals!E254</f>
        <v>N/A</v>
      </c>
      <c r="J124" s="105" t="str">
        <f>Originals!F254</f>
        <v>Development</v>
      </c>
      <c r="K124" s="105" t="str">
        <f>Originals!G254</f>
        <v>MGI</v>
      </c>
      <c r="L124" s="105" t="str">
        <f>Originals!H254</f>
        <v>MGI Spline 1.1.0.1</v>
      </c>
      <c r="M124" s="105" t="str">
        <f>Originals!I254</f>
        <v>VIPM Community</v>
      </c>
      <c r="N124" s="98" t="s">
        <v>136</v>
      </c>
    </row>
    <row r="125" spans="1:14" x14ac:dyDescent="0.25">
      <c r="A125" s="104" t="s">
        <v>510</v>
      </c>
      <c r="B125" s="104" t="s">
        <v>510</v>
      </c>
      <c r="C125" s="103" t="s">
        <v>507</v>
      </c>
      <c r="D125" s="103" t="s">
        <v>507</v>
      </c>
      <c r="E125" s="104" t="s">
        <v>510</v>
      </c>
      <c r="F125" s="105" t="str">
        <f>Originals!B255</f>
        <v>MGI String</v>
      </c>
      <c r="G125" s="105" t="str">
        <f>Originals!C255</f>
        <v>1.1.1.5</v>
      </c>
      <c r="H125" s="105" t="str">
        <f>Originals!D255</f>
        <v>32</v>
      </c>
      <c r="I125" s="105" t="str">
        <f>Originals!E255</f>
        <v>N/A</v>
      </c>
      <c r="J125" s="105" t="str">
        <f>Originals!F255</f>
        <v>Development</v>
      </c>
      <c r="K125" s="105" t="str">
        <f>Originals!G255</f>
        <v>MGI</v>
      </c>
      <c r="L125" s="105" t="str">
        <f>Originals!H255</f>
        <v>MGI String 1.1.1.5</v>
      </c>
      <c r="M125" s="105" t="str">
        <f>Originals!I255</f>
        <v>VIPM Community</v>
      </c>
      <c r="N125" s="98" t="s">
        <v>136</v>
      </c>
    </row>
    <row r="126" spans="1:14" x14ac:dyDescent="0.25">
      <c r="A126" s="104" t="s">
        <v>510</v>
      </c>
      <c r="B126" s="104" t="s">
        <v>510</v>
      </c>
      <c r="C126" s="103" t="s">
        <v>507</v>
      </c>
      <c r="D126" s="103" t="s">
        <v>507</v>
      </c>
      <c r="E126" s="104" t="s">
        <v>510</v>
      </c>
      <c r="F126" s="105" t="str">
        <f>Originals!B256</f>
        <v>MGI Timing</v>
      </c>
      <c r="G126" s="105" t="str">
        <f>Originals!C256</f>
        <v>1.1.0.2</v>
      </c>
      <c r="H126" s="105" t="str">
        <f>Originals!D256</f>
        <v>32</v>
      </c>
      <c r="I126" s="105" t="str">
        <f>Originals!E256</f>
        <v>N/A</v>
      </c>
      <c r="J126" s="105" t="str">
        <f>Originals!F256</f>
        <v>Development</v>
      </c>
      <c r="K126" s="105" t="str">
        <f>Originals!G256</f>
        <v>MGI</v>
      </c>
      <c r="L126" s="105" t="str">
        <f>Originals!H256</f>
        <v>MGI Timing 1.1.0.2</v>
      </c>
      <c r="M126" s="105" t="str">
        <f>Originals!I256</f>
        <v>VIPM Community</v>
      </c>
      <c r="N126" s="98" t="s">
        <v>136</v>
      </c>
    </row>
    <row r="127" spans="1:14" x14ac:dyDescent="0.25">
      <c r="A127" s="104" t="s">
        <v>510</v>
      </c>
      <c r="B127" s="104" t="s">
        <v>510</v>
      </c>
      <c r="C127" s="103" t="s">
        <v>507</v>
      </c>
      <c r="D127" s="103" t="s">
        <v>507</v>
      </c>
      <c r="E127" s="104" t="s">
        <v>510</v>
      </c>
      <c r="F127" s="105" t="str">
        <f>Originals!B257</f>
        <v>MGI Tools</v>
      </c>
      <c r="G127" s="105" t="str">
        <f>Originals!C257</f>
        <v>1.0.0.4</v>
      </c>
      <c r="H127" s="105" t="str">
        <f>Originals!D257</f>
        <v>32</v>
      </c>
      <c r="I127" s="105" t="str">
        <f>Originals!E257</f>
        <v>N/A</v>
      </c>
      <c r="J127" s="105" t="str">
        <f>Originals!F257</f>
        <v>Development</v>
      </c>
      <c r="K127" s="105" t="str">
        <f>Originals!G257</f>
        <v>MGI</v>
      </c>
      <c r="L127" s="105" t="str">
        <f>Originals!H257</f>
        <v>MGI Tools 1.0.0.4</v>
      </c>
      <c r="M127" s="105" t="str">
        <f>Originals!I257</f>
        <v>VIPM Community</v>
      </c>
      <c r="N127" s="98" t="s">
        <v>136</v>
      </c>
    </row>
    <row r="128" spans="1:14" x14ac:dyDescent="0.25">
      <c r="A128" s="104" t="s">
        <v>510</v>
      </c>
      <c r="B128" s="104" t="s">
        <v>510</v>
      </c>
      <c r="C128" s="103" t="s">
        <v>507</v>
      </c>
      <c r="D128" s="103" t="s">
        <v>507</v>
      </c>
      <c r="E128" s="104" t="s">
        <v>510</v>
      </c>
      <c r="F128" s="105" t="str">
        <f>Originals!B258</f>
        <v>MGI Tree</v>
      </c>
      <c r="G128" s="105" t="str">
        <f>Originals!C258</f>
        <v>1.0.4.4</v>
      </c>
      <c r="H128" s="105" t="str">
        <f>Originals!D258</f>
        <v>32</v>
      </c>
      <c r="I128" s="105" t="str">
        <f>Originals!E258</f>
        <v>N/A</v>
      </c>
      <c r="J128" s="105" t="str">
        <f>Originals!F258</f>
        <v>Development</v>
      </c>
      <c r="K128" s="105" t="str">
        <f>Originals!G258</f>
        <v>MGI</v>
      </c>
      <c r="L128" s="105" t="str">
        <f>Originals!H258</f>
        <v>MGI Tree 1.0.4.4</v>
      </c>
      <c r="M128" s="105" t="str">
        <f>Originals!I258</f>
        <v>VIPM Community</v>
      </c>
      <c r="N128" s="98" t="s">
        <v>136</v>
      </c>
    </row>
    <row r="129" spans="1:14" x14ac:dyDescent="0.25">
      <c r="A129" s="104" t="s">
        <v>510</v>
      </c>
      <c r="B129" s="104" t="s">
        <v>510</v>
      </c>
      <c r="C129" s="103" t="s">
        <v>507</v>
      </c>
      <c r="D129" s="103" t="s">
        <v>507</v>
      </c>
      <c r="E129" s="104" t="s">
        <v>510</v>
      </c>
      <c r="F129" s="105" t="str">
        <f>Originals!B259</f>
        <v>MGI User Interface</v>
      </c>
      <c r="G129" s="105" t="str">
        <f>Originals!C259</f>
        <v>1.0.1.11</v>
      </c>
      <c r="H129" s="105" t="str">
        <f>Originals!D259</f>
        <v>32</v>
      </c>
      <c r="I129" s="105" t="str">
        <f>Originals!E259</f>
        <v>N/A</v>
      </c>
      <c r="J129" s="105" t="str">
        <f>Originals!F259</f>
        <v>Development</v>
      </c>
      <c r="K129" s="105" t="str">
        <f>Originals!G259</f>
        <v>MGI</v>
      </c>
      <c r="L129" s="105" t="str">
        <f>Originals!H259</f>
        <v>MGI User Interface 1.0.1.11</v>
      </c>
      <c r="M129" s="105" t="str">
        <f>Originals!I259</f>
        <v>VIPM Community</v>
      </c>
      <c r="N129" s="98" t="s">
        <v>136</v>
      </c>
    </row>
    <row r="130" spans="1:14" x14ac:dyDescent="0.25">
      <c r="A130" s="104" t="s">
        <v>510</v>
      </c>
      <c r="B130" s="104" t="s">
        <v>510</v>
      </c>
      <c r="C130" s="103" t="s">
        <v>507</v>
      </c>
      <c r="D130" s="103" t="s">
        <v>507</v>
      </c>
      <c r="E130" s="104" t="s">
        <v>510</v>
      </c>
      <c r="F130" s="105" t="str">
        <f>Originals!B260</f>
        <v>MGI WSA Framework</v>
      </c>
      <c r="G130" s="105" t="str">
        <f>Originals!C260</f>
        <v>1.0.0.27</v>
      </c>
      <c r="H130" s="105" t="str">
        <f>Originals!D260</f>
        <v>32</v>
      </c>
      <c r="I130" s="105" t="str">
        <f>Originals!E260</f>
        <v>N/A</v>
      </c>
      <c r="J130" s="105" t="str">
        <f>Originals!F260</f>
        <v>Development</v>
      </c>
      <c r="K130" s="105" t="str">
        <f>Originals!G260</f>
        <v>MGI</v>
      </c>
      <c r="L130" s="105" t="str">
        <f>Originals!H260</f>
        <v>MGI WSA Framework 1.0.0.27</v>
      </c>
      <c r="M130" s="105" t="str">
        <f>Originals!I260</f>
        <v>VIPM Community</v>
      </c>
      <c r="N130" s="98" t="s">
        <v>136</v>
      </c>
    </row>
    <row r="131" spans="1:14" x14ac:dyDescent="0.25">
      <c r="A131" s="104" t="s">
        <v>510</v>
      </c>
      <c r="B131" s="104" t="s">
        <v>510</v>
      </c>
      <c r="C131" s="103" t="s">
        <v>507</v>
      </c>
      <c r="D131" s="104" t="s">
        <v>510</v>
      </c>
      <c r="E131" s="104" t="s">
        <v>510</v>
      </c>
      <c r="F131" s="106" t="str">
        <f>Originals!B261</f>
        <v>Network Configuration Web Support</v>
      </c>
      <c r="G131" s="106" t="str">
        <f>Originals!C261</f>
        <v>15.0.0</v>
      </c>
      <c r="H131" s="106" t="str">
        <f>Originals!D261</f>
        <v>32</v>
      </c>
      <c r="I131" s="106" t="str">
        <f>Originals!E261</f>
        <v>2015</v>
      </c>
      <c r="J131" s="106" t="str">
        <f>Originals!F261</f>
        <v>C-RIO</v>
      </c>
      <c r="K131" s="106" t="str">
        <f>Originals!G261</f>
        <v>NI</v>
      </c>
      <c r="L131" s="106" t="str">
        <f>Originals!H261</f>
        <v>Network Configuration Web Support 15.0.0</v>
      </c>
      <c r="M131" s="106">
        <f>Originals!I261</f>
        <v>0</v>
      </c>
      <c r="N131" s="107" t="s">
        <v>2</v>
      </c>
    </row>
    <row r="132" spans="1:14" x14ac:dyDescent="0.25">
      <c r="A132" s="104" t="s">
        <v>510</v>
      </c>
      <c r="B132" s="104" t="s">
        <v>510</v>
      </c>
      <c r="C132" s="103" t="s">
        <v>507</v>
      </c>
      <c r="D132" s="104" t="s">
        <v>510</v>
      </c>
      <c r="E132" s="104" t="s">
        <v>510</v>
      </c>
      <c r="F132" s="106" t="str">
        <f>Originals!B262</f>
        <v>Network Streams</v>
      </c>
      <c r="G132" s="106" t="str">
        <f>Originals!C262</f>
        <v>15.0</v>
      </c>
      <c r="H132" s="106" t="str">
        <f>Originals!D262</f>
        <v>32</v>
      </c>
      <c r="I132" s="106" t="str">
        <f>Originals!E262</f>
        <v>2015</v>
      </c>
      <c r="J132" s="106" t="str">
        <f>Originals!F262</f>
        <v>C-RIO</v>
      </c>
      <c r="K132" s="106" t="str">
        <f>Originals!G262</f>
        <v>NI</v>
      </c>
      <c r="L132" s="106" t="str">
        <f>Originals!H262</f>
        <v>Network Streams 15.0</v>
      </c>
      <c r="M132" s="106">
        <f>Originals!I262</f>
        <v>0</v>
      </c>
      <c r="N132" s="107" t="s">
        <v>2</v>
      </c>
    </row>
    <row r="133" spans="1:14" x14ac:dyDescent="0.25">
      <c r="A133" s="104" t="s">
        <v>510</v>
      </c>
      <c r="B133" s="104" t="s">
        <v>510</v>
      </c>
      <c r="C133" s="103" t="s">
        <v>507</v>
      </c>
      <c r="D133" s="104" t="s">
        <v>510</v>
      </c>
      <c r="E133" s="104" t="s">
        <v>510</v>
      </c>
      <c r="F133" s="106" t="str">
        <f>Originals!B263</f>
        <v>Network Variable Engine</v>
      </c>
      <c r="G133" s="106" t="str">
        <f>Originals!C263</f>
        <v>15.0.0</v>
      </c>
      <c r="H133" s="106" t="str">
        <f>Originals!D263</f>
        <v>32</v>
      </c>
      <c r="I133" s="106" t="str">
        <f>Originals!E263</f>
        <v>2015</v>
      </c>
      <c r="J133" s="106" t="str">
        <f>Originals!F263</f>
        <v>C-RIO</v>
      </c>
      <c r="K133" s="106" t="str">
        <f>Originals!G263</f>
        <v>NI</v>
      </c>
      <c r="L133" s="106" t="str">
        <f>Originals!H263</f>
        <v>Network Variable Engine 15.0.0</v>
      </c>
      <c r="M133" s="106">
        <f>Originals!I263</f>
        <v>0</v>
      </c>
      <c r="N133" s="107" t="s">
        <v>2</v>
      </c>
    </row>
    <row r="134" spans="1:14" x14ac:dyDescent="0.25">
      <c r="A134" s="103" t="s">
        <v>507</v>
      </c>
      <c r="B134" s="103" t="s">
        <v>507</v>
      </c>
      <c r="C134" s="103" t="s">
        <v>507</v>
      </c>
      <c r="D134" s="103" t="s">
        <v>507</v>
      </c>
      <c r="E134" s="104" t="s">
        <v>510</v>
      </c>
      <c r="F134" s="105" t="str">
        <f>Originals!B27</f>
        <v>NI 1588-2008 Network Management</v>
      </c>
      <c r="G134" s="105" t="str">
        <f>Originals!C27</f>
        <v>15.0.0f0</v>
      </c>
      <c r="H134" s="105" t="str">
        <f>Originals!D27</f>
        <v>32</v>
      </c>
      <c r="I134" s="105" t="str">
        <f>Originals!E27</f>
        <v>2015</v>
      </c>
      <c r="J134" s="105" t="str">
        <f>Originals!F27</f>
        <v>Development</v>
      </c>
      <c r="K134" s="105" t="str">
        <f>Originals!G27</f>
        <v>NI</v>
      </c>
      <c r="L134" s="105" t="str">
        <f>Originals!H27</f>
        <v>NI 1588-2008 Network Management 15.0.0f0</v>
      </c>
      <c r="M134" s="105" t="str">
        <f>Originals!I27</f>
        <v>NI Developer Suite 2015 DS2 Install</v>
      </c>
      <c r="N134" s="98" t="s">
        <v>136</v>
      </c>
    </row>
    <row r="135" spans="1:14" x14ac:dyDescent="0.25">
      <c r="A135" s="104" t="s">
        <v>510</v>
      </c>
      <c r="B135" s="104" t="s">
        <v>510</v>
      </c>
      <c r="C135" s="103" t="s">
        <v>507</v>
      </c>
      <c r="D135" s="103" t="s">
        <v>507</v>
      </c>
      <c r="E135" s="104" t="s">
        <v>510</v>
      </c>
      <c r="F135" s="105" t="str">
        <f>Originals!B265</f>
        <v>NI Asynchronous Message Communication (AMC) Library</v>
      </c>
      <c r="G135" s="105" t="str">
        <f>Originals!C265</f>
        <v>3.3.1.22</v>
      </c>
      <c r="H135" s="105" t="str">
        <f>Originals!D265</f>
        <v>32</v>
      </c>
      <c r="I135" s="105" t="str">
        <f>Originals!E265</f>
        <v>N/A</v>
      </c>
      <c r="J135" s="105" t="str">
        <f>Originals!F265</f>
        <v>Development</v>
      </c>
      <c r="K135" s="105" t="str">
        <f>Originals!G265</f>
        <v>NI</v>
      </c>
      <c r="L135" s="105" t="str">
        <f>Originals!H265</f>
        <v>NI Asynchronous Message Communication (AMC) Library 3.3.1.22</v>
      </c>
      <c r="M135" s="105" t="str">
        <f>Originals!I265</f>
        <v>VIPM Community</v>
      </c>
      <c r="N135" s="98" t="s">
        <v>136</v>
      </c>
    </row>
    <row r="136" spans="1:14" x14ac:dyDescent="0.25">
      <c r="A136" s="104" t="s">
        <v>510</v>
      </c>
      <c r="B136" s="104" t="s">
        <v>510</v>
      </c>
      <c r="C136" s="103" t="s">
        <v>507</v>
      </c>
      <c r="D136" s="104" t="s">
        <v>510</v>
      </c>
      <c r="E136" s="104" t="s">
        <v>510</v>
      </c>
      <c r="F136" s="106" t="str">
        <f>Originals!B266</f>
        <v>NI CompactRIO</v>
      </c>
      <c r="G136" s="106" t="str">
        <f>Originals!C266</f>
        <v>15.5</v>
      </c>
      <c r="H136" s="106" t="str">
        <f>Originals!D266</f>
        <v>32</v>
      </c>
      <c r="I136" s="106" t="str">
        <f>Originals!E266</f>
        <v>2018</v>
      </c>
      <c r="J136" s="106" t="str">
        <f>Originals!F266</f>
        <v>C-RIO</v>
      </c>
      <c r="K136" s="106" t="str">
        <f>Originals!G266</f>
        <v>NI</v>
      </c>
      <c r="L136" s="106" t="str">
        <f>Originals!H266</f>
        <v>NI CompactRIO 15.5</v>
      </c>
      <c r="M136" s="106">
        <f>Originals!I266</f>
        <v>0</v>
      </c>
      <c r="N136" s="107" t="s">
        <v>2</v>
      </c>
    </row>
    <row r="137" spans="1:14" x14ac:dyDescent="0.25">
      <c r="A137" s="104" t="s">
        <v>510</v>
      </c>
      <c r="B137" s="104" t="s">
        <v>510</v>
      </c>
      <c r="C137" s="103" t="s">
        <v>507</v>
      </c>
      <c r="D137" s="103" t="s">
        <v>507</v>
      </c>
      <c r="E137" s="104" t="s">
        <v>510</v>
      </c>
      <c r="F137" s="105" t="str">
        <f>Originals!B267</f>
        <v>NI CompactRIO Information (CRI) Library</v>
      </c>
      <c r="G137" s="105" t="str">
        <f>Originals!C267</f>
        <v>2015.0.0.1</v>
      </c>
      <c r="H137" s="105" t="str">
        <f>Originals!D267</f>
        <v>32</v>
      </c>
      <c r="I137" s="105" t="str">
        <f>Originals!E267</f>
        <v>2015</v>
      </c>
      <c r="J137" s="105" t="str">
        <f>Originals!F267</f>
        <v>Development</v>
      </c>
      <c r="K137" s="105" t="str">
        <f>Originals!G267</f>
        <v>NI</v>
      </c>
      <c r="L137" s="105" t="str">
        <f>Originals!H267</f>
        <v>NI CompactRIO Information (CRI) Library 2015.0.0.1</v>
      </c>
      <c r="M137" s="105" t="str">
        <f>Originals!I267</f>
        <v>VIPM Community</v>
      </c>
      <c r="N137" s="98" t="s">
        <v>136</v>
      </c>
    </row>
    <row r="138" spans="1:14" x14ac:dyDescent="0.25">
      <c r="A138" s="104" t="s">
        <v>510</v>
      </c>
      <c r="B138" s="104" t="s">
        <v>510</v>
      </c>
      <c r="C138" s="103" t="s">
        <v>507</v>
      </c>
      <c r="D138" s="103" t="s">
        <v>507</v>
      </c>
      <c r="E138" s="104" t="s">
        <v>510</v>
      </c>
      <c r="F138" s="105" t="str">
        <f>Originals!B268</f>
        <v>NI GXML</v>
      </c>
      <c r="G138" s="105" t="str">
        <f>Originals!C268</f>
        <v>1.4.2.8</v>
      </c>
      <c r="H138" s="105" t="str">
        <f>Originals!D268</f>
        <v>32</v>
      </c>
      <c r="I138" s="105" t="str">
        <f>Originals!E268</f>
        <v>N/A</v>
      </c>
      <c r="J138" s="105" t="str">
        <f>Originals!F268</f>
        <v>Development</v>
      </c>
      <c r="K138" s="105" t="str">
        <f>Originals!G268</f>
        <v>NI</v>
      </c>
      <c r="L138" s="105" t="str">
        <f>Originals!H268</f>
        <v>NI GXML 1.4.2.8</v>
      </c>
      <c r="M138" s="105" t="str">
        <f>Originals!I268</f>
        <v>VIPM Community</v>
      </c>
      <c r="N138" s="98" t="s">
        <v>136</v>
      </c>
    </row>
    <row r="139" spans="1:14" x14ac:dyDescent="0.25">
      <c r="A139" s="103" t="s">
        <v>507</v>
      </c>
      <c r="B139" s="103" t="s">
        <v>507</v>
      </c>
      <c r="C139" s="104" t="s">
        <v>510</v>
      </c>
      <c r="D139" s="104" t="s">
        <v>510</v>
      </c>
      <c r="E139" s="104" t="s">
        <v>510</v>
      </c>
      <c r="F139" s="105" t="str">
        <f>Originals!B28</f>
        <v>NI I/O Trace</v>
      </c>
      <c r="G139" s="105" t="str">
        <f>Originals!C28</f>
        <v>15.0.0f0</v>
      </c>
      <c r="H139" s="105" t="str">
        <f>Originals!D28</f>
        <v>32</v>
      </c>
      <c r="I139" s="105" t="str">
        <f>Originals!E28</f>
        <v>2015</v>
      </c>
      <c r="J139" s="105" t="str">
        <f>Originals!F28</f>
        <v>Development</v>
      </c>
      <c r="K139" s="105" t="str">
        <f>Originals!G28</f>
        <v>NI</v>
      </c>
      <c r="L139" s="105" t="str">
        <f>Originals!H28</f>
        <v>NI I/O Trace 15.0.0f0</v>
      </c>
      <c r="M139" s="105" t="str">
        <f>Originals!I28</f>
        <v>NI Developer Suite 2015 DS2 Install</v>
      </c>
      <c r="N139" s="98" t="s">
        <v>136</v>
      </c>
    </row>
    <row r="140" spans="1:14" x14ac:dyDescent="0.25">
      <c r="A140" s="104" t="s">
        <v>510</v>
      </c>
      <c r="B140" s="104" t="s">
        <v>510</v>
      </c>
      <c r="C140" s="103" t="s">
        <v>507</v>
      </c>
      <c r="D140" s="104" t="s">
        <v>510</v>
      </c>
      <c r="E140" s="104" t="s">
        <v>510</v>
      </c>
      <c r="F140" s="106" t="str">
        <f>Originals!B269</f>
        <v>NI I/O Trace</v>
      </c>
      <c r="G140" s="106" t="str">
        <f>Originals!C269</f>
        <v>18.5.0f0</v>
      </c>
      <c r="H140" s="106" t="str">
        <f>Originals!D269</f>
        <v>32</v>
      </c>
      <c r="I140" s="106" t="str">
        <f>Originals!E269</f>
        <v>2018</v>
      </c>
      <c r="J140" s="106" t="str">
        <f>Originals!F269</f>
        <v>Development</v>
      </c>
      <c r="K140" s="106" t="str">
        <f>Originals!G269</f>
        <v>NI</v>
      </c>
      <c r="L140" s="106" t="str">
        <f>Originals!H269</f>
        <v>NI I/O Trace 18.5.0f0</v>
      </c>
      <c r="M140" s="106" t="str">
        <f>Originals!I269</f>
        <v>NI Developer Suite 2015 DS2 Install</v>
      </c>
      <c r="N140" s="107" t="s">
        <v>2</v>
      </c>
    </row>
    <row r="141" spans="1:14" hidden="1" x14ac:dyDescent="0.25">
      <c r="A141" s="104" t="s">
        <v>510</v>
      </c>
      <c r="B141" s="104" t="s">
        <v>510</v>
      </c>
      <c r="C141" s="104" t="s">
        <v>510</v>
      </c>
      <c r="D141" s="104" t="s">
        <v>510</v>
      </c>
      <c r="E141" s="103" t="s">
        <v>507</v>
      </c>
      <c r="F141" s="114" t="str">
        <f>Originals!B380</f>
        <v>NI I/O Trace</v>
      </c>
      <c r="G141" s="114" t="str">
        <f>Originals!C380</f>
        <v>18.1</v>
      </c>
      <c r="H141" s="114" t="str">
        <f>Originals!D380</f>
        <v>32</v>
      </c>
      <c r="I141" s="114" t="str">
        <f>Originals!E380</f>
        <v>2018</v>
      </c>
      <c r="J141" s="114" t="str">
        <f>Originals!F380</f>
        <v>Development</v>
      </c>
      <c r="K141" s="114" t="str">
        <f>Originals!G380</f>
        <v>NI</v>
      </c>
      <c r="L141" s="114" t="str">
        <f>Originals!H380</f>
        <v>NI I/O Trace 18.1</v>
      </c>
      <c r="M141" s="114">
        <f>Originals!I380</f>
        <v>0</v>
      </c>
      <c r="N141" s="115" t="s">
        <v>466</v>
      </c>
    </row>
    <row r="142" spans="1:14" hidden="1" x14ac:dyDescent="0.25">
      <c r="A142" s="104" t="s">
        <v>510</v>
      </c>
      <c r="B142" s="104" t="s">
        <v>510</v>
      </c>
      <c r="C142" s="104" t="s">
        <v>510</v>
      </c>
      <c r="D142" s="103" t="s">
        <v>507</v>
      </c>
      <c r="E142" s="104" t="s">
        <v>510</v>
      </c>
      <c r="F142" s="108" t="str">
        <f>Scott!B39</f>
        <v>JKI State Machine Objects (SMO)</v>
      </c>
      <c r="G142" s="108" t="str">
        <f>Scott!C39</f>
        <v>1.3.0.56</v>
      </c>
      <c r="H142" s="108" t="str">
        <f>Scott!D39</f>
        <v>32</v>
      </c>
      <c r="I142" s="108" t="str">
        <f>Scott!E39</f>
        <v>N/A</v>
      </c>
      <c r="J142" s="108" t="str">
        <f>Scott!F39</f>
        <v>Development</v>
      </c>
      <c r="K142" s="108" t="str">
        <f>Scott!G39</f>
        <v>JKI</v>
      </c>
      <c r="L142" s="108" t="str">
        <f>Scott!H39</f>
        <v>JKI State Machine Objects (SMO) 1.3.0.56</v>
      </c>
      <c r="M142" s="108" t="str">
        <f>Scott!I39</f>
        <v>VIPM Community</v>
      </c>
      <c r="N142" s="109" t="s">
        <v>96</v>
      </c>
    </row>
    <row r="143" spans="1:14" x14ac:dyDescent="0.25">
      <c r="A143" s="104" t="s">
        <v>510</v>
      </c>
      <c r="B143" s="104" t="s">
        <v>510</v>
      </c>
      <c r="C143" s="103" t="s">
        <v>507</v>
      </c>
      <c r="D143" s="103" t="s">
        <v>507</v>
      </c>
      <c r="E143" s="104" t="s">
        <v>510</v>
      </c>
      <c r="F143" s="105" t="str">
        <f>Originals!B270</f>
        <v>NI Keyed Array Library</v>
      </c>
      <c r="G143" s="105" t="str">
        <f>Originals!C270</f>
        <v>2.0.0.11</v>
      </c>
      <c r="H143" s="105" t="str">
        <f>Originals!D270</f>
        <v>32</v>
      </c>
      <c r="I143" s="105" t="str">
        <f>Originals!E270</f>
        <v>N/A</v>
      </c>
      <c r="J143" s="105" t="str">
        <f>Originals!F270</f>
        <v>Development</v>
      </c>
      <c r="K143" s="105" t="str">
        <f>Originals!G270</f>
        <v>NI</v>
      </c>
      <c r="L143" s="105" t="str">
        <f>Originals!H270</f>
        <v>NI Keyed Array Library 2.0.0.11</v>
      </c>
      <c r="M143" s="105" t="str">
        <f>Originals!I270</f>
        <v>VIPM Community</v>
      </c>
      <c r="N143" s="98" t="s">
        <v>136</v>
      </c>
    </row>
    <row r="144" spans="1:14" x14ac:dyDescent="0.25">
      <c r="A144" s="104" t="s">
        <v>510</v>
      </c>
      <c r="B144" s="104" t="s">
        <v>510</v>
      </c>
      <c r="C144" s="103" t="s">
        <v>507</v>
      </c>
      <c r="D144" s="103" t="s">
        <v>507</v>
      </c>
      <c r="E144" s="104" t="s">
        <v>510</v>
      </c>
      <c r="F144" s="105" t="str">
        <f>Originals!B271</f>
        <v>NI Modbus Library</v>
      </c>
      <c r="G144" s="105" t="str">
        <f>Originals!C271</f>
        <v>1.2.1.42</v>
      </c>
      <c r="H144" s="105" t="str">
        <f>Originals!D271</f>
        <v>32</v>
      </c>
      <c r="I144" s="105" t="str">
        <f>Originals!E271</f>
        <v>N/A</v>
      </c>
      <c r="J144" s="105" t="str">
        <f>Originals!F271</f>
        <v>Development</v>
      </c>
      <c r="K144" s="105" t="str">
        <f>Originals!G271</f>
        <v>NI</v>
      </c>
      <c r="L144" s="105" t="str">
        <f>Originals!H271</f>
        <v>NI Modbus Library 1.2.1.42</v>
      </c>
      <c r="M144" s="105" t="str">
        <f>Originals!I271</f>
        <v>VIPM Community</v>
      </c>
      <c r="N144" s="98" t="s">
        <v>136</v>
      </c>
    </row>
    <row r="145" spans="1:14" x14ac:dyDescent="0.25">
      <c r="A145" s="104" t="s">
        <v>510</v>
      </c>
      <c r="B145" s="103" t="s">
        <v>507</v>
      </c>
      <c r="C145" s="103" t="s">
        <v>507</v>
      </c>
      <c r="D145" s="104" t="s">
        <v>510</v>
      </c>
      <c r="E145" s="104" t="s">
        <v>510</v>
      </c>
      <c r="F145" s="105" t="str">
        <f>Originals!B107</f>
        <v>NI PXI Platform Services</v>
      </c>
      <c r="G145" s="105" t="str">
        <f>Originals!C107</f>
        <v>19.5.0f0</v>
      </c>
      <c r="H145" s="105" t="str">
        <f>Originals!D107</f>
        <v>32</v>
      </c>
      <c r="I145" s="105" t="str">
        <f>Originals!E107</f>
        <v>2019</v>
      </c>
      <c r="J145" s="105" t="str">
        <f>Originals!F107</f>
        <v>Runtime</v>
      </c>
      <c r="K145" s="105" t="str">
        <f>Originals!G107</f>
        <v>NI</v>
      </c>
      <c r="L145" s="105" t="str">
        <f>Originals!H107</f>
        <v>NI PXI Platform Services 19.5.0f0</v>
      </c>
      <c r="M145" s="105">
        <f>Originals!I107</f>
        <v>0</v>
      </c>
      <c r="N145" s="98" t="s">
        <v>136</v>
      </c>
    </row>
    <row r="146" spans="1:14" hidden="1" x14ac:dyDescent="0.25">
      <c r="A146" s="104" t="s">
        <v>510</v>
      </c>
      <c r="B146" s="104" t="s">
        <v>510</v>
      </c>
      <c r="C146" s="104" t="s">
        <v>510</v>
      </c>
      <c r="D146" s="104" t="s">
        <v>510</v>
      </c>
      <c r="E146" s="103" t="s">
        <v>507</v>
      </c>
      <c r="F146" s="114" t="str">
        <f>Originals!B381</f>
        <v>NI PXI Platform Services</v>
      </c>
      <c r="G146" s="114" t="str">
        <f>Originals!C381</f>
        <v>18.0</v>
      </c>
      <c r="H146" s="114" t="str">
        <f>Originals!D381</f>
        <v>32</v>
      </c>
      <c r="I146" s="114" t="str">
        <f>Originals!E381</f>
        <v>2018</v>
      </c>
      <c r="J146" s="114" t="str">
        <f>Originals!F381</f>
        <v>Runtime</v>
      </c>
      <c r="K146" s="114" t="str">
        <f>Originals!G381</f>
        <v>NI</v>
      </c>
      <c r="L146" s="114" t="str">
        <f>Originals!H381</f>
        <v>NI PXI Platform Services 18.0</v>
      </c>
      <c r="M146" s="114" t="str">
        <f>Originals!I381</f>
        <v>CompactRIO 18.1.0</v>
      </c>
      <c r="N146" s="115" t="s">
        <v>466</v>
      </c>
    </row>
    <row r="147" spans="1:14" hidden="1" x14ac:dyDescent="0.25">
      <c r="A147" s="104" t="s">
        <v>510</v>
      </c>
      <c r="B147" s="104" t="s">
        <v>510</v>
      </c>
      <c r="C147" s="104" t="s">
        <v>510</v>
      </c>
      <c r="D147" s="103" t="s">
        <v>507</v>
      </c>
      <c r="E147" s="104" t="s">
        <v>510</v>
      </c>
      <c r="F147" s="108" t="str">
        <f>Scott!B40</f>
        <v>jki_rsc_toolkits_palette</v>
      </c>
      <c r="G147" s="108" t="str">
        <f>Scott!C40</f>
        <v>1.1-1</v>
      </c>
      <c r="H147" s="108" t="str">
        <f>Scott!D40</f>
        <v>32</v>
      </c>
      <c r="I147" s="108" t="str">
        <f>Scott!E40</f>
        <v>N/A</v>
      </c>
      <c r="J147" s="108" t="str">
        <f>Scott!F40</f>
        <v>Development</v>
      </c>
      <c r="K147" s="108" t="str">
        <f>Scott!G40</f>
        <v>JKI Software</v>
      </c>
      <c r="L147" s="108" t="str">
        <f>Scott!H40</f>
        <v>jki_rsc_toolkits_palette 1.1-1</v>
      </c>
      <c r="M147" s="108" t="str">
        <f>Scott!I40</f>
        <v>VIPM Community</v>
      </c>
      <c r="N147" s="109" t="s">
        <v>96</v>
      </c>
    </row>
    <row r="148" spans="1:14" x14ac:dyDescent="0.25">
      <c r="A148" s="103" t="s">
        <v>507</v>
      </c>
      <c r="B148" s="103" t="s">
        <v>507</v>
      </c>
      <c r="C148" s="104" t="s">
        <v>510</v>
      </c>
      <c r="D148" s="104" t="s">
        <v>510</v>
      </c>
      <c r="E148" s="104" t="s">
        <v>510</v>
      </c>
      <c r="F148" s="105" t="str">
        <f>Originals!B29</f>
        <v>NI PXI Platform Services Configuration</v>
      </c>
      <c r="G148" s="105" t="str">
        <f>Originals!C29</f>
        <v>15.0.0f1</v>
      </c>
      <c r="H148" s="105" t="str">
        <f>Originals!D29</f>
        <v>32</v>
      </c>
      <c r="I148" s="105" t="str">
        <f>Originals!E29</f>
        <v>2015</v>
      </c>
      <c r="J148" s="105" t="str">
        <f>Originals!F29</f>
        <v>Development</v>
      </c>
      <c r="K148" s="105" t="str">
        <f>Originals!G29</f>
        <v>NI</v>
      </c>
      <c r="L148" s="105" t="str">
        <f>Originals!H29</f>
        <v>NI PXI Platform Services Configuration 15.0.0f1</v>
      </c>
      <c r="M148" s="105" t="str">
        <f>Originals!I29</f>
        <v>NI Developer Suite 2015 DS2 Install</v>
      </c>
      <c r="N148" s="98" t="s">
        <v>136</v>
      </c>
    </row>
    <row r="149" spans="1:14" hidden="1" x14ac:dyDescent="0.25">
      <c r="A149" s="103" t="s">
        <v>507</v>
      </c>
      <c r="B149" s="104" t="s">
        <v>510</v>
      </c>
      <c r="C149" s="104" t="s">
        <v>510</v>
      </c>
      <c r="D149" s="104" t="s">
        <v>510</v>
      </c>
      <c r="E149" s="104" t="s">
        <v>510</v>
      </c>
      <c r="F149" s="110" t="str">
        <f>Originals!B30</f>
        <v>NI PXI Platform Services Configuration</v>
      </c>
      <c r="G149" s="110" t="str">
        <f>Originals!C30</f>
        <v>19.5.0f0</v>
      </c>
      <c r="H149" s="110" t="str">
        <f>Originals!D30</f>
        <v>32</v>
      </c>
      <c r="I149" s="110" t="str">
        <f>Originals!E30</f>
        <v>2019</v>
      </c>
      <c r="J149" s="110" t="str">
        <f>Originals!F30</f>
        <v>Development</v>
      </c>
      <c r="K149" s="110" t="str">
        <f>Originals!G30</f>
        <v>NI</v>
      </c>
      <c r="L149" s="110" t="str">
        <f>Originals!H30</f>
        <v>NI PXI Platform Services Configuration 19.5.0f0</v>
      </c>
      <c r="M149" s="110">
        <f>Originals!I30</f>
        <v>0</v>
      </c>
      <c r="N149" s="111" t="s">
        <v>0</v>
      </c>
    </row>
    <row r="150" spans="1:14" x14ac:dyDescent="0.25">
      <c r="A150" s="104" t="s">
        <v>510</v>
      </c>
      <c r="B150" s="104" t="s">
        <v>510</v>
      </c>
      <c r="C150" s="103" t="s">
        <v>507</v>
      </c>
      <c r="D150" s="104" t="s">
        <v>510</v>
      </c>
      <c r="E150" s="104" t="s">
        <v>510</v>
      </c>
      <c r="F150" s="106" t="str">
        <f>Originals!B273</f>
        <v>NI PXI Platform Services Configuration</v>
      </c>
      <c r="G150" s="106" t="str">
        <f>Originals!C273</f>
        <v>18.5.0f2</v>
      </c>
      <c r="H150" s="106" t="str">
        <f>Originals!D273</f>
        <v>32</v>
      </c>
      <c r="I150" s="106" t="str">
        <f>Originals!E273</f>
        <v>2018</v>
      </c>
      <c r="J150" s="106" t="str">
        <f>Originals!F273</f>
        <v>Development</v>
      </c>
      <c r="K150" s="106" t="str">
        <f>Originals!G273</f>
        <v>NI</v>
      </c>
      <c r="L150" s="106" t="str">
        <f>Originals!H273</f>
        <v>NI PXI Platform Services Configuration 18.5.0f2</v>
      </c>
      <c r="M150" s="106">
        <f>Originals!I273</f>
        <v>0</v>
      </c>
      <c r="N150" s="107" t="s">
        <v>2</v>
      </c>
    </row>
    <row r="151" spans="1:14" hidden="1" x14ac:dyDescent="0.25">
      <c r="A151" s="104" t="s">
        <v>510</v>
      </c>
      <c r="B151" s="104" t="s">
        <v>510</v>
      </c>
      <c r="C151" s="104" t="s">
        <v>510</v>
      </c>
      <c r="D151" s="104" t="s">
        <v>510</v>
      </c>
      <c r="E151" s="103" t="s">
        <v>507</v>
      </c>
      <c r="F151" s="114" t="str">
        <f>Originals!B382</f>
        <v>NI PXI Platform Services Configuration</v>
      </c>
      <c r="G151" s="114" t="str">
        <f>Originals!C382</f>
        <v>18.0</v>
      </c>
      <c r="H151" s="114" t="str">
        <f>Originals!D382</f>
        <v>32</v>
      </c>
      <c r="I151" s="114" t="str">
        <f>Originals!E382</f>
        <v>2018</v>
      </c>
      <c r="J151" s="114" t="str">
        <f>Originals!F382</f>
        <v>Development</v>
      </c>
      <c r="K151" s="114" t="str">
        <f>Originals!G382</f>
        <v>NI</v>
      </c>
      <c r="L151" s="114" t="str">
        <f>Originals!H382</f>
        <v>NI PXI Platform Services Configuration 18.0</v>
      </c>
      <c r="M151" s="114" t="str">
        <f>Originals!I382</f>
        <v>CompactRIO 18.1.0</v>
      </c>
      <c r="N151" s="115" t="s">
        <v>466</v>
      </c>
    </row>
    <row r="152" spans="1:14" hidden="1" x14ac:dyDescent="0.25">
      <c r="A152" s="104" t="s">
        <v>510</v>
      </c>
      <c r="B152" s="104" t="s">
        <v>510</v>
      </c>
      <c r="C152" s="104" t="s">
        <v>510</v>
      </c>
      <c r="D152" s="103" t="s">
        <v>507</v>
      </c>
      <c r="E152" s="104" t="s">
        <v>510</v>
      </c>
      <c r="F152" s="108" t="str">
        <f>Scott!B41</f>
        <v>LabVIEW</v>
      </c>
      <c r="G152" s="108" t="str">
        <f>Scott!C41</f>
        <v>15.0.1</v>
      </c>
      <c r="H152" s="108">
        <f>Scott!D41</f>
        <v>32</v>
      </c>
      <c r="I152" s="108" t="str">
        <f>Scott!E41</f>
        <v>2015 SP1</v>
      </c>
      <c r="J152" s="108" t="str">
        <f>Scott!F41</f>
        <v>Development</v>
      </c>
      <c r="K152" s="108" t="str">
        <f>Scott!G41</f>
        <v>NI</v>
      </c>
      <c r="L152" s="108" t="str">
        <f>Scott!H41</f>
        <v>LabVIEW 2015 SP1 15.0.1</v>
      </c>
      <c r="M152" s="108" t="str">
        <f>Scott!I41</f>
        <v>LabVIEW 2015 SP1</v>
      </c>
      <c r="N152" s="109" t="s">
        <v>96</v>
      </c>
    </row>
    <row r="153" spans="1:14" x14ac:dyDescent="0.25">
      <c r="A153" s="103" t="s">
        <v>507</v>
      </c>
      <c r="B153" s="103" t="s">
        <v>507</v>
      </c>
      <c r="C153" s="104" t="s">
        <v>510</v>
      </c>
      <c r="D153" s="103" t="s">
        <v>507</v>
      </c>
      <c r="E153" s="104" t="s">
        <v>510</v>
      </c>
      <c r="F153" s="105" t="str">
        <f>Originals!B31</f>
        <v>NI R Series Multifunction RIO</v>
      </c>
      <c r="G153" s="105" t="str">
        <f>Originals!C31</f>
        <v>15.0.0</v>
      </c>
      <c r="H153" s="105" t="str">
        <f>Originals!D31</f>
        <v>32</v>
      </c>
      <c r="I153" s="105" t="str">
        <f>Originals!E31</f>
        <v>2015</v>
      </c>
      <c r="J153" s="105" t="str">
        <f>Originals!F31</f>
        <v>Development</v>
      </c>
      <c r="K153" s="105" t="str">
        <f>Originals!G31</f>
        <v>NI</v>
      </c>
      <c r="L153" s="105" t="str">
        <f>Originals!H31</f>
        <v>NI R Series Multifunction RIO 15.0.0</v>
      </c>
      <c r="M153" s="105" t="str">
        <f>Originals!I31</f>
        <v>NI Developer Suite 2015 DS2 Install</v>
      </c>
      <c r="N153" s="98" t="s">
        <v>136</v>
      </c>
    </row>
    <row r="154" spans="1:14" x14ac:dyDescent="0.25">
      <c r="A154" s="104" t="s">
        <v>510</v>
      </c>
      <c r="B154" s="104" t="s">
        <v>510</v>
      </c>
      <c r="C154" s="103" t="s">
        <v>507</v>
      </c>
      <c r="D154" s="104" t="s">
        <v>510</v>
      </c>
      <c r="E154" s="104" t="s">
        <v>510</v>
      </c>
      <c r="F154" s="106" t="str">
        <f>Originals!B274</f>
        <v>NI R Series Multifunction RIO</v>
      </c>
      <c r="G154" s="106" t="str">
        <f>Originals!C274</f>
        <v>15.5.0</v>
      </c>
      <c r="H154" s="106" t="str">
        <f>Originals!D274</f>
        <v>32</v>
      </c>
      <c r="I154" s="106">
        <f>Originals!E274</f>
        <v>2015</v>
      </c>
      <c r="J154" s="106" t="str">
        <f>Originals!F274</f>
        <v>Development</v>
      </c>
      <c r="K154" s="106" t="str">
        <f>Originals!G274</f>
        <v>NI</v>
      </c>
      <c r="L154" s="106" t="str">
        <f>Originals!H274</f>
        <v>NI R Series Multifunction RIO 15.5.0</v>
      </c>
      <c r="M154" s="106">
        <f>Originals!I274</f>
        <v>0</v>
      </c>
      <c r="N154" s="107" t="s">
        <v>2</v>
      </c>
    </row>
    <row r="155" spans="1:14" x14ac:dyDescent="0.25">
      <c r="A155" s="104" t="s">
        <v>510</v>
      </c>
      <c r="B155" s="104" t="s">
        <v>510</v>
      </c>
      <c r="C155" s="103" t="s">
        <v>507</v>
      </c>
      <c r="D155" s="104" t="s">
        <v>510</v>
      </c>
      <c r="E155" s="104" t="s">
        <v>510</v>
      </c>
      <c r="F155" s="106" t="str">
        <f>Originals!B275</f>
        <v>NI Scan Engine</v>
      </c>
      <c r="G155" s="106" t="str">
        <f>Originals!C275</f>
        <v>4.4</v>
      </c>
      <c r="H155" s="106" t="str">
        <f>Originals!D275</f>
        <v>32</v>
      </c>
      <c r="I155" s="106" t="str">
        <f>Originals!E275</f>
        <v>N/A</v>
      </c>
      <c r="J155" s="106" t="str">
        <f>Originals!F275</f>
        <v>C-RIO</v>
      </c>
      <c r="K155" s="106" t="str">
        <f>Originals!G275</f>
        <v>NI</v>
      </c>
      <c r="L155" s="106" t="str">
        <f>Originals!H275</f>
        <v>NI Scan Engine 4.4</v>
      </c>
      <c r="M155" s="106">
        <f>Originals!I275</f>
        <v>0</v>
      </c>
      <c r="N155" s="107" t="s">
        <v>509</v>
      </c>
    </row>
    <row r="156" spans="1:14" x14ac:dyDescent="0.25">
      <c r="A156" s="103" t="s">
        <v>507</v>
      </c>
      <c r="B156" s="103" t="s">
        <v>507</v>
      </c>
      <c r="C156" s="104" t="s">
        <v>510</v>
      </c>
      <c r="D156" s="103" t="s">
        <v>507</v>
      </c>
      <c r="E156" s="104" t="s">
        <v>510</v>
      </c>
      <c r="F156" s="105" t="str">
        <f>Originals!B32</f>
        <v>NI Script Editor</v>
      </c>
      <c r="G156" s="105" t="str">
        <f>Originals!C32</f>
        <v>14.0</v>
      </c>
      <c r="H156" s="105" t="str">
        <f>Originals!D32</f>
        <v>32</v>
      </c>
      <c r="I156" s="105" t="str">
        <f>Originals!E32</f>
        <v>2014</v>
      </c>
      <c r="J156" s="105" t="str">
        <f>Originals!F32</f>
        <v>Development</v>
      </c>
      <c r="K156" s="105" t="str">
        <f>Originals!G32</f>
        <v>NI</v>
      </c>
      <c r="L156" s="105" t="str">
        <f>Originals!H32</f>
        <v>NI Script Editor 14.0</v>
      </c>
      <c r="M156" s="105" t="str">
        <f>Originals!I32</f>
        <v>NI Developer Suite 2015 DS2 Install</v>
      </c>
      <c r="N156" s="98" t="s">
        <v>136</v>
      </c>
    </row>
    <row r="157" spans="1:14" hidden="1" x14ac:dyDescent="0.25">
      <c r="A157" s="104" t="s">
        <v>510</v>
      </c>
      <c r="B157" s="104" t="s">
        <v>510</v>
      </c>
      <c r="C157" s="104" t="s">
        <v>510</v>
      </c>
      <c r="D157" s="104" t="s">
        <v>510</v>
      </c>
      <c r="E157" s="103" t="s">
        <v>507</v>
      </c>
      <c r="F157" s="114" t="str">
        <f>Originals!B383</f>
        <v>NI Serial</v>
      </c>
      <c r="G157" s="114" t="str">
        <f>Originals!C383</f>
        <v>17.5</v>
      </c>
      <c r="H157" s="114" t="str">
        <f>Originals!D383</f>
        <v>32</v>
      </c>
      <c r="I157" s="114" t="str">
        <f>Originals!E383</f>
        <v>2017</v>
      </c>
      <c r="J157" s="114" t="str">
        <f>Originals!F383</f>
        <v>Runtime</v>
      </c>
      <c r="K157" s="114" t="str">
        <f>Originals!G383</f>
        <v>NI</v>
      </c>
      <c r="L157" s="114" t="str">
        <f>Originals!H383</f>
        <v>NI Serial 17.5</v>
      </c>
      <c r="M157" s="114">
        <f>Originals!I383</f>
        <v>0</v>
      </c>
      <c r="N157" s="115" t="s">
        <v>466</v>
      </c>
    </row>
    <row r="158" spans="1:14" x14ac:dyDescent="0.25">
      <c r="A158" s="104" t="s">
        <v>510</v>
      </c>
      <c r="B158" s="104" t="s">
        <v>510</v>
      </c>
      <c r="C158" s="103" t="s">
        <v>507</v>
      </c>
      <c r="D158" s="104" t="s">
        <v>510</v>
      </c>
      <c r="E158" s="104" t="s">
        <v>510</v>
      </c>
      <c r="F158" s="106" t="str">
        <f>Originals!B276</f>
        <v>NI Serial 9870 and 9871 Scan Enginer Support</v>
      </c>
      <c r="G158" s="106">
        <f>Originals!C276</f>
        <v>0</v>
      </c>
      <c r="H158" s="106" t="str">
        <f>Originals!D276</f>
        <v>32</v>
      </c>
      <c r="I158" s="106" t="str">
        <f>Originals!E276</f>
        <v>N/A</v>
      </c>
      <c r="J158" s="106" t="str">
        <f>Originals!F276</f>
        <v>C-RIO</v>
      </c>
      <c r="K158" s="106" t="str">
        <f>Originals!G276</f>
        <v>NI</v>
      </c>
      <c r="L158" s="106" t="str">
        <f>Originals!H276</f>
        <v xml:space="preserve">NI Serial 9870 and 9871 Scan Enginer Support </v>
      </c>
      <c r="M158" s="106">
        <f>Originals!I276</f>
        <v>0</v>
      </c>
      <c r="N158" s="107" t="s">
        <v>2</v>
      </c>
    </row>
    <row r="159" spans="1:14" x14ac:dyDescent="0.25">
      <c r="A159" s="103" t="s">
        <v>507</v>
      </c>
      <c r="B159" s="103" t="s">
        <v>507</v>
      </c>
      <c r="C159" s="103" t="s">
        <v>507</v>
      </c>
      <c r="D159" s="104" t="s">
        <v>510</v>
      </c>
      <c r="E159" s="104" t="s">
        <v>510</v>
      </c>
      <c r="F159" s="105" t="str">
        <f>Originals!B33</f>
        <v>NI SignalExpress</v>
      </c>
      <c r="G159" s="105">
        <f>Originals!C33</f>
        <v>0</v>
      </c>
      <c r="H159" s="105" t="str">
        <f>Originals!D33</f>
        <v>32</v>
      </c>
      <c r="I159" s="105" t="str">
        <f>Originals!E33</f>
        <v>2015</v>
      </c>
      <c r="J159" s="105" t="str">
        <f>Originals!F33</f>
        <v>Development</v>
      </c>
      <c r="K159" s="105" t="str">
        <f>Originals!G33</f>
        <v>NI</v>
      </c>
      <c r="L159" s="105" t="str">
        <f>Originals!H33</f>
        <v xml:space="preserve">NI SignalExpress </v>
      </c>
      <c r="M159" s="105" t="str">
        <f>Originals!I33</f>
        <v>NI Developer Suite 2015 DS2 Install</v>
      </c>
      <c r="N159" s="98" t="s">
        <v>136</v>
      </c>
    </row>
    <row r="160" spans="1:14" x14ac:dyDescent="0.25">
      <c r="A160" s="104" t="s">
        <v>510</v>
      </c>
      <c r="B160" s="104" t="s">
        <v>510</v>
      </c>
      <c r="C160" s="103" t="s">
        <v>507</v>
      </c>
      <c r="D160" s="103" t="s">
        <v>507</v>
      </c>
      <c r="E160" s="104" t="s">
        <v>510</v>
      </c>
      <c r="F160" s="105" t="str">
        <f>Originals!B277</f>
        <v>NI String Tools Library</v>
      </c>
      <c r="G160" s="105" t="str">
        <f>Originals!C277</f>
        <v>2.0.0.5</v>
      </c>
      <c r="H160" s="105" t="str">
        <f>Originals!D277</f>
        <v>32</v>
      </c>
      <c r="I160" s="105" t="str">
        <f>Originals!E277</f>
        <v>N/A</v>
      </c>
      <c r="J160" s="105" t="str">
        <f>Originals!F277</f>
        <v>Development</v>
      </c>
      <c r="K160" s="105" t="str">
        <f>Originals!G277</f>
        <v>NI</v>
      </c>
      <c r="L160" s="105" t="str">
        <f>Originals!H277</f>
        <v>NI String Tools Library 2.0.0.5</v>
      </c>
      <c r="M160" s="105" t="str">
        <f>Originals!I277</f>
        <v>VIPM Community</v>
      </c>
      <c r="N160" s="98" t="s">
        <v>136</v>
      </c>
    </row>
    <row r="161" spans="1:14" x14ac:dyDescent="0.25">
      <c r="A161" s="103" t="s">
        <v>507</v>
      </c>
      <c r="B161" s="103" t="s">
        <v>507</v>
      </c>
      <c r="C161" s="103" t="s">
        <v>507</v>
      </c>
      <c r="D161" s="103" t="s">
        <v>507</v>
      </c>
      <c r="E161" s="104" t="s">
        <v>510</v>
      </c>
      <c r="F161" s="105" t="str">
        <f>Originals!B34</f>
        <v>NI System Configuration</v>
      </c>
      <c r="G161" s="105" t="str">
        <f>Originals!C34</f>
        <v>19.5.0f0</v>
      </c>
      <c r="H161" s="105" t="str">
        <f>Originals!D34</f>
        <v>32</v>
      </c>
      <c r="I161" s="105" t="str">
        <f>Originals!E34</f>
        <v>2019</v>
      </c>
      <c r="J161" s="105" t="str">
        <f>Originals!F34</f>
        <v>Development</v>
      </c>
      <c r="K161" s="105" t="str">
        <f>Originals!G34</f>
        <v>NI</v>
      </c>
      <c r="L161" s="105" t="str">
        <f>Originals!H34</f>
        <v>NI System Configuration 19.5.0f0</v>
      </c>
      <c r="M161" s="105">
        <f>Originals!I34</f>
        <v>0</v>
      </c>
      <c r="N161" s="98" t="s">
        <v>136</v>
      </c>
    </row>
    <row r="162" spans="1:14" hidden="1" x14ac:dyDescent="0.25">
      <c r="A162" s="104" t="s">
        <v>510</v>
      </c>
      <c r="B162" s="104" t="s">
        <v>510</v>
      </c>
      <c r="C162" s="104" t="s">
        <v>510</v>
      </c>
      <c r="D162" s="104" t="s">
        <v>510</v>
      </c>
      <c r="E162" s="103" t="s">
        <v>507</v>
      </c>
      <c r="F162" s="114" t="str">
        <f>Originals!B384</f>
        <v>NI System Configuration</v>
      </c>
      <c r="G162" s="114" t="str">
        <f>Originals!C384</f>
        <v>18.1</v>
      </c>
      <c r="H162" s="114" t="str">
        <f>Originals!D384</f>
        <v>32</v>
      </c>
      <c r="I162" s="114" t="str">
        <f>Originals!E384</f>
        <v>2018</v>
      </c>
      <c r="J162" s="114" t="str">
        <f>Originals!F384</f>
        <v>Development</v>
      </c>
      <c r="K162" s="114" t="str">
        <f>Originals!G384</f>
        <v>NI</v>
      </c>
      <c r="L162" s="114" t="str">
        <f>Originals!H384</f>
        <v>NI System Configuration 18.1</v>
      </c>
      <c r="M162" s="114">
        <f>Originals!I384</f>
        <v>0</v>
      </c>
      <c r="N162" s="115" t="s">
        <v>466</v>
      </c>
    </row>
    <row r="163" spans="1:14" x14ac:dyDescent="0.25">
      <c r="A163" s="104" t="s">
        <v>510</v>
      </c>
      <c r="B163" s="104" t="s">
        <v>510</v>
      </c>
      <c r="C163" s="103" t="s">
        <v>507</v>
      </c>
      <c r="D163" s="104" t="s">
        <v>510</v>
      </c>
      <c r="E163" s="104" t="s">
        <v>510</v>
      </c>
      <c r="F163" s="106" t="str">
        <f>Originals!B279</f>
        <v>NI System Configuration Remote Support</v>
      </c>
      <c r="G163" s="106">
        <f>Originals!C279</f>
        <v>0</v>
      </c>
      <c r="H163" s="106" t="str">
        <f>Originals!D279</f>
        <v>32</v>
      </c>
      <c r="I163" s="106" t="str">
        <f>Originals!E279</f>
        <v>N/A</v>
      </c>
      <c r="J163" s="106" t="str">
        <f>Originals!F279</f>
        <v>C-RIO</v>
      </c>
      <c r="K163" s="106" t="str">
        <f>Originals!G279</f>
        <v>NI</v>
      </c>
      <c r="L163" s="106" t="str">
        <f>Originals!H279</f>
        <v xml:space="preserve">NI System Configuration Remote Support </v>
      </c>
      <c r="M163" s="106">
        <f>Originals!I279</f>
        <v>0</v>
      </c>
      <c r="N163" s="107" t="s">
        <v>2</v>
      </c>
    </row>
    <row r="164" spans="1:14" x14ac:dyDescent="0.25">
      <c r="A164" s="104" t="s">
        <v>510</v>
      </c>
      <c r="B164" s="104" t="s">
        <v>510</v>
      </c>
      <c r="C164" s="103" t="s">
        <v>507</v>
      </c>
      <c r="D164" s="104" t="s">
        <v>510</v>
      </c>
      <c r="E164" s="104" t="s">
        <v>510</v>
      </c>
      <c r="F164" s="106" t="str">
        <f>Originals!B280</f>
        <v>NI Systems Configuration</v>
      </c>
      <c r="G164" s="106" t="str">
        <f>Originals!C280</f>
        <v>15.3.0</v>
      </c>
      <c r="H164" s="106" t="str">
        <f>Originals!D280</f>
        <v>32</v>
      </c>
      <c r="I164" s="106" t="str">
        <f>Originals!E280</f>
        <v>2015</v>
      </c>
      <c r="J164" s="106" t="str">
        <f>Originals!F280</f>
        <v>C-RIO</v>
      </c>
      <c r="K164" s="106" t="str">
        <f>Originals!G280</f>
        <v>NI</v>
      </c>
      <c r="L164" s="106" t="str">
        <f>Originals!H280</f>
        <v>NI Systems Configuration 15.3.0</v>
      </c>
      <c r="M164" s="106">
        <f>Originals!I280</f>
        <v>0</v>
      </c>
      <c r="N164" s="107" t="s">
        <v>2</v>
      </c>
    </row>
    <row r="165" spans="1:14" x14ac:dyDescent="0.25">
      <c r="A165" s="104" t="s">
        <v>510</v>
      </c>
      <c r="B165" s="104" t="s">
        <v>510</v>
      </c>
      <c r="C165" s="103" t="s">
        <v>507</v>
      </c>
      <c r="D165" s="104" t="s">
        <v>510</v>
      </c>
      <c r="E165" s="104" t="s">
        <v>510</v>
      </c>
      <c r="F165" s="106" t="str">
        <f>Originals!B281</f>
        <v>NI Web-based Configuration and Monitoring</v>
      </c>
      <c r="G165" s="106">
        <f>Originals!C281</f>
        <v>0</v>
      </c>
      <c r="H165" s="106" t="str">
        <f>Originals!D281</f>
        <v>32</v>
      </c>
      <c r="I165" s="106" t="str">
        <f>Originals!E281</f>
        <v>N/A</v>
      </c>
      <c r="J165" s="106" t="str">
        <f>Originals!F281</f>
        <v>C-RIO</v>
      </c>
      <c r="K165" s="106" t="str">
        <f>Originals!G281</f>
        <v>NI</v>
      </c>
      <c r="L165" s="106" t="str">
        <f>Originals!H281</f>
        <v xml:space="preserve">NI Web-based Configuration and Monitoring </v>
      </c>
      <c r="M165" s="106">
        <f>Originals!I281</f>
        <v>0</v>
      </c>
      <c r="N165" s="107" t="s">
        <v>2</v>
      </c>
    </row>
    <row r="166" spans="1:14" x14ac:dyDescent="0.25">
      <c r="A166" s="104" t="s">
        <v>510</v>
      </c>
      <c r="B166" s="104" t="s">
        <v>510</v>
      </c>
      <c r="C166" s="103" t="s">
        <v>507</v>
      </c>
      <c r="D166" s="104" t="s">
        <v>510</v>
      </c>
      <c r="E166" s="104" t="s">
        <v>510</v>
      </c>
      <c r="F166" s="106" t="str">
        <f>Originals!B282</f>
        <v>NI Wireless Certificate Web Services</v>
      </c>
      <c r="G166" s="106" t="str">
        <f>Originals!C282</f>
        <v>15.0.0</v>
      </c>
      <c r="H166" s="106" t="str">
        <f>Originals!D282</f>
        <v>32</v>
      </c>
      <c r="I166" s="106" t="str">
        <f>Originals!E282</f>
        <v>2015</v>
      </c>
      <c r="J166" s="106" t="str">
        <f>Originals!F282</f>
        <v>C-RIO</v>
      </c>
      <c r="K166" s="106" t="str">
        <f>Originals!G282</f>
        <v>NI</v>
      </c>
      <c r="L166" s="106" t="str">
        <f>Originals!H282</f>
        <v>NI Wireless Certificate Web Services 15.0.0</v>
      </c>
      <c r="M166" s="106">
        <f>Originals!I282</f>
        <v>0</v>
      </c>
      <c r="N166" s="107" t="s">
        <v>2</v>
      </c>
    </row>
    <row r="167" spans="1:14" x14ac:dyDescent="0.25">
      <c r="A167" s="103" t="s">
        <v>507</v>
      </c>
      <c r="B167" s="103" t="s">
        <v>507</v>
      </c>
      <c r="C167" s="104" t="s">
        <v>510</v>
      </c>
      <c r="D167" s="103" t="s">
        <v>507</v>
      </c>
      <c r="E167" s="104" t="s">
        <v>510</v>
      </c>
      <c r="F167" s="105" t="str">
        <f>Originals!B35</f>
        <v>NI-488.2</v>
      </c>
      <c r="G167" s="105" t="str">
        <f>Originals!C35</f>
        <v>15.0.0</v>
      </c>
      <c r="H167" s="105" t="str">
        <f>Originals!D35</f>
        <v>32</v>
      </c>
      <c r="I167" s="105" t="str">
        <f>Originals!E35</f>
        <v>2015</v>
      </c>
      <c r="J167" s="105" t="str">
        <f>Originals!F35</f>
        <v>Development</v>
      </c>
      <c r="K167" s="105" t="str">
        <f>Originals!G35</f>
        <v>NI</v>
      </c>
      <c r="L167" s="105" t="str">
        <f>Originals!H35</f>
        <v>NI-488.2 15.0.0</v>
      </c>
      <c r="M167" s="105" t="str">
        <f>Originals!I35</f>
        <v>NI Developer Suite 2015 DS2 Install</v>
      </c>
      <c r="N167" s="98" t="s">
        <v>136</v>
      </c>
    </row>
    <row r="168" spans="1:14" x14ac:dyDescent="0.25">
      <c r="A168" s="103" t="s">
        <v>507</v>
      </c>
      <c r="B168" s="103" t="s">
        <v>507</v>
      </c>
      <c r="C168" s="103" t="s">
        <v>507</v>
      </c>
      <c r="D168" s="104" t="s">
        <v>510</v>
      </c>
      <c r="E168" s="104" t="s">
        <v>510</v>
      </c>
      <c r="F168" s="105" t="str">
        <f>Originals!B36</f>
        <v>NI-488.2</v>
      </c>
      <c r="G168" s="105" t="str">
        <f>Originals!C36</f>
        <v>19.5.0</v>
      </c>
      <c r="H168" s="105" t="str">
        <f>Originals!D36</f>
        <v>32</v>
      </c>
      <c r="I168" s="105" t="str">
        <f>Originals!E36</f>
        <v>2019</v>
      </c>
      <c r="J168" s="105" t="str">
        <f>Originals!F36</f>
        <v>Runtime</v>
      </c>
      <c r="K168" s="105" t="str">
        <f>Originals!G36</f>
        <v>NI</v>
      </c>
      <c r="L168" s="105" t="str">
        <f>Originals!H36</f>
        <v>NI-488.2 19.5.0</v>
      </c>
      <c r="M168" s="105">
        <f>Originals!I36</f>
        <v>0</v>
      </c>
      <c r="N168" s="98" t="s">
        <v>136</v>
      </c>
    </row>
    <row r="169" spans="1:14" x14ac:dyDescent="0.25">
      <c r="A169" s="104" t="s">
        <v>510</v>
      </c>
      <c r="B169" s="104" t="s">
        <v>510</v>
      </c>
      <c r="C169" s="103" t="s">
        <v>507</v>
      </c>
      <c r="D169" s="104" t="s">
        <v>510</v>
      </c>
      <c r="E169" s="103" t="s">
        <v>507</v>
      </c>
      <c r="F169" s="105" t="str">
        <f>Originals!B283</f>
        <v>NI-488.2</v>
      </c>
      <c r="G169" s="105" t="str">
        <f>Originals!C283</f>
        <v>15.5.0</v>
      </c>
      <c r="H169" s="105" t="str">
        <f>Originals!D283</f>
        <v>32</v>
      </c>
      <c r="I169" s="105" t="str">
        <f>Originals!E283</f>
        <v>2019</v>
      </c>
      <c r="J169" s="105" t="str">
        <f>Originals!F283</f>
        <v>Development</v>
      </c>
      <c r="K169" s="105" t="str">
        <f>Originals!G283</f>
        <v>NI</v>
      </c>
      <c r="L169" s="105" t="str">
        <f>Originals!H283</f>
        <v>NI-488.2 15.5.0</v>
      </c>
      <c r="M169" s="105">
        <f>Originals!I283</f>
        <v>0</v>
      </c>
      <c r="N169" s="98" t="s">
        <v>136</v>
      </c>
    </row>
    <row r="170" spans="1:14" hidden="1" x14ac:dyDescent="0.25">
      <c r="A170" s="104" t="s">
        <v>510</v>
      </c>
      <c r="B170" s="104" t="s">
        <v>510</v>
      </c>
      <c r="C170" s="104" t="s">
        <v>510</v>
      </c>
      <c r="D170" s="103" t="s">
        <v>507</v>
      </c>
      <c r="E170" s="104" t="s">
        <v>510</v>
      </c>
      <c r="F170" s="108" t="str">
        <f>Scott!B46</f>
        <v>LabVIEW</v>
      </c>
      <c r="G170" s="108" t="str">
        <f>Scott!C46</f>
        <v>14.0.1</v>
      </c>
      <c r="H170" s="108">
        <f>Scott!D46</f>
        <v>32</v>
      </c>
      <c r="I170" s="108" t="str">
        <f>Scott!E46</f>
        <v>2014 SP1 f11</v>
      </c>
      <c r="J170" s="108" t="str">
        <f>Scott!F46</f>
        <v>Runtime</v>
      </c>
      <c r="K170" s="108" t="str">
        <f>Scott!G46</f>
        <v>NI</v>
      </c>
      <c r="L170" s="108" t="str">
        <f>Scott!H46</f>
        <v>LabVIEW 2014 SP1 f11 14.0.1</v>
      </c>
      <c r="M170" s="108" t="str">
        <f>Scott!I46</f>
        <v>2015 SP1 Update Service</v>
      </c>
      <c r="N170" s="109" t="s">
        <v>96</v>
      </c>
    </row>
    <row r="171" spans="1:14" x14ac:dyDescent="0.25">
      <c r="A171" s="104" t="s">
        <v>510</v>
      </c>
      <c r="B171" s="104" t="s">
        <v>510</v>
      </c>
      <c r="C171" s="103" t="s">
        <v>507</v>
      </c>
      <c r="D171" s="103" t="s">
        <v>507</v>
      </c>
      <c r="E171" s="104" t="s">
        <v>510</v>
      </c>
      <c r="F171" s="137" t="str">
        <f>Originals!B285</f>
        <v>NI-CAN</v>
      </c>
      <c r="G171" s="137" t="str">
        <f>Originals!C285</f>
        <v>15.0.0f0</v>
      </c>
      <c r="H171" s="137" t="str">
        <f>Originals!D285</f>
        <v>32</v>
      </c>
      <c r="I171" s="137">
        <f>Originals!E285</f>
        <v>2015</v>
      </c>
      <c r="J171" s="137" t="str">
        <f>Originals!F285</f>
        <v>Development</v>
      </c>
      <c r="K171" s="137" t="str">
        <f>Originals!G285</f>
        <v>NI</v>
      </c>
      <c r="L171" s="137" t="str">
        <f>Originals!H285</f>
        <v>NI-CAN 15.0.0f0</v>
      </c>
      <c r="M171" s="137">
        <f>Originals!I285</f>
        <v>0</v>
      </c>
      <c r="N171" s="138" t="s">
        <v>136</v>
      </c>
    </row>
    <row r="172" spans="1:14" x14ac:dyDescent="0.25">
      <c r="A172" s="103" t="s">
        <v>507</v>
      </c>
      <c r="B172" s="103" t="s">
        <v>507</v>
      </c>
      <c r="C172" s="104" t="s">
        <v>510</v>
      </c>
      <c r="D172" s="104" t="s">
        <v>510</v>
      </c>
      <c r="E172" s="104" t="s">
        <v>510</v>
      </c>
      <c r="F172" s="105" t="str">
        <f>Originals!B37</f>
        <v>NI-DAQmx ADE Support</v>
      </c>
      <c r="G172" s="105" t="str">
        <f>Originals!C37</f>
        <v>15.0.0</v>
      </c>
      <c r="H172" s="105" t="str">
        <f>Originals!D37</f>
        <v>32</v>
      </c>
      <c r="I172" s="105" t="str">
        <f>Originals!E37</f>
        <v>2015</v>
      </c>
      <c r="J172" s="105" t="str">
        <f>Originals!F37</f>
        <v>Development</v>
      </c>
      <c r="K172" s="105" t="str">
        <f>Originals!G37</f>
        <v>NI</v>
      </c>
      <c r="L172" s="105" t="str">
        <f>Originals!H37</f>
        <v>NI-DAQmx ADE Support 15.0.0</v>
      </c>
      <c r="M172" s="105" t="str">
        <f>Originals!I37</f>
        <v>NI Developer Suite 2015 DS2 Install</v>
      </c>
      <c r="N172" s="98" t="s">
        <v>136</v>
      </c>
    </row>
    <row r="173" spans="1:14" x14ac:dyDescent="0.25">
      <c r="A173" s="104" t="s">
        <v>510</v>
      </c>
      <c r="B173" s="104" t="s">
        <v>510</v>
      </c>
      <c r="C173" s="103" t="s">
        <v>507</v>
      </c>
      <c r="D173" s="104" t="s">
        <v>510</v>
      </c>
      <c r="E173" s="104" t="s">
        <v>510</v>
      </c>
      <c r="F173" s="106" t="str">
        <f>Originals!B286</f>
        <v>NI-DAQmx ADE Support</v>
      </c>
      <c r="G173" s="106" t="str">
        <f>Originals!C286</f>
        <v>18.5.0</v>
      </c>
      <c r="H173" s="106" t="str">
        <f>Originals!D286</f>
        <v>32</v>
      </c>
      <c r="I173" s="106" t="str">
        <f>Originals!E286</f>
        <v>2018</v>
      </c>
      <c r="J173" s="106" t="str">
        <f>Originals!F286</f>
        <v>Development</v>
      </c>
      <c r="K173" s="106" t="str">
        <f>Originals!G286</f>
        <v>NI</v>
      </c>
      <c r="L173" s="106" t="str">
        <f>Originals!H286</f>
        <v>NI-DAQmx ADE Support 18.5.0</v>
      </c>
      <c r="M173" s="106">
        <f>Originals!I286</f>
        <v>0</v>
      </c>
      <c r="N173" s="107" t="s">
        <v>2</v>
      </c>
    </row>
    <row r="174" spans="1:14" x14ac:dyDescent="0.25">
      <c r="A174" s="104" t="s">
        <v>510</v>
      </c>
      <c r="B174" s="104" t="s">
        <v>510</v>
      </c>
      <c r="C174" s="104" t="s">
        <v>510</v>
      </c>
      <c r="D174" s="103" t="s">
        <v>507</v>
      </c>
      <c r="E174" s="103" t="s">
        <v>507</v>
      </c>
      <c r="F174" s="105" t="str">
        <f>Scott!B48</f>
        <v>LabVIEW</v>
      </c>
      <c r="G174" s="105" t="str">
        <f>Scott!C48</f>
        <v>19.0.0</v>
      </c>
      <c r="H174" s="105" t="str">
        <f>Scott!D48</f>
        <v>32</v>
      </c>
      <c r="I174" s="105" t="str">
        <f>Scott!E48</f>
        <v>2019</v>
      </c>
      <c r="J174" s="105" t="str">
        <f>Scott!F48</f>
        <v>Runtime</v>
      </c>
      <c r="K174" s="105" t="str">
        <f>Scott!G48</f>
        <v>NI</v>
      </c>
      <c r="L174" s="105" t="str">
        <f>Scott!H48</f>
        <v>LabVIEW 2019 19.0.0</v>
      </c>
      <c r="M174" s="105" t="str">
        <f>Scott!I48</f>
        <v>LabVIEW 2019</v>
      </c>
      <c r="N174" s="98" t="s">
        <v>136</v>
      </c>
    </row>
    <row r="175" spans="1:14" x14ac:dyDescent="0.25">
      <c r="A175" s="103" t="s">
        <v>507</v>
      </c>
      <c r="B175" s="103" t="s">
        <v>507</v>
      </c>
      <c r="C175" s="104" t="s">
        <v>510</v>
      </c>
      <c r="D175" s="104" t="s">
        <v>510</v>
      </c>
      <c r="E175" s="104" t="s">
        <v>510</v>
      </c>
      <c r="F175" s="105" t="str">
        <f>Originals!B38</f>
        <v>NI-DAQmx Device Driver</v>
      </c>
      <c r="G175" s="105" t="str">
        <f>Originals!C38</f>
        <v>15.0.0f2</v>
      </c>
      <c r="H175" s="105" t="str">
        <f>Originals!D38</f>
        <v>32</v>
      </c>
      <c r="I175" s="105" t="str">
        <f>Originals!E38</f>
        <v>2015</v>
      </c>
      <c r="J175" s="105" t="str">
        <f>Originals!F38</f>
        <v>Development</v>
      </c>
      <c r="K175" s="105" t="str">
        <f>Originals!G38</f>
        <v>NI</v>
      </c>
      <c r="L175" s="105" t="str">
        <f>Originals!H38</f>
        <v>NI-DAQmx Device Driver 15.0.0f2</v>
      </c>
      <c r="M175" s="105" t="str">
        <f>Originals!I38</f>
        <v>NI Developer Suite 2015 DS2 Install</v>
      </c>
      <c r="N175" s="98" t="s">
        <v>136</v>
      </c>
    </row>
    <row r="176" spans="1:14" x14ac:dyDescent="0.25">
      <c r="A176" s="104" t="s">
        <v>510</v>
      </c>
      <c r="B176" s="104" t="s">
        <v>510</v>
      </c>
      <c r="C176" s="103" t="s">
        <v>507</v>
      </c>
      <c r="D176" s="104" t="s">
        <v>510</v>
      </c>
      <c r="E176" s="104" t="s">
        <v>510</v>
      </c>
      <c r="F176" s="106" t="str">
        <f>Originals!B287</f>
        <v>NI-DAQmx Device Driver</v>
      </c>
      <c r="G176" s="106" t="str">
        <f>Originals!C287</f>
        <v>19.5.0f0</v>
      </c>
      <c r="H176" s="106" t="str">
        <f>Originals!D287</f>
        <v>32</v>
      </c>
      <c r="I176" s="106" t="str">
        <f>Originals!E287</f>
        <v>2019</v>
      </c>
      <c r="J176" s="106" t="str">
        <f>Originals!F287</f>
        <v>Development</v>
      </c>
      <c r="K176" s="106" t="str">
        <f>Originals!G287</f>
        <v>NI</v>
      </c>
      <c r="L176" s="106" t="str">
        <f>Originals!H287</f>
        <v>NI-DAQmx Device Driver 19.5.0f0</v>
      </c>
      <c r="M176" s="106">
        <f>Originals!I287</f>
        <v>0</v>
      </c>
      <c r="N176" s="107" t="s">
        <v>2</v>
      </c>
    </row>
    <row r="177" spans="1:14" hidden="1" x14ac:dyDescent="0.25">
      <c r="A177" s="104" t="s">
        <v>510</v>
      </c>
      <c r="B177" s="104" t="s">
        <v>510</v>
      </c>
      <c r="C177" s="104" t="s">
        <v>510</v>
      </c>
      <c r="D177" s="104" t="s">
        <v>510</v>
      </c>
      <c r="E177" s="103" t="s">
        <v>507</v>
      </c>
      <c r="F177" s="114" t="str">
        <f>Originals!B387</f>
        <v>NI-DAQmx Device Driver</v>
      </c>
      <c r="G177" s="114" t="str">
        <f>Originals!C387</f>
        <v>18.1</v>
      </c>
      <c r="H177" s="114" t="str">
        <f>Originals!D387</f>
        <v>32</v>
      </c>
      <c r="I177" s="114" t="str">
        <f>Originals!E387</f>
        <v>2018</v>
      </c>
      <c r="J177" s="114" t="str">
        <f>Originals!F387</f>
        <v>Development</v>
      </c>
      <c r="K177" s="114" t="str">
        <f>Originals!G387</f>
        <v>NI</v>
      </c>
      <c r="L177" s="114" t="str">
        <f>Originals!H387</f>
        <v>NI-DAQmx Device Driver 18.1</v>
      </c>
      <c r="M177" s="114" t="str">
        <f>Originals!I387</f>
        <v>CompactRIO 18.1.0</v>
      </c>
      <c r="N177" s="115" t="s">
        <v>466</v>
      </c>
    </row>
    <row r="178" spans="1:14" hidden="1" x14ac:dyDescent="0.25">
      <c r="A178" s="104" t="s">
        <v>510</v>
      </c>
      <c r="B178" s="104" t="s">
        <v>510</v>
      </c>
      <c r="C178" s="104" t="s">
        <v>510</v>
      </c>
      <c r="D178" s="103" t="s">
        <v>507</v>
      </c>
      <c r="E178" s="104" t="s">
        <v>510</v>
      </c>
      <c r="F178" s="108" t="str">
        <f>Scott!B49</f>
        <v>LabVIEW</v>
      </c>
      <c r="G178" s="108" t="str">
        <f>Scott!C49</f>
        <v>18.0.1</v>
      </c>
      <c r="H178" s="108" t="str">
        <f>Scott!D49</f>
        <v>32</v>
      </c>
      <c r="I178" s="108" t="str">
        <f>Scott!E49</f>
        <v>2018 SP1 f3</v>
      </c>
      <c r="J178" s="108" t="str">
        <f>Scott!F49</f>
        <v>Runtime</v>
      </c>
      <c r="K178" s="108" t="str">
        <f>Scott!G49</f>
        <v>NI</v>
      </c>
      <c r="L178" s="108" t="str">
        <f>Scott!H49</f>
        <v>LabVIEW 2019 SP1 f3 18.0.1</v>
      </c>
      <c r="M178" s="108" t="str">
        <f>Scott!I49</f>
        <v>LabVIEW 2019</v>
      </c>
      <c r="N178" s="109" t="s">
        <v>96</v>
      </c>
    </row>
    <row r="179" spans="1:14" x14ac:dyDescent="0.25">
      <c r="A179" s="103" t="s">
        <v>507</v>
      </c>
      <c r="B179" s="103" t="s">
        <v>507</v>
      </c>
      <c r="C179" s="104" t="s">
        <v>510</v>
      </c>
      <c r="D179" s="104" t="s">
        <v>510</v>
      </c>
      <c r="E179" s="104" t="s">
        <v>510</v>
      </c>
      <c r="F179" s="105" t="str">
        <f>Originals!B39</f>
        <v>NI-DAQmx MAX Configuration</v>
      </c>
      <c r="G179" s="105" t="str">
        <f>Originals!C39</f>
        <v>15.0.0</v>
      </c>
      <c r="H179" s="105" t="str">
        <f>Originals!D39</f>
        <v>32</v>
      </c>
      <c r="I179" s="105" t="str">
        <f>Originals!E39</f>
        <v>2015</v>
      </c>
      <c r="J179" s="105" t="str">
        <f>Originals!F39</f>
        <v>Development</v>
      </c>
      <c r="K179" s="105" t="str">
        <f>Originals!G39</f>
        <v>NI</v>
      </c>
      <c r="L179" s="105" t="str">
        <f>Originals!H39</f>
        <v>NI-DAQmx MAX Configuration 15.0.0</v>
      </c>
      <c r="M179" s="105" t="str">
        <f>Originals!I39</f>
        <v>NI Developer Suite 2015 DS2 Install</v>
      </c>
      <c r="N179" s="98" t="s">
        <v>136</v>
      </c>
    </row>
    <row r="180" spans="1:14" x14ac:dyDescent="0.25">
      <c r="A180" s="104" t="s">
        <v>510</v>
      </c>
      <c r="B180" s="104" t="s">
        <v>510</v>
      </c>
      <c r="C180" s="103" t="s">
        <v>507</v>
      </c>
      <c r="D180" s="104" t="s">
        <v>510</v>
      </c>
      <c r="E180" s="104" t="s">
        <v>510</v>
      </c>
      <c r="F180" s="106" t="str">
        <f>Originals!B288</f>
        <v>NI-DAQmx MAX Configuration</v>
      </c>
      <c r="G180" s="106" t="str">
        <f>Originals!C288</f>
        <v>18.5.0</v>
      </c>
      <c r="H180" s="106" t="str">
        <f>Originals!D288</f>
        <v>32</v>
      </c>
      <c r="I180" s="106" t="str">
        <f>Originals!E288</f>
        <v>2018</v>
      </c>
      <c r="J180" s="106" t="str">
        <f>Originals!F288</f>
        <v>Development</v>
      </c>
      <c r="K180" s="106" t="str">
        <f>Originals!G288</f>
        <v>NI</v>
      </c>
      <c r="L180" s="106" t="str">
        <f>Originals!H288</f>
        <v>NI-DAQmx MAX Configuration 18.5.0</v>
      </c>
      <c r="M180" s="106">
        <f>Originals!I288</f>
        <v>0</v>
      </c>
      <c r="N180" s="107" t="s">
        <v>2</v>
      </c>
    </row>
    <row r="181" spans="1:14" x14ac:dyDescent="0.25">
      <c r="A181" s="104" t="s">
        <v>510</v>
      </c>
      <c r="B181" s="104" t="s">
        <v>510</v>
      </c>
      <c r="C181" s="103" t="s">
        <v>507</v>
      </c>
      <c r="D181" s="103" t="s">
        <v>507</v>
      </c>
      <c r="E181" s="104" t="s">
        <v>510</v>
      </c>
      <c r="F181" s="105" t="str">
        <f>Scott!B50</f>
        <v>LabVIEW</v>
      </c>
      <c r="G181" s="105" t="str">
        <f>Scott!C50</f>
        <v>14.0.1</v>
      </c>
      <c r="H181" s="105">
        <f>Scott!D50</f>
        <v>64</v>
      </c>
      <c r="I181" s="105" t="str">
        <f>Scott!E50</f>
        <v>2014 SP1 f11</v>
      </c>
      <c r="J181" s="105" t="str">
        <f>Scott!F50</f>
        <v>Runtime</v>
      </c>
      <c r="K181" s="105" t="str">
        <f>Scott!G50</f>
        <v>NI</v>
      </c>
      <c r="L181" s="105" t="str">
        <f>Scott!H50</f>
        <v>LabVIEW 2014 SP1 f11 14.0.1</v>
      </c>
      <c r="M181" s="105" t="str">
        <f>Scott!I50</f>
        <v>2015 SP1 Update Service</v>
      </c>
      <c r="N181" s="98" t="s">
        <v>136</v>
      </c>
    </row>
    <row r="182" spans="1:14" x14ac:dyDescent="0.25">
      <c r="A182" s="103" t="s">
        <v>507</v>
      </c>
      <c r="B182" s="103" t="s">
        <v>507</v>
      </c>
      <c r="C182" s="104" t="s">
        <v>510</v>
      </c>
      <c r="D182" s="103" t="s">
        <v>507</v>
      </c>
      <c r="E182" s="104" t="s">
        <v>510</v>
      </c>
      <c r="F182" s="105" t="str">
        <f>Originals!B40</f>
        <v>NI-DCPower</v>
      </c>
      <c r="G182" s="105" t="str">
        <f>Originals!C40</f>
        <v>15.0</v>
      </c>
      <c r="H182" s="105" t="str">
        <f>Originals!D40</f>
        <v>32</v>
      </c>
      <c r="I182" s="105" t="str">
        <f>Originals!E40</f>
        <v>2015</v>
      </c>
      <c r="J182" s="105" t="str">
        <f>Originals!F40</f>
        <v>Development</v>
      </c>
      <c r="K182" s="105" t="str">
        <f>Originals!G40</f>
        <v>NI</v>
      </c>
      <c r="L182" s="105" t="str">
        <f>Originals!H40</f>
        <v>NI-DCPower 15.0</v>
      </c>
      <c r="M182" s="105" t="str">
        <f>Originals!I40</f>
        <v>NI Developer Suite 2015 DS2 Install</v>
      </c>
      <c r="N182" s="98" t="s">
        <v>136</v>
      </c>
    </row>
    <row r="183" spans="1:14" x14ac:dyDescent="0.25">
      <c r="A183" s="103" t="s">
        <v>507</v>
      </c>
      <c r="B183" s="103" t="s">
        <v>507</v>
      </c>
      <c r="C183" s="104" t="s">
        <v>510</v>
      </c>
      <c r="D183" s="103" t="s">
        <v>507</v>
      </c>
      <c r="E183" s="104" t="s">
        <v>510</v>
      </c>
      <c r="F183" s="105" t="str">
        <f>Originals!B42</f>
        <v>NI-DCPower Configuration Support</v>
      </c>
      <c r="G183" s="105" t="str">
        <f>Originals!C42</f>
        <v>15.0</v>
      </c>
      <c r="H183" s="105" t="str">
        <f>Originals!D42</f>
        <v>32</v>
      </c>
      <c r="I183" s="105" t="str">
        <f>Originals!E42</f>
        <v>2015</v>
      </c>
      <c r="J183" s="105" t="str">
        <f>Originals!F42</f>
        <v>Development</v>
      </c>
      <c r="K183" s="105" t="str">
        <f>Originals!G42</f>
        <v>NI</v>
      </c>
      <c r="L183" s="105" t="str">
        <f>Originals!H42</f>
        <v>NI-DCPower Configuration Support 15.0</v>
      </c>
      <c r="M183" s="105" t="str">
        <f>Originals!I42</f>
        <v>NI Developer Suite 2015 DS2 Install</v>
      </c>
      <c r="N183" s="98" t="s">
        <v>136</v>
      </c>
    </row>
    <row r="184" spans="1:14" x14ac:dyDescent="0.25">
      <c r="A184" s="103" t="s">
        <v>507</v>
      </c>
      <c r="B184" s="103" t="s">
        <v>507</v>
      </c>
      <c r="C184" s="104" t="s">
        <v>510</v>
      </c>
      <c r="D184" s="103" t="s">
        <v>507</v>
      </c>
      <c r="E184" s="104" t="s">
        <v>510</v>
      </c>
      <c r="F184" s="105" t="str">
        <f>Originals!B121</f>
        <v>NI-DCPower Development Support</v>
      </c>
      <c r="G184" s="105" t="str">
        <f>Originals!C121</f>
        <v>15.0</v>
      </c>
      <c r="H184" s="105" t="str">
        <f>Originals!D121</f>
        <v>32</v>
      </c>
      <c r="I184" s="105" t="str">
        <f>Originals!E121</f>
        <v>2015</v>
      </c>
      <c r="J184" s="105" t="str">
        <f>Originals!F121</f>
        <v>Development</v>
      </c>
      <c r="K184" s="105" t="str">
        <f>Originals!G121</f>
        <v>NI</v>
      </c>
      <c r="L184" s="105" t="str">
        <f>Originals!H121</f>
        <v>NI-DCPower Development Support 15.0</v>
      </c>
      <c r="M184" s="105" t="str">
        <f>Originals!I121</f>
        <v>NI Developer Suite 2015 DS2 Install</v>
      </c>
      <c r="N184" s="98" t="s">
        <v>136</v>
      </c>
    </row>
    <row r="185" spans="1:14" x14ac:dyDescent="0.25">
      <c r="A185" s="103" t="s">
        <v>507</v>
      </c>
      <c r="B185" s="103" t="s">
        <v>507</v>
      </c>
      <c r="C185" s="104" t="s">
        <v>510</v>
      </c>
      <c r="D185" s="103" t="s">
        <v>507</v>
      </c>
      <c r="E185" s="104" t="s">
        <v>510</v>
      </c>
      <c r="F185" s="105" t="str">
        <f>Originals!B44</f>
        <v>NI-DCPower Soft Front Panel</v>
      </c>
      <c r="G185" s="105" t="str">
        <f>Originals!C44</f>
        <v>15.0</v>
      </c>
      <c r="H185" s="105" t="str">
        <f>Originals!D44</f>
        <v>32</v>
      </c>
      <c r="I185" s="105" t="str">
        <f>Originals!E44</f>
        <v>2015</v>
      </c>
      <c r="J185" s="105" t="str">
        <f>Originals!F44</f>
        <v>Development</v>
      </c>
      <c r="K185" s="105" t="str">
        <f>Originals!G44</f>
        <v>NI</v>
      </c>
      <c r="L185" s="105" t="str">
        <f>Originals!H44</f>
        <v>NI-DCPower Soft Front Panel 15.0</v>
      </c>
      <c r="M185" s="105" t="str">
        <f>Originals!I44</f>
        <v>NI Developer Suite 2015 DS2 Install</v>
      </c>
      <c r="N185" s="98" t="s">
        <v>136</v>
      </c>
    </row>
    <row r="186" spans="1:14" x14ac:dyDescent="0.25">
      <c r="A186" s="103" t="s">
        <v>507</v>
      </c>
      <c r="B186" s="103" t="s">
        <v>507</v>
      </c>
      <c r="C186" s="104" t="s">
        <v>510</v>
      </c>
      <c r="D186" s="103" t="s">
        <v>507</v>
      </c>
      <c r="E186" s="104" t="s">
        <v>510</v>
      </c>
      <c r="F186" s="105" t="str">
        <f>Originals!B45</f>
        <v>NI-DMM</v>
      </c>
      <c r="G186" s="105" t="str">
        <f>Originals!C45</f>
        <v>15.0</v>
      </c>
      <c r="H186" s="105" t="str">
        <f>Originals!D45</f>
        <v>32</v>
      </c>
      <c r="I186" s="105" t="str">
        <f>Originals!E45</f>
        <v>2015</v>
      </c>
      <c r="J186" s="105" t="str">
        <f>Originals!F45</f>
        <v>Development</v>
      </c>
      <c r="K186" s="105" t="str">
        <f>Originals!G45</f>
        <v>NI</v>
      </c>
      <c r="L186" s="105" t="str">
        <f>Originals!H45</f>
        <v>NI-DMM 15.0</v>
      </c>
      <c r="M186" s="105" t="str">
        <f>Originals!I45</f>
        <v>NI Developer Suite 2015 DS2 Install</v>
      </c>
      <c r="N186" s="98" t="s">
        <v>136</v>
      </c>
    </row>
    <row r="187" spans="1:14" x14ac:dyDescent="0.25">
      <c r="A187" s="103" t="s">
        <v>507</v>
      </c>
      <c r="B187" s="103" t="s">
        <v>507</v>
      </c>
      <c r="C187" s="104" t="s">
        <v>510</v>
      </c>
      <c r="D187" s="103" t="s">
        <v>507</v>
      </c>
      <c r="E187" s="104" t="s">
        <v>510</v>
      </c>
      <c r="F187" s="105" t="str">
        <f>Originals!B46</f>
        <v>NI-DMM</v>
      </c>
      <c r="G187" s="105" t="str">
        <f>Originals!C46</f>
        <v>15.0</v>
      </c>
      <c r="H187" s="105" t="str">
        <f>Originals!D46</f>
        <v>32</v>
      </c>
      <c r="I187" s="105" t="str">
        <f>Originals!E46</f>
        <v>2015</v>
      </c>
      <c r="J187" s="105" t="str">
        <f>Originals!F46</f>
        <v>Runtime</v>
      </c>
      <c r="K187" s="105" t="str">
        <f>Originals!G46</f>
        <v>NI</v>
      </c>
      <c r="L187" s="105" t="str">
        <f>Originals!H46</f>
        <v>NI-DMM 15.0</v>
      </c>
      <c r="M187" s="105" t="str">
        <f>Originals!I46</f>
        <v>NI Developer Suite 2015 DS2 Install</v>
      </c>
      <c r="N187" s="98" t="s">
        <v>136</v>
      </c>
    </row>
    <row r="188" spans="1:14" x14ac:dyDescent="0.25">
      <c r="A188" s="103" t="s">
        <v>507</v>
      </c>
      <c r="B188" s="103" t="s">
        <v>507</v>
      </c>
      <c r="C188" s="104" t="s">
        <v>510</v>
      </c>
      <c r="D188" s="103" t="s">
        <v>507</v>
      </c>
      <c r="E188" s="104" t="s">
        <v>510</v>
      </c>
      <c r="F188" s="105" t="str">
        <f>Originals!B47</f>
        <v>NI-DMM Configuration Support</v>
      </c>
      <c r="G188" s="105" t="str">
        <f>Originals!C47</f>
        <v>15.0</v>
      </c>
      <c r="H188" s="105" t="str">
        <f>Originals!D47</f>
        <v>32</v>
      </c>
      <c r="I188" s="105" t="str">
        <f>Originals!E47</f>
        <v>2015</v>
      </c>
      <c r="J188" s="105" t="str">
        <f>Originals!F47</f>
        <v>Development</v>
      </c>
      <c r="K188" s="105" t="str">
        <f>Originals!G47</f>
        <v>NI</v>
      </c>
      <c r="L188" s="105" t="str">
        <f>Originals!H47</f>
        <v>NI-DMM Configuration Support 15.0</v>
      </c>
      <c r="M188" s="105" t="str">
        <f>Originals!I47</f>
        <v>NI Developer Suite 2015 DS2 Install</v>
      </c>
      <c r="N188" s="98" t="s">
        <v>136</v>
      </c>
    </row>
    <row r="189" spans="1:14" x14ac:dyDescent="0.25">
      <c r="A189" s="103" t="s">
        <v>507</v>
      </c>
      <c r="B189" s="103" t="s">
        <v>507</v>
      </c>
      <c r="C189" s="104" t="s">
        <v>510</v>
      </c>
      <c r="D189" s="103" t="s">
        <v>507</v>
      </c>
      <c r="E189" s="104" t="s">
        <v>510</v>
      </c>
      <c r="F189" s="105" t="str">
        <f>Originals!B48</f>
        <v>NI-DMM Development Support</v>
      </c>
      <c r="G189" s="105" t="str">
        <f>Originals!C48</f>
        <v>15.0</v>
      </c>
      <c r="H189" s="105" t="str">
        <f>Originals!D48</f>
        <v>32</v>
      </c>
      <c r="I189" s="105" t="str">
        <f>Originals!E48</f>
        <v>2015</v>
      </c>
      <c r="J189" s="105" t="str">
        <f>Originals!F48</f>
        <v>Development</v>
      </c>
      <c r="K189" s="105" t="str">
        <f>Originals!G48</f>
        <v>NI</v>
      </c>
      <c r="L189" s="105" t="str">
        <f>Originals!H48</f>
        <v>NI-DMM Development Support 15.0</v>
      </c>
      <c r="M189" s="105" t="str">
        <f>Originals!I48</f>
        <v>NI Developer Suite 2015 DS2 Install</v>
      </c>
      <c r="N189" s="98" t="s">
        <v>136</v>
      </c>
    </row>
    <row r="190" spans="1:14" x14ac:dyDescent="0.25">
      <c r="A190" s="103" t="s">
        <v>507</v>
      </c>
      <c r="B190" s="104" t="s">
        <v>510</v>
      </c>
      <c r="C190" s="104" t="s">
        <v>510</v>
      </c>
      <c r="D190" s="103" t="s">
        <v>507</v>
      </c>
      <c r="E190" s="104" t="s">
        <v>510</v>
      </c>
      <c r="F190" s="105" t="str">
        <f>Originals!B49</f>
        <v>NI-DMM Soft Front Panel</v>
      </c>
      <c r="G190" s="105" t="str">
        <f>Originals!C49</f>
        <v>15.0</v>
      </c>
      <c r="H190" s="105" t="str">
        <f>Originals!D49</f>
        <v>32</v>
      </c>
      <c r="I190" s="105" t="str">
        <f>Originals!E49</f>
        <v>2015</v>
      </c>
      <c r="J190" s="105" t="str">
        <f>Originals!F49</f>
        <v>Development</v>
      </c>
      <c r="K190" s="105" t="str">
        <f>Originals!G49</f>
        <v>NI</v>
      </c>
      <c r="L190" s="105" t="str">
        <f>Originals!H49</f>
        <v>NI-DMM Soft Front Panel 15.0</v>
      </c>
      <c r="M190" s="105" t="str">
        <f>Originals!I49</f>
        <v>NI Developer Suite 2015 DS2 Install</v>
      </c>
      <c r="N190" s="98" t="s">
        <v>136</v>
      </c>
    </row>
    <row r="191" spans="1:14" x14ac:dyDescent="0.25">
      <c r="A191" s="103" t="s">
        <v>507</v>
      </c>
      <c r="B191" s="103" t="s">
        <v>507</v>
      </c>
      <c r="C191" s="104" t="s">
        <v>510</v>
      </c>
      <c r="D191" s="103" t="s">
        <v>507</v>
      </c>
      <c r="E191" s="104" t="s">
        <v>510</v>
      </c>
      <c r="F191" s="105" t="str">
        <f>Originals!B50</f>
        <v>NI-FGEN</v>
      </c>
      <c r="G191" s="105" t="str">
        <f>Originals!C50</f>
        <v>15.0</v>
      </c>
      <c r="H191" s="105" t="str">
        <f>Originals!D50</f>
        <v>32</v>
      </c>
      <c r="I191" s="105" t="str">
        <f>Originals!E50</f>
        <v>2015</v>
      </c>
      <c r="J191" s="105" t="str">
        <f>Originals!F50</f>
        <v>Development</v>
      </c>
      <c r="K191" s="105" t="str">
        <f>Originals!G50</f>
        <v>NI</v>
      </c>
      <c r="L191" s="105" t="str">
        <f>Originals!H50</f>
        <v>NI-FGEN 15.0</v>
      </c>
      <c r="M191" s="105" t="str">
        <f>Originals!I50</f>
        <v>NI Developer Suite 2015 DS2 Install</v>
      </c>
      <c r="N191" s="98" t="s">
        <v>136</v>
      </c>
    </row>
    <row r="192" spans="1:14" x14ac:dyDescent="0.25">
      <c r="A192" s="103" t="s">
        <v>507</v>
      </c>
      <c r="B192" s="103" t="s">
        <v>507</v>
      </c>
      <c r="C192" s="104" t="s">
        <v>510</v>
      </c>
      <c r="D192" s="103" t="s">
        <v>507</v>
      </c>
      <c r="E192" s="104" t="s">
        <v>510</v>
      </c>
      <c r="F192" s="105" t="str">
        <f>Originals!B51</f>
        <v>NI-FGEN</v>
      </c>
      <c r="G192" s="105" t="str">
        <f>Originals!C51</f>
        <v>15.0</v>
      </c>
      <c r="H192" s="105" t="str">
        <f>Originals!D51</f>
        <v>32</v>
      </c>
      <c r="I192" s="105" t="str">
        <f>Originals!E51</f>
        <v>2015</v>
      </c>
      <c r="J192" s="105" t="str">
        <f>Originals!F51</f>
        <v>Runtime</v>
      </c>
      <c r="K192" s="105" t="str">
        <f>Originals!G51</f>
        <v>NI</v>
      </c>
      <c r="L192" s="105" t="str">
        <f>Originals!H51</f>
        <v>NI-FGEN 15.0</v>
      </c>
      <c r="M192" s="105" t="str">
        <f>Originals!I51</f>
        <v>NI Developer Suite 2015 DS2 Install</v>
      </c>
      <c r="N192" s="98" t="s">
        <v>136</v>
      </c>
    </row>
    <row r="193" spans="1:14" x14ac:dyDescent="0.25">
      <c r="A193" s="103" t="s">
        <v>507</v>
      </c>
      <c r="B193" s="103" t="s">
        <v>507</v>
      </c>
      <c r="C193" s="104" t="s">
        <v>510</v>
      </c>
      <c r="D193" s="103" t="s">
        <v>507</v>
      </c>
      <c r="E193" s="104" t="s">
        <v>510</v>
      </c>
      <c r="F193" s="105" t="str">
        <f>Originals!B52</f>
        <v>NI-FGEN Configuration Support</v>
      </c>
      <c r="G193" s="105" t="str">
        <f>Originals!C52</f>
        <v>15.0</v>
      </c>
      <c r="H193" s="105" t="str">
        <f>Originals!D52</f>
        <v>32</v>
      </c>
      <c r="I193" s="105" t="str">
        <f>Originals!E52</f>
        <v>2015</v>
      </c>
      <c r="J193" s="105" t="str">
        <f>Originals!F52</f>
        <v>Development</v>
      </c>
      <c r="K193" s="105" t="str">
        <f>Originals!G52</f>
        <v>NI</v>
      </c>
      <c r="L193" s="105" t="str">
        <f>Originals!H52</f>
        <v>NI-FGEN Configuration Support 15.0</v>
      </c>
      <c r="M193" s="105" t="str">
        <f>Originals!I52</f>
        <v>NI Developer Suite 2015 DS2 Install</v>
      </c>
      <c r="N193" s="98" t="s">
        <v>136</v>
      </c>
    </row>
    <row r="194" spans="1:14" x14ac:dyDescent="0.25">
      <c r="A194" s="103" t="s">
        <v>507</v>
      </c>
      <c r="B194" s="103" t="s">
        <v>507</v>
      </c>
      <c r="C194" s="104" t="s">
        <v>510</v>
      </c>
      <c r="D194" s="103" t="s">
        <v>507</v>
      </c>
      <c r="E194" s="104" t="s">
        <v>510</v>
      </c>
      <c r="F194" s="105" t="str">
        <f>Originals!B53</f>
        <v>NI-FGEN Development Support</v>
      </c>
      <c r="G194" s="105" t="str">
        <f>Originals!C53</f>
        <v>15.0</v>
      </c>
      <c r="H194" s="105" t="str">
        <f>Originals!D53</f>
        <v>32</v>
      </c>
      <c r="I194" s="105" t="str">
        <f>Originals!E53</f>
        <v>2015</v>
      </c>
      <c r="J194" s="105" t="str">
        <f>Originals!F53</f>
        <v>Development</v>
      </c>
      <c r="K194" s="105" t="str">
        <f>Originals!G53</f>
        <v>NI</v>
      </c>
      <c r="L194" s="105" t="str">
        <f>Originals!H53</f>
        <v>NI-FGEN Development Support 15.0</v>
      </c>
      <c r="M194" s="105" t="str">
        <f>Originals!I53</f>
        <v>NI Developer Suite 2015 DS2 Install</v>
      </c>
      <c r="N194" s="98" t="s">
        <v>136</v>
      </c>
    </row>
    <row r="195" spans="1:14" x14ac:dyDescent="0.25">
      <c r="A195" s="103" t="s">
        <v>507</v>
      </c>
      <c r="B195" s="103" t="s">
        <v>507</v>
      </c>
      <c r="C195" s="104" t="s">
        <v>510</v>
      </c>
      <c r="D195" s="103" t="s">
        <v>507</v>
      </c>
      <c r="E195" s="104" t="s">
        <v>510</v>
      </c>
      <c r="F195" s="105" t="str">
        <f>Originals!B54</f>
        <v>NI-FGEN Soft Front Panel</v>
      </c>
      <c r="G195" s="105" t="str">
        <f>Originals!C54</f>
        <v>15.0</v>
      </c>
      <c r="H195" s="105" t="str">
        <f>Originals!D54</f>
        <v>32</v>
      </c>
      <c r="I195" s="105" t="str">
        <f>Originals!E54</f>
        <v>2015</v>
      </c>
      <c r="J195" s="105" t="str">
        <f>Originals!F54</f>
        <v>Development</v>
      </c>
      <c r="K195" s="105" t="str">
        <f>Originals!G54</f>
        <v>NI</v>
      </c>
      <c r="L195" s="105" t="str">
        <f>Originals!H54</f>
        <v>NI-FGEN Soft Front Panel 15.0</v>
      </c>
      <c r="M195" s="105" t="str">
        <f>Originals!I54</f>
        <v>NI Developer Suite 2015 DS2 Install</v>
      </c>
      <c r="N195" s="98" t="s">
        <v>136</v>
      </c>
    </row>
    <row r="196" spans="1:14" x14ac:dyDescent="0.25">
      <c r="A196" s="104" t="s">
        <v>510</v>
      </c>
      <c r="B196" s="103" t="s">
        <v>507</v>
      </c>
      <c r="C196" s="104" t="s">
        <v>510</v>
      </c>
      <c r="D196" s="103" t="s">
        <v>507</v>
      </c>
      <c r="E196" s="104" t="s">
        <v>510</v>
      </c>
      <c r="F196" s="105" t="str">
        <f>Originals!B132</f>
        <v>NI-HSDIO</v>
      </c>
      <c r="G196" s="105">
        <f>Originals!C132</f>
        <v>0</v>
      </c>
      <c r="H196" s="105" t="str">
        <f>Originals!D132</f>
        <v>32</v>
      </c>
      <c r="I196" s="105" t="str">
        <f>Originals!E132</f>
        <v>2015</v>
      </c>
      <c r="J196" s="105" t="str">
        <f>Originals!F132</f>
        <v>Development</v>
      </c>
      <c r="K196" s="105" t="str">
        <f>Originals!G132</f>
        <v>NI</v>
      </c>
      <c r="L196" s="105" t="str">
        <f>Originals!H132</f>
        <v xml:space="preserve">NI-HSDIO </v>
      </c>
      <c r="M196" s="105" t="str">
        <f>Originals!I132</f>
        <v>NI Developer Suite 2015 DS2 Install</v>
      </c>
      <c r="N196" s="98" t="s">
        <v>136</v>
      </c>
    </row>
    <row r="197" spans="1:14" x14ac:dyDescent="0.25">
      <c r="A197" s="104" t="s">
        <v>510</v>
      </c>
      <c r="B197" s="103" t="s">
        <v>507</v>
      </c>
      <c r="C197" s="104" t="s">
        <v>510</v>
      </c>
      <c r="D197" s="103" t="s">
        <v>507</v>
      </c>
      <c r="E197" s="104" t="s">
        <v>510</v>
      </c>
      <c r="F197" s="105" t="str">
        <f>Originals!B133</f>
        <v>NI-HSDIO</v>
      </c>
      <c r="G197" s="105" t="str">
        <f>Originals!C133</f>
        <v>15.0</v>
      </c>
      <c r="H197" s="105" t="str">
        <f>Originals!D133</f>
        <v>32</v>
      </c>
      <c r="I197" s="105" t="str">
        <f>Originals!E133</f>
        <v>2015</v>
      </c>
      <c r="J197" s="105" t="str">
        <f>Originals!F133</f>
        <v>Runtime</v>
      </c>
      <c r="K197" s="105" t="str">
        <f>Originals!G133</f>
        <v>NI</v>
      </c>
      <c r="L197" s="105" t="str">
        <f>Originals!H133</f>
        <v>NI-HSDIO 15.0</v>
      </c>
      <c r="M197" s="105" t="str">
        <f>Originals!I133</f>
        <v>NI Developer Suite 2015 DS2 Install</v>
      </c>
      <c r="N197" s="98" t="s">
        <v>136</v>
      </c>
    </row>
    <row r="198" spans="1:14" x14ac:dyDescent="0.25">
      <c r="A198" s="104" t="s">
        <v>510</v>
      </c>
      <c r="B198" s="103" t="s">
        <v>507</v>
      </c>
      <c r="C198" s="104" t="s">
        <v>510</v>
      </c>
      <c r="D198" s="103" t="s">
        <v>507</v>
      </c>
      <c r="E198" s="104" t="s">
        <v>510</v>
      </c>
      <c r="F198" s="105" t="str">
        <f>Originals!B134</f>
        <v>NI-HSDIO Configuration Support</v>
      </c>
      <c r="G198" s="105" t="str">
        <f>Originals!C134</f>
        <v>15.0</v>
      </c>
      <c r="H198" s="105" t="str">
        <f>Originals!D134</f>
        <v>32</v>
      </c>
      <c r="I198" s="105" t="str">
        <f>Originals!E134</f>
        <v>2015</v>
      </c>
      <c r="J198" s="105" t="str">
        <f>Originals!F134</f>
        <v>Development</v>
      </c>
      <c r="K198" s="105" t="str">
        <f>Originals!G134</f>
        <v>NI</v>
      </c>
      <c r="L198" s="105" t="str">
        <f>Originals!H134</f>
        <v>NI-HSDIO Configuration Support 15.0</v>
      </c>
      <c r="M198" s="105" t="str">
        <f>Originals!I134</f>
        <v>NI Developer Suite 2015 DS2 Install</v>
      </c>
      <c r="N198" s="98" t="s">
        <v>136</v>
      </c>
    </row>
    <row r="199" spans="1:14" x14ac:dyDescent="0.25">
      <c r="A199" s="104" t="s">
        <v>510</v>
      </c>
      <c r="B199" s="103" t="s">
        <v>507</v>
      </c>
      <c r="C199" s="104" t="s">
        <v>510</v>
      </c>
      <c r="D199" s="103" t="s">
        <v>507</v>
      </c>
      <c r="E199" s="104" t="s">
        <v>510</v>
      </c>
      <c r="F199" s="105" t="str">
        <f>Originals!B135</f>
        <v>NI-HSDIO Development Support</v>
      </c>
      <c r="G199" s="105" t="str">
        <f>Originals!C135</f>
        <v>15.0</v>
      </c>
      <c r="H199" s="105" t="str">
        <f>Originals!D135</f>
        <v>32</v>
      </c>
      <c r="I199" s="105" t="str">
        <f>Originals!E135</f>
        <v>2015</v>
      </c>
      <c r="J199" s="105" t="str">
        <f>Originals!F135</f>
        <v>Development</v>
      </c>
      <c r="K199" s="105" t="str">
        <f>Originals!G135</f>
        <v>NI</v>
      </c>
      <c r="L199" s="105" t="str">
        <f>Originals!H135</f>
        <v>NI-HSDIO Development Support 15.0</v>
      </c>
      <c r="M199" s="105" t="str">
        <f>Originals!I135</f>
        <v>NI Developer Suite 2015 DS2 Install</v>
      </c>
      <c r="N199" s="98" t="s">
        <v>136</v>
      </c>
    </row>
    <row r="200" spans="1:14" x14ac:dyDescent="0.25">
      <c r="A200" s="104" t="s">
        <v>510</v>
      </c>
      <c r="B200" s="103" t="s">
        <v>507</v>
      </c>
      <c r="C200" s="104" t="s">
        <v>510</v>
      </c>
      <c r="D200" s="103" t="s">
        <v>507</v>
      </c>
      <c r="E200" s="104" t="s">
        <v>510</v>
      </c>
      <c r="F200" s="105" t="str">
        <f>Originals!B136</f>
        <v>NI-HWS</v>
      </c>
      <c r="G200" s="105" t="str">
        <f>Originals!C136</f>
        <v>15.0.0</v>
      </c>
      <c r="H200" s="105" t="str">
        <f>Originals!D136</f>
        <v>32</v>
      </c>
      <c r="I200" s="105" t="str">
        <f>Originals!E136</f>
        <v>2015</v>
      </c>
      <c r="J200" s="105" t="str">
        <f>Originals!F136</f>
        <v>Development</v>
      </c>
      <c r="K200" s="105" t="str">
        <f>Originals!G136</f>
        <v>NI</v>
      </c>
      <c r="L200" s="105" t="str">
        <f>Originals!H136</f>
        <v>NI-HWS 15.0.0</v>
      </c>
      <c r="M200" s="105" t="str">
        <f>Originals!I136</f>
        <v>NI Developer Suite 2015 DS2 Install</v>
      </c>
      <c r="N200" s="98" t="s">
        <v>136</v>
      </c>
    </row>
    <row r="201" spans="1:14" x14ac:dyDescent="0.25">
      <c r="A201" s="104" t="s">
        <v>510</v>
      </c>
      <c r="B201" s="104" t="s">
        <v>510</v>
      </c>
      <c r="C201" s="103" t="s">
        <v>507</v>
      </c>
      <c r="D201" s="104" t="s">
        <v>510</v>
      </c>
      <c r="E201" s="104" t="s">
        <v>510</v>
      </c>
      <c r="F201" s="106" t="str">
        <f>Originals!B289</f>
        <v>NI-IMAQ</v>
      </c>
      <c r="G201" s="106" t="str">
        <f>Originals!C289</f>
        <v>19.5.0</v>
      </c>
      <c r="H201" s="106" t="str">
        <f>Originals!D289</f>
        <v>32</v>
      </c>
      <c r="I201" s="106" t="str">
        <f>Originals!E289</f>
        <v>2019</v>
      </c>
      <c r="J201" s="106" t="str">
        <f>Originals!F289</f>
        <v>Development</v>
      </c>
      <c r="K201" s="106" t="str">
        <f>Originals!G289</f>
        <v>NI</v>
      </c>
      <c r="L201" s="106" t="str">
        <f>Originals!H289</f>
        <v>NI-IMAQ 19.5.0</v>
      </c>
      <c r="M201" s="106">
        <f>Originals!I289</f>
        <v>0</v>
      </c>
      <c r="N201" s="107" t="s">
        <v>2</v>
      </c>
    </row>
    <row r="202" spans="1:14" x14ac:dyDescent="0.25">
      <c r="A202" s="104" t="s">
        <v>510</v>
      </c>
      <c r="B202" s="104" t="s">
        <v>510</v>
      </c>
      <c r="C202" s="103" t="s">
        <v>507</v>
      </c>
      <c r="D202" s="104" t="s">
        <v>510</v>
      </c>
      <c r="E202" s="104" t="s">
        <v>510</v>
      </c>
      <c r="F202" s="106" t="str">
        <f>Originals!B290</f>
        <v>NI-IMAQ</v>
      </c>
      <c r="G202" s="106" t="str">
        <f>Originals!C290</f>
        <v>19.5.0</v>
      </c>
      <c r="H202" s="106" t="str">
        <f>Originals!D290</f>
        <v>32</v>
      </c>
      <c r="I202" s="106" t="str">
        <f>Originals!E290</f>
        <v>2019</v>
      </c>
      <c r="J202" s="106" t="str">
        <f>Originals!F290</f>
        <v>Runtime</v>
      </c>
      <c r="K202" s="106" t="str">
        <f>Originals!G290</f>
        <v>NI</v>
      </c>
      <c r="L202" s="106" t="str">
        <f>Originals!H290</f>
        <v>NI-IMAQ 19.5.0</v>
      </c>
      <c r="M202" s="106">
        <f>Originals!I290</f>
        <v>0</v>
      </c>
      <c r="N202" s="107" t="s">
        <v>2</v>
      </c>
    </row>
    <row r="203" spans="1:14" x14ac:dyDescent="0.25">
      <c r="A203" s="104" t="s">
        <v>510</v>
      </c>
      <c r="B203" s="104" t="s">
        <v>510</v>
      </c>
      <c r="C203" s="103" t="s">
        <v>507</v>
      </c>
      <c r="D203" s="103" t="s">
        <v>507</v>
      </c>
      <c r="E203" s="104" t="s">
        <v>510</v>
      </c>
      <c r="F203" s="105" t="str">
        <f>Scott!B71</f>
        <v>MGI Error Reporter</v>
      </c>
      <c r="G203" s="105" t="str">
        <f>Scott!C71</f>
        <v>1.0.2.5</v>
      </c>
      <c r="H203" s="105" t="str">
        <f>Scott!D71</f>
        <v>32</v>
      </c>
      <c r="I203" s="105" t="str">
        <f>Scott!E71</f>
        <v>N/A</v>
      </c>
      <c r="J203" s="105" t="str">
        <f>Scott!F71</f>
        <v>Development</v>
      </c>
      <c r="K203" s="105" t="str">
        <f>Scott!G71</f>
        <v>MGI</v>
      </c>
      <c r="L203" s="105" t="str">
        <f>Scott!H71</f>
        <v>MGI Error Reporter 1.0.2.5</v>
      </c>
      <c r="M203" s="105" t="str">
        <f>Scott!I71</f>
        <v>VIPM Community</v>
      </c>
      <c r="N203" s="98" t="s">
        <v>136</v>
      </c>
    </row>
    <row r="204" spans="1:14" x14ac:dyDescent="0.25">
      <c r="A204" s="104" t="s">
        <v>510</v>
      </c>
      <c r="B204" s="104" t="s">
        <v>510</v>
      </c>
      <c r="C204" s="103" t="s">
        <v>507</v>
      </c>
      <c r="D204" s="103" t="s">
        <v>507</v>
      </c>
      <c r="E204" s="104" t="s">
        <v>510</v>
      </c>
      <c r="F204" s="105" t="str">
        <f>Scott!B72</f>
        <v>MGI File</v>
      </c>
      <c r="G204" s="105" t="str">
        <f>Scott!C72</f>
        <v>1.1.0.4</v>
      </c>
      <c r="H204" s="105" t="str">
        <f>Scott!D72</f>
        <v>32</v>
      </c>
      <c r="I204" s="105" t="str">
        <f>Scott!E72</f>
        <v>N/A</v>
      </c>
      <c r="J204" s="105" t="str">
        <f>Scott!F72</f>
        <v>Development</v>
      </c>
      <c r="K204" s="105" t="str">
        <f>Scott!G72</f>
        <v>MGI</v>
      </c>
      <c r="L204" s="105" t="str">
        <f>Scott!H72</f>
        <v>MGI File 1.1.0.4</v>
      </c>
      <c r="M204" s="105" t="str">
        <f>Scott!I72</f>
        <v>VIPM Community</v>
      </c>
      <c r="N204" s="98" t="s">
        <v>136</v>
      </c>
    </row>
    <row r="205" spans="1:14" x14ac:dyDescent="0.25">
      <c r="A205" s="104" t="s">
        <v>510</v>
      </c>
      <c r="B205" s="104" t="s">
        <v>510</v>
      </c>
      <c r="C205" s="103" t="s">
        <v>507</v>
      </c>
      <c r="D205" s="104" t="s">
        <v>510</v>
      </c>
      <c r="E205" s="104" t="s">
        <v>510</v>
      </c>
      <c r="F205" s="106" t="str">
        <f>Originals!B291</f>
        <v>NI-IMAQ Development Support</v>
      </c>
      <c r="G205" s="106" t="str">
        <f>Originals!C291</f>
        <v>18.5.0</v>
      </c>
      <c r="H205" s="106" t="str">
        <f>Originals!D291</f>
        <v>32</v>
      </c>
      <c r="I205" s="106" t="str">
        <f>Originals!E291</f>
        <v>2018</v>
      </c>
      <c r="J205" s="106" t="str">
        <f>Originals!F291</f>
        <v>Development</v>
      </c>
      <c r="K205" s="106" t="str">
        <f>Originals!G291</f>
        <v>NI</v>
      </c>
      <c r="L205" s="106" t="str">
        <f>Originals!H291</f>
        <v>NI-IMAQ Development Support 18.5.0</v>
      </c>
      <c r="M205" s="106">
        <f>Originals!I291</f>
        <v>0</v>
      </c>
      <c r="N205" s="107" t="s">
        <v>509</v>
      </c>
    </row>
    <row r="206" spans="1:14" x14ac:dyDescent="0.25">
      <c r="A206" s="104" t="s">
        <v>510</v>
      </c>
      <c r="B206" s="104" t="s">
        <v>510</v>
      </c>
      <c r="C206" s="103" t="s">
        <v>507</v>
      </c>
      <c r="D206" s="104" t="s">
        <v>510</v>
      </c>
      <c r="E206" s="104" t="s">
        <v>510</v>
      </c>
      <c r="F206" s="106" t="str">
        <f>Originals!B292</f>
        <v>NI-IMAQ I/O</v>
      </c>
      <c r="G206" s="106" t="str">
        <f>Originals!C292</f>
        <v>18.5.0</v>
      </c>
      <c r="H206" s="106" t="str">
        <f>Originals!D292</f>
        <v>32</v>
      </c>
      <c r="I206" s="106" t="str">
        <f>Originals!E292</f>
        <v>2018</v>
      </c>
      <c r="J206" s="106" t="str">
        <f>Originals!F292</f>
        <v>Development</v>
      </c>
      <c r="K206" s="106" t="str">
        <f>Originals!G292</f>
        <v>NI</v>
      </c>
      <c r="L206" s="106" t="str">
        <f>Originals!H292</f>
        <v>NI-IMAQ I/O 18.5.0</v>
      </c>
      <c r="M206" s="106">
        <f>Originals!I292</f>
        <v>0</v>
      </c>
      <c r="N206" s="107" t="s">
        <v>2</v>
      </c>
    </row>
    <row r="207" spans="1:14" x14ac:dyDescent="0.25">
      <c r="A207" s="104" t="s">
        <v>510</v>
      </c>
      <c r="B207" s="104" t="s">
        <v>510</v>
      </c>
      <c r="C207" s="103" t="s">
        <v>507</v>
      </c>
      <c r="D207" s="104" t="s">
        <v>510</v>
      </c>
      <c r="E207" s="104" t="s">
        <v>510</v>
      </c>
      <c r="F207" s="106" t="str">
        <f>Originals!B293</f>
        <v>NI-IMAQ I/O</v>
      </c>
      <c r="G207" s="106" t="str">
        <f>Originals!C293</f>
        <v>18.5.0</v>
      </c>
      <c r="H207" s="106" t="str">
        <f>Originals!D293</f>
        <v>32</v>
      </c>
      <c r="I207" s="106" t="str">
        <f>Originals!E293</f>
        <v>2018</v>
      </c>
      <c r="J207" s="106" t="str">
        <f>Originals!F293</f>
        <v>Runtime</v>
      </c>
      <c r="K207" s="106" t="str">
        <f>Originals!G293</f>
        <v>NI</v>
      </c>
      <c r="L207" s="106" t="str">
        <f>Originals!H293</f>
        <v>NI-IMAQ I/O 18.5.0</v>
      </c>
      <c r="M207" s="106">
        <f>Originals!I293</f>
        <v>0</v>
      </c>
      <c r="N207" s="107" t="s">
        <v>2</v>
      </c>
    </row>
    <row r="208" spans="1:14" x14ac:dyDescent="0.25">
      <c r="A208" s="104" t="s">
        <v>510</v>
      </c>
      <c r="B208" s="104" t="s">
        <v>510</v>
      </c>
      <c r="C208" s="103" t="s">
        <v>507</v>
      </c>
      <c r="D208" s="103" t="s">
        <v>507</v>
      </c>
      <c r="E208" s="104" t="s">
        <v>510</v>
      </c>
      <c r="F208" s="105" t="str">
        <f>Scott!B73</f>
        <v>MGI Graph</v>
      </c>
      <c r="G208" s="105" t="str">
        <f>Scott!C73</f>
        <v>1.0.2.6</v>
      </c>
      <c r="H208" s="105" t="str">
        <f>Scott!D73</f>
        <v>32</v>
      </c>
      <c r="I208" s="105" t="str">
        <f>Scott!E73</f>
        <v>N/A</v>
      </c>
      <c r="J208" s="105" t="str">
        <f>Scott!F73</f>
        <v>Development</v>
      </c>
      <c r="K208" s="105" t="str">
        <f>Scott!G73</f>
        <v>MGI</v>
      </c>
      <c r="L208" s="105" t="str">
        <f>Scott!H73</f>
        <v>MGI Graph 1.0.2.6</v>
      </c>
      <c r="M208" s="105" t="str">
        <f>Scott!I73</f>
        <v>VIPM Community</v>
      </c>
      <c r="N208" s="98" t="s">
        <v>136</v>
      </c>
    </row>
    <row r="209" spans="1:14" x14ac:dyDescent="0.25">
      <c r="A209" s="104" t="s">
        <v>510</v>
      </c>
      <c r="B209" s="104" t="s">
        <v>510</v>
      </c>
      <c r="C209" s="103" t="s">
        <v>507</v>
      </c>
      <c r="D209" s="103" t="s">
        <v>507</v>
      </c>
      <c r="E209" s="104" t="s">
        <v>510</v>
      </c>
      <c r="F209" s="105" t="str">
        <f>Scott!B74</f>
        <v>MGI Library</v>
      </c>
      <c r="G209" s="105" t="str">
        <f>Scott!C74</f>
        <v>1.2.0.4</v>
      </c>
      <c r="H209" s="105" t="str">
        <f>Scott!D74</f>
        <v>32</v>
      </c>
      <c r="I209" s="105" t="str">
        <f>Scott!E74</f>
        <v>N/A</v>
      </c>
      <c r="J209" s="105" t="str">
        <f>Scott!F74</f>
        <v>Development</v>
      </c>
      <c r="K209" s="105" t="str">
        <f>Scott!G74</f>
        <v>MGI</v>
      </c>
      <c r="L209" s="105" t="str">
        <f>Scott!H74</f>
        <v>MGI Library 1.2.0.4</v>
      </c>
      <c r="M209" s="105" t="str">
        <f>Scott!I74</f>
        <v>VIPM Community</v>
      </c>
      <c r="N209" s="98" t="s">
        <v>136</v>
      </c>
    </row>
    <row r="210" spans="1:14" x14ac:dyDescent="0.25">
      <c r="A210" s="104" t="s">
        <v>510</v>
      </c>
      <c r="B210" s="104" t="s">
        <v>510</v>
      </c>
      <c r="C210" s="103" t="s">
        <v>507</v>
      </c>
      <c r="D210" s="104" t="s">
        <v>510</v>
      </c>
      <c r="E210" s="104" t="s">
        <v>510</v>
      </c>
      <c r="F210" s="106" t="str">
        <f>Originals!B294</f>
        <v>NI-IMAQ I/O Development Support</v>
      </c>
      <c r="G210" s="106" t="str">
        <f>Originals!C294</f>
        <v>18.5.0</v>
      </c>
      <c r="H210" s="106" t="str">
        <f>Originals!D294</f>
        <v>32</v>
      </c>
      <c r="I210" s="106" t="str">
        <f>Originals!E294</f>
        <v>2018</v>
      </c>
      <c r="J210" s="106" t="str">
        <f>Originals!F294</f>
        <v>Development</v>
      </c>
      <c r="K210" s="106" t="str">
        <f>Originals!G294</f>
        <v>NI</v>
      </c>
      <c r="L210" s="106" t="str">
        <f>Originals!H294</f>
        <v>NI-IMAQ I/O Development Support 18.5.0</v>
      </c>
      <c r="M210" s="106">
        <f>Originals!I294</f>
        <v>0</v>
      </c>
      <c r="N210" s="107" t="s">
        <v>2</v>
      </c>
    </row>
    <row r="211" spans="1:14" x14ac:dyDescent="0.25">
      <c r="A211" s="104" t="s">
        <v>510</v>
      </c>
      <c r="B211" s="104" t="s">
        <v>510</v>
      </c>
      <c r="C211" s="103" t="s">
        <v>507</v>
      </c>
      <c r="D211" s="104" t="s">
        <v>510</v>
      </c>
      <c r="E211" s="104" t="s">
        <v>510</v>
      </c>
      <c r="F211" s="106" t="str">
        <f>Originals!B295</f>
        <v>NI-IMAQdx</v>
      </c>
      <c r="G211" s="106" t="str">
        <f>Originals!C295</f>
        <v>18.5.0</v>
      </c>
      <c r="H211" s="106" t="str">
        <f>Originals!D295</f>
        <v>32</v>
      </c>
      <c r="I211" s="106" t="str">
        <f>Originals!E295</f>
        <v>2018</v>
      </c>
      <c r="J211" s="106" t="str">
        <f>Originals!F295</f>
        <v>Development</v>
      </c>
      <c r="K211" s="106" t="str">
        <f>Originals!G295</f>
        <v>NI</v>
      </c>
      <c r="L211" s="106" t="str">
        <f>Originals!H295</f>
        <v>NI-IMAQdx 18.5.0</v>
      </c>
      <c r="M211" s="106">
        <f>Originals!I295</f>
        <v>0</v>
      </c>
      <c r="N211" s="107" t="s">
        <v>2</v>
      </c>
    </row>
    <row r="212" spans="1:14" x14ac:dyDescent="0.25">
      <c r="A212" s="104" t="s">
        <v>510</v>
      </c>
      <c r="B212" s="104" t="s">
        <v>510</v>
      </c>
      <c r="C212" s="103" t="s">
        <v>507</v>
      </c>
      <c r="D212" s="104" t="s">
        <v>510</v>
      </c>
      <c r="E212" s="104" t="s">
        <v>510</v>
      </c>
      <c r="F212" s="106" t="str">
        <f>Originals!B296</f>
        <v>NI-IMAQdx</v>
      </c>
      <c r="G212" s="106" t="str">
        <f>Originals!C296</f>
        <v>18.5.0</v>
      </c>
      <c r="H212" s="106" t="str">
        <f>Originals!D296</f>
        <v>32</v>
      </c>
      <c r="I212" s="106" t="str">
        <f>Originals!E296</f>
        <v>2018</v>
      </c>
      <c r="J212" s="106" t="str">
        <f>Originals!F296</f>
        <v>Runtime</v>
      </c>
      <c r="K212" s="106" t="str">
        <f>Originals!G296</f>
        <v>NI</v>
      </c>
      <c r="L212" s="106" t="str">
        <f>Originals!H296</f>
        <v>NI-IMAQdx 18.5.0</v>
      </c>
      <c r="M212" s="106">
        <f>Originals!I296</f>
        <v>0</v>
      </c>
      <c r="N212" s="107" t="s">
        <v>2</v>
      </c>
    </row>
    <row r="213" spans="1:14" x14ac:dyDescent="0.25">
      <c r="A213" s="104" t="s">
        <v>510</v>
      </c>
      <c r="B213" s="104" t="s">
        <v>510</v>
      </c>
      <c r="C213" s="103" t="s">
        <v>507</v>
      </c>
      <c r="D213" s="103" t="s">
        <v>507</v>
      </c>
      <c r="E213" s="104" t="s">
        <v>510</v>
      </c>
      <c r="F213" s="105" t="str">
        <f>Scott!B75</f>
        <v>MGI Matrix &amp; Vector</v>
      </c>
      <c r="G213" s="105" t="str">
        <f>Scott!C75</f>
        <v>1.1.0.1</v>
      </c>
      <c r="H213" s="105" t="str">
        <f>Scott!D75</f>
        <v>32</v>
      </c>
      <c r="I213" s="105" t="str">
        <f>Scott!E75</f>
        <v>N/A</v>
      </c>
      <c r="J213" s="105" t="str">
        <f>Scott!F75</f>
        <v>Development</v>
      </c>
      <c r="K213" s="105" t="str">
        <f>Scott!G75</f>
        <v>MGI</v>
      </c>
      <c r="L213" s="105" t="str">
        <f>Scott!H75</f>
        <v>MGI Matrix &amp; Vector 1.1.0.1</v>
      </c>
      <c r="M213" s="105" t="str">
        <f>Scott!I75</f>
        <v>VIPM Community</v>
      </c>
      <c r="N213" s="98" t="s">
        <v>136</v>
      </c>
    </row>
    <row r="214" spans="1:14" x14ac:dyDescent="0.25">
      <c r="A214" s="104" t="s">
        <v>510</v>
      </c>
      <c r="B214" s="104" t="s">
        <v>510</v>
      </c>
      <c r="C214" s="103" t="s">
        <v>507</v>
      </c>
      <c r="D214" s="103" t="s">
        <v>507</v>
      </c>
      <c r="E214" s="104" t="s">
        <v>510</v>
      </c>
      <c r="F214" s="105" t="str">
        <f>Scott!B76</f>
        <v>MGI Menu Building</v>
      </c>
      <c r="G214" s="105" t="str">
        <f>Scott!C76</f>
        <v>1.0.1.4</v>
      </c>
      <c r="H214" s="105" t="str">
        <f>Scott!D76</f>
        <v>32</v>
      </c>
      <c r="I214" s="105" t="str">
        <f>Scott!E76</f>
        <v>N/A</v>
      </c>
      <c r="J214" s="105" t="str">
        <f>Scott!F76</f>
        <v>Development</v>
      </c>
      <c r="K214" s="105" t="str">
        <f>Scott!G76</f>
        <v>MGI</v>
      </c>
      <c r="L214" s="105" t="str">
        <f>Scott!H76</f>
        <v>MGI Menu Building 1.0.1.4</v>
      </c>
      <c r="M214" s="105" t="str">
        <f>Scott!I76</f>
        <v>VIPM Community</v>
      </c>
      <c r="N214" s="98" t="s">
        <v>136</v>
      </c>
    </row>
    <row r="215" spans="1:14" x14ac:dyDescent="0.25">
      <c r="A215" s="104" t="s">
        <v>510</v>
      </c>
      <c r="B215" s="104" t="s">
        <v>510</v>
      </c>
      <c r="C215" s="103" t="s">
        <v>507</v>
      </c>
      <c r="D215" s="104" t="s">
        <v>510</v>
      </c>
      <c r="E215" s="104" t="s">
        <v>510</v>
      </c>
      <c r="F215" s="106" t="str">
        <f>Originals!B297</f>
        <v>NI-IMAQdx Development Support</v>
      </c>
      <c r="G215" s="106" t="str">
        <f>Originals!C297</f>
        <v>18.5.0</v>
      </c>
      <c r="H215" s="106" t="str">
        <f>Originals!D297</f>
        <v>32</v>
      </c>
      <c r="I215" s="106" t="str">
        <f>Originals!E297</f>
        <v>2018</v>
      </c>
      <c r="J215" s="106" t="str">
        <f>Originals!F297</f>
        <v>Development</v>
      </c>
      <c r="K215" s="106" t="str">
        <f>Originals!G297</f>
        <v>NI</v>
      </c>
      <c r="L215" s="106" t="str">
        <f>Originals!H297</f>
        <v>NI-IMAQdx Development Support 18.5.0</v>
      </c>
      <c r="M215" s="106">
        <f>Originals!I297</f>
        <v>0</v>
      </c>
      <c r="N215" s="107" t="s">
        <v>2</v>
      </c>
    </row>
    <row r="216" spans="1:14" x14ac:dyDescent="0.25">
      <c r="A216" s="104" t="s">
        <v>510</v>
      </c>
      <c r="B216" s="103" t="s">
        <v>507</v>
      </c>
      <c r="C216" s="103" t="s">
        <v>507</v>
      </c>
      <c r="D216" s="104" t="s">
        <v>510</v>
      </c>
      <c r="E216" s="104" t="s">
        <v>510</v>
      </c>
      <c r="F216" s="105" t="str">
        <f>Originals!B137</f>
        <v>NI-Industrial Communications for EtherCAT</v>
      </c>
      <c r="G216" s="105" t="str">
        <f>Originals!C137</f>
        <v>15.0.0f3</v>
      </c>
      <c r="H216" s="105" t="str">
        <f>Originals!D137</f>
        <v>32</v>
      </c>
      <c r="I216" s="105" t="str">
        <f>Originals!E137</f>
        <v>2015</v>
      </c>
      <c r="J216" s="105" t="str">
        <f>Originals!F137</f>
        <v>Development</v>
      </c>
      <c r="K216" s="105" t="str">
        <f>Originals!G137</f>
        <v>NI</v>
      </c>
      <c r="L216" s="105" t="str">
        <f>Originals!H137</f>
        <v>NI-Industrial Communications for EtherCAT 15.0.0f3</v>
      </c>
      <c r="M216" s="105" t="str">
        <f>Originals!I137</f>
        <v>NI-Industrial Communications for EtherCAT on "Y' Drive</v>
      </c>
      <c r="N216" s="98" t="s">
        <v>136</v>
      </c>
    </row>
    <row r="217" spans="1:14" x14ac:dyDescent="0.25">
      <c r="A217" s="104" t="s">
        <v>510</v>
      </c>
      <c r="B217" s="104" t="s">
        <v>510</v>
      </c>
      <c r="C217" s="103" t="s">
        <v>507</v>
      </c>
      <c r="D217" s="104" t="s">
        <v>510</v>
      </c>
      <c r="E217" s="104" t="s">
        <v>510</v>
      </c>
      <c r="F217" s="106" t="str">
        <f>Originals!B298</f>
        <v>NI-Industrial Communications for EtherCAT</v>
      </c>
      <c r="G217" s="106" t="str">
        <f>Originals!C298</f>
        <v>15.0</v>
      </c>
      <c r="H217" s="106" t="str">
        <f>Originals!D298</f>
        <v>32</v>
      </c>
      <c r="I217" s="106" t="str">
        <f>Originals!E298</f>
        <v>2015</v>
      </c>
      <c r="J217" s="106" t="str">
        <f>Originals!F298</f>
        <v>Development</v>
      </c>
      <c r="K217" s="106" t="str">
        <f>Originals!G298</f>
        <v>NI</v>
      </c>
      <c r="L217" s="106" t="str">
        <f>Originals!H298</f>
        <v>NI-Industrial Communications for EtherCAT 15.0</v>
      </c>
      <c r="M217" s="106" t="str">
        <f>Originals!I298</f>
        <v>NI-Industrial Communications for EtherCAT on "Y' Drive</v>
      </c>
      <c r="N217" s="107" t="s">
        <v>509</v>
      </c>
    </row>
    <row r="218" spans="1:14" x14ac:dyDescent="0.25">
      <c r="A218" s="104" t="s">
        <v>510</v>
      </c>
      <c r="B218" s="104" t="s">
        <v>510</v>
      </c>
      <c r="C218" s="103" t="s">
        <v>507</v>
      </c>
      <c r="D218" s="104" t="s">
        <v>510</v>
      </c>
      <c r="E218" s="104" t="s">
        <v>510</v>
      </c>
      <c r="F218" s="106" t="str">
        <f>Originals!B299</f>
        <v>NI-Industrial Communications for EtherCAT</v>
      </c>
      <c r="G218" s="106">
        <f>Originals!C299</f>
        <v>0</v>
      </c>
      <c r="H218" s="106" t="str">
        <f>Originals!D299</f>
        <v>32</v>
      </c>
      <c r="I218" s="106" t="str">
        <f>Originals!E299</f>
        <v>N/A</v>
      </c>
      <c r="J218" s="106" t="str">
        <f>Originals!F299</f>
        <v>C-RIO</v>
      </c>
      <c r="K218" s="106" t="str">
        <f>Originals!G299</f>
        <v>NI</v>
      </c>
      <c r="L218" s="106" t="str">
        <f>Originals!H299</f>
        <v xml:space="preserve">NI-Industrial Communications for EtherCAT </v>
      </c>
      <c r="M218" s="106">
        <f>Originals!I299</f>
        <v>0</v>
      </c>
      <c r="N218" s="107" t="s">
        <v>509</v>
      </c>
    </row>
    <row r="219" spans="1:14" hidden="1" x14ac:dyDescent="0.25">
      <c r="A219" s="104" t="s">
        <v>510</v>
      </c>
      <c r="B219" s="104" t="s">
        <v>510</v>
      </c>
      <c r="C219" s="104" t="s">
        <v>510</v>
      </c>
      <c r="D219" s="104" t="s">
        <v>510</v>
      </c>
      <c r="E219" s="103" t="s">
        <v>507</v>
      </c>
      <c r="F219" s="114" t="str">
        <f>Originals!B389</f>
        <v>NI-Industrial Communications for EtherCAT</v>
      </c>
      <c r="G219" s="114" t="str">
        <f>Originals!C389</f>
        <v>18.0</v>
      </c>
      <c r="H219" s="114" t="str">
        <f>Originals!D389</f>
        <v>32</v>
      </c>
      <c r="I219" s="114" t="str">
        <f>Originals!E389</f>
        <v>2018</v>
      </c>
      <c r="J219" s="114" t="str">
        <f>Originals!F389</f>
        <v>Development</v>
      </c>
      <c r="K219" s="114" t="str">
        <f>Originals!G389</f>
        <v>NI</v>
      </c>
      <c r="L219" s="114" t="str">
        <f>Originals!H389</f>
        <v>NI-Industrial Communications for EtherCAT 18.0</v>
      </c>
      <c r="M219" s="114">
        <f>Originals!I389</f>
        <v>0</v>
      </c>
      <c r="N219" s="115" t="s">
        <v>466</v>
      </c>
    </row>
    <row r="220" spans="1:14" x14ac:dyDescent="0.25">
      <c r="A220" s="104" t="s">
        <v>510</v>
      </c>
      <c r="B220" s="104" t="s">
        <v>510</v>
      </c>
      <c r="C220" s="103" t="s">
        <v>507</v>
      </c>
      <c r="D220" s="103" t="s">
        <v>507</v>
      </c>
      <c r="E220" s="104" t="s">
        <v>510</v>
      </c>
      <c r="F220" s="105" t="str">
        <f>Scott!B77</f>
        <v>MGI Monitored Actor</v>
      </c>
      <c r="G220" s="105" t="str">
        <f>Scott!C77</f>
        <v>2.0.0.23</v>
      </c>
      <c r="H220" s="105" t="str">
        <f>Scott!D77</f>
        <v>32</v>
      </c>
      <c r="I220" s="105" t="str">
        <f>Scott!E77</f>
        <v>N/A</v>
      </c>
      <c r="J220" s="105" t="str">
        <f>Scott!F77</f>
        <v>Development</v>
      </c>
      <c r="K220" s="105" t="str">
        <f>Scott!G77</f>
        <v>MGI</v>
      </c>
      <c r="L220" s="105" t="str">
        <f>Scott!H77</f>
        <v>MGI Monitored Actor 2.0.0.23</v>
      </c>
      <c r="M220" s="105" t="str">
        <f>Scott!I77</f>
        <v>VIPM Community</v>
      </c>
      <c r="N220" s="98" t="s">
        <v>136</v>
      </c>
    </row>
    <row r="221" spans="1:14" hidden="1" x14ac:dyDescent="0.25">
      <c r="A221" s="104" t="s">
        <v>510</v>
      </c>
      <c r="B221" s="103" t="s">
        <v>507</v>
      </c>
      <c r="C221" s="104" t="s">
        <v>510</v>
      </c>
      <c r="D221" s="104" t="s">
        <v>510</v>
      </c>
      <c r="E221" s="104" t="s">
        <v>510</v>
      </c>
      <c r="F221" s="112" t="str">
        <f>Originals!B138</f>
        <v>NI-PAL</v>
      </c>
      <c r="G221" s="112" t="str">
        <f>Originals!C138</f>
        <v>19.0.0</v>
      </c>
      <c r="H221" s="112" t="str">
        <f>Originals!D138</f>
        <v>32</v>
      </c>
      <c r="I221" s="112" t="str">
        <f>Originals!E138</f>
        <v>2019</v>
      </c>
      <c r="J221" s="112" t="str">
        <f>Originals!F138</f>
        <v>Development</v>
      </c>
      <c r="K221" s="112" t="str">
        <f>Originals!G138</f>
        <v>NI</v>
      </c>
      <c r="L221" s="112" t="str">
        <f>Originals!H138</f>
        <v>NI-PAL 19.0.0</v>
      </c>
      <c r="M221" s="112">
        <f>Originals!I138</f>
        <v>0</v>
      </c>
      <c r="N221" s="113" t="s">
        <v>1</v>
      </c>
    </row>
    <row r="222" spans="1:14" hidden="1" x14ac:dyDescent="0.25">
      <c r="A222" s="104" t="s">
        <v>510</v>
      </c>
      <c r="B222" s="104" t="s">
        <v>510</v>
      </c>
      <c r="C222" s="104" t="s">
        <v>510</v>
      </c>
      <c r="D222" s="104" t="s">
        <v>510</v>
      </c>
      <c r="E222" s="103" t="s">
        <v>507</v>
      </c>
      <c r="F222" s="114" t="str">
        <f>Originals!B390</f>
        <v>NI-PAL</v>
      </c>
      <c r="G222" s="114" t="str">
        <f>Originals!C390</f>
        <v>18.2</v>
      </c>
      <c r="H222" s="114" t="str">
        <f>Originals!D390</f>
        <v>32</v>
      </c>
      <c r="I222" s="114" t="str">
        <f>Originals!E390</f>
        <v>2018</v>
      </c>
      <c r="J222" s="114" t="str">
        <f>Originals!F390</f>
        <v>Development</v>
      </c>
      <c r="K222" s="114" t="str">
        <f>Originals!G390</f>
        <v>NI</v>
      </c>
      <c r="L222" s="114" t="str">
        <f>Originals!H390</f>
        <v>NI-PAL 18.2</v>
      </c>
      <c r="M222" s="114">
        <f>Originals!I390</f>
        <v>0</v>
      </c>
      <c r="N222" s="115" t="s">
        <v>466</v>
      </c>
    </row>
    <row r="223" spans="1:14" x14ac:dyDescent="0.25">
      <c r="A223" s="103" t="s">
        <v>507</v>
      </c>
      <c r="B223" s="104" t="s">
        <v>510</v>
      </c>
      <c r="C223" s="103" t="s">
        <v>507</v>
      </c>
      <c r="D223" s="103" t="s">
        <v>507</v>
      </c>
      <c r="E223" s="104" t="s">
        <v>510</v>
      </c>
      <c r="F223" s="105" t="str">
        <f>Originals!B55</f>
        <v>NI-PAL Software</v>
      </c>
      <c r="G223" s="105" t="str">
        <f>Originals!C55</f>
        <v>19.0.0</v>
      </c>
      <c r="H223" s="105" t="str">
        <f>Originals!D55</f>
        <v>32</v>
      </c>
      <c r="I223" s="105" t="str">
        <f>Originals!E55</f>
        <v>2019</v>
      </c>
      <c r="J223" s="105" t="str">
        <f>Originals!F55</f>
        <v>Development</v>
      </c>
      <c r="K223" s="105" t="str">
        <f>Originals!G55</f>
        <v>NI</v>
      </c>
      <c r="L223" s="105" t="str">
        <f>Originals!H55</f>
        <v>NI-PAL Software 19.0.0</v>
      </c>
      <c r="M223" s="105" t="str">
        <f>Originals!I55</f>
        <v>LabVIEW 2019</v>
      </c>
      <c r="N223" s="98" t="s">
        <v>136</v>
      </c>
    </row>
    <row r="224" spans="1:14" x14ac:dyDescent="0.25">
      <c r="A224" s="103" t="s">
        <v>507</v>
      </c>
      <c r="B224" s="103" t="s">
        <v>507</v>
      </c>
      <c r="C224" s="104" t="s">
        <v>510</v>
      </c>
      <c r="D224" s="103" t="s">
        <v>507</v>
      </c>
      <c r="E224" s="104" t="s">
        <v>510</v>
      </c>
      <c r="F224" s="105" t="str">
        <f>Originals!B56</f>
        <v>NI-RIO</v>
      </c>
      <c r="G224" s="105" t="str">
        <f>Originals!C56</f>
        <v>15.0.0</v>
      </c>
      <c r="H224" s="105" t="str">
        <f>Originals!D56</f>
        <v>32</v>
      </c>
      <c r="I224" s="105" t="str">
        <f>Originals!E56</f>
        <v>2015</v>
      </c>
      <c r="J224" s="105" t="str">
        <f>Originals!F56</f>
        <v>Development</v>
      </c>
      <c r="K224" s="105" t="str">
        <f>Originals!G56</f>
        <v>NI</v>
      </c>
      <c r="L224" s="105" t="str">
        <f>Originals!H56</f>
        <v>NI-RIO 15.0.0</v>
      </c>
      <c r="M224" s="105" t="str">
        <f>Originals!I56</f>
        <v>NI Developer Suite 2015 DS2 Install</v>
      </c>
      <c r="N224" s="98" t="s">
        <v>136</v>
      </c>
    </row>
    <row r="225" spans="1:14" x14ac:dyDescent="0.25">
      <c r="A225" s="104" t="s">
        <v>510</v>
      </c>
      <c r="B225" s="104" t="s">
        <v>510</v>
      </c>
      <c r="C225" s="103" t="s">
        <v>507</v>
      </c>
      <c r="D225" s="104" t="s">
        <v>510</v>
      </c>
      <c r="E225" s="104" t="s">
        <v>510</v>
      </c>
      <c r="F225" s="106" t="str">
        <f>Originals!B302</f>
        <v>NI-RIO</v>
      </c>
      <c r="G225" s="106" t="str">
        <f>Originals!C302</f>
        <v>15.5</v>
      </c>
      <c r="H225" s="106" t="str">
        <f>Originals!D302</f>
        <v>32</v>
      </c>
      <c r="I225" s="106" t="str">
        <f>Originals!E302</f>
        <v>2015</v>
      </c>
      <c r="J225" s="106" t="str">
        <f>Originals!F302</f>
        <v>C-RIO</v>
      </c>
      <c r="K225" s="106" t="str">
        <f>Originals!G302</f>
        <v>NI</v>
      </c>
      <c r="L225" s="106" t="str">
        <f>Originals!H302</f>
        <v>NI-RIO 15.5</v>
      </c>
      <c r="M225" s="106">
        <f>Originals!I302</f>
        <v>0</v>
      </c>
      <c r="N225" s="107" t="s">
        <v>2</v>
      </c>
    </row>
    <row r="226" spans="1:14" x14ac:dyDescent="0.25">
      <c r="A226" s="104" t="s">
        <v>510</v>
      </c>
      <c r="B226" s="104" t="s">
        <v>510</v>
      </c>
      <c r="C226" s="103" t="s">
        <v>507</v>
      </c>
      <c r="D226" s="104" t="s">
        <v>510</v>
      </c>
      <c r="E226" s="104" t="s">
        <v>510</v>
      </c>
      <c r="F226" s="106" t="str">
        <f>Originals!B303</f>
        <v>NI-RIO</v>
      </c>
      <c r="G226" s="106" t="str">
        <f>Originals!C303</f>
        <v>18.5.0</v>
      </c>
      <c r="H226" s="106" t="str">
        <f>Originals!D303</f>
        <v>32</v>
      </c>
      <c r="I226" s="106" t="str">
        <f>Originals!E303</f>
        <v>2018</v>
      </c>
      <c r="J226" s="106" t="str">
        <f>Originals!F303</f>
        <v>Development</v>
      </c>
      <c r="K226" s="106" t="str">
        <f>Originals!G303</f>
        <v>NI</v>
      </c>
      <c r="L226" s="106" t="str">
        <f>Originals!H303</f>
        <v>NI-RIO 18.5.0</v>
      </c>
      <c r="M226" s="106">
        <f>Originals!I303</f>
        <v>0</v>
      </c>
      <c r="N226" s="107" t="s">
        <v>2</v>
      </c>
    </row>
    <row r="227" spans="1:14" hidden="1" x14ac:dyDescent="0.25">
      <c r="A227" s="104" t="s">
        <v>510</v>
      </c>
      <c r="B227" s="104" t="s">
        <v>510</v>
      </c>
      <c r="C227" s="104" t="s">
        <v>510</v>
      </c>
      <c r="D227" s="104" t="s">
        <v>510</v>
      </c>
      <c r="E227" s="103" t="s">
        <v>507</v>
      </c>
      <c r="F227" s="114" t="str">
        <f>Originals!B391</f>
        <v>NI-RIO</v>
      </c>
      <c r="G227" s="114" t="str">
        <f>Originals!C391</f>
        <v>18.0</v>
      </c>
      <c r="H227" s="114" t="str">
        <f>Originals!D391</f>
        <v>32</v>
      </c>
      <c r="I227" s="114" t="str">
        <f>Originals!E391</f>
        <v>2018</v>
      </c>
      <c r="J227" s="114" t="str">
        <f>Originals!F391</f>
        <v>Development</v>
      </c>
      <c r="K227" s="114" t="str">
        <f>Originals!G391</f>
        <v>NI</v>
      </c>
      <c r="L227" s="114" t="str">
        <f>Originals!H391</f>
        <v>NI-RIO 18.0</v>
      </c>
      <c r="M227" s="114">
        <f>Originals!I391</f>
        <v>0</v>
      </c>
      <c r="N227" s="115" t="s">
        <v>466</v>
      </c>
    </row>
    <row r="228" spans="1:14" x14ac:dyDescent="0.25">
      <c r="A228" s="104" t="s">
        <v>510</v>
      </c>
      <c r="B228" s="104" t="s">
        <v>510</v>
      </c>
      <c r="C228" s="103" t="s">
        <v>507</v>
      </c>
      <c r="D228" s="104" t="s">
        <v>510</v>
      </c>
      <c r="E228" s="104" t="s">
        <v>510</v>
      </c>
      <c r="F228" s="106" t="str">
        <f>Originals!B305</f>
        <v>NI-RIO IO Scan</v>
      </c>
      <c r="G228" s="106" t="str">
        <f>Originals!C305</f>
        <v>15.5</v>
      </c>
      <c r="H228" s="106" t="str">
        <f>Originals!D305</f>
        <v>32</v>
      </c>
      <c r="I228" s="106" t="str">
        <f>Originals!E305</f>
        <v>2015</v>
      </c>
      <c r="J228" s="106" t="str">
        <f>Originals!F305</f>
        <v>C-RIO</v>
      </c>
      <c r="K228" s="106" t="str">
        <f>Originals!G305</f>
        <v>NI</v>
      </c>
      <c r="L228" s="106" t="str">
        <f>Originals!H305</f>
        <v>NI-RIO IO Scan 15.5</v>
      </c>
      <c r="M228" s="106">
        <f>Originals!I305</f>
        <v>0</v>
      </c>
      <c r="N228" s="107" t="s">
        <v>2</v>
      </c>
    </row>
    <row r="229" spans="1:14" x14ac:dyDescent="0.25">
      <c r="A229" s="103" t="s">
        <v>507</v>
      </c>
      <c r="B229" s="103" t="s">
        <v>507</v>
      </c>
      <c r="C229" s="104" t="s">
        <v>510</v>
      </c>
      <c r="D229" s="103" t="s">
        <v>507</v>
      </c>
      <c r="E229" s="104" t="s">
        <v>510</v>
      </c>
      <c r="F229" s="105" t="str">
        <f>Originals!B57</f>
        <v>NI-SCOPE</v>
      </c>
      <c r="G229" s="105" t="str">
        <f>Originals!C57</f>
        <v>15.0</v>
      </c>
      <c r="H229" s="105" t="str">
        <f>Originals!D57</f>
        <v>32</v>
      </c>
      <c r="I229" s="105" t="str">
        <f>Originals!E57</f>
        <v>2015</v>
      </c>
      <c r="J229" s="105" t="str">
        <f>Originals!F57</f>
        <v>Development</v>
      </c>
      <c r="K229" s="105" t="str">
        <f>Originals!G57</f>
        <v>NI</v>
      </c>
      <c r="L229" s="105" t="str">
        <f>Originals!H57</f>
        <v>NI-SCOPE 15.0</v>
      </c>
      <c r="M229" s="105" t="str">
        <f>Originals!I57</f>
        <v>NI Developer Suite 2015 DS2 Install</v>
      </c>
      <c r="N229" s="98" t="s">
        <v>136</v>
      </c>
    </row>
    <row r="230" spans="1:14" x14ac:dyDescent="0.25">
      <c r="A230" s="103" t="s">
        <v>507</v>
      </c>
      <c r="B230" s="103" t="s">
        <v>507</v>
      </c>
      <c r="C230" s="104" t="s">
        <v>510</v>
      </c>
      <c r="D230" s="103" t="s">
        <v>507</v>
      </c>
      <c r="E230" s="104" t="s">
        <v>510</v>
      </c>
      <c r="F230" s="105" t="str">
        <f>Originals!B58</f>
        <v>NI-SCOPE</v>
      </c>
      <c r="G230" s="105" t="str">
        <f>Originals!C58</f>
        <v>15.0</v>
      </c>
      <c r="H230" s="105" t="str">
        <f>Originals!D58</f>
        <v>32</v>
      </c>
      <c r="I230" s="105" t="str">
        <f>Originals!E58</f>
        <v>2015</v>
      </c>
      <c r="J230" s="105" t="str">
        <f>Originals!F58</f>
        <v>Runtime</v>
      </c>
      <c r="K230" s="105" t="str">
        <f>Originals!G58</f>
        <v>NI</v>
      </c>
      <c r="L230" s="105" t="str">
        <f>Originals!H58</f>
        <v>NI-SCOPE 15.0</v>
      </c>
      <c r="M230" s="105" t="str">
        <f>Originals!I58</f>
        <v>NI Developer Suite 2015 DS2 Install</v>
      </c>
      <c r="N230" s="98" t="s">
        <v>136</v>
      </c>
    </row>
    <row r="231" spans="1:14" x14ac:dyDescent="0.25">
      <c r="A231" s="103" t="s">
        <v>507</v>
      </c>
      <c r="B231" s="103" t="s">
        <v>507</v>
      </c>
      <c r="C231" s="104" t="s">
        <v>510</v>
      </c>
      <c r="D231" s="103" t="s">
        <v>507</v>
      </c>
      <c r="E231" s="104" t="s">
        <v>510</v>
      </c>
      <c r="F231" s="105" t="str">
        <f>Originals!B142</f>
        <v>NI-SCOPE Configuration Support</v>
      </c>
      <c r="G231" s="105" t="str">
        <f>Originals!C142</f>
        <v>15.0</v>
      </c>
      <c r="H231" s="105" t="str">
        <f>Originals!D142</f>
        <v>32</v>
      </c>
      <c r="I231" s="105" t="str">
        <f>Originals!E142</f>
        <v>2015</v>
      </c>
      <c r="J231" s="105" t="str">
        <f>Originals!F142</f>
        <v>Development</v>
      </c>
      <c r="K231" s="105" t="str">
        <f>Originals!G142</f>
        <v>NI</v>
      </c>
      <c r="L231" s="105" t="str">
        <f>Originals!H142</f>
        <v>NI-SCOPE Configuration Support 15.0</v>
      </c>
      <c r="M231" s="105" t="str">
        <f>Originals!I142</f>
        <v>NI Developer Suite 2015 DS2 Install</v>
      </c>
      <c r="N231" s="98" t="s">
        <v>136</v>
      </c>
    </row>
    <row r="232" spans="1:14" x14ac:dyDescent="0.25">
      <c r="A232" s="103" t="s">
        <v>507</v>
      </c>
      <c r="B232" s="103" t="s">
        <v>507</v>
      </c>
      <c r="C232" s="104" t="s">
        <v>510</v>
      </c>
      <c r="D232" s="103" t="s">
        <v>507</v>
      </c>
      <c r="E232" s="104" t="s">
        <v>510</v>
      </c>
      <c r="F232" s="105" t="str">
        <f>Originals!B60</f>
        <v>NI-SCOPE Development Support</v>
      </c>
      <c r="G232" s="105" t="str">
        <f>Originals!C60</f>
        <v>15.0</v>
      </c>
      <c r="H232" s="105" t="str">
        <f>Originals!D60</f>
        <v>32</v>
      </c>
      <c r="I232" s="105" t="str">
        <f>Originals!E60</f>
        <v>2015</v>
      </c>
      <c r="J232" s="105" t="str">
        <f>Originals!F60</f>
        <v>Development</v>
      </c>
      <c r="K232" s="105" t="str">
        <f>Originals!G60</f>
        <v>NI</v>
      </c>
      <c r="L232" s="105" t="str">
        <f>Originals!H60</f>
        <v>NI-SCOPE Development Support 15.0</v>
      </c>
      <c r="M232" s="105" t="str">
        <f>Originals!I60</f>
        <v>NI Developer Suite 2015 DS2 Install</v>
      </c>
      <c r="N232" s="98" t="s">
        <v>136</v>
      </c>
    </row>
    <row r="233" spans="1:14" x14ac:dyDescent="0.25">
      <c r="A233" s="103" t="s">
        <v>507</v>
      </c>
      <c r="B233" s="103" t="s">
        <v>507</v>
      </c>
      <c r="C233" s="104" t="s">
        <v>510</v>
      </c>
      <c r="D233" s="103" t="s">
        <v>507</v>
      </c>
      <c r="E233" s="104" t="s">
        <v>510</v>
      </c>
      <c r="F233" s="105" t="str">
        <f>Originals!B61</f>
        <v>NI-SCOPE Soft Front Panel</v>
      </c>
      <c r="G233" s="105" t="str">
        <f>Originals!C61</f>
        <v>15.0</v>
      </c>
      <c r="H233" s="105" t="str">
        <f>Originals!D61</f>
        <v>32</v>
      </c>
      <c r="I233" s="105" t="str">
        <f>Originals!E61</f>
        <v>2015</v>
      </c>
      <c r="J233" s="105" t="str">
        <f>Originals!F61</f>
        <v>Development</v>
      </c>
      <c r="K233" s="105" t="str">
        <f>Originals!G61</f>
        <v>NI</v>
      </c>
      <c r="L233" s="105" t="str">
        <f>Originals!H61</f>
        <v>NI-SCOPE Soft Front Panel 15.0</v>
      </c>
      <c r="M233" s="105" t="str">
        <f>Originals!I61</f>
        <v>NI Developer Suite 2015 DS2 Install</v>
      </c>
      <c r="N233" s="98" t="s">
        <v>136</v>
      </c>
    </row>
    <row r="234" spans="1:14" x14ac:dyDescent="0.25">
      <c r="A234" s="103" t="s">
        <v>507</v>
      </c>
      <c r="B234" s="103" t="s">
        <v>507</v>
      </c>
      <c r="C234" s="104" t="s">
        <v>510</v>
      </c>
      <c r="D234" s="104" t="s">
        <v>510</v>
      </c>
      <c r="E234" s="104" t="s">
        <v>510</v>
      </c>
      <c r="F234" s="105" t="str">
        <f>Originals!B62</f>
        <v>NI-Serial</v>
      </c>
      <c r="G234" s="105" t="str">
        <f>Originals!C62</f>
        <v>18.5.0f0</v>
      </c>
      <c r="H234" s="105" t="str">
        <f>Originals!D62</f>
        <v>32</v>
      </c>
      <c r="I234" s="105" t="str">
        <f>Originals!E62</f>
        <v>2018</v>
      </c>
      <c r="J234" s="105" t="str">
        <f>Originals!F62</f>
        <v>Runtime</v>
      </c>
      <c r="K234" s="105" t="str">
        <f>Originals!G62</f>
        <v>NI</v>
      </c>
      <c r="L234" s="105" t="str">
        <f>Originals!H62</f>
        <v>NI-Serial 18.5.0f0</v>
      </c>
      <c r="M234" s="105">
        <f>Originals!I62</f>
        <v>0</v>
      </c>
      <c r="N234" s="98" t="s">
        <v>136</v>
      </c>
    </row>
    <row r="235" spans="1:14" hidden="1" x14ac:dyDescent="0.25">
      <c r="A235" s="104" t="s">
        <v>510</v>
      </c>
      <c r="B235" s="104" t="s">
        <v>510</v>
      </c>
      <c r="C235" s="104" t="s">
        <v>510</v>
      </c>
      <c r="D235" s="103" t="s">
        <v>507</v>
      </c>
      <c r="E235" s="104" t="s">
        <v>510</v>
      </c>
      <c r="F235" s="108" t="str">
        <f>Scott!B85</f>
        <v>MGI String</v>
      </c>
      <c r="G235" s="108" t="str">
        <f>Scott!C85</f>
        <v>1.1.1.5</v>
      </c>
      <c r="H235" s="108" t="str">
        <f>Scott!D85</f>
        <v>32</v>
      </c>
      <c r="I235" s="108" t="str">
        <f>Scott!E85</f>
        <v>N/A</v>
      </c>
      <c r="J235" s="108" t="str">
        <f>Scott!F85</f>
        <v>Development</v>
      </c>
      <c r="K235" s="108" t="str">
        <f>Scott!G85</f>
        <v>MGI</v>
      </c>
      <c r="L235" s="108" t="str">
        <f>Scott!H85</f>
        <v>MGI String 1.1.1.5</v>
      </c>
      <c r="M235" s="108" t="str">
        <f>Scott!I85</f>
        <v>VIPM Community</v>
      </c>
      <c r="N235" s="109" t="s">
        <v>96</v>
      </c>
    </row>
    <row r="236" spans="1:14" x14ac:dyDescent="0.25">
      <c r="A236" s="104" t="s">
        <v>510</v>
      </c>
      <c r="B236" s="104" t="s">
        <v>510</v>
      </c>
      <c r="C236" s="103" t="s">
        <v>507</v>
      </c>
      <c r="D236" s="104" t="s">
        <v>510</v>
      </c>
      <c r="E236" s="104" t="s">
        <v>510</v>
      </c>
      <c r="F236" s="106" t="str">
        <f>Originals!B307</f>
        <v>NI-Serial</v>
      </c>
      <c r="G236" s="106" t="str">
        <f>Originals!C307</f>
        <v>18.5.0f0</v>
      </c>
      <c r="H236" s="106" t="str">
        <f>Originals!D307</f>
        <v>32</v>
      </c>
      <c r="I236" s="106" t="str">
        <f>Originals!E307</f>
        <v>2018</v>
      </c>
      <c r="J236" s="106" t="str">
        <f>Originals!F307</f>
        <v>Runtime</v>
      </c>
      <c r="K236" s="106" t="str">
        <f>Originals!G307</f>
        <v>NI</v>
      </c>
      <c r="L236" s="106" t="str">
        <f>Originals!H307</f>
        <v>NI-Serial 18.5.0f0</v>
      </c>
      <c r="M236" s="106">
        <f>Originals!I307</f>
        <v>0</v>
      </c>
      <c r="N236" s="107" t="s">
        <v>2</v>
      </c>
    </row>
    <row r="237" spans="1:14" x14ac:dyDescent="0.25">
      <c r="A237" s="103" t="s">
        <v>507</v>
      </c>
      <c r="B237" s="103" t="s">
        <v>507</v>
      </c>
      <c r="C237" s="104" t="s">
        <v>510</v>
      </c>
      <c r="D237" s="104" t="s">
        <v>510</v>
      </c>
      <c r="E237" s="104" t="s">
        <v>510</v>
      </c>
      <c r="F237" s="105" t="str">
        <f>Originals!B63</f>
        <v>NI-Serial Configuration</v>
      </c>
      <c r="G237" s="105" t="str">
        <f>Originals!C63</f>
        <v>15.0.0f0</v>
      </c>
      <c r="H237" s="105" t="str">
        <f>Originals!D63</f>
        <v>32</v>
      </c>
      <c r="I237" s="105" t="str">
        <f>Originals!E63</f>
        <v>2015</v>
      </c>
      <c r="J237" s="105" t="str">
        <f>Originals!F63</f>
        <v>Development</v>
      </c>
      <c r="K237" s="105" t="str">
        <f>Originals!G63</f>
        <v>NI</v>
      </c>
      <c r="L237" s="105" t="str">
        <f>Originals!H63</f>
        <v>NI-Serial Configuration 15.0.0f0</v>
      </c>
      <c r="M237" s="105" t="str">
        <f>Originals!I63</f>
        <v>NI Developer Suite 2015 DS2 Install</v>
      </c>
      <c r="N237" s="98" t="s">
        <v>136</v>
      </c>
    </row>
    <row r="238" spans="1:14" x14ac:dyDescent="0.25">
      <c r="A238" s="104" t="s">
        <v>510</v>
      </c>
      <c r="B238" s="104" t="s">
        <v>510</v>
      </c>
      <c r="C238" s="103" t="s">
        <v>507</v>
      </c>
      <c r="D238" s="104" t="s">
        <v>510</v>
      </c>
      <c r="E238" s="104" t="s">
        <v>510</v>
      </c>
      <c r="F238" s="106" t="str">
        <f>Originals!B306</f>
        <v>NI-Serial Configuration</v>
      </c>
      <c r="G238" s="106" t="str">
        <f>Originals!C306</f>
        <v>18.5.0f0</v>
      </c>
      <c r="H238" s="106" t="str">
        <f>Originals!D306</f>
        <v>32</v>
      </c>
      <c r="I238" s="106" t="str">
        <f>Originals!E306</f>
        <v>2018</v>
      </c>
      <c r="J238" s="106" t="str">
        <f>Originals!F306</f>
        <v>Development</v>
      </c>
      <c r="K238" s="106" t="str">
        <f>Originals!G306</f>
        <v>NI</v>
      </c>
      <c r="L238" s="106" t="str">
        <f>Originals!H306</f>
        <v>NI-Serial Configuration 18.5.0f0</v>
      </c>
      <c r="M238" s="106">
        <f>Originals!I306</f>
        <v>0</v>
      </c>
      <c r="N238" s="107" t="s">
        <v>2</v>
      </c>
    </row>
    <row r="239" spans="1:14" x14ac:dyDescent="0.25">
      <c r="A239" s="104" t="s">
        <v>510</v>
      </c>
      <c r="B239" s="104" t="s">
        <v>510</v>
      </c>
      <c r="C239" s="104" t="s">
        <v>510</v>
      </c>
      <c r="D239" s="103" t="s">
        <v>507</v>
      </c>
      <c r="E239" s="103" t="s">
        <v>507</v>
      </c>
      <c r="F239" s="105" t="str">
        <f>Scott!B86</f>
        <v>MGI Timing</v>
      </c>
      <c r="G239" s="105" t="str">
        <f>Scott!C86</f>
        <v>1.1.0.2</v>
      </c>
      <c r="H239" s="105" t="str">
        <f>Scott!D86</f>
        <v>32</v>
      </c>
      <c r="I239" s="105" t="str">
        <f>Scott!E86</f>
        <v>N/A</v>
      </c>
      <c r="J239" s="105" t="str">
        <f>Scott!F86</f>
        <v>Development</v>
      </c>
      <c r="K239" s="105" t="str">
        <f>Scott!G86</f>
        <v>MGI</v>
      </c>
      <c r="L239" s="105" t="str">
        <f>Scott!H86</f>
        <v>MGI Timing 1.1.0.2</v>
      </c>
      <c r="M239" s="105" t="str">
        <f>Scott!I86</f>
        <v>VIPM Community</v>
      </c>
      <c r="N239" s="98" t="s">
        <v>136</v>
      </c>
    </row>
    <row r="240" spans="1:14" x14ac:dyDescent="0.25">
      <c r="A240" s="103" t="s">
        <v>507</v>
      </c>
      <c r="B240" s="103" t="s">
        <v>507</v>
      </c>
      <c r="C240" s="104" t="s">
        <v>510</v>
      </c>
      <c r="D240" s="103" t="s">
        <v>507</v>
      </c>
      <c r="E240" s="104" t="s">
        <v>510</v>
      </c>
      <c r="F240" s="105" t="str">
        <f>Originals!B64</f>
        <v>NI-SWITCH</v>
      </c>
      <c r="G240" s="105" t="str">
        <f>Originals!C64</f>
        <v>15.0</v>
      </c>
      <c r="H240" s="105" t="str">
        <f>Originals!D64</f>
        <v>32</v>
      </c>
      <c r="I240" s="105" t="str">
        <f>Originals!E64</f>
        <v>2015</v>
      </c>
      <c r="J240" s="105" t="str">
        <f>Originals!F64</f>
        <v>Development</v>
      </c>
      <c r="K240" s="105" t="str">
        <f>Originals!G64</f>
        <v>NI</v>
      </c>
      <c r="L240" s="105" t="str">
        <f>Originals!H64</f>
        <v>NI-SWITCH 15.0</v>
      </c>
      <c r="M240" s="105" t="str">
        <f>Originals!I64</f>
        <v>NI Developer Suite 2015 DS2 Install</v>
      </c>
      <c r="N240" s="98" t="s">
        <v>136</v>
      </c>
    </row>
    <row r="241" spans="1:14" x14ac:dyDescent="0.25">
      <c r="A241" s="104" t="s">
        <v>510</v>
      </c>
      <c r="B241" s="103" t="s">
        <v>507</v>
      </c>
      <c r="C241" s="104" t="s">
        <v>510</v>
      </c>
      <c r="D241" s="103" t="s">
        <v>507</v>
      </c>
      <c r="E241" s="104" t="s">
        <v>510</v>
      </c>
      <c r="F241" s="105" t="str">
        <f>Originals!B148</f>
        <v>NI-SWITCH</v>
      </c>
      <c r="G241" s="105" t="str">
        <f>Originals!C148</f>
        <v>15.0</v>
      </c>
      <c r="H241" s="105" t="str">
        <f>Originals!D148</f>
        <v>32</v>
      </c>
      <c r="I241" s="105" t="str">
        <f>Originals!E148</f>
        <v>2015</v>
      </c>
      <c r="J241" s="105" t="str">
        <f>Originals!F148</f>
        <v>Runtime</v>
      </c>
      <c r="K241" s="105" t="str">
        <f>Originals!G148</f>
        <v>NI</v>
      </c>
      <c r="L241" s="105" t="str">
        <f>Originals!H148</f>
        <v>NI-SWITCH 15.0</v>
      </c>
      <c r="M241" s="105" t="str">
        <f>Originals!I148</f>
        <v>NI Developer Suite 2015 DS2 Install</v>
      </c>
      <c r="N241" s="98" t="s">
        <v>136</v>
      </c>
    </row>
    <row r="242" spans="1:14" x14ac:dyDescent="0.25">
      <c r="A242" s="103" t="s">
        <v>507</v>
      </c>
      <c r="B242" s="103" t="s">
        <v>507</v>
      </c>
      <c r="C242" s="104" t="s">
        <v>510</v>
      </c>
      <c r="D242" s="103" t="s">
        <v>507</v>
      </c>
      <c r="E242" s="104" t="s">
        <v>510</v>
      </c>
      <c r="F242" s="105" t="str">
        <f>Originals!B65</f>
        <v>NI-SWITCH Configuration Support</v>
      </c>
      <c r="G242" s="105" t="str">
        <f>Originals!C65</f>
        <v>15.0</v>
      </c>
      <c r="H242" s="105" t="str">
        <f>Originals!D65</f>
        <v>32</v>
      </c>
      <c r="I242" s="105" t="str">
        <f>Originals!E65</f>
        <v>2015</v>
      </c>
      <c r="J242" s="105" t="str">
        <f>Originals!F65</f>
        <v>Development</v>
      </c>
      <c r="K242" s="105" t="str">
        <f>Originals!G65</f>
        <v>NI</v>
      </c>
      <c r="L242" s="105" t="str">
        <f>Originals!H65</f>
        <v>NI-SWITCH Configuration Support 15.0</v>
      </c>
      <c r="M242" s="105" t="str">
        <f>Originals!I65</f>
        <v>NI Developer Suite 2015 DS2 Install</v>
      </c>
      <c r="N242" s="98" t="s">
        <v>136</v>
      </c>
    </row>
    <row r="243" spans="1:14" x14ac:dyDescent="0.25">
      <c r="A243" s="103" t="s">
        <v>507</v>
      </c>
      <c r="B243" s="103" t="s">
        <v>507</v>
      </c>
      <c r="C243" s="104" t="s">
        <v>510</v>
      </c>
      <c r="D243" s="103" t="s">
        <v>507</v>
      </c>
      <c r="E243" s="104" t="s">
        <v>510</v>
      </c>
      <c r="F243" s="105" t="str">
        <f>Originals!B66</f>
        <v>NI-SWITCH Development Support</v>
      </c>
      <c r="G243" s="105" t="str">
        <f>Originals!C66</f>
        <v>15.0</v>
      </c>
      <c r="H243" s="105" t="str">
        <f>Originals!D66</f>
        <v>32</v>
      </c>
      <c r="I243" s="105" t="str">
        <f>Originals!E66</f>
        <v>2015</v>
      </c>
      <c r="J243" s="105" t="str">
        <f>Originals!F66</f>
        <v>Development</v>
      </c>
      <c r="K243" s="105" t="str">
        <f>Originals!G66</f>
        <v>NI</v>
      </c>
      <c r="L243" s="105" t="str">
        <f>Originals!H66</f>
        <v>NI-SWITCH Development Support 15.0</v>
      </c>
      <c r="M243" s="105" t="str">
        <f>Originals!I66</f>
        <v>NI Developer Suite 2015 DS2 Install</v>
      </c>
      <c r="N243" s="98" t="s">
        <v>136</v>
      </c>
    </row>
    <row r="244" spans="1:14" x14ac:dyDescent="0.25">
      <c r="A244" s="103" t="s">
        <v>507</v>
      </c>
      <c r="B244" s="103" t="s">
        <v>507</v>
      </c>
      <c r="C244" s="104" t="s">
        <v>510</v>
      </c>
      <c r="D244" s="103" t="s">
        <v>507</v>
      </c>
      <c r="E244" s="104" t="s">
        <v>510</v>
      </c>
      <c r="F244" s="105" t="str">
        <f>Originals!B67</f>
        <v>NI-SWITCH Soft Front Panel</v>
      </c>
      <c r="G244" s="105" t="str">
        <f>Originals!C67</f>
        <v>15.0.0</v>
      </c>
      <c r="H244" s="105" t="str">
        <f>Originals!D67</f>
        <v>32</v>
      </c>
      <c r="I244" s="105" t="str">
        <f>Originals!E67</f>
        <v>2015</v>
      </c>
      <c r="J244" s="105" t="str">
        <f>Originals!F67</f>
        <v>Development</v>
      </c>
      <c r="K244" s="105" t="str">
        <f>Originals!G67</f>
        <v>NI</v>
      </c>
      <c r="L244" s="105" t="str">
        <f>Originals!H67</f>
        <v>NI-SWITCH Soft Front Panel 15.0.0</v>
      </c>
      <c r="M244" s="105" t="str">
        <f>Originals!I67</f>
        <v>NI Developer Suite 2015 DS2 Install</v>
      </c>
      <c r="N244" s="98" t="s">
        <v>136</v>
      </c>
    </row>
    <row r="245" spans="1:14" hidden="1" x14ac:dyDescent="0.25">
      <c r="A245" s="103" t="s">
        <v>507</v>
      </c>
      <c r="B245" s="104" t="s">
        <v>510</v>
      </c>
      <c r="C245" s="104" t="s">
        <v>510</v>
      </c>
      <c r="D245" s="104" t="s">
        <v>510</v>
      </c>
      <c r="E245" s="104" t="s">
        <v>510</v>
      </c>
      <c r="F245" s="110" t="str">
        <f>Originals!B68</f>
        <v>NI-SWITCH Support</v>
      </c>
      <c r="G245" s="110" t="str">
        <f>Originals!C68</f>
        <v>15.0</v>
      </c>
      <c r="H245" s="110" t="str">
        <f>Originals!D68</f>
        <v>32</v>
      </c>
      <c r="I245" s="110" t="str">
        <f>Originals!E68</f>
        <v>2015</v>
      </c>
      <c r="J245" s="110" t="str">
        <f>Originals!F68</f>
        <v>Runtime</v>
      </c>
      <c r="K245" s="110" t="str">
        <f>Originals!G68</f>
        <v>NI</v>
      </c>
      <c r="L245" s="110" t="str">
        <f>Originals!H68</f>
        <v>NI-SWITCH Support 15.0</v>
      </c>
      <c r="M245" s="110" t="str">
        <f>Originals!I68</f>
        <v>NI Developer Suite 2015 DS2 Install</v>
      </c>
      <c r="N245" s="111" t="s">
        <v>0</v>
      </c>
    </row>
    <row r="246" spans="1:14" x14ac:dyDescent="0.25">
      <c r="A246" s="103" t="s">
        <v>507</v>
      </c>
      <c r="B246" s="103" t="s">
        <v>507</v>
      </c>
      <c r="C246" s="103" t="s">
        <v>507</v>
      </c>
      <c r="D246" s="104" t="s">
        <v>510</v>
      </c>
      <c r="E246" s="104" t="s">
        <v>510</v>
      </c>
      <c r="F246" s="105" t="str">
        <f>Originals!B69</f>
        <v>NI-Sync</v>
      </c>
      <c r="G246" s="105" t="str">
        <f>Originals!C69</f>
        <v>15.0.0f0</v>
      </c>
      <c r="H246" s="105" t="str">
        <f>Originals!D69</f>
        <v>32</v>
      </c>
      <c r="I246" s="105" t="str">
        <f>Originals!E69</f>
        <v>2015</v>
      </c>
      <c r="J246" s="105" t="str">
        <f>Originals!F69</f>
        <v>Development</v>
      </c>
      <c r="K246" s="105" t="str">
        <f>Originals!G69</f>
        <v>NI</v>
      </c>
      <c r="L246" s="105" t="str">
        <f>Originals!H69</f>
        <v>NI-Sync 15.0.0f0</v>
      </c>
      <c r="M246" s="105" t="str">
        <f>Originals!I69</f>
        <v>NI Developer Suite 2015 DS2 Install</v>
      </c>
      <c r="N246" s="98" t="s">
        <v>136</v>
      </c>
    </row>
    <row r="247" spans="1:14" x14ac:dyDescent="0.25">
      <c r="A247" s="104" t="s">
        <v>510</v>
      </c>
      <c r="B247" s="104" t="s">
        <v>510</v>
      </c>
      <c r="C247" s="103" t="s">
        <v>507</v>
      </c>
      <c r="D247" s="104" t="s">
        <v>510</v>
      </c>
      <c r="E247" s="104" t="s">
        <v>510</v>
      </c>
      <c r="F247" s="106" t="str">
        <f>Originals!B308</f>
        <v>NI-Sync</v>
      </c>
      <c r="G247" s="106" t="str">
        <f>Originals!C308</f>
        <v>15.0.1f0</v>
      </c>
      <c r="H247" s="106" t="str">
        <f>Originals!D308</f>
        <v>32</v>
      </c>
      <c r="I247" s="106" t="str">
        <f>Originals!E308</f>
        <v>2015</v>
      </c>
      <c r="J247" s="106" t="str">
        <f>Originals!F308</f>
        <v>Runtime</v>
      </c>
      <c r="K247" s="106" t="str">
        <f>Originals!G308</f>
        <v>NI</v>
      </c>
      <c r="L247" s="106" t="str">
        <f>Originals!H308</f>
        <v>NI-Sync 15.0.1f0</v>
      </c>
      <c r="M247" s="106">
        <f>Originals!I308</f>
        <v>0</v>
      </c>
      <c r="N247" s="107" t="s">
        <v>2</v>
      </c>
    </row>
    <row r="248" spans="1:14" hidden="1" x14ac:dyDescent="0.25">
      <c r="A248" s="104" t="s">
        <v>510</v>
      </c>
      <c r="B248" s="104" t="s">
        <v>510</v>
      </c>
      <c r="C248" s="104" t="s">
        <v>510</v>
      </c>
      <c r="D248" s="103" t="s">
        <v>507</v>
      </c>
      <c r="E248" s="104" t="s">
        <v>510</v>
      </c>
      <c r="F248" s="108" t="str">
        <f>Scott!B92</f>
        <v>NI Asynchronous Message Communication (AMC) Library</v>
      </c>
      <c r="G248" s="108" t="str">
        <f>Scott!C92</f>
        <v>3.3.1.22</v>
      </c>
      <c r="H248" s="108" t="str">
        <f>Scott!D92</f>
        <v>32</v>
      </c>
      <c r="I248" s="108" t="str">
        <f>Scott!E92</f>
        <v>N/A</v>
      </c>
      <c r="J248" s="108" t="str">
        <f>Scott!F92</f>
        <v>Development</v>
      </c>
      <c r="K248" s="108" t="str">
        <f>Scott!G92</f>
        <v>NI</v>
      </c>
      <c r="L248" s="108" t="str">
        <f>Scott!H92</f>
        <v>NI Asynchronous Message Communication (AMC) Library 3.3.1.22</v>
      </c>
      <c r="M248" s="108" t="str">
        <f>Scott!I92</f>
        <v>VIPM Community</v>
      </c>
      <c r="N248" s="109" t="s">
        <v>96</v>
      </c>
    </row>
    <row r="249" spans="1:14" x14ac:dyDescent="0.25">
      <c r="A249" s="103" t="s">
        <v>507</v>
      </c>
      <c r="B249" s="103" t="s">
        <v>507</v>
      </c>
      <c r="C249" s="104" t="s">
        <v>510</v>
      </c>
      <c r="D249" s="103" t="s">
        <v>507</v>
      </c>
      <c r="E249" s="104" t="s">
        <v>510</v>
      </c>
      <c r="F249" s="105" t="str">
        <f>Originals!B70</f>
        <v>NI-TClk</v>
      </c>
      <c r="G249" s="105" t="str">
        <f>Originals!C70</f>
        <v>15.0</v>
      </c>
      <c r="H249" s="105" t="str">
        <f>Originals!D70</f>
        <v>32</v>
      </c>
      <c r="I249" s="105" t="str">
        <f>Originals!E70</f>
        <v>2015</v>
      </c>
      <c r="J249" s="105" t="str">
        <f>Originals!F70</f>
        <v>Development</v>
      </c>
      <c r="K249" s="105" t="str">
        <f>Originals!G70</f>
        <v>NI</v>
      </c>
      <c r="L249" s="105" t="str">
        <f>Originals!H70</f>
        <v>NI-TClk 15.0</v>
      </c>
      <c r="M249" s="105" t="str">
        <f>Originals!I70</f>
        <v>NI Developer Suite 2015 DS2 Install</v>
      </c>
      <c r="N249" s="98" t="s">
        <v>136</v>
      </c>
    </row>
    <row r="250" spans="1:14" x14ac:dyDescent="0.25">
      <c r="A250" s="103" t="s">
        <v>507</v>
      </c>
      <c r="B250" s="103" t="s">
        <v>507</v>
      </c>
      <c r="C250" s="103" t="s">
        <v>507</v>
      </c>
      <c r="D250" s="103" t="s">
        <v>507</v>
      </c>
      <c r="E250" s="104" t="s">
        <v>510</v>
      </c>
      <c r="F250" s="105" t="str">
        <f>Originals!B71</f>
        <v>NI-TimeSync</v>
      </c>
      <c r="G250" s="105" t="str">
        <f>Originals!C71</f>
        <v>15.0.0f0</v>
      </c>
      <c r="H250" s="105" t="str">
        <f>Originals!D71</f>
        <v>32</v>
      </c>
      <c r="I250" s="105" t="str">
        <f>Originals!E71</f>
        <v>2015</v>
      </c>
      <c r="J250" s="105" t="str">
        <f>Originals!F71</f>
        <v>Development</v>
      </c>
      <c r="K250" s="105" t="str">
        <f>Originals!G71</f>
        <v>NI</v>
      </c>
      <c r="L250" s="105" t="str">
        <f>Originals!H71</f>
        <v>NI-TimeSync 15.0.0f0</v>
      </c>
      <c r="M250" s="105" t="str">
        <f>Originals!I71</f>
        <v>NI Developer Suite 2015 DS2 Install</v>
      </c>
      <c r="N250" s="98" t="s">
        <v>136</v>
      </c>
    </row>
    <row r="251" spans="1:14" x14ac:dyDescent="0.25">
      <c r="A251" s="103" t="s">
        <v>507</v>
      </c>
      <c r="B251" s="104" t="s">
        <v>510</v>
      </c>
      <c r="C251" s="104" t="s">
        <v>510</v>
      </c>
      <c r="D251" s="103" t="s">
        <v>507</v>
      </c>
      <c r="E251" s="104" t="s">
        <v>510</v>
      </c>
      <c r="F251" s="105" t="str">
        <f>Originals!B72</f>
        <v>NI-USI</v>
      </c>
      <c r="G251" s="105" t="str">
        <f>Originals!C72</f>
        <v>15.0.1.6118</v>
      </c>
      <c r="H251" s="105" t="str">
        <f>Originals!D72</f>
        <v>32</v>
      </c>
      <c r="I251" s="105" t="str">
        <f>Originals!E72</f>
        <v>2015</v>
      </c>
      <c r="J251" s="105" t="str">
        <f>Originals!F72</f>
        <v>Development</v>
      </c>
      <c r="K251" s="105" t="str">
        <f>Originals!G72</f>
        <v>NI</v>
      </c>
      <c r="L251" s="105" t="str">
        <f>Originals!H72</f>
        <v>NI-USI 15.0.1.6118</v>
      </c>
      <c r="M251" s="105" t="str">
        <f>Originals!I72</f>
        <v>LabVIEW 2015 SP1</v>
      </c>
      <c r="N251" s="98" t="s">
        <v>136</v>
      </c>
    </row>
    <row r="252" spans="1:14" hidden="1" x14ac:dyDescent="0.25">
      <c r="A252" s="104" t="s">
        <v>510</v>
      </c>
      <c r="B252" s="103" t="s">
        <v>507</v>
      </c>
      <c r="C252" s="104" t="s">
        <v>510</v>
      </c>
      <c r="D252" s="104" t="s">
        <v>510</v>
      </c>
      <c r="E252" s="104" t="s">
        <v>510</v>
      </c>
      <c r="F252" s="112" t="str">
        <f>Originals!B155</f>
        <v>NI-USI</v>
      </c>
      <c r="G252" s="112" t="str">
        <f>Originals!C155</f>
        <v>17.0.0.6654</v>
      </c>
      <c r="H252" s="112" t="str">
        <f>Originals!D155</f>
        <v>32</v>
      </c>
      <c r="I252" s="112" t="str">
        <f>Originals!E155</f>
        <v>2017</v>
      </c>
      <c r="J252" s="112" t="str">
        <f>Originals!F155</f>
        <v>Development</v>
      </c>
      <c r="K252" s="112" t="str">
        <f>Originals!G155</f>
        <v>NI</v>
      </c>
      <c r="L252" s="112" t="str">
        <f>Originals!H155</f>
        <v>NI-USI 17.0.0.6654</v>
      </c>
      <c r="M252" s="112">
        <f>Originals!I155</f>
        <v>0</v>
      </c>
      <c r="N252" s="113" t="s">
        <v>1</v>
      </c>
    </row>
    <row r="253" spans="1:14" x14ac:dyDescent="0.25">
      <c r="A253" s="104" t="s">
        <v>510</v>
      </c>
      <c r="B253" s="104" t="s">
        <v>510</v>
      </c>
      <c r="C253" s="103" t="s">
        <v>507</v>
      </c>
      <c r="D253" s="104" t="s">
        <v>510</v>
      </c>
      <c r="E253" s="104" t="s">
        <v>510</v>
      </c>
      <c r="F253" s="106" t="str">
        <f>Originals!B311</f>
        <v>NI-USI</v>
      </c>
      <c r="G253" s="106" t="str">
        <f>Originals!C311</f>
        <v>18.5.5.7372</v>
      </c>
      <c r="H253" s="106" t="str">
        <f>Originals!D311</f>
        <v>32</v>
      </c>
      <c r="I253" s="106" t="str">
        <f>Originals!E311</f>
        <v>2018</v>
      </c>
      <c r="J253" s="106" t="str">
        <f>Originals!F311</f>
        <v>Development</v>
      </c>
      <c r="K253" s="106" t="str">
        <f>Originals!G311</f>
        <v>NI</v>
      </c>
      <c r="L253" s="106" t="str">
        <f>Originals!H311</f>
        <v>NI-USI 18.5.5.7372</v>
      </c>
      <c r="M253" s="106">
        <f>Originals!I311</f>
        <v>0</v>
      </c>
      <c r="N253" s="107" t="s">
        <v>2</v>
      </c>
    </row>
    <row r="254" spans="1:14" hidden="1" x14ac:dyDescent="0.25">
      <c r="A254" s="104" t="s">
        <v>510</v>
      </c>
      <c r="B254" s="104" t="s">
        <v>510</v>
      </c>
      <c r="C254" s="104" t="s">
        <v>510</v>
      </c>
      <c r="D254" s="104" t="s">
        <v>510</v>
      </c>
      <c r="E254" s="103" t="s">
        <v>507</v>
      </c>
      <c r="F254" s="114" t="str">
        <f>Originals!B393</f>
        <v>NI-USI</v>
      </c>
      <c r="G254" s="114" t="str">
        <f>Originals!C393</f>
        <v>17.0.1</v>
      </c>
      <c r="H254" s="114" t="str">
        <f>Originals!D393</f>
        <v>32</v>
      </c>
      <c r="I254" s="114" t="str">
        <f>Originals!E393</f>
        <v>2018</v>
      </c>
      <c r="J254" s="114" t="str">
        <f>Originals!F393</f>
        <v>Development</v>
      </c>
      <c r="K254" s="114" t="str">
        <f>Originals!G393</f>
        <v>NI</v>
      </c>
      <c r="L254" s="114" t="str">
        <f>Originals!H393</f>
        <v>NI-USI 17.0.1</v>
      </c>
      <c r="M254" s="114">
        <f>Originals!I393</f>
        <v>0</v>
      </c>
      <c r="N254" s="115" t="s">
        <v>466</v>
      </c>
    </row>
    <row r="255" spans="1:14" x14ac:dyDescent="0.25">
      <c r="A255" s="103" t="s">
        <v>507</v>
      </c>
      <c r="B255" s="103" t="s">
        <v>507</v>
      </c>
      <c r="C255" s="104" t="s">
        <v>510</v>
      </c>
      <c r="D255" s="104" t="s">
        <v>510</v>
      </c>
      <c r="E255" s="104" t="s">
        <v>510</v>
      </c>
      <c r="F255" s="105" t="str">
        <f>Originals!B73</f>
        <v>NI-VISA</v>
      </c>
      <c r="G255" s="105" t="str">
        <f>Originals!C73</f>
        <v>19.5</v>
      </c>
      <c r="H255" s="105" t="str">
        <f>Originals!D73</f>
        <v>32</v>
      </c>
      <c r="I255" s="105" t="str">
        <f>Originals!E73</f>
        <v>2019</v>
      </c>
      <c r="J255" s="105" t="str">
        <f>Originals!F73</f>
        <v>Development</v>
      </c>
      <c r="K255" s="105" t="str">
        <f>Originals!G73</f>
        <v>NI</v>
      </c>
      <c r="L255" s="105" t="str">
        <f>Originals!H73</f>
        <v>NI-VISA 19.5</v>
      </c>
      <c r="M255" s="105">
        <f>Originals!I73</f>
        <v>0</v>
      </c>
      <c r="N255" s="98" t="s">
        <v>136</v>
      </c>
    </row>
    <row r="256" spans="1:14" x14ac:dyDescent="0.25">
      <c r="A256" s="103" t="s">
        <v>507</v>
      </c>
      <c r="B256" s="103" t="s">
        <v>507</v>
      </c>
      <c r="C256" s="103" t="s">
        <v>507</v>
      </c>
      <c r="D256" s="104" t="s">
        <v>510</v>
      </c>
      <c r="E256" s="104" t="s">
        <v>510</v>
      </c>
      <c r="F256" s="105" t="str">
        <f>Originals!B74</f>
        <v>NI-VISA</v>
      </c>
      <c r="G256" s="105" t="str">
        <f>Originals!C74</f>
        <v>19.5</v>
      </c>
      <c r="H256" s="105" t="str">
        <f>Originals!D74</f>
        <v>32</v>
      </c>
      <c r="I256" s="105" t="str">
        <f>Originals!E74</f>
        <v>2019</v>
      </c>
      <c r="J256" s="105" t="str">
        <f>Originals!F74</f>
        <v>Runtime</v>
      </c>
      <c r="K256" s="105" t="str">
        <f>Originals!G74</f>
        <v>NI</v>
      </c>
      <c r="L256" s="105" t="str">
        <f>Originals!H74</f>
        <v>NI-VISA 19.5</v>
      </c>
      <c r="M256" s="105">
        <f>Originals!I74</f>
        <v>0</v>
      </c>
      <c r="N256" s="98" t="s">
        <v>136</v>
      </c>
    </row>
    <row r="257" spans="1:14" x14ac:dyDescent="0.25">
      <c r="A257" s="104" t="s">
        <v>510</v>
      </c>
      <c r="B257" s="104" t="s">
        <v>510</v>
      </c>
      <c r="C257" s="103" t="s">
        <v>507</v>
      </c>
      <c r="D257" s="104" t="s">
        <v>510</v>
      </c>
      <c r="E257" s="104" t="s">
        <v>510</v>
      </c>
      <c r="F257" s="106" t="str">
        <f>Originals!B312</f>
        <v>NI-VISA</v>
      </c>
      <c r="G257" s="106" t="str">
        <f>Originals!C312</f>
        <v>15.5.0</v>
      </c>
      <c r="H257" s="106" t="str">
        <f>Originals!D312</f>
        <v>32</v>
      </c>
      <c r="I257" s="106" t="str">
        <f>Originals!E312</f>
        <v>2015</v>
      </c>
      <c r="J257" s="106" t="str">
        <f>Originals!F312</f>
        <v>C-RIO</v>
      </c>
      <c r="K257" s="106" t="str">
        <f>Originals!G312</f>
        <v>NI</v>
      </c>
      <c r="L257" s="106" t="str">
        <f>Originals!H312</f>
        <v>NI-VISA 15.5.0</v>
      </c>
      <c r="M257" s="106">
        <f>Originals!I312</f>
        <v>0</v>
      </c>
      <c r="N257" s="107" t="s">
        <v>2</v>
      </c>
    </row>
    <row r="258" spans="1:14" x14ac:dyDescent="0.25">
      <c r="A258" s="104" t="s">
        <v>510</v>
      </c>
      <c r="B258" s="104" t="s">
        <v>510</v>
      </c>
      <c r="C258" s="103" t="s">
        <v>507</v>
      </c>
      <c r="D258" s="104" t="s">
        <v>510</v>
      </c>
      <c r="E258" s="104" t="s">
        <v>510</v>
      </c>
      <c r="F258" s="106" t="str">
        <f>Originals!B313</f>
        <v>NI-VISA</v>
      </c>
      <c r="G258" s="106">
        <f>Originals!C313</f>
        <v>19.5</v>
      </c>
      <c r="H258" s="106" t="str">
        <f>Originals!D313</f>
        <v>32</v>
      </c>
      <c r="I258" s="106" t="str">
        <f>Originals!E313</f>
        <v>2019</v>
      </c>
      <c r="J258" s="106" t="str">
        <f>Originals!F313</f>
        <v>Development</v>
      </c>
      <c r="K258" s="106" t="str">
        <f>Originals!G313</f>
        <v>NI</v>
      </c>
      <c r="L258" s="106" t="str">
        <f>Originals!H313</f>
        <v>NI-VISA 19.5</v>
      </c>
      <c r="M258" s="106">
        <f>Originals!I313</f>
        <v>0</v>
      </c>
      <c r="N258" s="107" t="s">
        <v>2</v>
      </c>
    </row>
    <row r="259" spans="1:14" hidden="1" x14ac:dyDescent="0.25">
      <c r="A259" s="104" t="s">
        <v>510</v>
      </c>
      <c r="B259" s="104" t="s">
        <v>510</v>
      </c>
      <c r="C259" s="104" t="s">
        <v>510</v>
      </c>
      <c r="D259" s="104" t="s">
        <v>510</v>
      </c>
      <c r="E259" s="103" t="s">
        <v>507</v>
      </c>
      <c r="F259" s="114" t="str">
        <f>Originals!B394</f>
        <v>NI-VISA</v>
      </c>
      <c r="G259" s="114" t="str">
        <f>Originals!C394</f>
        <v>18.0</v>
      </c>
      <c r="H259" s="114" t="str">
        <f>Originals!D394</f>
        <v>32</v>
      </c>
      <c r="I259" s="114" t="str">
        <f>Originals!E394</f>
        <v>2018</v>
      </c>
      <c r="J259" s="114" t="str">
        <f>Originals!F394</f>
        <v>Development</v>
      </c>
      <c r="K259" s="114" t="str">
        <f>Originals!G394</f>
        <v>NI</v>
      </c>
      <c r="L259" s="114" t="str">
        <f>Originals!H394</f>
        <v>NI-VISA 18.0</v>
      </c>
      <c r="M259" s="114">
        <f>Originals!I394</f>
        <v>0</v>
      </c>
      <c r="N259" s="115" t="s">
        <v>466</v>
      </c>
    </row>
    <row r="260" spans="1:14" hidden="1" x14ac:dyDescent="0.25">
      <c r="A260" s="104" t="s">
        <v>510</v>
      </c>
      <c r="B260" s="104" t="s">
        <v>510</v>
      </c>
      <c r="C260" s="104" t="s">
        <v>510</v>
      </c>
      <c r="D260" s="104" t="s">
        <v>510</v>
      </c>
      <c r="E260" s="103" t="s">
        <v>507</v>
      </c>
      <c r="F260" s="114" t="str">
        <f>Originals!B395</f>
        <v>NI-VISA</v>
      </c>
      <c r="G260" s="114" t="str">
        <f>Originals!C395</f>
        <v>18.0</v>
      </c>
      <c r="H260" s="114" t="str">
        <f>Originals!D395</f>
        <v>31</v>
      </c>
      <c r="I260" s="114" t="str">
        <f>Originals!E395</f>
        <v>2018</v>
      </c>
      <c r="J260" s="114" t="str">
        <f>Originals!F395</f>
        <v>Runtime</v>
      </c>
      <c r="K260" s="114" t="str">
        <f>Originals!G395</f>
        <v>NI</v>
      </c>
      <c r="L260" s="114" t="str">
        <f>Originals!H395</f>
        <v>NI-VISA 18.0</v>
      </c>
      <c r="M260" s="114">
        <f>Originals!I395</f>
        <v>0</v>
      </c>
      <c r="N260" s="115" t="s">
        <v>466</v>
      </c>
    </row>
    <row r="261" spans="1:14" hidden="1" x14ac:dyDescent="0.25">
      <c r="A261" s="104" t="s">
        <v>510</v>
      </c>
      <c r="B261" s="104" t="s">
        <v>510</v>
      </c>
      <c r="C261" s="104" t="s">
        <v>510</v>
      </c>
      <c r="D261" s="103" t="s">
        <v>507</v>
      </c>
      <c r="E261" s="104" t="s">
        <v>510</v>
      </c>
      <c r="F261" s="108" t="str">
        <f>Scott!B97</f>
        <v>NI Modbus Library</v>
      </c>
      <c r="G261" s="108" t="str">
        <f>Scott!C97</f>
        <v>1.2.1.42</v>
      </c>
      <c r="H261" s="108" t="str">
        <f>Scott!D97</f>
        <v>32</v>
      </c>
      <c r="I261" s="108" t="str">
        <f>Scott!E97</f>
        <v>N/A</v>
      </c>
      <c r="J261" s="108" t="str">
        <f>Scott!F97</f>
        <v>Development</v>
      </c>
      <c r="K261" s="108" t="str">
        <f>Scott!G97</f>
        <v>NI</v>
      </c>
      <c r="L261" s="108" t="str">
        <f>Scott!H97</f>
        <v>NI Modbus Library 1.2.1.42</v>
      </c>
      <c r="M261" s="108" t="str">
        <f>Scott!I97</f>
        <v>VIPM Community</v>
      </c>
      <c r="N261" s="109" t="s">
        <v>96</v>
      </c>
    </row>
    <row r="262" spans="1:14" hidden="1" x14ac:dyDescent="0.25">
      <c r="A262" s="104" t="s">
        <v>510</v>
      </c>
      <c r="B262" s="104" t="s">
        <v>510</v>
      </c>
      <c r="C262" s="104" t="s">
        <v>510</v>
      </c>
      <c r="D262" s="103" t="s">
        <v>507</v>
      </c>
      <c r="E262" s="104" t="s">
        <v>510</v>
      </c>
      <c r="F262" s="108" t="str">
        <f>Scott!B99</f>
        <v>NI PXI Platform Services</v>
      </c>
      <c r="G262" s="108" t="str">
        <f>Scott!C99</f>
        <v>15.0.0f1</v>
      </c>
      <c r="H262" s="108">
        <f>Scott!D99</f>
        <v>32</v>
      </c>
      <c r="I262" s="108">
        <f>Scott!E99</f>
        <v>2015</v>
      </c>
      <c r="J262" s="108" t="str">
        <f>Scott!F99</f>
        <v>Runtime</v>
      </c>
      <c r="K262" s="108" t="str">
        <f>Scott!G99</f>
        <v>NI</v>
      </c>
      <c r="L262" s="108" t="str">
        <f>Scott!H99</f>
        <v>NI PXI Platform Services 15.0.0f1</v>
      </c>
      <c r="M262" s="108" t="str">
        <f>Scott!I99</f>
        <v>NI Developer Suite 2015 DS2 Install</v>
      </c>
      <c r="N262" s="109" t="s">
        <v>96</v>
      </c>
    </row>
    <row r="263" spans="1:14" x14ac:dyDescent="0.25">
      <c r="A263" s="103" t="s">
        <v>507</v>
      </c>
      <c r="B263" s="103" t="s">
        <v>507</v>
      </c>
      <c r="C263" s="104" t="s">
        <v>510</v>
      </c>
      <c r="D263" s="104" t="s">
        <v>510</v>
      </c>
      <c r="E263" s="103" t="s">
        <v>507</v>
      </c>
      <c r="F263" s="105" t="str">
        <f>Originals!B75</f>
        <v>NIvisaic.exe</v>
      </c>
      <c r="G263" s="105" t="str">
        <f>Originals!C75</f>
        <v>15.0.0.49152</v>
      </c>
      <c r="H263" s="105" t="str">
        <f>Originals!D75</f>
        <v>32</v>
      </c>
      <c r="I263" s="105" t="str">
        <f>Originals!E75</f>
        <v>2019</v>
      </c>
      <c r="J263" s="105" t="str">
        <f>Originals!F75</f>
        <v>Development</v>
      </c>
      <c r="K263" s="105" t="str">
        <f>Originals!G75</f>
        <v>NI</v>
      </c>
      <c r="L263" s="105" t="str">
        <f>Originals!H75</f>
        <v>NIvisaic.exe 15.0.0.49152</v>
      </c>
      <c r="M263" s="105" t="str">
        <f>Originals!I75</f>
        <v>NI Developer Suite 2015 DS2 Install</v>
      </c>
      <c r="N263" s="98" t="s">
        <v>136</v>
      </c>
    </row>
    <row r="264" spans="1:14" x14ac:dyDescent="0.25">
      <c r="A264" s="104" t="s">
        <v>510</v>
      </c>
      <c r="B264" s="104" t="s">
        <v>510</v>
      </c>
      <c r="C264" s="103" t="s">
        <v>507</v>
      </c>
      <c r="D264" s="104" t="s">
        <v>510</v>
      </c>
      <c r="E264" s="104" t="s">
        <v>510</v>
      </c>
      <c r="F264" s="106" t="str">
        <f>Originals!B315</f>
        <v>NIvisaic.exe</v>
      </c>
      <c r="G264" s="106" t="str">
        <f>Originals!C315</f>
        <v>18.5.0.49152</v>
      </c>
      <c r="H264" s="106" t="str">
        <f>Originals!D315</f>
        <v>32</v>
      </c>
      <c r="I264" s="106" t="str">
        <f>Originals!E315</f>
        <v>2018</v>
      </c>
      <c r="J264" s="106" t="str">
        <f>Originals!F315</f>
        <v>Development</v>
      </c>
      <c r="K264" s="106" t="str">
        <f>Originals!G315</f>
        <v>NI</v>
      </c>
      <c r="L264" s="106" t="str">
        <f>Originals!H315</f>
        <v>NIvisaic.exe 18.5.0.49152</v>
      </c>
      <c r="M264" s="106" t="str">
        <f>Originals!I315</f>
        <v>NI Developer Suite 2015 DS2 Install</v>
      </c>
      <c r="N264" s="107" t="s">
        <v>2</v>
      </c>
    </row>
    <row r="265" spans="1:14" x14ac:dyDescent="0.25">
      <c r="A265" s="103" t="s">
        <v>507</v>
      </c>
      <c r="B265" s="103" t="s">
        <v>507</v>
      </c>
      <c r="C265" s="103" t="s">
        <v>507</v>
      </c>
      <c r="D265" s="103" t="s">
        <v>507</v>
      </c>
      <c r="E265" s="104" t="s">
        <v>510</v>
      </c>
      <c r="F265" s="105" t="str">
        <f>Originals!B76</f>
        <v>NiVisaServer.exe</v>
      </c>
      <c r="G265" s="105" t="str">
        <f>Originals!C76</f>
        <v>15.0.0.49152</v>
      </c>
      <c r="H265" s="105" t="str">
        <f>Originals!D76</f>
        <v>32</v>
      </c>
      <c r="I265" s="105" t="str">
        <f>Originals!E76</f>
        <v>2019</v>
      </c>
      <c r="J265" s="105" t="str">
        <f>Originals!F76</f>
        <v>Development</v>
      </c>
      <c r="K265" s="105" t="str">
        <f>Originals!G76</f>
        <v>NI</v>
      </c>
      <c r="L265" s="105" t="str">
        <f>Originals!H76</f>
        <v>NiVisaServer.exe 15.0.0.49152</v>
      </c>
      <c r="M265" s="105" t="str">
        <f>Originals!I76</f>
        <v>NI Developer Suite 2015 DS2 Install</v>
      </c>
      <c r="N265" s="98" t="s">
        <v>136</v>
      </c>
    </row>
    <row r="266" spans="1:14" x14ac:dyDescent="0.25">
      <c r="A266" s="104" t="s">
        <v>510</v>
      </c>
      <c r="B266" s="104" t="s">
        <v>510</v>
      </c>
      <c r="C266" s="103" t="s">
        <v>507</v>
      </c>
      <c r="D266" s="104" t="s">
        <v>510</v>
      </c>
      <c r="E266" s="104" t="s">
        <v>510</v>
      </c>
      <c r="F266" s="106" t="str">
        <f>Originals!B317</f>
        <v>NI-Watchdog</v>
      </c>
      <c r="G266" s="106" t="str">
        <f>Originals!C317</f>
        <v>15.0.0</v>
      </c>
      <c r="H266" s="106" t="str">
        <f>Originals!D317</f>
        <v>32</v>
      </c>
      <c r="I266" s="106" t="str">
        <f>Originals!E317</f>
        <v>2015</v>
      </c>
      <c r="J266" s="106" t="str">
        <f>Originals!F317</f>
        <v>C-RIO</v>
      </c>
      <c r="K266" s="106" t="str">
        <f>Originals!G317</f>
        <v>NI</v>
      </c>
      <c r="L266" s="106" t="str">
        <f>Originals!H317</f>
        <v>NI-Watchdog 15.0.0</v>
      </c>
      <c r="M266" s="106">
        <f>Originals!I317</f>
        <v>0</v>
      </c>
      <c r="N266" s="107" t="s">
        <v>2</v>
      </c>
    </row>
    <row r="267" spans="1:14" x14ac:dyDescent="0.25">
      <c r="A267" s="104" t="s">
        <v>510</v>
      </c>
      <c r="B267" s="104" t="s">
        <v>510</v>
      </c>
      <c r="C267" s="103" t="s">
        <v>507</v>
      </c>
      <c r="D267" s="104" t="s">
        <v>510</v>
      </c>
      <c r="E267" s="104" t="s">
        <v>510</v>
      </c>
      <c r="F267" s="106" t="str">
        <f>Originals!B318</f>
        <v>NI-XNET</v>
      </c>
      <c r="G267" s="106" t="str">
        <f>Originals!C318</f>
        <v>18.5.0f0</v>
      </c>
      <c r="H267" s="106" t="str">
        <f>Originals!D318</f>
        <v>32</v>
      </c>
      <c r="I267" s="106" t="str">
        <f>Originals!E318</f>
        <v>2018</v>
      </c>
      <c r="J267" s="106" t="str">
        <f>Originals!F318</f>
        <v>Development</v>
      </c>
      <c r="K267" s="106" t="str">
        <f>Originals!G318</f>
        <v>NI</v>
      </c>
      <c r="L267" s="106" t="str">
        <f>Originals!H318</f>
        <v>NI-XNET 18.5.0f0</v>
      </c>
      <c r="M267" s="106">
        <f>Originals!I318</f>
        <v>0</v>
      </c>
      <c r="N267" s="107" t="s">
        <v>2</v>
      </c>
    </row>
    <row r="268" spans="1:14" x14ac:dyDescent="0.25">
      <c r="A268" s="104" t="s">
        <v>510</v>
      </c>
      <c r="B268" s="104" t="s">
        <v>510</v>
      </c>
      <c r="C268" s="103" t="s">
        <v>507</v>
      </c>
      <c r="D268" s="104" t="s">
        <v>510</v>
      </c>
      <c r="E268" s="104" t="s">
        <v>510</v>
      </c>
      <c r="F268" s="106" t="str">
        <f>Originals!B319</f>
        <v>NI-XNET</v>
      </c>
      <c r="G268" s="106" t="str">
        <f>Originals!C319</f>
        <v>18.5.0f1</v>
      </c>
      <c r="H268" s="106" t="str">
        <f>Originals!D319</f>
        <v>32</v>
      </c>
      <c r="I268" s="106" t="str">
        <f>Originals!E319</f>
        <v>2018</v>
      </c>
      <c r="J268" s="106" t="str">
        <f>Originals!F319</f>
        <v>Runtime</v>
      </c>
      <c r="K268" s="106" t="str">
        <f>Originals!G319</f>
        <v>NI</v>
      </c>
      <c r="L268" s="106" t="str">
        <f>Originals!H319</f>
        <v>NI-XNET 18.5.0f1</v>
      </c>
      <c r="M268" s="106">
        <f>Originals!I319</f>
        <v>0</v>
      </c>
      <c r="N268" s="107" t="s">
        <v>2</v>
      </c>
    </row>
    <row r="269" spans="1:14" hidden="1" x14ac:dyDescent="0.25">
      <c r="A269" s="104" t="s">
        <v>510</v>
      </c>
      <c r="B269" s="104" t="s">
        <v>510</v>
      </c>
      <c r="C269" s="104" t="s">
        <v>510</v>
      </c>
      <c r="D269" s="103" t="s">
        <v>507</v>
      </c>
      <c r="E269" s="104" t="s">
        <v>510</v>
      </c>
      <c r="F269" s="108" t="str">
        <f>Scott!B102</f>
        <v>NI Script Editor</v>
      </c>
      <c r="G269" s="108" t="str">
        <f>Scott!C102</f>
        <v>14.0</v>
      </c>
      <c r="H269" s="108">
        <f>Scott!D102</f>
        <v>32</v>
      </c>
      <c r="I269" s="108">
        <f>Scott!E102</f>
        <v>2014</v>
      </c>
      <c r="J269" s="108" t="str">
        <f>Scott!F102</f>
        <v>Development</v>
      </c>
      <c r="K269" s="108" t="str">
        <f>Scott!G102</f>
        <v>NI</v>
      </c>
      <c r="L269" s="108" t="str">
        <f>Scott!H102</f>
        <v>NI Script Editor 14.0</v>
      </c>
      <c r="M269" s="108" t="str">
        <f>Scott!I102</f>
        <v>NI Developer Suite 2015 DS2 Install</v>
      </c>
      <c r="N269" s="109" t="s">
        <v>96</v>
      </c>
    </row>
    <row r="270" spans="1:14" x14ac:dyDescent="0.25">
      <c r="A270" s="104" t="s">
        <v>510</v>
      </c>
      <c r="B270" s="104" t="s">
        <v>510</v>
      </c>
      <c r="C270" s="103" t="s">
        <v>507</v>
      </c>
      <c r="D270" s="103" t="s">
        <v>507</v>
      </c>
      <c r="E270" s="104" t="s">
        <v>510</v>
      </c>
      <c r="F270" s="105" t="str">
        <f>Originals!B320</f>
        <v>OpenG Application Control Library</v>
      </c>
      <c r="G270" s="105" t="str">
        <f>Originals!C320</f>
        <v>4.1.0.7</v>
      </c>
      <c r="H270" s="105" t="str">
        <f>Originals!D320</f>
        <v>32</v>
      </c>
      <c r="I270" s="105" t="str">
        <f>Originals!E320</f>
        <v>N/A</v>
      </c>
      <c r="J270" s="105" t="str">
        <f>Originals!F320</f>
        <v>Development</v>
      </c>
      <c r="K270" s="105" t="str">
        <f>Originals!G320</f>
        <v>OpenG.org</v>
      </c>
      <c r="L270" s="105" t="str">
        <f>Originals!H320</f>
        <v>OpenG Application Control Library 4.1.0.7</v>
      </c>
      <c r="M270" s="105" t="str">
        <f>Originals!I320</f>
        <v>VIPM Community</v>
      </c>
      <c r="N270" s="98" t="s">
        <v>136</v>
      </c>
    </row>
    <row r="271" spans="1:14" x14ac:dyDescent="0.25">
      <c r="A271" s="104" t="s">
        <v>510</v>
      </c>
      <c r="B271" s="104" t="s">
        <v>510</v>
      </c>
      <c r="C271" s="103" t="s">
        <v>507</v>
      </c>
      <c r="D271" s="103" t="s">
        <v>507</v>
      </c>
      <c r="E271" s="104" t="s">
        <v>510</v>
      </c>
      <c r="F271" s="105" t="str">
        <f>Originals!B321</f>
        <v>OpenG Array Library</v>
      </c>
      <c r="G271" s="105" t="str">
        <f>Originals!C321</f>
        <v>4.1.1.14</v>
      </c>
      <c r="H271" s="105" t="str">
        <f>Originals!D321</f>
        <v>32</v>
      </c>
      <c r="I271" s="105" t="str">
        <f>Originals!E321</f>
        <v>N/A</v>
      </c>
      <c r="J271" s="105" t="str">
        <f>Originals!F321</f>
        <v>Development</v>
      </c>
      <c r="K271" s="105" t="str">
        <f>Originals!G321</f>
        <v>OpenG.org</v>
      </c>
      <c r="L271" s="105" t="str">
        <f>Originals!H321</f>
        <v>OpenG Array Library 4.1.1.14</v>
      </c>
      <c r="M271" s="105" t="str">
        <f>Originals!I321</f>
        <v>VIPM Community</v>
      </c>
      <c r="N271" s="98" t="s">
        <v>136</v>
      </c>
    </row>
    <row r="272" spans="1:14" x14ac:dyDescent="0.25">
      <c r="A272" s="104" t="s">
        <v>510</v>
      </c>
      <c r="B272" s="104" t="s">
        <v>510</v>
      </c>
      <c r="C272" s="103" t="s">
        <v>507</v>
      </c>
      <c r="D272" s="103" t="s">
        <v>507</v>
      </c>
      <c r="E272" s="104" t="s">
        <v>510</v>
      </c>
      <c r="F272" s="105" t="str">
        <f>Originals!B322</f>
        <v>OpenG Boolean Library</v>
      </c>
      <c r="G272" s="105" t="str">
        <f>Originals!C322</f>
        <v>4.0.0.7</v>
      </c>
      <c r="H272" s="105" t="str">
        <f>Originals!D322</f>
        <v>32</v>
      </c>
      <c r="I272" s="105" t="str">
        <f>Originals!E322</f>
        <v>N/A</v>
      </c>
      <c r="J272" s="105" t="str">
        <f>Originals!F322</f>
        <v>Development</v>
      </c>
      <c r="K272" s="105" t="str">
        <f>Originals!G322</f>
        <v>OpenG.org</v>
      </c>
      <c r="L272" s="105" t="str">
        <f>Originals!H322</f>
        <v>OpenG Boolean Library 4.0.0.7</v>
      </c>
      <c r="M272" s="105" t="str">
        <f>Originals!I322</f>
        <v>VIPM Community</v>
      </c>
      <c r="N272" s="98" t="s">
        <v>136</v>
      </c>
    </row>
    <row r="273" spans="1:14" x14ac:dyDescent="0.25">
      <c r="A273" s="104" t="s">
        <v>510</v>
      </c>
      <c r="B273" s="104" t="s">
        <v>510</v>
      </c>
      <c r="C273" s="103" t="s">
        <v>507</v>
      </c>
      <c r="D273" s="103" t="s">
        <v>507</v>
      </c>
      <c r="E273" s="104" t="s">
        <v>510</v>
      </c>
      <c r="F273" s="105" t="str">
        <f>Originals!B323</f>
        <v>OpenG Builder</v>
      </c>
      <c r="G273" s="105" t="str">
        <f>Originals!C323</f>
        <v>3.0.1-2</v>
      </c>
      <c r="H273" s="105" t="str">
        <f>Originals!D323</f>
        <v>32</v>
      </c>
      <c r="I273" s="105" t="str">
        <f>Originals!E323</f>
        <v>N/A</v>
      </c>
      <c r="J273" s="105" t="str">
        <f>Originals!F323</f>
        <v>Development</v>
      </c>
      <c r="K273" s="105" t="str">
        <f>Originals!G323</f>
        <v>OpenG.org</v>
      </c>
      <c r="L273" s="105" t="str">
        <f>Originals!H323</f>
        <v>OpenG Builder 3.0.1-2</v>
      </c>
      <c r="M273" s="105" t="str">
        <f>Originals!I323</f>
        <v>VIPM Community</v>
      </c>
      <c r="N273" s="98" t="s">
        <v>136</v>
      </c>
    </row>
    <row r="274" spans="1:14" x14ac:dyDescent="0.25">
      <c r="A274" s="104" t="s">
        <v>510</v>
      </c>
      <c r="B274" s="104" t="s">
        <v>510</v>
      </c>
      <c r="C274" s="103" t="s">
        <v>507</v>
      </c>
      <c r="D274" s="103" t="s">
        <v>507</v>
      </c>
      <c r="E274" s="104" t="s">
        <v>510</v>
      </c>
      <c r="F274" s="105" t="str">
        <f>Originals!B324</f>
        <v>OpenG Buttons Library</v>
      </c>
      <c r="G274" s="105" t="str">
        <f>Originals!C324</f>
        <v>4.0.0.7</v>
      </c>
      <c r="H274" s="105" t="str">
        <f>Originals!D324</f>
        <v>32</v>
      </c>
      <c r="I274" s="105" t="str">
        <f>Originals!E324</f>
        <v>N/A</v>
      </c>
      <c r="J274" s="105" t="str">
        <f>Originals!F324</f>
        <v>Development</v>
      </c>
      <c r="K274" s="105" t="str">
        <f>Originals!G324</f>
        <v>OpenG.org</v>
      </c>
      <c r="L274" s="105" t="str">
        <f>Originals!H324</f>
        <v>OpenG Buttons Library 4.0.0.7</v>
      </c>
      <c r="M274" s="105" t="str">
        <f>Originals!I324</f>
        <v>VIPM Community</v>
      </c>
      <c r="N274" s="98" t="s">
        <v>136</v>
      </c>
    </row>
    <row r="275" spans="1:14" x14ac:dyDescent="0.25">
      <c r="A275" s="104" t="s">
        <v>510</v>
      </c>
      <c r="B275" s="104" t="s">
        <v>510</v>
      </c>
      <c r="C275" s="103" t="s">
        <v>507</v>
      </c>
      <c r="D275" s="103" t="s">
        <v>507</v>
      </c>
      <c r="E275" s="104" t="s">
        <v>510</v>
      </c>
      <c r="F275" s="105" t="str">
        <f>Originals!B325</f>
        <v>OpenG Compare VI To Disk Tool</v>
      </c>
      <c r="G275" s="105" t="str">
        <f>Originals!C325</f>
        <v>4.0.0.9</v>
      </c>
      <c r="H275" s="105" t="str">
        <f>Originals!D325</f>
        <v>32</v>
      </c>
      <c r="I275" s="105" t="str">
        <f>Originals!E325</f>
        <v>N/A</v>
      </c>
      <c r="J275" s="105" t="str">
        <f>Originals!F325</f>
        <v>Development</v>
      </c>
      <c r="K275" s="105" t="str">
        <f>Originals!G325</f>
        <v>OpenG.org</v>
      </c>
      <c r="L275" s="105" t="str">
        <f>Originals!H325</f>
        <v>OpenG Compare VI To Disk Tool 4.0.0.9</v>
      </c>
      <c r="M275" s="105" t="str">
        <f>Originals!I325</f>
        <v>VIPM Community</v>
      </c>
      <c r="N275" s="98" t="s">
        <v>136</v>
      </c>
    </row>
    <row r="276" spans="1:14" x14ac:dyDescent="0.25">
      <c r="A276" s="104" t="s">
        <v>510</v>
      </c>
      <c r="B276" s="104" t="s">
        <v>510</v>
      </c>
      <c r="C276" s="103" t="s">
        <v>507</v>
      </c>
      <c r="D276" s="103" t="s">
        <v>507</v>
      </c>
      <c r="E276" s="104" t="s">
        <v>510</v>
      </c>
      <c r="F276" s="105" t="str">
        <f>Originals!B326</f>
        <v>OpenG Comparison Library</v>
      </c>
      <c r="G276" s="105" t="str">
        <f>Originals!C326</f>
        <v>4.0.0.3</v>
      </c>
      <c r="H276" s="105" t="str">
        <f>Originals!D326</f>
        <v>32</v>
      </c>
      <c r="I276" s="105" t="str">
        <f>Originals!E326</f>
        <v>N/A</v>
      </c>
      <c r="J276" s="105" t="str">
        <f>Originals!F326</f>
        <v>Development</v>
      </c>
      <c r="K276" s="105" t="str">
        <f>Originals!G326</f>
        <v>OpenG.org</v>
      </c>
      <c r="L276" s="105" t="str">
        <f>Originals!H326</f>
        <v>OpenG Comparison Library 4.0.0.3</v>
      </c>
      <c r="M276" s="105" t="str">
        <f>Originals!I326</f>
        <v>VIPM Community</v>
      </c>
      <c r="N276" s="98" t="s">
        <v>136</v>
      </c>
    </row>
    <row r="277" spans="1:14" x14ac:dyDescent="0.25">
      <c r="A277" s="104" t="s">
        <v>510</v>
      </c>
      <c r="B277" s="104" t="s">
        <v>510</v>
      </c>
      <c r="C277" s="103" t="s">
        <v>507</v>
      </c>
      <c r="D277" s="103" t="s">
        <v>507</v>
      </c>
      <c r="E277" s="104" t="s">
        <v>510</v>
      </c>
      <c r="F277" s="105" t="str">
        <f>Originals!B327</f>
        <v>OpenG Dictionary Library</v>
      </c>
      <c r="G277" s="105" t="str">
        <f>Originals!C327</f>
        <v>4.0.0.4</v>
      </c>
      <c r="H277" s="105" t="str">
        <f>Originals!D327</f>
        <v>32</v>
      </c>
      <c r="I277" s="105" t="str">
        <f>Originals!E327</f>
        <v>N/A</v>
      </c>
      <c r="J277" s="105" t="str">
        <f>Originals!F327</f>
        <v>Development</v>
      </c>
      <c r="K277" s="105" t="str">
        <f>Originals!G327</f>
        <v>OpenG.org</v>
      </c>
      <c r="L277" s="105" t="str">
        <f>Originals!H327</f>
        <v>OpenG Dictionary Library 4.0.0.4</v>
      </c>
      <c r="M277" s="105" t="str">
        <f>Originals!I327</f>
        <v>VIPM Community</v>
      </c>
      <c r="N277" s="98" t="s">
        <v>136</v>
      </c>
    </row>
    <row r="278" spans="1:14" x14ac:dyDescent="0.25">
      <c r="A278" s="104" t="s">
        <v>510</v>
      </c>
      <c r="B278" s="104" t="s">
        <v>510</v>
      </c>
      <c r="C278" s="103" t="s">
        <v>507</v>
      </c>
      <c r="D278" s="103" t="s">
        <v>507</v>
      </c>
      <c r="E278" s="104" t="s">
        <v>510</v>
      </c>
      <c r="F278" s="105" t="str">
        <f>Originals!B328</f>
        <v>OpenG Error Library</v>
      </c>
      <c r="G278" s="105" t="str">
        <f>Originals!C328</f>
        <v>4.2.0.23</v>
      </c>
      <c r="H278" s="105" t="str">
        <f>Originals!D328</f>
        <v>32</v>
      </c>
      <c r="I278" s="105" t="str">
        <f>Originals!E328</f>
        <v>N/A</v>
      </c>
      <c r="J278" s="105" t="str">
        <f>Originals!F328</f>
        <v>Development</v>
      </c>
      <c r="K278" s="105" t="str">
        <f>Originals!G328</f>
        <v>OpenG.org</v>
      </c>
      <c r="L278" s="105" t="str">
        <f>Originals!H328</f>
        <v>OpenG Error Library 4.2.0.23</v>
      </c>
      <c r="M278" s="105" t="str">
        <f>Originals!I328</f>
        <v>VIPM Community</v>
      </c>
      <c r="N278" s="98" t="s">
        <v>136</v>
      </c>
    </row>
    <row r="279" spans="1:14" x14ac:dyDescent="0.25">
      <c r="A279" s="104" t="s">
        <v>510</v>
      </c>
      <c r="B279" s="104" t="s">
        <v>510</v>
      </c>
      <c r="C279" s="103" t="s">
        <v>507</v>
      </c>
      <c r="D279" s="103" t="s">
        <v>507</v>
      </c>
      <c r="E279" s="104" t="s">
        <v>510</v>
      </c>
      <c r="F279" s="105" t="str">
        <f>Originals!B329</f>
        <v>OpenG File Library</v>
      </c>
      <c r="G279" s="105" t="str">
        <f>Originals!C329</f>
        <v>4.0.1.22</v>
      </c>
      <c r="H279" s="105" t="str">
        <f>Originals!D329</f>
        <v>32</v>
      </c>
      <c r="I279" s="105" t="str">
        <f>Originals!E329</f>
        <v>N/A</v>
      </c>
      <c r="J279" s="105" t="str">
        <f>Originals!F329</f>
        <v>Development</v>
      </c>
      <c r="K279" s="105" t="str">
        <f>Originals!G329</f>
        <v>OpenG.org</v>
      </c>
      <c r="L279" s="105" t="str">
        <f>Originals!H329</f>
        <v>OpenG File Library 4.0.1.22</v>
      </c>
      <c r="M279" s="105" t="str">
        <f>Originals!I329</f>
        <v>VIPM Community</v>
      </c>
      <c r="N279" s="98" t="s">
        <v>136</v>
      </c>
    </row>
    <row r="280" spans="1:14" x14ac:dyDescent="0.25">
      <c r="A280" s="104" t="s">
        <v>510</v>
      </c>
      <c r="B280" s="104" t="s">
        <v>510</v>
      </c>
      <c r="C280" s="103" t="s">
        <v>507</v>
      </c>
      <c r="D280" s="103" t="s">
        <v>507</v>
      </c>
      <c r="E280" s="104" t="s">
        <v>510</v>
      </c>
      <c r="F280" s="105" t="str">
        <f>Originals!B330</f>
        <v>OpenG LabPython Library</v>
      </c>
      <c r="G280" s="105" t="str">
        <f>Originals!C330</f>
        <v>4.0.0.4</v>
      </c>
      <c r="H280" s="105" t="str">
        <f>Originals!D330</f>
        <v>32</v>
      </c>
      <c r="I280" s="105" t="str">
        <f>Originals!E330</f>
        <v>N/A</v>
      </c>
      <c r="J280" s="105" t="str">
        <f>Originals!F330</f>
        <v>Development</v>
      </c>
      <c r="K280" s="105" t="str">
        <f>Originals!G330</f>
        <v>OpenG_org</v>
      </c>
      <c r="L280" s="105" t="str">
        <f>Originals!H330</f>
        <v>OpenG LabPython Library 4.0.0.4</v>
      </c>
      <c r="M280" s="105" t="str">
        <f>Originals!I330</f>
        <v>VIPM Community</v>
      </c>
      <c r="N280" s="98" t="s">
        <v>136</v>
      </c>
    </row>
    <row r="281" spans="1:14" x14ac:dyDescent="0.25">
      <c r="A281" s="104" t="s">
        <v>510</v>
      </c>
      <c r="B281" s="104" t="s">
        <v>510</v>
      </c>
      <c r="C281" s="103" t="s">
        <v>507</v>
      </c>
      <c r="D281" s="103" t="s">
        <v>507</v>
      </c>
      <c r="E281" s="104" t="s">
        <v>510</v>
      </c>
      <c r="F281" s="106" t="str">
        <f>Originals!B331</f>
        <v>OpenG LabVIEW Data Library</v>
      </c>
      <c r="G281" s="106" t="str">
        <f>Originals!C331</f>
        <v>4.2.0.21</v>
      </c>
      <c r="H281" s="106" t="str">
        <f>Originals!D331</f>
        <v>32</v>
      </c>
      <c r="I281" s="106" t="str">
        <f>Originals!E331</f>
        <v>N/A</v>
      </c>
      <c r="J281" s="106" t="str">
        <f>Originals!F331</f>
        <v>Development</v>
      </c>
      <c r="K281" s="106" t="str">
        <f>Originals!G331</f>
        <v>Openg.org</v>
      </c>
      <c r="L281" s="106" t="str">
        <f>Originals!H331</f>
        <v>OpenG LabVIEW Data Library 4.2.0.21</v>
      </c>
      <c r="M281" s="106" t="str">
        <f>Originals!I331</f>
        <v>VIPM Community</v>
      </c>
      <c r="N281" s="107" t="s">
        <v>2</v>
      </c>
    </row>
    <row r="282" spans="1:14" x14ac:dyDescent="0.25">
      <c r="A282" s="104" t="s">
        <v>510</v>
      </c>
      <c r="B282" s="104" t="s">
        <v>510</v>
      </c>
      <c r="C282" s="103" t="s">
        <v>507</v>
      </c>
      <c r="D282" s="103" t="s">
        <v>507</v>
      </c>
      <c r="E282" s="104" t="s">
        <v>510</v>
      </c>
      <c r="F282" s="105" t="str">
        <f>Originals!B332</f>
        <v>OpenG LabVIEW ZIP Library</v>
      </c>
      <c r="G282" s="105" t="str">
        <f>Originals!C332</f>
        <v>4.0.0-2</v>
      </c>
      <c r="H282" s="105" t="str">
        <f>Originals!D332</f>
        <v>32</v>
      </c>
      <c r="I282" s="105" t="str">
        <f>Originals!E332</f>
        <v>N/A</v>
      </c>
      <c r="J282" s="105" t="str">
        <f>Originals!F332</f>
        <v>Development</v>
      </c>
      <c r="K282" s="105" t="str">
        <f>Originals!G332</f>
        <v>OpenG.org</v>
      </c>
      <c r="L282" s="105" t="str">
        <f>Originals!H332</f>
        <v>OpenG LabVIEW ZIP Library 4.0.0-2</v>
      </c>
      <c r="M282" s="105" t="str">
        <f>Originals!I332</f>
        <v>VIPM Community</v>
      </c>
      <c r="N282" s="98" t="s">
        <v>136</v>
      </c>
    </row>
    <row r="283" spans="1:14" x14ac:dyDescent="0.25">
      <c r="A283" s="104" t="s">
        <v>510</v>
      </c>
      <c r="B283" s="104" t="s">
        <v>510</v>
      </c>
      <c r="C283" s="103" t="s">
        <v>507</v>
      </c>
      <c r="D283" s="103" t="s">
        <v>507</v>
      </c>
      <c r="E283" s="104" t="s">
        <v>510</v>
      </c>
      <c r="F283" s="105" t="str">
        <f>Originals!B333</f>
        <v>OpenG Large File Library</v>
      </c>
      <c r="G283" s="105" t="str">
        <f>Originals!C333</f>
        <v>4.0.0.3</v>
      </c>
      <c r="H283" s="105" t="str">
        <f>Originals!D333</f>
        <v>32</v>
      </c>
      <c r="I283" s="105" t="str">
        <f>Originals!E333</f>
        <v>N/A</v>
      </c>
      <c r="J283" s="105" t="str">
        <f>Originals!F333</f>
        <v>Development</v>
      </c>
      <c r="K283" s="105" t="str">
        <f>Originals!G333</f>
        <v>OpenG.org</v>
      </c>
      <c r="L283" s="105" t="str">
        <f>Originals!H333</f>
        <v>OpenG Large File Library 4.0.0.3</v>
      </c>
      <c r="M283" s="105" t="str">
        <f>Originals!I333</f>
        <v>VIPM Community</v>
      </c>
      <c r="N283" s="98" t="s">
        <v>136</v>
      </c>
    </row>
    <row r="284" spans="1:14" x14ac:dyDescent="0.25">
      <c r="A284" s="104" t="s">
        <v>510</v>
      </c>
      <c r="B284" s="104" t="s">
        <v>510</v>
      </c>
      <c r="C284" s="103" t="s">
        <v>507</v>
      </c>
      <c r="D284" s="103" t="s">
        <v>507</v>
      </c>
      <c r="E284" s="104" t="s">
        <v>510</v>
      </c>
      <c r="F284" s="105" t="str">
        <f>Originals!B334</f>
        <v>OpenG Locate File In Project Tool</v>
      </c>
      <c r="G284" s="105" t="str">
        <f>Originals!C334</f>
        <v>4.0.0.7</v>
      </c>
      <c r="H284" s="105" t="str">
        <f>Originals!D334</f>
        <v>32</v>
      </c>
      <c r="I284" s="105" t="str">
        <f>Originals!E334</f>
        <v>N/A</v>
      </c>
      <c r="J284" s="105" t="str">
        <f>Originals!F334</f>
        <v>Development</v>
      </c>
      <c r="K284" s="105" t="str">
        <f>Originals!G334</f>
        <v>OpenG.org</v>
      </c>
      <c r="L284" s="105" t="str">
        <f>Originals!H334</f>
        <v>OpenG Locate File In Project Tool 4.0.0.7</v>
      </c>
      <c r="M284" s="105" t="str">
        <f>Originals!I334</f>
        <v>VIPM Community</v>
      </c>
      <c r="N284" s="98" t="s">
        <v>136</v>
      </c>
    </row>
    <row r="285" spans="1:14" x14ac:dyDescent="0.25">
      <c r="A285" s="104" t="s">
        <v>510</v>
      </c>
      <c r="B285" s="104" t="s">
        <v>510</v>
      </c>
      <c r="C285" s="103" t="s">
        <v>507</v>
      </c>
      <c r="D285" s="103" t="s">
        <v>507</v>
      </c>
      <c r="E285" s="104" t="s">
        <v>510</v>
      </c>
      <c r="F285" s="105" t="str">
        <f>Originals!B335</f>
        <v>OpenG MD5 Digest Library</v>
      </c>
      <c r="G285" s="105" t="str">
        <f>Originals!C335</f>
        <v>4.1.1.10</v>
      </c>
      <c r="H285" s="105" t="str">
        <f>Originals!D335</f>
        <v>32</v>
      </c>
      <c r="I285" s="105" t="str">
        <f>Originals!E335</f>
        <v>N/A</v>
      </c>
      <c r="J285" s="105" t="str">
        <f>Originals!F335</f>
        <v>Development</v>
      </c>
      <c r="K285" s="105" t="str">
        <f>Originals!G335</f>
        <v>OpenG.org</v>
      </c>
      <c r="L285" s="105" t="str">
        <f>Originals!H335</f>
        <v>OpenG MD5 Digest Library 4.1.1.10</v>
      </c>
      <c r="M285" s="105" t="str">
        <f>Originals!I335</f>
        <v>VIPM Community</v>
      </c>
      <c r="N285" s="98" t="s">
        <v>136</v>
      </c>
    </row>
    <row r="286" spans="1:14" x14ac:dyDescent="0.25">
      <c r="A286" s="104" t="s">
        <v>510</v>
      </c>
      <c r="B286" s="104" t="s">
        <v>510</v>
      </c>
      <c r="C286" s="103" t="s">
        <v>507</v>
      </c>
      <c r="D286" s="103" t="s">
        <v>507</v>
      </c>
      <c r="E286" s="104" t="s">
        <v>510</v>
      </c>
      <c r="F286" s="105" t="str">
        <f>Originals!B336</f>
        <v>OpenG Message Queue Library</v>
      </c>
      <c r="G286" s="105" t="str">
        <f>Originals!C336</f>
        <v>4.0.0.15</v>
      </c>
      <c r="H286" s="105" t="str">
        <f>Originals!D336</f>
        <v>32</v>
      </c>
      <c r="I286" s="105" t="str">
        <f>Originals!E336</f>
        <v>N/A</v>
      </c>
      <c r="J286" s="105" t="str">
        <f>Originals!F336</f>
        <v>Development</v>
      </c>
      <c r="K286" s="105" t="str">
        <f>Originals!G336</f>
        <v>OpenG.org</v>
      </c>
      <c r="L286" s="105" t="str">
        <f>Originals!H336</f>
        <v>OpenG Message Queue Library 4.0.0.15</v>
      </c>
      <c r="M286" s="105" t="str">
        <f>Originals!I336</f>
        <v>VIPM Community</v>
      </c>
      <c r="N286" s="98" t="s">
        <v>136</v>
      </c>
    </row>
    <row r="287" spans="1:14" x14ac:dyDescent="0.25">
      <c r="A287" s="104" t="s">
        <v>510</v>
      </c>
      <c r="B287" s="104" t="s">
        <v>510</v>
      </c>
      <c r="C287" s="103" t="s">
        <v>507</v>
      </c>
      <c r="D287" s="103" t="s">
        <v>507</v>
      </c>
      <c r="E287" s="104" t="s">
        <v>510</v>
      </c>
      <c r="F287" s="105" t="str">
        <f>Originals!B337</f>
        <v>OpenG Numeric Library</v>
      </c>
      <c r="G287" s="105" t="str">
        <f>Originals!C337</f>
        <v>4.1.0.8</v>
      </c>
      <c r="H287" s="105" t="str">
        <f>Originals!D337</f>
        <v>32</v>
      </c>
      <c r="I287" s="105" t="str">
        <f>Originals!E337</f>
        <v>N/A</v>
      </c>
      <c r="J287" s="105" t="str">
        <f>Originals!F337</f>
        <v>Development</v>
      </c>
      <c r="K287" s="105" t="str">
        <f>Originals!G337</f>
        <v>OpenG.org</v>
      </c>
      <c r="L287" s="105" t="str">
        <f>Originals!H337</f>
        <v>OpenG Numeric Library 4.1.0.8</v>
      </c>
      <c r="M287" s="105" t="str">
        <f>Originals!I337</f>
        <v>VIPM Community</v>
      </c>
      <c r="N287" s="98" t="s">
        <v>136</v>
      </c>
    </row>
    <row r="288" spans="1:14" x14ac:dyDescent="0.25">
      <c r="A288" s="104" t="s">
        <v>510</v>
      </c>
      <c r="B288" s="104" t="s">
        <v>510</v>
      </c>
      <c r="C288" s="103" t="s">
        <v>507</v>
      </c>
      <c r="D288" s="103" t="s">
        <v>507</v>
      </c>
      <c r="E288" s="104" t="s">
        <v>510</v>
      </c>
      <c r="F288" s="105" t="str">
        <f>Originals!B338</f>
        <v>OpenG Picture Library</v>
      </c>
      <c r="G288" s="105" t="str">
        <f>Originals!C338</f>
        <v>4.0.0.13</v>
      </c>
      <c r="H288" s="105" t="str">
        <f>Originals!D338</f>
        <v>32</v>
      </c>
      <c r="I288" s="105" t="str">
        <f>Originals!E338</f>
        <v>N/A</v>
      </c>
      <c r="J288" s="105" t="str">
        <f>Originals!F338</f>
        <v>Development</v>
      </c>
      <c r="K288" s="105" t="str">
        <f>Originals!G338</f>
        <v>OpenG.org</v>
      </c>
      <c r="L288" s="105" t="str">
        <f>Originals!H338</f>
        <v>OpenG Picture Library 4.0.0.13</v>
      </c>
      <c r="M288" s="105" t="str">
        <f>Originals!I338</f>
        <v>VIPM Community</v>
      </c>
      <c r="N288" s="98" t="s">
        <v>136</v>
      </c>
    </row>
    <row r="289" spans="1:14" x14ac:dyDescent="0.25">
      <c r="A289" s="104" t="s">
        <v>510</v>
      </c>
      <c r="B289" s="104" t="s">
        <v>510</v>
      </c>
      <c r="C289" s="103" t="s">
        <v>507</v>
      </c>
      <c r="D289" s="103" t="s">
        <v>507</v>
      </c>
      <c r="E289" s="104" t="s">
        <v>510</v>
      </c>
      <c r="F289" s="105" t="str">
        <f>Originals!B339</f>
        <v>OpenG Port IO</v>
      </c>
      <c r="G289" s="105" t="str">
        <f>Originals!C339</f>
        <v>4.0.0-2</v>
      </c>
      <c r="H289" s="105" t="str">
        <f>Originals!D339</f>
        <v>32</v>
      </c>
      <c r="I289" s="105" t="str">
        <f>Originals!E339</f>
        <v>N/A</v>
      </c>
      <c r="J289" s="105" t="str">
        <f>Originals!F339</f>
        <v>Development</v>
      </c>
      <c r="K289" s="105" t="str">
        <f>Originals!G339</f>
        <v>OpenG.org</v>
      </c>
      <c r="L289" s="105" t="str">
        <f>Originals!H339</f>
        <v>OpenG Port IO 4.0.0-2</v>
      </c>
      <c r="M289" s="105" t="str">
        <f>Originals!I339</f>
        <v>VIPM Community</v>
      </c>
      <c r="N289" s="98" t="s">
        <v>136</v>
      </c>
    </row>
    <row r="290" spans="1:14" x14ac:dyDescent="0.25">
      <c r="A290" s="104" t="s">
        <v>510</v>
      </c>
      <c r="B290" s="104" t="s">
        <v>510</v>
      </c>
      <c r="C290" s="103" t="s">
        <v>507</v>
      </c>
      <c r="D290" s="103" t="s">
        <v>507</v>
      </c>
      <c r="E290" s="104" t="s">
        <v>510</v>
      </c>
      <c r="F290" s="105" t="str">
        <f>Originals!B340</f>
        <v>OpenG Rename Folder of VIs Tool</v>
      </c>
      <c r="G290" s="105" t="str">
        <f>Originals!C340</f>
        <v>4.0.0.15</v>
      </c>
      <c r="H290" s="105" t="str">
        <f>Originals!D340</f>
        <v>32</v>
      </c>
      <c r="I290" s="105" t="str">
        <f>Originals!E340</f>
        <v>N/A</v>
      </c>
      <c r="J290" s="105" t="str">
        <f>Originals!F340</f>
        <v>Development</v>
      </c>
      <c r="K290" s="105" t="str">
        <f>Originals!G340</f>
        <v>OpenG.org</v>
      </c>
      <c r="L290" s="105" t="str">
        <f>Originals!H340</f>
        <v>OpenG Rename Folder of VIs Tool 4.0.0.15</v>
      </c>
      <c r="M290" s="105" t="str">
        <f>Originals!I340</f>
        <v>VIPM Community</v>
      </c>
      <c r="N290" s="98" t="s">
        <v>136</v>
      </c>
    </row>
    <row r="291" spans="1:14" x14ac:dyDescent="0.25">
      <c r="A291" s="104" t="s">
        <v>510</v>
      </c>
      <c r="B291" s="104" t="s">
        <v>510</v>
      </c>
      <c r="C291" s="103" t="s">
        <v>507</v>
      </c>
      <c r="D291" s="103" t="s">
        <v>507</v>
      </c>
      <c r="E291" s="104" t="s">
        <v>510</v>
      </c>
      <c r="F291" s="105" t="str">
        <f>Originals!B341</f>
        <v>OpenG String Library</v>
      </c>
      <c r="G291" s="105" t="str">
        <f>Originals!C341</f>
        <v>4.1.0.12</v>
      </c>
      <c r="H291" s="105" t="str">
        <f>Originals!D341</f>
        <v>32</v>
      </c>
      <c r="I291" s="105" t="str">
        <f>Originals!E341</f>
        <v>N/A</v>
      </c>
      <c r="J291" s="105" t="str">
        <f>Originals!F341</f>
        <v>Development</v>
      </c>
      <c r="K291" s="105" t="str">
        <f>Originals!G341</f>
        <v>OpenG.org</v>
      </c>
      <c r="L291" s="105" t="str">
        <f>Originals!H341</f>
        <v>OpenG String Library 4.1.0.12</v>
      </c>
      <c r="M291" s="105" t="str">
        <f>Originals!I341</f>
        <v>VIPM Community</v>
      </c>
      <c r="N291" s="98" t="s">
        <v>136</v>
      </c>
    </row>
    <row r="292" spans="1:14" x14ac:dyDescent="0.25">
      <c r="A292" s="104" t="s">
        <v>510</v>
      </c>
      <c r="B292" s="104" t="s">
        <v>510</v>
      </c>
      <c r="C292" s="103" t="s">
        <v>507</v>
      </c>
      <c r="D292" s="103" t="s">
        <v>507</v>
      </c>
      <c r="E292" s="104" t="s">
        <v>510</v>
      </c>
      <c r="F292" s="105" t="str">
        <f>Originals!B342</f>
        <v>OpenG Time Library</v>
      </c>
      <c r="G292" s="105" t="str">
        <f>Originals!C342</f>
        <v>4.0.1.3</v>
      </c>
      <c r="H292" s="105" t="str">
        <f>Originals!D342</f>
        <v>32</v>
      </c>
      <c r="I292" s="105" t="str">
        <f>Originals!E342</f>
        <v>N/A</v>
      </c>
      <c r="J292" s="105" t="str">
        <f>Originals!F342</f>
        <v>Development</v>
      </c>
      <c r="K292" s="105" t="str">
        <f>Originals!G342</f>
        <v>OpenG.org</v>
      </c>
      <c r="L292" s="105" t="str">
        <f>Originals!H342</f>
        <v>OpenG Time Library 4.0.1.3</v>
      </c>
      <c r="M292" s="105" t="str">
        <f>Originals!I342</f>
        <v>VIPM Community</v>
      </c>
      <c r="N292" s="98" t="s">
        <v>136</v>
      </c>
    </row>
    <row r="293" spans="1:14" x14ac:dyDescent="0.25">
      <c r="A293" s="104" t="s">
        <v>510</v>
      </c>
      <c r="B293" s="104" t="s">
        <v>510</v>
      </c>
      <c r="C293" s="103" t="s">
        <v>507</v>
      </c>
      <c r="D293" s="103" t="s">
        <v>507</v>
      </c>
      <c r="E293" s="104" t="s">
        <v>510</v>
      </c>
      <c r="F293" s="105" t="str">
        <f>Originals!B343</f>
        <v>OpenG Toolkit</v>
      </c>
      <c r="G293" s="105" t="str">
        <f>Originals!C343</f>
        <v>4.0.1.9</v>
      </c>
      <c r="H293" s="105" t="str">
        <f>Originals!D343</f>
        <v>32</v>
      </c>
      <c r="I293" s="105" t="str">
        <f>Originals!E343</f>
        <v>N/A</v>
      </c>
      <c r="J293" s="105" t="str">
        <f>Originals!F343</f>
        <v>Development</v>
      </c>
      <c r="K293" s="105" t="str">
        <f>Originals!G343</f>
        <v>OpenG.org</v>
      </c>
      <c r="L293" s="105" t="str">
        <f>Originals!H343</f>
        <v>OpenG Toolkit 4.0.1.9</v>
      </c>
      <c r="M293" s="105" t="str">
        <f>Originals!I343</f>
        <v>VIPM Community</v>
      </c>
      <c r="N293" s="98" t="s">
        <v>136</v>
      </c>
    </row>
    <row r="294" spans="1:14" x14ac:dyDescent="0.25">
      <c r="A294" s="104" t="s">
        <v>510</v>
      </c>
      <c r="B294" s="104" t="s">
        <v>510</v>
      </c>
      <c r="C294" s="103" t="s">
        <v>507</v>
      </c>
      <c r="D294" s="103" t="s">
        <v>507</v>
      </c>
      <c r="E294" s="104" t="s">
        <v>510</v>
      </c>
      <c r="F294" s="105" t="str">
        <f>Originals!B344</f>
        <v>OpenG Variant Configuration File Library</v>
      </c>
      <c r="G294" s="105" t="str">
        <f>Originals!C344</f>
        <v>4.0.0.5</v>
      </c>
      <c r="H294" s="105" t="str">
        <f>Originals!D344</f>
        <v>32</v>
      </c>
      <c r="I294" s="105" t="str">
        <f>Originals!E344</f>
        <v>N/A</v>
      </c>
      <c r="J294" s="105" t="str">
        <f>Originals!F344</f>
        <v>Development</v>
      </c>
      <c r="K294" s="105" t="str">
        <f>Originals!G344</f>
        <v>OpenG.org</v>
      </c>
      <c r="L294" s="105" t="str">
        <f>Originals!H344</f>
        <v>OpenG Variant Configuration File Library 4.0.0.5</v>
      </c>
      <c r="M294" s="105" t="str">
        <f>Originals!I344</f>
        <v>VIPM Community</v>
      </c>
      <c r="N294" s="98" t="s">
        <v>136</v>
      </c>
    </row>
    <row r="295" spans="1:14" x14ac:dyDescent="0.25">
      <c r="A295" s="104" t="s">
        <v>510</v>
      </c>
      <c r="B295" s="104" t="s">
        <v>510</v>
      </c>
      <c r="C295" s="103" t="s">
        <v>507</v>
      </c>
      <c r="D295" s="103" t="s">
        <v>507</v>
      </c>
      <c r="E295" s="104" t="s">
        <v>510</v>
      </c>
      <c r="F295" s="105" t="str">
        <f>Originals!B345</f>
        <v>OpenGDS</v>
      </c>
      <c r="G295" s="105" t="str">
        <f>Originals!C345</f>
        <v>1.1.17</v>
      </c>
      <c r="H295" s="105" t="str">
        <f>Originals!D345</f>
        <v>32</v>
      </c>
      <c r="I295" s="105" t="str">
        <f>Originals!E345</f>
        <v>N/A</v>
      </c>
      <c r="J295" s="105" t="str">
        <f>Originals!F345</f>
        <v>Development</v>
      </c>
      <c r="K295" s="105" t="str">
        <f>Originals!G345</f>
        <v>OpenGDS</v>
      </c>
      <c r="L295" s="105" t="str">
        <f>Originals!H345</f>
        <v>OpenGDS 1.1.17</v>
      </c>
      <c r="M295" s="105" t="str">
        <f>Originals!I345</f>
        <v>VIPM Community</v>
      </c>
      <c r="N295" s="98" t="s">
        <v>136</v>
      </c>
    </row>
    <row r="296" spans="1:14" hidden="1" x14ac:dyDescent="0.25">
      <c r="A296" s="104" t="s">
        <v>510</v>
      </c>
      <c r="B296" s="104" t="s">
        <v>510</v>
      </c>
      <c r="C296" s="104" t="s">
        <v>510</v>
      </c>
      <c r="D296" s="103" t="s">
        <v>507</v>
      </c>
      <c r="E296" s="104" t="s">
        <v>510</v>
      </c>
      <c r="F296" s="108" t="str">
        <f>Scott!B103</f>
        <v>NI SignalExpress</v>
      </c>
      <c r="G296" s="108" t="str">
        <f>Scott!C103</f>
        <v>15.0</v>
      </c>
      <c r="H296" s="108">
        <f>Scott!D103</f>
        <v>32</v>
      </c>
      <c r="I296" s="108">
        <f>Scott!E103</f>
        <v>2015</v>
      </c>
      <c r="J296" s="108" t="str">
        <f>Scott!F103</f>
        <v>Development</v>
      </c>
      <c r="K296" s="108" t="str">
        <f>Scott!G103</f>
        <v>NI</v>
      </c>
      <c r="L296" s="108" t="str">
        <f>Scott!H103</f>
        <v>NI SignalExpress 15.0</v>
      </c>
      <c r="M296" s="108" t="str">
        <f>Scott!I103</f>
        <v>NI Developer Suite 2015 DS2 Install</v>
      </c>
      <c r="N296" s="109" t="s">
        <v>96</v>
      </c>
    </row>
    <row r="297" spans="1:14" hidden="1" x14ac:dyDescent="0.25">
      <c r="A297" s="104" t="s">
        <v>510</v>
      </c>
      <c r="B297" s="104" t="s">
        <v>510</v>
      </c>
      <c r="C297" s="104" t="s">
        <v>510</v>
      </c>
      <c r="D297" s="103" t="s">
        <v>507</v>
      </c>
      <c r="E297" s="104" t="s">
        <v>510</v>
      </c>
      <c r="F297" s="108" t="str">
        <f>Scott!B104</f>
        <v>NI System Configuration</v>
      </c>
      <c r="G297" s="108" t="str">
        <f>Scott!C104</f>
        <v>19.0.0f0</v>
      </c>
      <c r="H297" s="108">
        <f>Scott!D104</f>
        <v>32</v>
      </c>
      <c r="I297" s="108">
        <f>Scott!E104</f>
        <v>2019</v>
      </c>
      <c r="J297" s="108" t="str">
        <f>Scott!F104</f>
        <v>Development</v>
      </c>
      <c r="K297" s="108" t="str">
        <f>Scott!G104</f>
        <v>NI</v>
      </c>
      <c r="L297" s="108" t="str">
        <f>Scott!H104</f>
        <v>NI System Configuration 19.0.0f0</v>
      </c>
      <c r="M297" s="108" t="str">
        <f>Scott!I104</f>
        <v>LabVIEW 2019</v>
      </c>
      <c r="N297" s="109" t="s">
        <v>96</v>
      </c>
    </row>
    <row r="298" spans="1:14" x14ac:dyDescent="0.25">
      <c r="A298" s="103" t="s">
        <v>507</v>
      </c>
      <c r="B298" s="103" t="s">
        <v>507</v>
      </c>
      <c r="C298" s="103" t="s">
        <v>507</v>
      </c>
      <c r="D298" s="103" t="s">
        <v>507</v>
      </c>
      <c r="E298" s="103" t="s">
        <v>507</v>
      </c>
      <c r="F298" s="105" t="str">
        <f>Originals!B77</f>
        <v>Real-Time</v>
      </c>
      <c r="G298" s="105" t="str">
        <f>Originals!C77</f>
        <v>15.0.1</v>
      </c>
      <c r="H298" s="105" t="str">
        <f>Originals!D77</f>
        <v>32</v>
      </c>
      <c r="I298" s="105" t="str">
        <f>Originals!E77</f>
        <v>2015</v>
      </c>
      <c r="J298" s="105" t="str">
        <f>Originals!F77</f>
        <v>Development</v>
      </c>
      <c r="K298" s="105" t="str">
        <f>Originals!G77</f>
        <v>NI</v>
      </c>
      <c r="L298" s="105" t="str">
        <f>Originals!H77</f>
        <v>Real-Time 15.0.1</v>
      </c>
      <c r="M298" s="105" t="str">
        <f>Originals!I77</f>
        <v>2015 SP1 Update Service</v>
      </c>
      <c r="N298" s="98" t="s">
        <v>136</v>
      </c>
    </row>
    <row r="299" spans="1:14" hidden="1" x14ac:dyDescent="0.25">
      <c r="A299" s="104" t="s">
        <v>510</v>
      </c>
      <c r="B299" s="104" t="s">
        <v>510</v>
      </c>
      <c r="C299" s="104" t="s">
        <v>510</v>
      </c>
      <c r="D299" s="103" t="s">
        <v>507</v>
      </c>
      <c r="E299" s="104" t="s">
        <v>510</v>
      </c>
      <c r="F299" s="108" t="str">
        <f>Scott!B105</f>
        <v>NI-488.2</v>
      </c>
      <c r="G299" s="108" t="str">
        <f>Scott!C105</f>
        <v>19.0.0</v>
      </c>
      <c r="H299" s="108">
        <f>Scott!D105</f>
        <v>32</v>
      </c>
      <c r="I299" s="108">
        <f>Scott!E105</f>
        <v>2019</v>
      </c>
      <c r="J299" s="108" t="str">
        <f>Scott!F105</f>
        <v>Runtime</v>
      </c>
      <c r="K299" s="108" t="str">
        <f>Scott!G105</f>
        <v>NI</v>
      </c>
      <c r="L299" s="108" t="str">
        <f>Scott!H105</f>
        <v>NI-488.2 19.0.0</v>
      </c>
      <c r="M299" s="108" t="str">
        <f>Scott!I105</f>
        <v>LabVIEW 2019</v>
      </c>
      <c r="N299" s="109" t="s">
        <v>96</v>
      </c>
    </row>
    <row r="300" spans="1:14" hidden="1" x14ac:dyDescent="0.25">
      <c r="A300" s="104" t="s">
        <v>510</v>
      </c>
      <c r="B300" s="104" t="s">
        <v>510</v>
      </c>
      <c r="C300" s="104" t="s">
        <v>510</v>
      </c>
      <c r="D300" s="103" t="s">
        <v>507</v>
      </c>
      <c r="E300" s="104" t="s">
        <v>510</v>
      </c>
      <c r="F300" s="108" t="str">
        <f>Scott!B107</f>
        <v>NI-CAN</v>
      </c>
      <c r="G300" s="108" t="str">
        <f>Scott!C107</f>
        <v>15.0.0f0</v>
      </c>
      <c r="H300" s="108" t="str">
        <f>Scott!D107</f>
        <v>32</v>
      </c>
      <c r="I300" s="108">
        <f>Scott!E107</f>
        <v>2015</v>
      </c>
      <c r="J300" s="108" t="str">
        <f>Scott!F107</f>
        <v>Development</v>
      </c>
      <c r="K300" s="108" t="str">
        <f>Scott!G107</f>
        <v>NI</v>
      </c>
      <c r="L300" s="108" t="str">
        <f>Scott!H107</f>
        <v>NI-CAN 15.0.0f0</v>
      </c>
      <c r="M300" s="108" t="str">
        <f>Scott!I107</f>
        <v>NI CAN 15.0</v>
      </c>
      <c r="N300" s="109" t="s">
        <v>96</v>
      </c>
    </row>
    <row r="301" spans="1:14" x14ac:dyDescent="0.25">
      <c r="A301" s="103" t="s">
        <v>507</v>
      </c>
      <c r="B301" s="103" t="s">
        <v>507</v>
      </c>
      <c r="C301" s="103" t="s">
        <v>507</v>
      </c>
      <c r="D301" s="103" t="s">
        <v>507</v>
      </c>
      <c r="E301" s="103" t="s">
        <v>507</v>
      </c>
      <c r="F301" s="105" t="str">
        <f>Originals!B78</f>
        <v>Real-Time Trace Viewer - LabVIEW 2015 Support</v>
      </c>
      <c r="G301" s="105" t="str">
        <f>Originals!C78</f>
        <v>15.0.1</v>
      </c>
      <c r="H301" s="105" t="str">
        <f>Originals!D78</f>
        <v>32</v>
      </c>
      <c r="I301" s="105" t="str">
        <f>Originals!E78</f>
        <v>2015</v>
      </c>
      <c r="J301" s="105" t="str">
        <f>Originals!F78</f>
        <v>Development</v>
      </c>
      <c r="K301" s="105" t="str">
        <f>Originals!G78</f>
        <v>NI</v>
      </c>
      <c r="L301" s="105" t="str">
        <f>Originals!H78</f>
        <v>Real-Time Trace Viewer - LabVIEW 2015 Support 15.0.1</v>
      </c>
      <c r="M301" s="105" t="str">
        <f>Originals!I78</f>
        <v>2015 SP1 Update Service</v>
      </c>
      <c r="N301" s="98" t="s">
        <v>136</v>
      </c>
    </row>
    <row r="302" spans="1:14" x14ac:dyDescent="0.25">
      <c r="A302" s="103" t="s">
        <v>507</v>
      </c>
      <c r="B302" s="103" t="s">
        <v>507</v>
      </c>
      <c r="C302" s="103" t="s">
        <v>507</v>
      </c>
      <c r="D302" s="103" t="s">
        <v>507</v>
      </c>
      <c r="E302" s="103" t="s">
        <v>507</v>
      </c>
      <c r="F302" s="105" t="str">
        <f>Originals!B79</f>
        <v>Report Generation Toolkit For Microsoft Office</v>
      </c>
      <c r="G302" s="105" t="str">
        <f>Originals!C79</f>
        <v>15.0.0</v>
      </c>
      <c r="H302" s="105" t="str">
        <f>Originals!D79</f>
        <v>32</v>
      </c>
      <c r="I302" s="105" t="str">
        <f>Originals!E79</f>
        <v>2015</v>
      </c>
      <c r="J302" s="105" t="str">
        <f>Originals!F79</f>
        <v>Development</v>
      </c>
      <c r="K302" s="105" t="str">
        <f>Originals!G79</f>
        <v>NI</v>
      </c>
      <c r="L302" s="105" t="str">
        <f>Originals!H79</f>
        <v>Report Generation Toolkit For Microsoft Office 15.0.0</v>
      </c>
      <c r="M302" s="105" t="str">
        <f>Originals!I79</f>
        <v>NI Developer Suite 2015 DS2 Install</v>
      </c>
      <c r="N302" s="98" t="s">
        <v>136</v>
      </c>
    </row>
    <row r="303" spans="1:14" x14ac:dyDescent="0.25">
      <c r="A303" s="104" t="s">
        <v>510</v>
      </c>
      <c r="B303" s="104" t="s">
        <v>510</v>
      </c>
      <c r="C303" s="103" t="s">
        <v>507</v>
      </c>
      <c r="D303" s="104" t="s">
        <v>510</v>
      </c>
      <c r="E303" s="104" t="s">
        <v>510</v>
      </c>
      <c r="F303" s="106" t="str">
        <f>Originals!B350</f>
        <v>Run-Time Enginer for Web Services</v>
      </c>
      <c r="G303" s="106" t="str">
        <f>Originals!C350</f>
        <v>15.0.0</v>
      </c>
      <c r="H303" s="106" t="str">
        <f>Originals!D350</f>
        <v>32</v>
      </c>
      <c r="I303" s="106" t="str">
        <f>Originals!E350</f>
        <v>2015</v>
      </c>
      <c r="J303" s="106" t="str">
        <f>Originals!F350</f>
        <v>C-RIO</v>
      </c>
      <c r="K303" s="106" t="str">
        <f>Originals!G350</f>
        <v>NI</v>
      </c>
      <c r="L303" s="106" t="str">
        <f>Originals!H350</f>
        <v>Run-Time Enginer for Web Services 15.0.0</v>
      </c>
      <c r="M303" s="106">
        <f>Originals!I350</f>
        <v>0</v>
      </c>
      <c r="N303" s="107" t="s">
        <v>2</v>
      </c>
    </row>
    <row r="304" spans="1:14" hidden="1" x14ac:dyDescent="0.25">
      <c r="A304" s="104" t="s">
        <v>510</v>
      </c>
      <c r="B304" s="104" t="s">
        <v>510</v>
      </c>
      <c r="C304" s="104" t="s">
        <v>510</v>
      </c>
      <c r="D304" s="103" t="s">
        <v>507</v>
      </c>
      <c r="E304" s="104" t="s">
        <v>510</v>
      </c>
      <c r="F304" s="108" t="str">
        <f>Scott!B110</f>
        <v>NI-DAQmx MAX Configuration</v>
      </c>
      <c r="G304" s="108" t="str">
        <f>Scott!C110</f>
        <v>18.1.0</v>
      </c>
      <c r="H304" s="108" t="str">
        <f>Scott!D110</f>
        <v>32</v>
      </c>
      <c r="I304" s="108" t="str">
        <f>Scott!E110</f>
        <v>2018</v>
      </c>
      <c r="J304" s="108" t="str">
        <f>Scott!F110</f>
        <v>Development</v>
      </c>
      <c r="K304" s="108" t="str">
        <f>Scott!G110</f>
        <v>NI</v>
      </c>
      <c r="L304" s="108" t="str">
        <f>Scott!H110</f>
        <v>NI-DAQmx MAX Configuration 18.1.0</v>
      </c>
      <c r="M304" s="108" t="str">
        <f>Scott!I110</f>
        <v>CompactRIO 18.1.0</v>
      </c>
      <c r="N304" s="109" t="s">
        <v>96</v>
      </c>
    </row>
    <row r="305" spans="1:14" x14ac:dyDescent="0.25">
      <c r="A305" s="104" t="s">
        <v>510</v>
      </c>
      <c r="B305" s="104" t="s">
        <v>510</v>
      </c>
      <c r="C305" s="103" t="s">
        <v>507</v>
      </c>
      <c r="D305" s="104" t="s">
        <v>510</v>
      </c>
      <c r="E305" s="104" t="s">
        <v>510</v>
      </c>
      <c r="F305" s="106" t="str">
        <f>Originals!B351</f>
        <v>Software Management Web Support</v>
      </c>
      <c r="G305" s="106" t="str">
        <f>Originals!C351</f>
        <v>15.0.0</v>
      </c>
      <c r="H305" s="106" t="str">
        <f>Originals!D351</f>
        <v>32</v>
      </c>
      <c r="I305" s="106" t="str">
        <f>Originals!E351</f>
        <v>2015</v>
      </c>
      <c r="J305" s="106" t="str">
        <f>Originals!F351</f>
        <v>C-RIO</v>
      </c>
      <c r="K305" s="106" t="str">
        <f>Originals!G351</f>
        <v>NI</v>
      </c>
      <c r="L305" s="106" t="str">
        <f>Originals!H351</f>
        <v>Software Management Web Support 15.0.0</v>
      </c>
      <c r="M305" s="106">
        <f>Originals!I351</f>
        <v>0</v>
      </c>
      <c r="N305" s="107" t="s">
        <v>2</v>
      </c>
    </row>
    <row r="306" spans="1:14" hidden="1" x14ac:dyDescent="0.25">
      <c r="A306" s="104" t="s">
        <v>510</v>
      </c>
      <c r="B306" s="104" t="s">
        <v>510</v>
      </c>
      <c r="C306" s="104" t="s">
        <v>510</v>
      </c>
      <c r="D306" s="103" t="s">
        <v>507</v>
      </c>
      <c r="E306" s="104" t="s">
        <v>510</v>
      </c>
      <c r="F306" s="108" t="str">
        <f>Scott!B111</f>
        <v>NI-DCPower</v>
      </c>
      <c r="G306" s="108">
        <f>Scott!C111</f>
        <v>0</v>
      </c>
      <c r="H306" s="108">
        <f>Scott!D111</f>
        <v>32</v>
      </c>
      <c r="I306" s="108">
        <f>Scott!E111</f>
        <v>2015</v>
      </c>
      <c r="J306" s="108" t="str">
        <f>Scott!F111</f>
        <v>Development</v>
      </c>
      <c r="K306" s="108" t="str">
        <f>Scott!G111</f>
        <v>NI</v>
      </c>
      <c r="L306" s="108" t="str">
        <f>Scott!H111</f>
        <v xml:space="preserve">NI-DCPower </v>
      </c>
      <c r="M306" s="108" t="str">
        <f>Scott!I111</f>
        <v>NI Developer Suite 2015 DS2 Install</v>
      </c>
      <c r="N306" s="109" t="s">
        <v>96</v>
      </c>
    </row>
    <row r="307" spans="1:14" x14ac:dyDescent="0.25">
      <c r="A307" s="104" t="s">
        <v>510</v>
      </c>
      <c r="B307" s="104" t="s">
        <v>510</v>
      </c>
      <c r="C307" s="103" t="s">
        <v>507</v>
      </c>
      <c r="D307" s="104" t="s">
        <v>510</v>
      </c>
      <c r="E307" s="104" t="s">
        <v>510</v>
      </c>
      <c r="F307" s="106" t="str">
        <f>Originals!B352</f>
        <v>SSL Support for LabVIEW</v>
      </c>
      <c r="G307" s="106" t="str">
        <f>Originals!C352</f>
        <v>15.0.0</v>
      </c>
      <c r="H307" s="106" t="str">
        <f>Originals!D352</f>
        <v>32</v>
      </c>
      <c r="I307" s="106" t="str">
        <f>Originals!E352</f>
        <v>2015</v>
      </c>
      <c r="J307" s="106" t="str">
        <f>Originals!F352</f>
        <v>C-RIO</v>
      </c>
      <c r="K307" s="106" t="str">
        <f>Originals!G352</f>
        <v>NI</v>
      </c>
      <c r="L307" s="106" t="str">
        <f>Originals!H352</f>
        <v>SSL Support for LabVIEW 15.0.0</v>
      </c>
      <c r="M307" s="106">
        <f>Originals!I352</f>
        <v>0</v>
      </c>
      <c r="N307" s="107" t="s">
        <v>2</v>
      </c>
    </row>
    <row r="308" spans="1:14" hidden="1" x14ac:dyDescent="0.25">
      <c r="A308" s="103" t="s">
        <v>507</v>
      </c>
      <c r="B308" s="103" t="s">
        <v>507</v>
      </c>
      <c r="C308" s="104" t="s">
        <v>510</v>
      </c>
      <c r="D308" s="103" t="s">
        <v>507</v>
      </c>
      <c r="E308" s="104" t="s">
        <v>510</v>
      </c>
      <c r="F308" s="108" t="str">
        <f>Originals!B80</f>
        <v>Statechart Module</v>
      </c>
      <c r="G308" s="108" t="str">
        <f>Originals!C80</f>
        <v>15.0</v>
      </c>
      <c r="H308" s="108" t="str">
        <f>Originals!D80</f>
        <v>32</v>
      </c>
      <c r="I308" s="108" t="str">
        <f>Originals!E80</f>
        <v>2015</v>
      </c>
      <c r="J308" s="108" t="str">
        <f>Originals!F80</f>
        <v>Development</v>
      </c>
      <c r="K308" s="108" t="str">
        <f>Originals!G80</f>
        <v>NI</v>
      </c>
      <c r="L308" s="108" t="str">
        <f>Originals!H80</f>
        <v>Statechart Module 15.0</v>
      </c>
      <c r="M308" s="108" t="str">
        <f>Originals!I80</f>
        <v>NI Developer Suite 2015 DS2 Install</v>
      </c>
      <c r="N308" s="109" t="s">
        <v>96</v>
      </c>
    </row>
    <row r="309" spans="1:14" x14ac:dyDescent="0.25">
      <c r="A309" s="104" t="s">
        <v>510</v>
      </c>
      <c r="B309" s="104" t="s">
        <v>510</v>
      </c>
      <c r="C309" s="103" t="s">
        <v>507</v>
      </c>
      <c r="D309" s="103" t="s">
        <v>507</v>
      </c>
      <c r="E309" s="104" t="s">
        <v>510</v>
      </c>
      <c r="F309" s="105" t="str">
        <f>Originals!B353</f>
        <v>Structure Error Handler</v>
      </c>
      <c r="G309" s="105" t="str">
        <f>Originals!C353</f>
        <v>2.1.10.1</v>
      </c>
      <c r="H309" s="105" t="str">
        <f>Originals!D353</f>
        <v>32</v>
      </c>
      <c r="I309" s="105" t="str">
        <f>Originals!E353</f>
        <v>N/A</v>
      </c>
      <c r="J309" s="105" t="str">
        <f>Originals!F353</f>
        <v>Development</v>
      </c>
      <c r="K309" s="105" t="str">
        <f>Originals!G353</f>
        <v>NI</v>
      </c>
      <c r="L309" s="105" t="str">
        <f>Originals!H353</f>
        <v>Structure Error Handler 2.1.10.1</v>
      </c>
      <c r="M309" s="105" t="str">
        <f>Originals!I353</f>
        <v>VIPM Community</v>
      </c>
      <c r="N309" s="98" t="s">
        <v>136</v>
      </c>
    </row>
    <row r="310" spans="1:14" x14ac:dyDescent="0.25">
      <c r="A310" s="104" t="s">
        <v>510</v>
      </c>
      <c r="B310" s="104" t="s">
        <v>510</v>
      </c>
      <c r="C310" s="103" t="s">
        <v>507</v>
      </c>
      <c r="D310" s="104" t="s">
        <v>510</v>
      </c>
      <c r="E310" s="104" t="s">
        <v>510</v>
      </c>
      <c r="F310" s="106" t="str">
        <f>Originals!B354</f>
        <v>Time Configuration Web Support</v>
      </c>
      <c r="G310" s="106" t="str">
        <f>Originals!C354</f>
        <v>15.0.0</v>
      </c>
      <c r="H310" s="106" t="str">
        <f>Originals!D354</f>
        <v>32</v>
      </c>
      <c r="I310" s="106" t="str">
        <f>Originals!E354</f>
        <v>2015</v>
      </c>
      <c r="J310" s="106" t="str">
        <f>Originals!F354</f>
        <v>C-RIO</v>
      </c>
      <c r="K310" s="106" t="str">
        <f>Originals!G354</f>
        <v>NI</v>
      </c>
      <c r="L310" s="106" t="str">
        <f>Originals!H354</f>
        <v>Time Configuration Web Support 15.0.0</v>
      </c>
      <c r="M310" s="106">
        <f>Originals!I354</f>
        <v>0</v>
      </c>
      <c r="N310" s="107" t="s">
        <v>2</v>
      </c>
    </row>
    <row r="311" spans="1:14" x14ac:dyDescent="0.25">
      <c r="A311" s="104" t="s">
        <v>510</v>
      </c>
      <c r="B311" s="104" t="s">
        <v>510</v>
      </c>
      <c r="C311" s="103" t="s">
        <v>507</v>
      </c>
      <c r="D311" s="103" t="s">
        <v>507</v>
      </c>
      <c r="E311" s="104" t="s">
        <v>510</v>
      </c>
      <c r="F311" s="105" t="str">
        <f>Originals!B355</f>
        <v>UI Tools</v>
      </c>
      <c r="G311" s="105" t="str">
        <f>Originals!C355</f>
        <v>1.4.1.74</v>
      </c>
      <c r="H311" s="105" t="str">
        <f>Originals!D355</f>
        <v>32</v>
      </c>
      <c r="I311" s="105" t="str">
        <f>Originals!E355</f>
        <v>N/A</v>
      </c>
      <c r="J311" s="105" t="str">
        <f>Originals!F355</f>
        <v>Development</v>
      </c>
      <c r="K311" s="105" t="str">
        <f>Originals!G355</f>
        <v>LAVA</v>
      </c>
      <c r="L311" s="105" t="str">
        <f>Originals!H355</f>
        <v>UI Tools 1.4.1.74</v>
      </c>
      <c r="M311" s="105" t="str">
        <f>Originals!I355</f>
        <v>VIPM Community</v>
      </c>
      <c r="N311" s="98" t="s">
        <v>136</v>
      </c>
    </row>
    <row r="312" spans="1:14" x14ac:dyDescent="0.25">
      <c r="A312" s="103" t="s">
        <v>507</v>
      </c>
      <c r="B312" s="103" t="s">
        <v>507</v>
      </c>
      <c r="C312" s="104" t="s">
        <v>510</v>
      </c>
      <c r="D312" s="103" t="s">
        <v>507</v>
      </c>
      <c r="E312" s="104" t="s">
        <v>510</v>
      </c>
      <c r="F312" s="105" t="str">
        <f>Originals!B81</f>
        <v>Unit Test Framework Toolkit</v>
      </c>
      <c r="G312" s="105" t="str">
        <f>Originals!C81</f>
        <v>15.0.0</v>
      </c>
      <c r="H312" s="105" t="str">
        <f>Originals!D81</f>
        <v>32</v>
      </c>
      <c r="I312" s="105" t="str">
        <f>Originals!E81</f>
        <v>2015</v>
      </c>
      <c r="J312" s="105" t="str">
        <f>Originals!F81</f>
        <v>Development</v>
      </c>
      <c r="K312" s="105" t="str">
        <f>Originals!G81</f>
        <v>NI</v>
      </c>
      <c r="L312" s="105" t="str">
        <f>Originals!H81</f>
        <v>Unit Test Framework Toolkit 15.0.0</v>
      </c>
      <c r="M312" s="105" t="str">
        <f>Originals!I81</f>
        <v>NI Developer Suite 2015 DS2 Install</v>
      </c>
      <c r="N312" s="98" t="s">
        <v>136</v>
      </c>
    </row>
    <row r="313" spans="1:14" x14ac:dyDescent="0.25">
      <c r="A313" s="104" t="s">
        <v>510</v>
      </c>
      <c r="B313" s="104" t="s">
        <v>510</v>
      </c>
      <c r="C313" s="103" t="s">
        <v>507</v>
      </c>
      <c r="D313" s="103" t="s">
        <v>507</v>
      </c>
      <c r="E313" s="104" t="s">
        <v>510</v>
      </c>
      <c r="F313" s="105" t="str">
        <f>Scott!B114</f>
        <v>NI-DCPower Development Support</v>
      </c>
      <c r="G313" s="105" t="str">
        <f>Scott!C114</f>
        <v>15.0</v>
      </c>
      <c r="H313" s="105">
        <f>Scott!D114</f>
        <v>32</v>
      </c>
      <c r="I313" s="105">
        <f>Scott!E114</f>
        <v>2015</v>
      </c>
      <c r="J313" s="105" t="str">
        <f>Scott!F114</f>
        <v>Development</v>
      </c>
      <c r="K313" s="105" t="str">
        <f>Scott!G114</f>
        <v>NI</v>
      </c>
      <c r="L313" s="105" t="str">
        <f>Scott!H114</f>
        <v>NI-DCPower Development Support 15.0</v>
      </c>
      <c r="M313" s="105" t="str">
        <f>Scott!I114</f>
        <v>NI Developer Suite 2015 DS2 Install</v>
      </c>
      <c r="N313" s="98" t="s">
        <v>136</v>
      </c>
    </row>
    <row r="314" spans="1:14" x14ac:dyDescent="0.25">
      <c r="A314" s="104" t="s">
        <v>510</v>
      </c>
      <c r="B314" s="104" t="s">
        <v>510</v>
      </c>
      <c r="C314" s="103" t="s">
        <v>507</v>
      </c>
      <c r="D314" s="104" t="s">
        <v>510</v>
      </c>
      <c r="E314" s="104" t="s">
        <v>510</v>
      </c>
      <c r="F314" s="106" t="str">
        <f>Originals!B357</f>
        <v>Variable Client Support for LabVIEW RT</v>
      </c>
      <c r="G314" s="106" t="str">
        <f>Originals!C357</f>
        <v>15.0.0</v>
      </c>
      <c r="H314" s="106" t="str">
        <f>Originals!D357</f>
        <v>32</v>
      </c>
      <c r="I314" s="106" t="str">
        <f>Originals!E357</f>
        <v>2015</v>
      </c>
      <c r="J314" s="106" t="str">
        <f>Originals!F357</f>
        <v>C-RIO</v>
      </c>
      <c r="K314" s="106" t="str">
        <f>Originals!G357</f>
        <v>NI</v>
      </c>
      <c r="L314" s="106" t="str">
        <f>Originals!H357</f>
        <v>Variable Client Support for LabVIEW RT 15.0.0</v>
      </c>
      <c r="M314" s="106">
        <f>Originals!I357</f>
        <v>0</v>
      </c>
      <c r="N314" s="107" t="s">
        <v>2</v>
      </c>
    </row>
    <row r="315" spans="1:14" x14ac:dyDescent="0.25">
      <c r="A315" s="104" t="s">
        <v>510</v>
      </c>
      <c r="B315" s="104" t="s">
        <v>510</v>
      </c>
      <c r="C315" s="103" t="s">
        <v>507</v>
      </c>
      <c r="D315" s="104" t="s">
        <v>510</v>
      </c>
      <c r="E315" s="104" t="s">
        <v>510</v>
      </c>
      <c r="F315" s="106" t="str">
        <f>Originals!B358</f>
        <v>Variable Legacy Protocol Support</v>
      </c>
      <c r="G315" s="106" t="str">
        <f>Originals!C358</f>
        <v>5.7.1</v>
      </c>
      <c r="H315" s="106" t="str">
        <f>Originals!D358</f>
        <v>32</v>
      </c>
      <c r="I315" s="106" t="str">
        <f>Originals!E358</f>
        <v>2015</v>
      </c>
      <c r="J315" s="106" t="str">
        <f>Originals!F358</f>
        <v>C-RIO</v>
      </c>
      <c r="K315" s="106" t="str">
        <f>Originals!G358</f>
        <v>NI</v>
      </c>
      <c r="L315" s="106" t="str">
        <f>Originals!H358</f>
        <v>Variable Legacy Protocol Support 5.7.1</v>
      </c>
      <c r="M315" s="106">
        <f>Originals!I358</f>
        <v>0</v>
      </c>
      <c r="N315" s="107" t="s">
        <v>2</v>
      </c>
    </row>
    <row r="316" spans="1:14" x14ac:dyDescent="0.25">
      <c r="A316" s="104" t="s">
        <v>510</v>
      </c>
      <c r="B316" s="104" t="s">
        <v>510</v>
      </c>
      <c r="C316" s="103" t="s">
        <v>507</v>
      </c>
      <c r="D316" s="104" t="s">
        <v>510</v>
      </c>
      <c r="E316" s="104" t="s">
        <v>510</v>
      </c>
      <c r="F316" s="106" t="str">
        <f>Originals!B359</f>
        <v>Variable Legacy Server Support</v>
      </c>
      <c r="G316" s="106" t="str">
        <f>Originals!C359</f>
        <v>5.7.1</v>
      </c>
      <c r="H316" s="106" t="str">
        <f>Originals!D359</f>
        <v>32</v>
      </c>
      <c r="I316" s="106" t="str">
        <f>Originals!E359</f>
        <v>2015</v>
      </c>
      <c r="J316" s="106" t="str">
        <f>Originals!F359</f>
        <v>C-RIO</v>
      </c>
      <c r="K316" s="106" t="str">
        <f>Originals!G359</f>
        <v>NI</v>
      </c>
      <c r="L316" s="106" t="str">
        <f>Originals!H359</f>
        <v>Variable Legacy Server Support 5.7.1</v>
      </c>
      <c r="M316" s="106">
        <f>Originals!I359</f>
        <v>0</v>
      </c>
      <c r="N316" s="107" t="s">
        <v>2</v>
      </c>
    </row>
    <row r="317" spans="1:14" x14ac:dyDescent="0.25">
      <c r="A317" s="103" t="s">
        <v>507</v>
      </c>
      <c r="B317" s="103" t="s">
        <v>507</v>
      </c>
      <c r="C317" s="104" t="s">
        <v>510</v>
      </c>
      <c r="D317" s="103" t="s">
        <v>507</v>
      </c>
      <c r="E317" s="104" t="s">
        <v>510</v>
      </c>
      <c r="F317" s="105" t="str">
        <f>Originals!B82</f>
        <v>VI Analyzer Toolkit</v>
      </c>
      <c r="G317" s="105" t="str">
        <f>Originals!C82</f>
        <v>15.0.0</v>
      </c>
      <c r="H317" s="105" t="str">
        <f>Originals!D82</f>
        <v>32</v>
      </c>
      <c r="I317" s="105" t="str">
        <f>Originals!E82</f>
        <v>2015</v>
      </c>
      <c r="J317" s="105" t="str">
        <f>Originals!F82</f>
        <v>Development</v>
      </c>
      <c r="K317" s="105" t="str">
        <f>Originals!G82</f>
        <v>NI</v>
      </c>
      <c r="L317" s="105" t="str">
        <f>Originals!H82</f>
        <v>VI Analyzer Toolkit 15.0.0</v>
      </c>
      <c r="M317" s="105" t="str">
        <f>Originals!I82</f>
        <v>NI Developer Suite 2015 DS2 Install</v>
      </c>
      <c r="N317" s="98" t="s">
        <v>136</v>
      </c>
    </row>
    <row r="318" spans="1:14" x14ac:dyDescent="0.25">
      <c r="A318" s="104" t="s">
        <v>510</v>
      </c>
      <c r="B318" s="104" t="s">
        <v>510</v>
      </c>
      <c r="C318" s="103" t="s">
        <v>507</v>
      </c>
      <c r="D318" s="104" t="s">
        <v>510</v>
      </c>
      <c r="E318" s="104" t="s">
        <v>510</v>
      </c>
      <c r="F318" s="106" t="str">
        <f>Originals!B360</f>
        <v>Vision Assistant</v>
      </c>
      <c r="G318" s="106" t="str">
        <f>Originals!C360</f>
        <v>18.5.0</v>
      </c>
      <c r="H318" s="106" t="str">
        <f>Originals!D360</f>
        <v>32</v>
      </c>
      <c r="I318" s="106" t="str">
        <f>Originals!E360</f>
        <v>2018</v>
      </c>
      <c r="J318" s="106" t="str">
        <f>Originals!F360</f>
        <v>Development</v>
      </c>
      <c r="K318" s="106" t="str">
        <f>Originals!G360</f>
        <v>NI</v>
      </c>
      <c r="L318" s="106" t="str">
        <f>Originals!H360</f>
        <v>Vision Assistant 18.5.0</v>
      </c>
      <c r="M318" s="106">
        <f>Originals!I360</f>
        <v>0</v>
      </c>
      <c r="N318" s="107" t="s">
        <v>2</v>
      </c>
    </row>
    <row r="319" spans="1:14" x14ac:dyDescent="0.25">
      <c r="A319" s="104" t="s">
        <v>510</v>
      </c>
      <c r="B319" s="104" t="s">
        <v>510</v>
      </c>
      <c r="C319" s="103" t="s">
        <v>507</v>
      </c>
      <c r="D319" s="104" t="s">
        <v>510</v>
      </c>
      <c r="E319" s="104" t="s">
        <v>510</v>
      </c>
      <c r="F319" s="106" t="str">
        <f>Originals!B361</f>
        <v>Vision Assistant</v>
      </c>
      <c r="G319" s="106" t="str">
        <f>Originals!C361</f>
        <v>18.5.0</v>
      </c>
      <c r="H319" s="106" t="str">
        <f>Originals!D361</f>
        <v>64</v>
      </c>
      <c r="I319" s="106" t="str">
        <f>Originals!E361</f>
        <v>2018</v>
      </c>
      <c r="J319" s="106" t="str">
        <f>Originals!F361</f>
        <v>Development</v>
      </c>
      <c r="K319" s="106" t="str">
        <f>Originals!G361</f>
        <v>NI</v>
      </c>
      <c r="L319" s="106" t="str">
        <f>Originals!H361</f>
        <v>Vision Assistant 18.5.0</v>
      </c>
      <c r="M319" s="106">
        <f>Originals!I361</f>
        <v>0</v>
      </c>
      <c r="N319" s="107" t="s">
        <v>2</v>
      </c>
    </row>
    <row r="320" spans="1:14" x14ac:dyDescent="0.25">
      <c r="A320" s="104" t="s">
        <v>510</v>
      </c>
      <c r="B320" s="104" t="s">
        <v>510</v>
      </c>
      <c r="C320" s="103" t="s">
        <v>507</v>
      </c>
      <c r="D320" s="104" t="s">
        <v>510</v>
      </c>
      <c r="E320" s="104" t="s">
        <v>510</v>
      </c>
      <c r="F320" s="106" t="str">
        <f>Originals!B362</f>
        <v>Vision Common Resources</v>
      </c>
      <c r="G320" s="106" t="str">
        <f>Originals!C362</f>
        <v>19.5.0</v>
      </c>
      <c r="H320" s="106" t="str">
        <f>Originals!D362</f>
        <v>32</v>
      </c>
      <c r="I320" s="106" t="str">
        <f>Originals!E362</f>
        <v>2019</v>
      </c>
      <c r="J320" s="106" t="str">
        <f>Originals!F362</f>
        <v>Development</v>
      </c>
      <c r="K320" s="106" t="str">
        <f>Originals!G362</f>
        <v>NI</v>
      </c>
      <c r="L320" s="106" t="str">
        <f>Originals!H362</f>
        <v>Vision Common Resources 19.5.0</v>
      </c>
      <c r="M320" s="106">
        <f>Originals!I362</f>
        <v>0</v>
      </c>
      <c r="N320" s="107" t="s">
        <v>2</v>
      </c>
    </row>
    <row r="321" spans="1:14" hidden="1" x14ac:dyDescent="0.25">
      <c r="A321" s="104" t="s">
        <v>510</v>
      </c>
      <c r="B321" s="104" t="s">
        <v>510</v>
      </c>
      <c r="C321" s="104" t="s">
        <v>510</v>
      </c>
      <c r="D321" s="103" t="s">
        <v>507</v>
      </c>
      <c r="E321" s="104" t="s">
        <v>510</v>
      </c>
      <c r="F321" s="108" t="str">
        <f>Scott!B116</f>
        <v>NI-DMM</v>
      </c>
      <c r="G321" s="108">
        <f>Scott!C116</f>
        <v>0</v>
      </c>
      <c r="H321" s="108">
        <f>Scott!D116</f>
        <v>32</v>
      </c>
      <c r="I321" s="108">
        <f>Scott!E116</f>
        <v>2015</v>
      </c>
      <c r="J321" s="108" t="str">
        <f>Scott!F116</f>
        <v>Development</v>
      </c>
      <c r="K321" s="108" t="str">
        <f>Scott!G116</f>
        <v>NI</v>
      </c>
      <c r="L321" s="108" t="str">
        <f>Scott!H116</f>
        <v xml:space="preserve">NI-DMM </v>
      </c>
      <c r="M321" s="108" t="str">
        <f>Scott!I116</f>
        <v>NI Developer Suite 2015 DS2 Install</v>
      </c>
      <c r="N321" s="109" t="s">
        <v>96</v>
      </c>
    </row>
    <row r="322" spans="1:14" x14ac:dyDescent="0.25">
      <c r="A322" s="104" t="s">
        <v>510</v>
      </c>
      <c r="B322" s="104" t="s">
        <v>510</v>
      </c>
      <c r="C322" s="103" t="s">
        <v>507</v>
      </c>
      <c r="D322" s="104" t="s">
        <v>510</v>
      </c>
      <c r="E322" s="104" t="s">
        <v>510</v>
      </c>
      <c r="F322" s="106" t="str">
        <f>Originals!B363</f>
        <v>Vision Development Module</v>
      </c>
      <c r="G322" s="106" t="str">
        <f>Originals!C363</f>
        <v>18.5.0</v>
      </c>
      <c r="H322" s="106" t="str">
        <f>Originals!D363</f>
        <v>32</v>
      </c>
      <c r="I322" s="106" t="str">
        <f>Originals!E363</f>
        <v>2018</v>
      </c>
      <c r="J322" s="106" t="str">
        <f>Originals!F363</f>
        <v>Development</v>
      </c>
      <c r="K322" s="106" t="str">
        <f>Originals!G363</f>
        <v>NI</v>
      </c>
      <c r="L322" s="106" t="str">
        <f>Originals!H363</f>
        <v>Vision Development Module 18.5.0</v>
      </c>
      <c r="M322" s="106">
        <f>Originals!I363</f>
        <v>0</v>
      </c>
      <c r="N322" s="107" t="s">
        <v>2</v>
      </c>
    </row>
    <row r="323" spans="1:14" x14ac:dyDescent="0.25">
      <c r="A323" s="104" t="s">
        <v>510</v>
      </c>
      <c r="B323" s="104" t="s">
        <v>510</v>
      </c>
      <c r="C323" s="103" t="s">
        <v>507</v>
      </c>
      <c r="D323" s="104" t="s">
        <v>510</v>
      </c>
      <c r="E323" s="104" t="s">
        <v>510</v>
      </c>
      <c r="F323" s="106" t="str">
        <f>Originals!B364</f>
        <v>Vision Development Module</v>
      </c>
      <c r="G323" s="106" t="str">
        <f>Originals!C364</f>
        <v>19.5.0</v>
      </c>
      <c r="H323" s="106" t="str">
        <f>Originals!D364</f>
        <v>32</v>
      </c>
      <c r="I323" s="106" t="str">
        <f>Originals!E364</f>
        <v>2019</v>
      </c>
      <c r="J323" s="106" t="str">
        <f>Originals!F364</f>
        <v>Development</v>
      </c>
      <c r="K323" s="106" t="str">
        <f>Originals!G364</f>
        <v>NI</v>
      </c>
      <c r="L323" s="106" t="str">
        <f>Originals!H364</f>
        <v>Vision Development Module 19.5.0</v>
      </c>
      <c r="M323" s="106">
        <f>Originals!I364</f>
        <v>0</v>
      </c>
      <c r="N323" s="107" t="s">
        <v>2</v>
      </c>
    </row>
    <row r="324" spans="1:14" hidden="1" x14ac:dyDescent="0.25">
      <c r="A324" s="104" t="s">
        <v>510</v>
      </c>
      <c r="B324" s="104" t="s">
        <v>510</v>
      </c>
      <c r="C324" s="104" t="s">
        <v>510</v>
      </c>
      <c r="D324" s="103" t="s">
        <v>507</v>
      </c>
      <c r="E324" s="104" t="s">
        <v>510</v>
      </c>
      <c r="F324" s="108" t="str">
        <f>Scott!B117</f>
        <v>NI-DMM</v>
      </c>
      <c r="G324" s="108" t="str">
        <f>Scott!C117</f>
        <v>15.0</v>
      </c>
      <c r="H324" s="108">
        <f>Scott!D117</f>
        <v>32</v>
      </c>
      <c r="I324" s="108">
        <f>Scott!E117</f>
        <v>2015</v>
      </c>
      <c r="J324" s="108" t="str">
        <f>Scott!F117</f>
        <v>Runtime</v>
      </c>
      <c r="K324" s="108" t="str">
        <f>Scott!G117</f>
        <v>NI</v>
      </c>
      <c r="L324" s="108" t="str">
        <f>Scott!H117</f>
        <v>NI-DMM 15.0</v>
      </c>
      <c r="M324" s="108" t="str">
        <f>Scott!I117</f>
        <v>NI Developer Suite 2015 DS2 Install</v>
      </c>
      <c r="N324" s="109" t="s">
        <v>96</v>
      </c>
    </row>
    <row r="325" spans="1:14" x14ac:dyDescent="0.25">
      <c r="A325" s="104" t="s">
        <v>510</v>
      </c>
      <c r="B325" s="104" t="s">
        <v>510</v>
      </c>
      <c r="C325" s="103" t="s">
        <v>507</v>
      </c>
      <c r="D325" s="104" t="s">
        <v>510</v>
      </c>
      <c r="E325" s="104" t="s">
        <v>510</v>
      </c>
      <c r="F325" s="106" t="str">
        <f>Originals!B365</f>
        <v>Vision Development Module Development Support</v>
      </c>
      <c r="G325" s="106" t="str">
        <f>Originals!C365</f>
        <v>18.5.0 SP1</v>
      </c>
      <c r="H325" s="106" t="str">
        <f>Originals!D365</f>
        <v>32</v>
      </c>
      <c r="I325" s="106" t="str">
        <f>Originals!E365</f>
        <v>2018</v>
      </c>
      <c r="J325" s="106" t="str">
        <f>Originals!F365</f>
        <v>Development</v>
      </c>
      <c r="K325" s="106" t="str">
        <f>Originals!G365</f>
        <v>NI</v>
      </c>
      <c r="L325" s="106" t="str">
        <f>Originals!H365</f>
        <v>Vision Development Module Development Support 18.5.0 SP1</v>
      </c>
      <c r="M325" s="106">
        <f>Originals!I365</f>
        <v>0</v>
      </c>
      <c r="N325" s="107" t="s">
        <v>2</v>
      </c>
    </row>
    <row r="326" spans="1:14" x14ac:dyDescent="0.25">
      <c r="A326" s="104" t="s">
        <v>510</v>
      </c>
      <c r="B326" s="104" t="s">
        <v>510</v>
      </c>
      <c r="C326" s="103" t="s">
        <v>507</v>
      </c>
      <c r="D326" s="104" t="s">
        <v>510</v>
      </c>
      <c r="E326" s="104" t="s">
        <v>510</v>
      </c>
      <c r="F326" s="106" t="str">
        <f>Originals!B366</f>
        <v>Vision Development Module Support</v>
      </c>
      <c r="G326" s="106" t="str">
        <f>Originals!C366</f>
        <v>19.5.0 SP1</v>
      </c>
      <c r="H326" s="106" t="str">
        <f>Originals!D366</f>
        <v>32</v>
      </c>
      <c r="I326" s="106" t="str">
        <f>Originals!E366</f>
        <v>2019</v>
      </c>
      <c r="J326" s="106" t="str">
        <f>Originals!F366</f>
        <v>Runtime</v>
      </c>
      <c r="K326" s="106" t="str">
        <f>Originals!G366</f>
        <v>NI</v>
      </c>
      <c r="L326" s="106" t="str">
        <f>Originals!H366</f>
        <v>Vision Development Module Support 19.5.0 SP1</v>
      </c>
      <c r="M326" s="106">
        <f>Originals!I366</f>
        <v>0</v>
      </c>
      <c r="N326" s="107" t="s">
        <v>2</v>
      </c>
    </row>
    <row r="327" spans="1:14" hidden="1" x14ac:dyDescent="0.25">
      <c r="A327" s="104" t="s">
        <v>510</v>
      </c>
      <c r="B327" s="104" t="s">
        <v>510</v>
      </c>
      <c r="C327" s="104" t="s">
        <v>510</v>
      </c>
      <c r="D327" s="103" t="s">
        <v>507</v>
      </c>
      <c r="E327" s="104" t="s">
        <v>510</v>
      </c>
      <c r="F327" s="108" t="str">
        <f>Scott!B118</f>
        <v>NI-DMM Configuration Support</v>
      </c>
      <c r="G327" s="108" t="str">
        <f>Scott!C118</f>
        <v>15.0</v>
      </c>
      <c r="H327" s="108">
        <f>Scott!D118</f>
        <v>32</v>
      </c>
      <c r="I327" s="108">
        <f>Scott!E118</f>
        <v>2015</v>
      </c>
      <c r="J327" s="108" t="str">
        <f>Scott!F118</f>
        <v>Development</v>
      </c>
      <c r="K327" s="108" t="str">
        <f>Scott!G118</f>
        <v>NI</v>
      </c>
      <c r="L327" s="108" t="str">
        <f>Scott!H118</f>
        <v>NI-DMM Configuration Support 15.0</v>
      </c>
      <c r="M327" s="108" t="str">
        <f>Scott!I118</f>
        <v>NI Developer Suite 2015 DS2 Install</v>
      </c>
      <c r="N327" s="109" t="s">
        <v>96</v>
      </c>
    </row>
    <row r="328" spans="1:14" x14ac:dyDescent="0.25">
      <c r="A328" s="104" t="s">
        <v>510</v>
      </c>
      <c r="B328" s="104" t="s">
        <v>510</v>
      </c>
      <c r="C328" s="103" t="s">
        <v>507</v>
      </c>
      <c r="D328" s="104" t="s">
        <v>510</v>
      </c>
      <c r="E328" s="104" t="s">
        <v>510</v>
      </c>
      <c r="F328" s="106" t="str">
        <f>Originals!B367</f>
        <v>WebDAV Cleitn with SSL Support</v>
      </c>
      <c r="G328" s="106" t="str">
        <f>Originals!C367</f>
        <v>15.0.0</v>
      </c>
      <c r="H328" s="106" t="str">
        <f>Originals!D367</f>
        <v>32</v>
      </c>
      <c r="I328" s="106" t="str">
        <f>Originals!E367</f>
        <v>2015</v>
      </c>
      <c r="J328" s="106" t="str">
        <f>Originals!F367</f>
        <v>C-RIO</v>
      </c>
      <c r="K328" s="106" t="str">
        <f>Originals!G367</f>
        <v>NI</v>
      </c>
      <c r="L328" s="106" t="str">
        <f>Originals!H367</f>
        <v>WebDAV Cleitn with SSL Support 15.0.0</v>
      </c>
      <c r="M328" s="106">
        <f>Originals!I367</f>
        <v>0</v>
      </c>
      <c r="N328" s="107" t="s">
        <v>2</v>
      </c>
    </row>
    <row r="329" spans="1:14" x14ac:dyDescent="0.25">
      <c r="A329" s="104" t="s">
        <v>510</v>
      </c>
      <c r="B329" s="104" t="s">
        <v>510</v>
      </c>
      <c r="C329" s="103" t="s">
        <v>507</v>
      </c>
      <c r="D329" s="104" t="s">
        <v>510</v>
      </c>
      <c r="E329" s="104" t="s">
        <v>510</v>
      </c>
      <c r="F329" s="106" t="str">
        <f>Originals!B368</f>
        <v>WebDAV Server</v>
      </c>
      <c r="G329" s="106" t="str">
        <f>Originals!C368</f>
        <v>15.0.0</v>
      </c>
      <c r="H329" s="106" t="str">
        <f>Originals!D368</f>
        <v>32</v>
      </c>
      <c r="I329" s="106" t="str">
        <f>Originals!E368</f>
        <v>2015</v>
      </c>
      <c r="J329" s="106" t="str">
        <f>Originals!F368</f>
        <v>C-RIO</v>
      </c>
      <c r="K329" s="106" t="str">
        <f>Originals!G368</f>
        <v>NI</v>
      </c>
      <c r="L329" s="106" t="str">
        <f>Originals!H368</f>
        <v>WebDAV Server 15.0.0</v>
      </c>
      <c r="M329" s="106">
        <f>Originals!I368</f>
        <v>0</v>
      </c>
      <c r="N329" s="107" t="s">
        <v>2</v>
      </c>
    </row>
  </sheetData>
  <autoFilter ref="A3:N329" xr:uid="{F37F7356-5D70-4488-95B0-A7D7F394D7AB}">
    <filterColumn colId="13">
      <filters>
        <filter val="N/A"/>
        <filter val="Vinnie"/>
      </filters>
    </filterColumn>
    <sortState xmlns:xlrd2="http://schemas.microsoft.com/office/spreadsheetml/2017/richdata2" ref="A4:N329">
      <sortCondition ref="F3:F329"/>
    </sortState>
  </autoFilter>
  <mergeCells count="1">
    <mergeCell ref="A1:M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238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45.1406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10.2851562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150" t="s">
        <v>498</v>
      </c>
      <c r="B1" s="150"/>
      <c r="C1" s="150"/>
      <c r="D1" s="150"/>
      <c r="E1" s="150"/>
      <c r="F1" s="150"/>
      <c r="G1" s="150"/>
      <c r="H1" s="155"/>
    </row>
    <row r="2" spans="1:8" ht="14.25" thickBot="1" x14ac:dyDescent="0.3">
      <c r="A2" s="156"/>
      <c r="B2" s="156"/>
      <c r="C2" s="156"/>
      <c r="D2" s="156"/>
      <c r="E2" s="156"/>
      <c r="F2" s="156"/>
      <c r="G2" s="156"/>
      <c r="H2" s="157"/>
    </row>
    <row r="3" spans="1:8" ht="15" x14ac:dyDescent="0.25">
      <c r="A3" s="1" t="s">
        <v>99</v>
      </c>
      <c r="B3" s="2" t="s">
        <v>3</v>
      </c>
      <c r="C3" s="1" t="s">
        <v>4</v>
      </c>
      <c r="D3" s="1" t="s">
        <v>5</v>
      </c>
      <c r="E3" s="1" t="s">
        <v>100</v>
      </c>
      <c r="F3" s="1" t="s">
        <v>6</v>
      </c>
      <c r="G3" s="3" t="s">
        <v>101</v>
      </c>
      <c r="H3" s="4" t="s">
        <v>7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410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411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417</v>
      </c>
      <c r="H106" s="14" t="s">
        <v>465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419</v>
      </c>
      <c r="H107" s="14" t="s">
        <v>465</v>
      </c>
    </row>
    <row r="108" spans="1:8" x14ac:dyDescent="0.25">
      <c r="A108" s="14" t="s">
        <v>59</v>
      </c>
      <c r="B108" s="15" t="s">
        <v>412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420</v>
      </c>
      <c r="H108" s="14" t="s">
        <v>465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421</v>
      </c>
      <c r="H109" s="14" t="s">
        <v>465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421</v>
      </c>
      <c r="H110" s="14" t="s">
        <v>465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418</v>
      </c>
      <c r="H111" s="14" t="s">
        <v>465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413</v>
      </c>
      <c r="E112" s="15" t="s">
        <v>24</v>
      </c>
      <c r="F112" s="15" t="s">
        <v>13</v>
      </c>
      <c r="G112" s="14" t="s">
        <v>422</v>
      </c>
      <c r="H112" s="14" t="s">
        <v>465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418</v>
      </c>
      <c r="H113" s="14" t="s">
        <v>465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414</v>
      </c>
      <c r="E114" s="15" t="s">
        <v>24</v>
      </c>
      <c r="F114" s="15" t="s">
        <v>13</v>
      </c>
      <c r="G114" s="14" t="s">
        <v>423</v>
      </c>
      <c r="H114" s="14" t="s">
        <v>465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544</v>
      </c>
    </row>
    <row r="116" spans="1:9" ht="14.25" x14ac:dyDescent="0.25">
      <c r="A116" s="18" t="s">
        <v>16</v>
      </c>
      <c r="B116" s="18" t="s">
        <v>426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424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424</v>
      </c>
      <c r="I117" s="7"/>
    </row>
    <row r="118" spans="1:9" ht="14.25" x14ac:dyDescent="0.25">
      <c r="A118" s="18" t="s">
        <v>366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424</v>
      </c>
      <c r="I118" s="7"/>
    </row>
    <row r="119" spans="1:9" ht="14.25" x14ac:dyDescent="0.25">
      <c r="A119" s="18" t="s">
        <v>366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424</v>
      </c>
      <c r="I119" s="7"/>
    </row>
    <row r="120" spans="1:9" ht="14.25" x14ac:dyDescent="0.25">
      <c r="A120" s="18" t="s">
        <v>368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424</v>
      </c>
      <c r="I120" s="7"/>
    </row>
    <row r="121" spans="1:9" ht="14.25" x14ac:dyDescent="0.25">
      <c r="A121" s="18" t="s">
        <v>368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424</v>
      </c>
      <c r="I121" s="7"/>
    </row>
    <row r="122" spans="1:9" ht="14.25" x14ac:dyDescent="0.25">
      <c r="A122" s="18" t="s">
        <v>370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424</v>
      </c>
      <c r="I122" s="7"/>
    </row>
    <row r="123" spans="1:9" ht="14.25" x14ac:dyDescent="0.25">
      <c r="A123" s="18" t="s">
        <v>371</v>
      </c>
      <c r="B123" s="18" t="s">
        <v>429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424</v>
      </c>
      <c r="I123" s="7"/>
    </row>
    <row r="124" spans="1:9" ht="14.25" x14ac:dyDescent="0.25">
      <c r="A124" s="18" t="s">
        <v>373</v>
      </c>
      <c r="B124" s="18" t="s">
        <v>429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424</v>
      </c>
      <c r="I124" s="7"/>
    </row>
    <row r="125" spans="1:9" ht="14.25" x14ac:dyDescent="0.25">
      <c r="A125" s="18" t="s">
        <v>29</v>
      </c>
      <c r="B125" s="18" t="s">
        <v>430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424</v>
      </c>
      <c r="I125" s="7"/>
    </row>
    <row r="126" spans="1:9" ht="14.25" x14ac:dyDescent="0.25">
      <c r="A126" s="18" t="s">
        <v>382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424</v>
      </c>
      <c r="I126" s="7"/>
    </row>
    <row r="127" spans="1:9" ht="14.25" x14ac:dyDescent="0.25">
      <c r="A127" s="18" t="s">
        <v>382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424</v>
      </c>
      <c r="I127" s="7"/>
    </row>
    <row r="128" spans="1:9" ht="14.25" x14ac:dyDescent="0.25">
      <c r="A128" s="18" t="s">
        <v>384</v>
      </c>
      <c r="B128" s="18" t="s">
        <v>429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424</v>
      </c>
      <c r="I128" s="7"/>
    </row>
    <row r="129" spans="1:9" ht="14.25" x14ac:dyDescent="0.25">
      <c r="A129" s="18" t="s">
        <v>437</v>
      </c>
      <c r="B129" s="18" t="s">
        <v>438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424</v>
      </c>
      <c r="I129" s="7"/>
    </row>
    <row r="130" spans="1:9" ht="14.25" x14ac:dyDescent="0.25">
      <c r="A130" s="18" t="s">
        <v>140</v>
      </c>
      <c r="B130" s="18" t="s">
        <v>426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424</v>
      </c>
      <c r="I130" s="7"/>
    </row>
    <row r="131" spans="1:9" ht="14.25" x14ac:dyDescent="0.25">
      <c r="A131" s="18" t="s">
        <v>396</v>
      </c>
      <c r="B131" s="18" t="s">
        <v>426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424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424</v>
      </c>
      <c r="I132" s="7"/>
    </row>
    <row r="133" spans="1:9" ht="14.25" x14ac:dyDescent="0.25">
      <c r="A133" s="18" t="s">
        <v>129</v>
      </c>
      <c r="B133" s="18" t="s">
        <v>430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424</v>
      </c>
      <c r="I133" s="7"/>
    </row>
    <row r="134" spans="1:9" ht="14.25" x14ac:dyDescent="0.25">
      <c r="A134" s="18" t="s">
        <v>68</v>
      </c>
      <c r="B134" s="18" t="s">
        <v>430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424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424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424</v>
      </c>
      <c r="I136" s="7"/>
    </row>
    <row r="137" spans="1:9" ht="14.25" x14ac:dyDescent="0.25">
      <c r="A137" s="18" t="s">
        <v>390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424</v>
      </c>
      <c r="I137" s="7"/>
    </row>
    <row r="138" spans="1:9" ht="14.25" x14ac:dyDescent="0.25">
      <c r="A138" s="18" t="s">
        <v>452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424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424</v>
      </c>
      <c r="I139" s="7"/>
    </row>
    <row r="140" spans="1:9" ht="14.25" x14ac:dyDescent="0.25">
      <c r="A140" s="18" t="s">
        <v>32</v>
      </c>
      <c r="B140" s="18" t="s">
        <v>402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424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424</v>
      </c>
      <c r="I141" s="7"/>
    </row>
    <row r="142" spans="1:9" ht="15" x14ac:dyDescent="0.25">
      <c r="A142" s="58" t="s">
        <v>14</v>
      </c>
      <c r="B142" s="58" t="s">
        <v>478</v>
      </c>
      <c r="C142" s="56" t="s">
        <v>10</v>
      </c>
      <c r="D142" s="56" t="s">
        <v>130</v>
      </c>
      <c r="E142" s="56" t="s">
        <v>485</v>
      </c>
      <c r="F142" s="56" t="s">
        <v>13</v>
      </c>
      <c r="G142" s="57" t="str">
        <f t="shared" ref="G142:G149" si="9">A142&amp;" "&amp;B142</f>
        <v>CompactRIO 18.1.0</v>
      </c>
      <c r="H142" s="57" t="s">
        <v>477</v>
      </c>
      <c r="I142" s="7"/>
    </row>
    <row r="143" spans="1:9" ht="15" x14ac:dyDescent="0.25">
      <c r="A143" s="58" t="s">
        <v>15</v>
      </c>
      <c r="B143" s="58" t="s">
        <v>478</v>
      </c>
      <c r="C143" s="56" t="s">
        <v>10</v>
      </c>
      <c r="D143" s="56" t="s">
        <v>130</v>
      </c>
      <c r="E143" s="56" t="s">
        <v>485</v>
      </c>
      <c r="F143" s="56" t="s">
        <v>13</v>
      </c>
      <c r="G143" s="57" t="str">
        <f t="shared" si="9"/>
        <v>C Series Module Support 18.1.0</v>
      </c>
      <c r="H143" s="57" t="s">
        <v>477</v>
      </c>
      <c r="I143" s="7"/>
    </row>
    <row r="144" spans="1:9" ht="15" x14ac:dyDescent="0.25">
      <c r="A144" s="58" t="s">
        <v>18</v>
      </c>
      <c r="B144" s="58" t="s">
        <v>478</v>
      </c>
      <c r="C144" s="56" t="s">
        <v>10</v>
      </c>
      <c r="D144" s="56" t="s">
        <v>130</v>
      </c>
      <c r="E144" s="56" t="s">
        <v>485</v>
      </c>
      <c r="F144" s="56" t="s">
        <v>13</v>
      </c>
      <c r="G144" s="57" t="str">
        <f t="shared" si="9"/>
        <v>NI-DAQmx ADE Support 18.1.0</v>
      </c>
      <c r="H144" s="57" t="s">
        <v>477</v>
      </c>
    </row>
    <row r="145" spans="1:9" ht="15" x14ac:dyDescent="0.25">
      <c r="A145" s="58" t="s">
        <v>19</v>
      </c>
      <c r="B145" s="58" t="s">
        <v>478</v>
      </c>
      <c r="C145" s="56" t="s">
        <v>10</v>
      </c>
      <c r="D145" s="56" t="s">
        <v>130</v>
      </c>
      <c r="E145" s="56" t="s">
        <v>485</v>
      </c>
      <c r="F145" s="56" t="s">
        <v>13</v>
      </c>
      <c r="G145" s="57" t="str">
        <f t="shared" si="9"/>
        <v>NI-DAQmx MAX Configuration 18.1.0</v>
      </c>
      <c r="H145" s="57" t="s">
        <v>477</v>
      </c>
    </row>
    <row r="146" spans="1:9" ht="15" x14ac:dyDescent="0.25">
      <c r="A146" s="58" t="s">
        <v>41</v>
      </c>
      <c r="B146" s="58" t="s">
        <v>479</v>
      </c>
      <c r="C146" s="56" t="s">
        <v>10</v>
      </c>
      <c r="D146" s="56" t="s">
        <v>130</v>
      </c>
      <c r="E146" s="56" t="s">
        <v>485</v>
      </c>
      <c r="F146" s="56" t="s">
        <v>13</v>
      </c>
      <c r="G146" s="57" t="str">
        <f t="shared" si="9"/>
        <v>Measurement &amp; Automation Explorer 18.0.0f0</v>
      </c>
      <c r="H146" s="57" t="s">
        <v>477</v>
      </c>
    </row>
    <row r="147" spans="1:9" ht="15" x14ac:dyDescent="0.25">
      <c r="A147" s="58" t="s">
        <v>52</v>
      </c>
      <c r="B147" s="58" t="s">
        <v>479</v>
      </c>
      <c r="C147" s="56" t="s">
        <v>10</v>
      </c>
      <c r="D147" s="56" t="s">
        <v>130</v>
      </c>
      <c r="E147" s="56" t="s">
        <v>485</v>
      </c>
      <c r="F147" s="56" t="s">
        <v>13</v>
      </c>
      <c r="G147" s="57" t="str">
        <f t="shared" si="9"/>
        <v>NI PXI Platform Services Configuration 18.0.0f0</v>
      </c>
      <c r="H147" s="57" t="s">
        <v>477</v>
      </c>
    </row>
    <row r="148" spans="1:9" ht="15" x14ac:dyDescent="0.25">
      <c r="A148" s="58" t="s">
        <v>64</v>
      </c>
      <c r="B148" s="58" t="s">
        <v>481</v>
      </c>
      <c r="C148" s="56" t="s">
        <v>10</v>
      </c>
      <c r="D148" s="56" t="s">
        <v>153</v>
      </c>
      <c r="E148" s="56" t="s">
        <v>485</v>
      </c>
      <c r="F148" s="56" t="s">
        <v>13</v>
      </c>
      <c r="G148" s="57" t="str">
        <f t="shared" si="9"/>
        <v>NI-Serial Configuration 17.5.0f0</v>
      </c>
      <c r="H148" s="57" t="s">
        <v>477</v>
      </c>
    </row>
    <row r="149" spans="1:9" ht="15" x14ac:dyDescent="0.25">
      <c r="A149" s="58" t="s">
        <v>440</v>
      </c>
      <c r="B149" s="58" t="s">
        <v>478</v>
      </c>
      <c r="C149" s="56" t="s">
        <v>10</v>
      </c>
      <c r="D149" s="56" t="s">
        <v>130</v>
      </c>
      <c r="E149" s="56" t="s">
        <v>485</v>
      </c>
      <c r="F149" s="56" t="s">
        <v>13</v>
      </c>
      <c r="G149" s="57" t="str">
        <f t="shared" si="9"/>
        <v>Soft Front Panel 18.1.0</v>
      </c>
      <c r="H149" s="57" t="s">
        <v>477</v>
      </c>
    </row>
    <row r="150" spans="1:9" ht="15" x14ac:dyDescent="0.25">
      <c r="A150" s="58" t="s">
        <v>32</v>
      </c>
      <c r="B150" s="58" t="s">
        <v>404</v>
      </c>
      <c r="C150" s="56" t="s">
        <v>10</v>
      </c>
      <c r="D150" s="56" t="s">
        <v>468</v>
      </c>
      <c r="E150" s="56" t="s">
        <v>24</v>
      </c>
      <c r="F150" s="56" t="s">
        <v>13</v>
      </c>
      <c r="G150" s="57" t="str">
        <f t="shared" ref="G150:G151" si="10">A150&amp;" "&amp;D150&amp;" "&amp;B150</f>
        <v>LabVIEW 2016 f5 16.0.0</v>
      </c>
      <c r="H150" s="57" t="s">
        <v>477</v>
      </c>
    </row>
    <row r="151" spans="1:9" ht="15" x14ac:dyDescent="0.25">
      <c r="A151" s="58" t="s">
        <v>32</v>
      </c>
      <c r="B151" s="58" t="s">
        <v>406</v>
      </c>
      <c r="C151" s="56" t="s">
        <v>10</v>
      </c>
      <c r="D151" s="56" t="s">
        <v>486</v>
      </c>
      <c r="E151" s="56" t="s">
        <v>24</v>
      </c>
      <c r="F151" s="56" t="s">
        <v>13</v>
      </c>
      <c r="G151" s="57" t="str">
        <f t="shared" si="10"/>
        <v>LabVIEW 2017 SP1 f2 17.0.1</v>
      </c>
      <c r="H151" s="57" t="s">
        <v>477</v>
      </c>
    </row>
    <row r="152" spans="1:9" ht="15" x14ac:dyDescent="0.25">
      <c r="A152" s="58" t="s">
        <v>56</v>
      </c>
      <c r="B152" s="58" t="s">
        <v>480</v>
      </c>
      <c r="C152" s="56" t="s">
        <v>10</v>
      </c>
      <c r="D152" s="56" t="s">
        <v>130</v>
      </c>
      <c r="E152" s="56" t="s">
        <v>485</v>
      </c>
      <c r="F152" s="56" t="s">
        <v>13</v>
      </c>
      <c r="G152" s="57" t="str">
        <f t="shared" ref="G152:G153" si="11">A152&amp;" "&amp;B152</f>
        <v>NI-Sync 18.1.0f0</v>
      </c>
      <c r="H152" s="57" t="s">
        <v>477</v>
      </c>
    </row>
    <row r="153" spans="1:9" ht="15" x14ac:dyDescent="0.25">
      <c r="A153" s="91" t="s">
        <v>143</v>
      </c>
      <c r="B153" s="92" t="s">
        <v>494</v>
      </c>
      <c r="C153" s="93" t="s">
        <v>10</v>
      </c>
      <c r="D153" s="93" t="s">
        <v>130</v>
      </c>
      <c r="E153" s="93" t="s">
        <v>12</v>
      </c>
      <c r="F153" s="93" t="s">
        <v>13</v>
      </c>
      <c r="G153" s="91" t="str">
        <f t="shared" si="11"/>
        <v>NI-Industrial Communications for EtherCAT 18.0.0f1</v>
      </c>
      <c r="H153" s="91" t="s">
        <v>495</v>
      </c>
      <c r="I153" s="7"/>
    </row>
    <row r="154" spans="1:9" ht="15" x14ac:dyDescent="0.25">
      <c r="A154" s="129" t="s">
        <v>363</v>
      </c>
      <c r="B154" s="130" t="s">
        <v>30</v>
      </c>
      <c r="C154" s="128" t="s">
        <v>10</v>
      </c>
      <c r="D154" s="128">
        <v>2015</v>
      </c>
      <c r="E154" s="128" t="s">
        <v>12</v>
      </c>
      <c r="F154" s="128" t="s">
        <v>13</v>
      </c>
      <c r="G154" s="129" t="s">
        <v>546</v>
      </c>
      <c r="H154" s="129" t="s">
        <v>545</v>
      </c>
      <c r="I154" s="7"/>
    </row>
    <row r="155" spans="1:9" ht="15" x14ac:dyDescent="0.25">
      <c r="A155" s="94" t="s">
        <v>32</v>
      </c>
      <c r="B155" s="94" t="s">
        <v>406</v>
      </c>
      <c r="C155" s="95" t="s">
        <v>10</v>
      </c>
      <c r="D155" s="95" t="s">
        <v>407</v>
      </c>
      <c r="E155" s="95" t="s">
        <v>24</v>
      </c>
      <c r="F155" s="95" t="s">
        <v>13</v>
      </c>
      <c r="G155" s="96" t="str">
        <f t="shared" ref="G155" si="12">A155&amp;" "&amp;D155&amp;" "&amp;B155</f>
        <v>LabVIEW 2017 SP1 f3 17.0.1</v>
      </c>
      <c r="H155" s="96" t="s">
        <v>499</v>
      </c>
      <c r="I155" s="7"/>
    </row>
    <row r="156" spans="1:9" ht="15" x14ac:dyDescent="0.25">
      <c r="A156" s="124" t="s">
        <v>157</v>
      </c>
      <c r="B156" s="124"/>
      <c r="C156" s="125" t="s">
        <v>10</v>
      </c>
      <c r="D156" s="125"/>
      <c r="E156" s="125" t="s">
        <v>12</v>
      </c>
      <c r="F156" s="125"/>
      <c r="G156" s="126" t="s">
        <v>492</v>
      </c>
      <c r="H156" s="127" t="s">
        <v>536</v>
      </c>
      <c r="I156" s="7"/>
    </row>
    <row r="157" spans="1:9" x14ac:dyDescent="0.25">
      <c r="A157" s="122" t="s">
        <v>313</v>
      </c>
      <c r="B157" s="123" t="s">
        <v>314</v>
      </c>
      <c r="C157" s="123" t="s">
        <v>10</v>
      </c>
      <c r="D157" s="123" t="s">
        <v>136</v>
      </c>
      <c r="E157" s="123" t="s">
        <v>12</v>
      </c>
      <c r="F157" s="123" t="s">
        <v>315</v>
      </c>
      <c r="G157" s="122" t="s">
        <v>512</v>
      </c>
      <c r="H157" s="122" t="s">
        <v>202</v>
      </c>
    </row>
    <row r="158" spans="1:9" x14ac:dyDescent="0.25">
      <c r="A158" s="120" t="s">
        <v>316</v>
      </c>
      <c r="B158" s="121" t="s">
        <v>317</v>
      </c>
      <c r="C158" s="121" t="s">
        <v>10</v>
      </c>
      <c r="D158" s="121" t="s">
        <v>136</v>
      </c>
      <c r="E158" s="121" t="s">
        <v>12</v>
      </c>
      <c r="F158" s="121" t="s">
        <v>315</v>
      </c>
      <c r="G158" s="120" t="s">
        <v>513</v>
      </c>
      <c r="H158" s="120" t="s">
        <v>202</v>
      </c>
    </row>
    <row r="159" spans="1:9" x14ac:dyDescent="0.25">
      <c r="A159" s="120" t="s">
        <v>318</v>
      </c>
      <c r="B159" s="121" t="s">
        <v>319</v>
      </c>
      <c r="C159" s="121" t="s">
        <v>10</v>
      </c>
      <c r="D159" s="121" t="s">
        <v>136</v>
      </c>
      <c r="E159" s="121" t="s">
        <v>12</v>
      </c>
      <c r="F159" s="121" t="s">
        <v>315</v>
      </c>
      <c r="G159" s="120" t="s">
        <v>514</v>
      </c>
      <c r="H159" s="120" t="s">
        <v>202</v>
      </c>
    </row>
    <row r="160" spans="1:9" x14ac:dyDescent="0.25">
      <c r="A160" s="120" t="s">
        <v>320</v>
      </c>
      <c r="B160" s="121" t="s">
        <v>321</v>
      </c>
      <c r="C160" s="121" t="s">
        <v>10</v>
      </c>
      <c r="D160" s="121" t="s">
        <v>136</v>
      </c>
      <c r="E160" s="121" t="s">
        <v>12</v>
      </c>
      <c r="F160" s="121" t="s">
        <v>315</v>
      </c>
      <c r="G160" s="120" t="s">
        <v>515</v>
      </c>
      <c r="H160" s="120" t="s">
        <v>202</v>
      </c>
    </row>
    <row r="161" spans="1:8" x14ac:dyDescent="0.25">
      <c r="A161" s="120" t="s">
        <v>322</v>
      </c>
      <c r="B161" s="121" t="s">
        <v>319</v>
      </c>
      <c r="C161" s="121" t="s">
        <v>10</v>
      </c>
      <c r="D161" s="121" t="s">
        <v>136</v>
      </c>
      <c r="E161" s="121" t="s">
        <v>12</v>
      </c>
      <c r="F161" s="121" t="s">
        <v>315</v>
      </c>
      <c r="G161" s="120" t="s">
        <v>516</v>
      </c>
      <c r="H161" s="120" t="s">
        <v>202</v>
      </c>
    </row>
    <row r="162" spans="1:8" x14ac:dyDescent="0.25">
      <c r="A162" s="120" t="s">
        <v>323</v>
      </c>
      <c r="B162" s="121" t="s">
        <v>324</v>
      </c>
      <c r="C162" s="121" t="s">
        <v>10</v>
      </c>
      <c r="D162" s="121" t="s">
        <v>136</v>
      </c>
      <c r="E162" s="121" t="s">
        <v>12</v>
      </c>
      <c r="F162" s="121" t="s">
        <v>315</v>
      </c>
      <c r="G162" s="120" t="s">
        <v>517</v>
      </c>
      <c r="H162" s="120" t="s">
        <v>202</v>
      </c>
    </row>
    <row r="163" spans="1:8" x14ac:dyDescent="0.25">
      <c r="A163" s="120" t="s">
        <v>325</v>
      </c>
      <c r="B163" s="121" t="s">
        <v>326</v>
      </c>
      <c r="C163" s="121" t="s">
        <v>10</v>
      </c>
      <c r="D163" s="121" t="s">
        <v>136</v>
      </c>
      <c r="E163" s="121" t="s">
        <v>12</v>
      </c>
      <c r="F163" s="121" t="s">
        <v>315</v>
      </c>
      <c r="G163" s="120" t="s">
        <v>518</v>
      </c>
      <c r="H163" s="120" t="s">
        <v>202</v>
      </c>
    </row>
    <row r="164" spans="1:8" x14ac:dyDescent="0.25">
      <c r="A164" s="120" t="s">
        <v>327</v>
      </c>
      <c r="B164" s="121" t="s">
        <v>328</v>
      </c>
      <c r="C164" s="121" t="s">
        <v>10</v>
      </c>
      <c r="D164" s="121" t="s">
        <v>136</v>
      </c>
      <c r="E164" s="121" t="s">
        <v>12</v>
      </c>
      <c r="F164" s="121" t="s">
        <v>315</v>
      </c>
      <c r="G164" s="120" t="s">
        <v>519</v>
      </c>
      <c r="H164" s="120" t="s">
        <v>202</v>
      </c>
    </row>
    <row r="165" spans="1:8" x14ac:dyDescent="0.25">
      <c r="A165" s="120" t="s">
        <v>329</v>
      </c>
      <c r="B165" s="121" t="s">
        <v>330</v>
      </c>
      <c r="C165" s="121" t="s">
        <v>10</v>
      </c>
      <c r="D165" s="121" t="s">
        <v>136</v>
      </c>
      <c r="E165" s="121" t="s">
        <v>12</v>
      </c>
      <c r="F165" s="121" t="s">
        <v>315</v>
      </c>
      <c r="G165" s="120" t="s">
        <v>520</v>
      </c>
      <c r="H165" s="120" t="s">
        <v>202</v>
      </c>
    </row>
    <row r="166" spans="1:8" x14ac:dyDescent="0.25">
      <c r="A166" s="120" t="s">
        <v>331</v>
      </c>
      <c r="B166" s="121" t="s">
        <v>332</v>
      </c>
      <c r="C166" s="121" t="s">
        <v>10</v>
      </c>
      <c r="D166" s="121" t="s">
        <v>136</v>
      </c>
      <c r="E166" s="121" t="s">
        <v>12</v>
      </c>
      <c r="F166" s="121" t="s">
        <v>315</v>
      </c>
      <c r="G166" s="120" t="s">
        <v>521</v>
      </c>
      <c r="H166" s="120" t="s">
        <v>202</v>
      </c>
    </row>
    <row r="167" spans="1:8" x14ac:dyDescent="0.25">
      <c r="A167" s="120" t="s">
        <v>333</v>
      </c>
      <c r="B167" s="121" t="s">
        <v>328</v>
      </c>
      <c r="C167" s="121" t="s">
        <v>10</v>
      </c>
      <c r="D167" s="121" t="s">
        <v>136</v>
      </c>
      <c r="E167" s="121" t="s">
        <v>12</v>
      </c>
      <c r="F167" s="121" t="s">
        <v>334</v>
      </c>
      <c r="G167" s="120" t="s">
        <v>522</v>
      </c>
      <c r="H167" s="120" t="s">
        <v>202</v>
      </c>
    </row>
    <row r="168" spans="1:8" x14ac:dyDescent="0.25">
      <c r="A168" s="120" t="s">
        <v>335</v>
      </c>
      <c r="B168" s="121" t="s">
        <v>336</v>
      </c>
      <c r="C168" s="121" t="s">
        <v>10</v>
      </c>
      <c r="D168" s="121" t="s">
        <v>136</v>
      </c>
      <c r="E168" s="121" t="s">
        <v>12</v>
      </c>
      <c r="F168" s="121" t="s">
        <v>250</v>
      </c>
      <c r="G168" s="120" t="s">
        <v>523</v>
      </c>
      <c r="H168" s="120" t="s">
        <v>202</v>
      </c>
    </row>
    <row r="169" spans="1:8" x14ac:dyDescent="0.25">
      <c r="A169" s="120" t="s">
        <v>337</v>
      </c>
      <c r="B169" s="121" t="s">
        <v>338</v>
      </c>
      <c r="C169" s="121" t="s">
        <v>10</v>
      </c>
      <c r="D169" s="121" t="s">
        <v>136</v>
      </c>
      <c r="E169" s="121" t="s">
        <v>12</v>
      </c>
      <c r="F169" s="121" t="s">
        <v>315</v>
      </c>
      <c r="G169" s="120" t="s">
        <v>524</v>
      </c>
      <c r="H169" s="120" t="s">
        <v>202</v>
      </c>
    </row>
    <row r="170" spans="1:8" x14ac:dyDescent="0.25">
      <c r="A170" s="120" t="s">
        <v>339</v>
      </c>
      <c r="B170" s="121" t="s">
        <v>326</v>
      </c>
      <c r="C170" s="121" t="s">
        <v>10</v>
      </c>
      <c r="D170" s="121" t="s">
        <v>136</v>
      </c>
      <c r="E170" s="121" t="s">
        <v>12</v>
      </c>
      <c r="F170" s="121" t="s">
        <v>315</v>
      </c>
      <c r="G170" s="120" t="s">
        <v>525</v>
      </c>
      <c r="H170" s="120" t="s">
        <v>202</v>
      </c>
    </row>
    <row r="171" spans="1:8" x14ac:dyDescent="0.25">
      <c r="A171" s="120" t="s">
        <v>340</v>
      </c>
      <c r="B171" s="121" t="s">
        <v>319</v>
      </c>
      <c r="C171" s="121" t="s">
        <v>10</v>
      </c>
      <c r="D171" s="121" t="s">
        <v>136</v>
      </c>
      <c r="E171" s="121" t="s">
        <v>12</v>
      </c>
      <c r="F171" s="121" t="s">
        <v>315</v>
      </c>
      <c r="G171" s="120" t="s">
        <v>526</v>
      </c>
      <c r="H171" s="120" t="s">
        <v>202</v>
      </c>
    </row>
    <row r="172" spans="1:8" x14ac:dyDescent="0.25">
      <c r="A172" s="120" t="s">
        <v>341</v>
      </c>
      <c r="B172" s="121" t="s">
        <v>342</v>
      </c>
      <c r="C172" s="121" t="s">
        <v>10</v>
      </c>
      <c r="D172" s="121" t="s">
        <v>136</v>
      </c>
      <c r="E172" s="121" t="s">
        <v>12</v>
      </c>
      <c r="F172" s="121" t="s">
        <v>315</v>
      </c>
      <c r="G172" s="120" t="s">
        <v>527</v>
      </c>
      <c r="H172" s="120" t="s">
        <v>202</v>
      </c>
    </row>
    <row r="173" spans="1:8" x14ac:dyDescent="0.25">
      <c r="A173" s="120" t="s">
        <v>343</v>
      </c>
      <c r="B173" s="121" t="s">
        <v>344</v>
      </c>
      <c r="C173" s="121" t="s">
        <v>10</v>
      </c>
      <c r="D173" s="121" t="s">
        <v>136</v>
      </c>
      <c r="E173" s="121" t="s">
        <v>12</v>
      </c>
      <c r="F173" s="121" t="s">
        <v>315</v>
      </c>
      <c r="G173" s="120" t="s">
        <v>528</v>
      </c>
      <c r="H173" s="120" t="s">
        <v>202</v>
      </c>
    </row>
    <row r="174" spans="1:8" x14ac:dyDescent="0.25">
      <c r="A174" s="120" t="s">
        <v>345</v>
      </c>
      <c r="B174" s="121" t="s">
        <v>346</v>
      </c>
      <c r="C174" s="121" t="s">
        <v>10</v>
      </c>
      <c r="D174" s="121" t="s">
        <v>136</v>
      </c>
      <c r="E174" s="121" t="s">
        <v>12</v>
      </c>
      <c r="F174" s="121" t="s">
        <v>315</v>
      </c>
      <c r="G174" s="120" t="s">
        <v>529</v>
      </c>
      <c r="H174" s="120" t="s">
        <v>202</v>
      </c>
    </row>
    <row r="175" spans="1:8" x14ac:dyDescent="0.25">
      <c r="A175" s="120" t="s">
        <v>347</v>
      </c>
      <c r="B175" s="121" t="s">
        <v>348</v>
      </c>
      <c r="C175" s="121" t="s">
        <v>10</v>
      </c>
      <c r="D175" s="121" t="s">
        <v>136</v>
      </c>
      <c r="E175" s="121" t="s">
        <v>12</v>
      </c>
      <c r="F175" s="121" t="s">
        <v>315</v>
      </c>
      <c r="G175" s="120" t="s">
        <v>530</v>
      </c>
      <c r="H175" s="120" t="s">
        <v>202</v>
      </c>
    </row>
    <row r="176" spans="1:8" x14ac:dyDescent="0.25">
      <c r="A176" s="120" t="s">
        <v>349</v>
      </c>
      <c r="B176" s="121" t="s">
        <v>338</v>
      </c>
      <c r="C176" s="121" t="s">
        <v>10</v>
      </c>
      <c r="D176" s="121" t="s">
        <v>136</v>
      </c>
      <c r="E176" s="121" t="s">
        <v>12</v>
      </c>
      <c r="F176" s="121" t="s">
        <v>315</v>
      </c>
      <c r="G176" s="120" t="s">
        <v>531</v>
      </c>
      <c r="H176" s="120" t="s">
        <v>202</v>
      </c>
    </row>
    <row r="177" spans="1:8" x14ac:dyDescent="0.25">
      <c r="A177" s="120" t="s">
        <v>350</v>
      </c>
      <c r="B177" s="121" t="s">
        <v>344</v>
      </c>
      <c r="C177" s="121" t="s">
        <v>10</v>
      </c>
      <c r="D177" s="121" t="s">
        <v>136</v>
      </c>
      <c r="E177" s="121" t="s">
        <v>12</v>
      </c>
      <c r="F177" s="121" t="s">
        <v>315</v>
      </c>
      <c r="G177" s="120" t="s">
        <v>532</v>
      </c>
      <c r="H177" s="120" t="s">
        <v>202</v>
      </c>
    </row>
    <row r="178" spans="1:8" x14ac:dyDescent="0.25">
      <c r="A178" s="120" t="s">
        <v>351</v>
      </c>
      <c r="B178" s="121" t="s">
        <v>352</v>
      </c>
      <c r="C178" s="121" t="s">
        <v>10</v>
      </c>
      <c r="D178" s="121" t="s">
        <v>136</v>
      </c>
      <c r="E178" s="121" t="s">
        <v>12</v>
      </c>
      <c r="F178" s="121" t="s">
        <v>315</v>
      </c>
      <c r="G178" s="120" t="s">
        <v>533</v>
      </c>
      <c r="H178" s="120" t="s">
        <v>202</v>
      </c>
    </row>
    <row r="179" spans="1:8" x14ac:dyDescent="0.25">
      <c r="A179" s="120" t="s">
        <v>355</v>
      </c>
      <c r="B179" s="121" t="s">
        <v>356</v>
      </c>
      <c r="C179" s="121" t="s">
        <v>10</v>
      </c>
      <c r="D179" s="121" t="s">
        <v>136</v>
      </c>
      <c r="E179" s="121" t="s">
        <v>12</v>
      </c>
      <c r="F179" s="121" t="s">
        <v>315</v>
      </c>
      <c r="G179" s="120" t="s">
        <v>534</v>
      </c>
      <c r="H179" s="120" t="s">
        <v>202</v>
      </c>
    </row>
    <row r="180" spans="1:8" x14ac:dyDescent="0.25">
      <c r="A180" s="120" t="s">
        <v>357</v>
      </c>
      <c r="B180" s="121" t="s">
        <v>358</v>
      </c>
      <c r="C180" s="121" t="s">
        <v>10</v>
      </c>
      <c r="D180" s="121" t="s">
        <v>136</v>
      </c>
      <c r="E180" s="121" t="s">
        <v>12</v>
      </c>
      <c r="F180" s="121" t="s">
        <v>315</v>
      </c>
      <c r="G180" s="120" t="s">
        <v>535</v>
      </c>
      <c r="H180" s="120" t="s">
        <v>202</v>
      </c>
    </row>
    <row r="181" spans="1:8" x14ac:dyDescent="0.25">
      <c r="A181" s="120" t="s">
        <v>251</v>
      </c>
      <c r="B181" s="121" t="s">
        <v>252</v>
      </c>
      <c r="C181" s="121" t="s">
        <v>10</v>
      </c>
      <c r="D181" s="121" t="s">
        <v>136</v>
      </c>
      <c r="E181" s="121" t="s">
        <v>12</v>
      </c>
      <c r="F181" s="121" t="s">
        <v>253</v>
      </c>
      <c r="G181" s="120" t="str">
        <f t="shared" ref="G181:G211" si="13">A181&amp;" "&amp;B181</f>
        <v>MGI 1D Array 1.0.2.3</v>
      </c>
      <c r="H181" s="120" t="s">
        <v>202</v>
      </c>
    </row>
    <row r="182" spans="1:8" x14ac:dyDescent="0.25">
      <c r="A182" s="120" t="s">
        <v>254</v>
      </c>
      <c r="B182" s="121" t="s">
        <v>255</v>
      </c>
      <c r="C182" s="121" t="s">
        <v>10</v>
      </c>
      <c r="D182" s="121" t="s">
        <v>136</v>
      </c>
      <c r="E182" s="121" t="s">
        <v>12</v>
      </c>
      <c r="F182" s="121" t="s">
        <v>253</v>
      </c>
      <c r="G182" s="120" t="str">
        <f t="shared" si="13"/>
        <v>MGI 2D Array 1.1.1.5</v>
      </c>
      <c r="H182" s="120" t="s">
        <v>202</v>
      </c>
    </row>
    <row r="183" spans="1:8" x14ac:dyDescent="0.25">
      <c r="A183" s="120" t="s">
        <v>256</v>
      </c>
      <c r="B183" s="121" t="s">
        <v>257</v>
      </c>
      <c r="C183" s="121" t="s">
        <v>10</v>
      </c>
      <c r="D183" s="121" t="s">
        <v>136</v>
      </c>
      <c r="E183" s="121" t="s">
        <v>12</v>
      </c>
      <c r="F183" s="121" t="s">
        <v>253</v>
      </c>
      <c r="G183" s="120" t="str">
        <f t="shared" si="13"/>
        <v>MGI Actor Framework Message Maker 1.0.1.6</v>
      </c>
      <c r="H183" s="120" t="s">
        <v>202</v>
      </c>
    </row>
    <row r="184" spans="1:8" x14ac:dyDescent="0.25">
      <c r="A184" s="120" t="s">
        <v>258</v>
      </c>
      <c r="B184" s="121" t="s">
        <v>259</v>
      </c>
      <c r="C184" s="121" t="s">
        <v>10</v>
      </c>
      <c r="D184" s="121" t="s">
        <v>136</v>
      </c>
      <c r="E184" s="121" t="s">
        <v>12</v>
      </c>
      <c r="F184" s="121" t="s">
        <v>253</v>
      </c>
      <c r="G184" s="120" t="str">
        <f t="shared" si="13"/>
        <v>MGI Application Control 1.1.1.10</v>
      </c>
      <c r="H184" s="120" t="s">
        <v>202</v>
      </c>
    </row>
    <row r="185" spans="1:8" x14ac:dyDescent="0.25">
      <c r="A185" s="120" t="s">
        <v>260</v>
      </c>
      <c r="B185" s="121" t="s">
        <v>261</v>
      </c>
      <c r="C185" s="121" t="s">
        <v>10</v>
      </c>
      <c r="D185" s="121" t="s">
        <v>136</v>
      </c>
      <c r="E185" s="121" t="s">
        <v>12</v>
      </c>
      <c r="F185" s="121" t="s">
        <v>253</v>
      </c>
      <c r="G185" s="120" t="str">
        <f t="shared" si="13"/>
        <v>MGI Bezier 1.1.1.2</v>
      </c>
      <c r="H185" s="120" t="s">
        <v>202</v>
      </c>
    </row>
    <row r="186" spans="1:8" x14ac:dyDescent="0.25">
      <c r="A186" s="120" t="s">
        <v>262</v>
      </c>
      <c r="B186" s="121" t="s">
        <v>263</v>
      </c>
      <c r="C186" s="121" t="s">
        <v>10</v>
      </c>
      <c r="D186" s="121" t="s">
        <v>136</v>
      </c>
      <c r="E186" s="121" t="s">
        <v>12</v>
      </c>
      <c r="F186" s="121" t="s">
        <v>253</v>
      </c>
      <c r="G186" s="120" t="str">
        <f t="shared" si="13"/>
        <v>MGI Boolean 1.0.1.3</v>
      </c>
      <c r="H186" s="120" t="s">
        <v>202</v>
      </c>
    </row>
    <row r="187" spans="1:8" x14ac:dyDescent="0.25">
      <c r="A187" s="120" t="s">
        <v>264</v>
      </c>
      <c r="B187" s="121" t="s">
        <v>265</v>
      </c>
      <c r="C187" s="121" t="s">
        <v>10</v>
      </c>
      <c r="D187" s="121" t="s">
        <v>136</v>
      </c>
      <c r="E187" s="121" t="s">
        <v>12</v>
      </c>
      <c r="F187" s="121" t="s">
        <v>253</v>
      </c>
      <c r="G187" s="120" t="str">
        <f t="shared" si="13"/>
        <v>MGI Class Method Browser 1.0.0.20</v>
      </c>
      <c r="H187" s="120" t="s">
        <v>202</v>
      </c>
    </row>
    <row r="188" spans="1:8" x14ac:dyDescent="0.25">
      <c r="A188" s="120" t="s">
        <v>266</v>
      </c>
      <c r="B188" s="121" t="s">
        <v>267</v>
      </c>
      <c r="C188" s="121" t="s">
        <v>10</v>
      </c>
      <c r="D188" s="121" t="s">
        <v>136</v>
      </c>
      <c r="E188" s="121" t="s">
        <v>12</v>
      </c>
      <c r="F188" s="121" t="s">
        <v>253</v>
      </c>
      <c r="G188" s="120" t="str">
        <f t="shared" si="13"/>
        <v>MGI Cluster 1.1.0.1</v>
      </c>
      <c r="H188" s="120" t="s">
        <v>202</v>
      </c>
    </row>
    <row r="189" spans="1:8" x14ac:dyDescent="0.25">
      <c r="A189" s="120" t="s">
        <v>268</v>
      </c>
      <c r="B189" s="121" t="s">
        <v>261</v>
      </c>
      <c r="C189" s="121" t="s">
        <v>10</v>
      </c>
      <c r="D189" s="121" t="s">
        <v>136</v>
      </c>
      <c r="E189" s="121" t="s">
        <v>12</v>
      </c>
      <c r="F189" s="121" t="s">
        <v>253</v>
      </c>
      <c r="G189" s="120" t="str">
        <f t="shared" si="13"/>
        <v>MGI Coordinates 1.1.1.2</v>
      </c>
      <c r="H189" s="120" t="s">
        <v>202</v>
      </c>
    </row>
    <row r="190" spans="1:8" x14ac:dyDescent="0.25">
      <c r="A190" s="120" t="s">
        <v>269</v>
      </c>
      <c r="B190" s="121" t="s">
        <v>270</v>
      </c>
      <c r="C190" s="121" t="s">
        <v>10</v>
      </c>
      <c r="D190" s="121" t="s">
        <v>136</v>
      </c>
      <c r="E190" s="121" t="s">
        <v>12</v>
      </c>
      <c r="F190" s="121" t="s">
        <v>253</v>
      </c>
      <c r="G190" s="120" t="str">
        <f t="shared" si="13"/>
        <v>MGI Error Handling 1.1.1.3</v>
      </c>
      <c r="H190" s="120" t="s">
        <v>202</v>
      </c>
    </row>
    <row r="191" spans="1:8" x14ac:dyDescent="0.25">
      <c r="A191" s="120" t="s">
        <v>271</v>
      </c>
      <c r="B191" s="121" t="s">
        <v>272</v>
      </c>
      <c r="C191" s="121" t="s">
        <v>10</v>
      </c>
      <c r="D191" s="121" t="s">
        <v>136</v>
      </c>
      <c r="E191" s="121" t="s">
        <v>12</v>
      </c>
      <c r="F191" s="121" t="s">
        <v>253</v>
      </c>
      <c r="G191" s="120" t="str">
        <f t="shared" si="13"/>
        <v>MGI Error Reporter 1.0.2.5</v>
      </c>
      <c r="H191" s="120" t="s">
        <v>202</v>
      </c>
    </row>
    <row r="192" spans="1:8" x14ac:dyDescent="0.25">
      <c r="A192" s="120" t="s">
        <v>273</v>
      </c>
      <c r="B192" s="121" t="s">
        <v>274</v>
      </c>
      <c r="C192" s="121" t="s">
        <v>10</v>
      </c>
      <c r="D192" s="121" t="s">
        <v>136</v>
      </c>
      <c r="E192" s="121" t="s">
        <v>12</v>
      </c>
      <c r="F192" s="121" t="s">
        <v>253</v>
      </c>
      <c r="G192" s="120" t="str">
        <f t="shared" si="13"/>
        <v>MGI File 1.1.0.4</v>
      </c>
      <c r="H192" s="120" t="s">
        <v>202</v>
      </c>
    </row>
    <row r="193" spans="1:8" x14ac:dyDescent="0.25">
      <c r="A193" s="120" t="s">
        <v>275</v>
      </c>
      <c r="B193" s="121" t="s">
        <v>276</v>
      </c>
      <c r="C193" s="121" t="s">
        <v>10</v>
      </c>
      <c r="D193" s="121" t="s">
        <v>136</v>
      </c>
      <c r="E193" s="121" t="s">
        <v>12</v>
      </c>
      <c r="F193" s="121" t="s">
        <v>253</v>
      </c>
      <c r="G193" s="120" t="str">
        <f t="shared" si="13"/>
        <v>MGI Graph 1.0.2.6</v>
      </c>
      <c r="H193" s="120" t="s">
        <v>202</v>
      </c>
    </row>
    <row r="194" spans="1:8" x14ac:dyDescent="0.25">
      <c r="A194" s="120" t="s">
        <v>277</v>
      </c>
      <c r="B194" s="121" t="s">
        <v>278</v>
      </c>
      <c r="C194" s="121" t="s">
        <v>10</v>
      </c>
      <c r="D194" s="121" t="s">
        <v>136</v>
      </c>
      <c r="E194" s="121" t="s">
        <v>12</v>
      </c>
      <c r="F194" s="121" t="s">
        <v>253</v>
      </c>
      <c r="G194" s="120" t="str">
        <f t="shared" si="13"/>
        <v>MGI Library 1.2.0.4</v>
      </c>
      <c r="H194" s="120" t="s">
        <v>202</v>
      </c>
    </row>
    <row r="195" spans="1:8" x14ac:dyDescent="0.25">
      <c r="A195" s="120" t="s">
        <v>279</v>
      </c>
      <c r="B195" s="121" t="s">
        <v>267</v>
      </c>
      <c r="C195" s="121" t="s">
        <v>10</v>
      </c>
      <c r="D195" s="121" t="s">
        <v>136</v>
      </c>
      <c r="E195" s="121" t="s">
        <v>12</v>
      </c>
      <c r="F195" s="121" t="s">
        <v>253</v>
      </c>
      <c r="G195" s="120" t="str">
        <f t="shared" si="13"/>
        <v>MGI Matrix &amp; Vector 1.1.0.1</v>
      </c>
      <c r="H195" s="120" t="s">
        <v>202</v>
      </c>
    </row>
    <row r="196" spans="1:8" x14ac:dyDescent="0.25">
      <c r="A196" s="120" t="s">
        <v>280</v>
      </c>
      <c r="B196" s="121" t="s">
        <v>281</v>
      </c>
      <c r="C196" s="121" t="s">
        <v>10</v>
      </c>
      <c r="D196" s="121" t="s">
        <v>136</v>
      </c>
      <c r="E196" s="121" t="s">
        <v>12</v>
      </c>
      <c r="F196" s="121" t="s">
        <v>253</v>
      </c>
      <c r="G196" s="120" t="str">
        <f t="shared" si="13"/>
        <v>MGI Menu Building 1.0.1.4</v>
      </c>
      <c r="H196" s="120" t="s">
        <v>202</v>
      </c>
    </row>
    <row r="197" spans="1:8" x14ac:dyDescent="0.25">
      <c r="A197" s="120" t="s">
        <v>282</v>
      </c>
      <c r="B197" s="121" t="s">
        <v>283</v>
      </c>
      <c r="C197" s="121" t="s">
        <v>10</v>
      </c>
      <c r="D197" s="121" t="s">
        <v>136</v>
      </c>
      <c r="E197" s="121" t="s">
        <v>12</v>
      </c>
      <c r="F197" s="121" t="s">
        <v>253</v>
      </c>
      <c r="G197" s="120" t="str">
        <f t="shared" si="13"/>
        <v>MGI Monitored Actor 2.0.0.23</v>
      </c>
      <c r="H197" s="120" t="s">
        <v>202</v>
      </c>
    </row>
    <row r="198" spans="1:8" x14ac:dyDescent="0.25">
      <c r="A198" s="120" t="s">
        <v>284</v>
      </c>
      <c r="B198" s="121" t="s">
        <v>285</v>
      </c>
      <c r="C198" s="121" t="s">
        <v>10</v>
      </c>
      <c r="D198" s="121" t="s">
        <v>136</v>
      </c>
      <c r="E198" s="121" t="s">
        <v>12</v>
      </c>
      <c r="F198" s="121" t="s">
        <v>253</v>
      </c>
      <c r="G198" s="120" t="str">
        <f t="shared" si="13"/>
        <v>MGI Numeric 1.1.0.2</v>
      </c>
      <c r="H198" s="120" t="s">
        <v>202</v>
      </c>
    </row>
    <row r="199" spans="1:8" x14ac:dyDescent="0.25">
      <c r="A199" s="120" t="s">
        <v>286</v>
      </c>
      <c r="B199" s="121" t="s">
        <v>281</v>
      </c>
      <c r="C199" s="121" t="s">
        <v>10</v>
      </c>
      <c r="D199" s="121" t="s">
        <v>136</v>
      </c>
      <c r="E199" s="121" t="s">
        <v>12</v>
      </c>
      <c r="F199" s="121" t="s">
        <v>253</v>
      </c>
      <c r="G199" s="120" t="str">
        <f t="shared" si="13"/>
        <v>MGI Panel Manager 1.0.1.4</v>
      </c>
      <c r="H199" s="120" t="s">
        <v>202</v>
      </c>
    </row>
    <row r="200" spans="1:8" x14ac:dyDescent="0.25">
      <c r="A200" s="120" t="s">
        <v>287</v>
      </c>
      <c r="B200" s="121" t="s">
        <v>257</v>
      </c>
      <c r="C200" s="121" t="s">
        <v>10</v>
      </c>
      <c r="D200" s="121" t="s">
        <v>136</v>
      </c>
      <c r="E200" s="121" t="s">
        <v>12</v>
      </c>
      <c r="F200" s="121" t="s">
        <v>253</v>
      </c>
      <c r="G200" s="120" t="str">
        <f t="shared" si="13"/>
        <v>MGI Panel Manager - DQMH Panels 1.0.1.6</v>
      </c>
      <c r="H200" s="120" t="s">
        <v>202</v>
      </c>
    </row>
    <row r="201" spans="1:8" x14ac:dyDescent="0.25">
      <c r="A201" s="120" t="s">
        <v>288</v>
      </c>
      <c r="B201" s="121" t="s">
        <v>289</v>
      </c>
      <c r="C201" s="121" t="s">
        <v>10</v>
      </c>
      <c r="D201" s="121" t="s">
        <v>136</v>
      </c>
      <c r="E201" s="121" t="s">
        <v>12</v>
      </c>
      <c r="F201" s="121" t="s">
        <v>253</v>
      </c>
      <c r="G201" s="120" t="str">
        <f t="shared" si="13"/>
        <v>MGI Picture &amp; Image 1.0.2.1</v>
      </c>
      <c r="H201" s="120" t="s">
        <v>202</v>
      </c>
    </row>
    <row r="202" spans="1:8" x14ac:dyDescent="0.25">
      <c r="A202" s="120" t="s">
        <v>290</v>
      </c>
      <c r="B202" s="121" t="s">
        <v>291</v>
      </c>
      <c r="C202" s="121" t="s">
        <v>10</v>
      </c>
      <c r="D202" s="121" t="s">
        <v>136</v>
      </c>
      <c r="E202" s="121" t="s">
        <v>12</v>
      </c>
      <c r="F202" s="121" t="s">
        <v>253</v>
      </c>
      <c r="G202" s="120" t="str">
        <f t="shared" si="13"/>
        <v>MGI Read/Write Anything 2.1.4.4</v>
      </c>
      <c r="H202" s="120" t="s">
        <v>202</v>
      </c>
    </row>
    <row r="203" spans="1:8" x14ac:dyDescent="0.25">
      <c r="A203" s="120" t="s">
        <v>292</v>
      </c>
      <c r="B203" s="121" t="s">
        <v>293</v>
      </c>
      <c r="C203" s="121" t="s">
        <v>10</v>
      </c>
      <c r="D203" s="121" t="s">
        <v>136</v>
      </c>
      <c r="E203" s="121" t="s">
        <v>12</v>
      </c>
      <c r="F203" s="121" t="s">
        <v>253</v>
      </c>
      <c r="G203" s="120" t="str">
        <f t="shared" si="13"/>
        <v>MGI Robust XML 1.0.3.4</v>
      </c>
      <c r="H203" s="120" t="s">
        <v>202</v>
      </c>
    </row>
    <row r="204" spans="1:8" x14ac:dyDescent="0.25">
      <c r="A204" s="120" t="s">
        <v>294</v>
      </c>
      <c r="B204" s="121" t="s">
        <v>267</v>
      </c>
      <c r="C204" s="121" t="s">
        <v>10</v>
      </c>
      <c r="D204" s="121" t="s">
        <v>136</v>
      </c>
      <c r="E204" s="121" t="s">
        <v>12</v>
      </c>
      <c r="F204" s="121" t="s">
        <v>253</v>
      </c>
      <c r="G204" s="120" t="str">
        <f t="shared" si="13"/>
        <v>MGI Spline 1.1.0.1</v>
      </c>
      <c r="H204" s="120" t="s">
        <v>202</v>
      </c>
    </row>
    <row r="205" spans="1:8" x14ac:dyDescent="0.25">
      <c r="A205" s="120" t="s">
        <v>295</v>
      </c>
      <c r="B205" s="121" t="s">
        <v>255</v>
      </c>
      <c r="C205" s="121" t="s">
        <v>10</v>
      </c>
      <c r="D205" s="121" t="s">
        <v>136</v>
      </c>
      <c r="E205" s="121" t="s">
        <v>12</v>
      </c>
      <c r="F205" s="121" t="s">
        <v>253</v>
      </c>
      <c r="G205" s="120" t="str">
        <f t="shared" si="13"/>
        <v>MGI String 1.1.1.5</v>
      </c>
      <c r="H205" s="120" t="s">
        <v>202</v>
      </c>
    </row>
    <row r="206" spans="1:8" x14ac:dyDescent="0.25">
      <c r="A206" s="120" t="s">
        <v>296</v>
      </c>
      <c r="B206" s="121" t="s">
        <v>285</v>
      </c>
      <c r="C206" s="121" t="s">
        <v>10</v>
      </c>
      <c r="D206" s="121" t="s">
        <v>136</v>
      </c>
      <c r="E206" s="121" t="s">
        <v>12</v>
      </c>
      <c r="F206" s="121" t="s">
        <v>253</v>
      </c>
      <c r="G206" s="120" t="str">
        <f t="shared" si="13"/>
        <v>MGI Timing 1.1.0.2</v>
      </c>
      <c r="H206" s="120" t="s">
        <v>202</v>
      </c>
    </row>
    <row r="207" spans="1:8" x14ac:dyDescent="0.25">
      <c r="A207" s="120" t="s">
        <v>297</v>
      </c>
      <c r="B207" s="121" t="s">
        <v>298</v>
      </c>
      <c r="C207" s="121" t="s">
        <v>10</v>
      </c>
      <c r="D207" s="121" t="s">
        <v>136</v>
      </c>
      <c r="E207" s="121" t="s">
        <v>12</v>
      </c>
      <c r="F207" s="121" t="s">
        <v>253</v>
      </c>
      <c r="G207" s="120" t="str">
        <f t="shared" si="13"/>
        <v>MGI Tools 1.0.0.4</v>
      </c>
      <c r="H207" s="120" t="s">
        <v>202</v>
      </c>
    </row>
    <row r="208" spans="1:8" x14ac:dyDescent="0.25">
      <c r="A208" s="120" t="s">
        <v>299</v>
      </c>
      <c r="B208" s="121" t="s">
        <v>300</v>
      </c>
      <c r="C208" s="121" t="s">
        <v>10</v>
      </c>
      <c r="D208" s="121" t="s">
        <v>136</v>
      </c>
      <c r="E208" s="121" t="s">
        <v>12</v>
      </c>
      <c r="F208" s="121" t="s">
        <v>253</v>
      </c>
      <c r="G208" s="120" t="str">
        <f t="shared" si="13"/>
        <v>MGI Tree 1.0.4.4</v>
      </c>
      <c r="H208" s="120" t="s">
        <v>202</v>
      </c>
    </row>
    <row r="209" spans="1:8" x14ac:dyDescent="0.25">
      <c r="A209" s="120" t="s">
        <v>301</v>
      </c>
      <c r="B209" s="121" t="s">
        <v>302</v>
      </c>
      <c r="C209" s="121" t="s">
        <v>10</v>
      </c>
      <c r="D209" s="121" t="s">
        <v>136</v>
      </c>
      <c r="E209" s="121" t="s">
        <v>12</v>
      </c>
      <c r="F209" s="121" t="s">
        <v>253</v>
      </c>
      <c r="G209" s="120" t="str">
        <f t="shared" si="13"/>
        <v>MGI User Interface 1.0.1.11</v>
      </c>
      <c r="H209" s="120" t="s">
        <v>202</v>
      </c>
    </row>
    <row r="210" spans="1:8" x14ac:dyDescent="0.25">
      <c r="A210" s="120" t="s">
        <v>303</v>
      </c>
      <c r="B210" s="121" t="s">
        <v>304</v>
      </c>
      <c r="C210" s="121" t="s">
        <v>10</v>
      </c>
      <c r="D210" s="121" t="s">
        <v>136</v>
      </c>
      <c r="E210" s="121" t="s">
        <v>12</v>
      </c>
      <c r="F210" s="121" t="s">
        <v>253</v>
      </c>
      <c r="G210" s="120" t="str">
        <f t="shared" si="13"/>
        <v>MGI WSA Framework 1.0.0.27</v>
      </c>
      <c r="H210" s="120" t="s">
        <v>202</v>
      </c>
    </row>
    <row r="211" spans="1:8" x14ac:dyDescent="0.25">
      <c r="A211" s="120" t="s">
        <v>245</v>
      </c>
      <c r="B211" s="121" t="s">
        <v>246</v>
      </c>
      <c r="C211" s="121" t="s">
        <v>10</v>
      </c>
      <c r="D211" s="121" t="s">
        <v>136</v>
      </c>
      <c r="E211" s="121" t="s">
        <v>12</v>
      </c>
      <c r="F211" s="121" t="s">
        <v>247</v>
      </c>
      <c r="G211" s="120" t="str">
        <f t="shared" si="13"/>
        <v>jki_rsc_toolkits_palette 1.1-1</v>
      </c>
      <c r="H211" s="120" t="s">
        <v>202</v>
      </c>
    </row>
    <row r="212" spans="1:8" x14ac:dyDescent="0.25">
      <c r="A212" s="120" t="s">
        <v>305</v>
      </c>
      <c r="B212" s="121" t="s">
        <v>306</v>
      </c>
      <c r="C212" s="121" t="s">
        <v>10</v>
      </c>
      <c r="D212" s="121" t="s">
        <v>136</v>
      </c>
      <c r="E212" s="121" t="s">
        <v>12</v>
      </c>
      <c r="F212" s="121" t="s">
        <v>13</v>
      </c>
      <c r="G212" s="120" t="s">
        <v>538</v>
      </c>
      <c r="H212" s="120" t="s">
        <v>202</v>
      </c>
    </row>
    <row r="213" spans="1:8" x14ac:dyDescent="0.25">
      <c r="A213" s="120" t="s">
        <v>165</v>
      </c>
      <c r="B213" s="121" t="s">
        <v>166</v>
      </c>
      <c r="C213" s="121" t="s">
        <v>10</v>
      </c>
      <c r="D213" s="121" t="s">
        <v>11</v>
      </c>
      <c r="E213" s="121" t="s">
        <v>12</v>
      </c>
      <c r="F213" s="121" t="s">
        <v>13</v>
      </c>
      <c r="G213" s="120" t="s">
        <v>539</v>
      </c>
      <c r="H213" s="120" t="s">
        <v>202</v>
      </c>
    </row>
    <row r="214" spans="1:8" x14ac:dyDescent="0.25">
      <c r="A214" s="120" t="s">
        <v>307</v>
      </c>
      <c r="B214" s="121" t="s">
        <v>308</v>
      </c>
      <c r="C214" s="121" t="s">
        <v>10</v>
      </c>
      <c r="D214" s="121" t="s">
        <v>136</v>
      </c>
      <c r="E214" s="121" t="s">
        <v>12</v>
      </c>
      <c r="F214" s="121" t="s">
        <v>13</v>
      </c>
      <c r="G214" s="120" t="str">
        <f t="shared" ref="G214:G233" si="14">A214&amp;" "&amp;B214</f>
        <v>NI GXML 1.4.2.8</v>
      </c>
      <c r="H214" s="120" t="s">
        <v>202</v>
      </c>
    </row>
    <row r="215" spans="1:8" x14ac:dyDescent="0.25">
      <c r="A215" s="120" t="s">
        <v>311</v>
      </c>
      <c r="B215" s="121" t="s">
        <v>312</v>
      </c>
      <c r="C215" s="121" t="s">
        <v>10</v>
      </c>
      <c r="D215" s="121" t="s">
        <v>136</v>
      </c>
      <c r="E215" s="121" t="s">
        <v>12</v>
      </c>
      <c r="F215" s="121" t="s">
        <v>13</v>
      </c>
      <c r="G215" s="120" t="str">
        <f t="shared" si="14"/>
        <v>NI Modbus Library 1.2.1.42</v>
      </c>
      <c r="H215" s="120" t="s">
        <v>202</v>
      </c>
    </row>
    <row r="216" spans="1:8" x14ac:dyDescent="0.25">
      <c r="A216" s="120" t="s">
        <v>359</v>
      </c>
      <c r="B216" s="121" t="s">
        <v>360</v>
      </c>
      <c r="C216" s="121" t="s">
        <v>10</v>
      </c>
      <c r="D216" s="121" t="s">
        <v>136</v>
      </c>
      <c r="E216" s="121" t="s">
        <v>12</v>
      </c>
      <c r="F216" s="121" t="s">
        <v>13</v>
      </c>
      <c r="G216" s="120" t="str">
        <f t="shared" si="14"/>
        <v>Structure Error Handler 2.1.10.1</v>
      </c>
      <c r="H216" s="120" t="s">
        <v>202</v>
      </c>
    </row>
    <row r="217" spans="1:8" x14ac:dyDescent="0.25">
      <c r="A217" s="120" t="s">
        <v>203</v>
      </c>
      <c r="B217" s="121" t="s">
        <v>204</v>
      </c>
      <c r="C217" s="121" t="s">
        <v>10</v>
      </c>
      <c r="D217" s="121" t="s">
        <v>136</v>
      </c>
      <c r="E217" s="121" t="s">
        <v>12</v>
      </c>
      <c r="F217" s="121" t="s">
        <v>540</v>
      </c>
      <c r="G217" s="120" t="str">
        <f t="shared" si="14"/>
        <v>Delacor QMH 4.0.0.28</v>
      </c>
      <c r="H217" s="120" t="s">
        <v>202</v>
      </c>
    </row>
    <row r="218" spans="1:8" x14ac:dyDescent="0.25">
      <c r="A218" s="120" t="s">
        <v>205</v>
      </c>
      <c r="B218" s="121" t="s">
        <v>537</v>
      </c>
      <c r="C218" s="121" t="s">
        <v>10</v>
      </c>
      <c r="D218" s="121" t="s">
        <v>136</v>
      </c>
      <c r="E218" s="121" t="s">
        <v>12</v>
      </c>
      <c r="F218" s="121" t="s">
        <v>540</v>
      </c>
      <c r="G218" s="120" t="str">
        <f t="shared" si="14"/>
        <v>Delacor QMH Event Scripter 4.0.0.68</v>
      </c>
      <c r="H218" s="120" t="s">
        <v>202</v>
      </c>
    </row>
    <row r="219" spans="1:8" x14ac:dyDescent="0.25">
      <c r="A219" s="120" t="s">
        <v>206</v>
      </c>
      <c r="B219" s="121" t="s">
        <v>207</v>
      </c>
      <c r="C219" s="121" t="s">
        <v>10</v>
      </c>
      <c r="D219" s="121" t="s">
        <v>136</v>
      </c>
      <c r="E219" s="121" t="s">
        <v>12</v>
      </c>
      <c r="F219" s="121" t="s">
        <v>540</v>
      </c>
      <c r="G219" s="120" t="str">
        <f t="shared" si="14"/>
        <v>Delacor QMH Palette 3.0.0.1</v>
      </c>
      <c r="H219" s="120" t="s">
        <v>202</v>
      </c>
    </row>
    <row r="220" spans="1:8" x14ac:dyDescent="0.25">
      <c r="A220" s="120" t="s">
        <v>208</v>
      </c>
      <c r="B220" s="121" t="s">
        <v>209</v>
      </c>
      <c r="C220" s="121" t="s">
        <v>10</v>
      </c>
      <c r="D220" s="121" t="s">
        <v>136</v>
      </c>
      <c r="E220" s="121" t="s">
        <v>12</v>
      </c>
      <c r="F220" s="121" t="s">
        <v>540</v>
      </c>
      <c r="G220" s="120" t="str">
        <f t="shared" si="14"/>
        <v>Delacor QMH Project Template 4.0.0.47</v>
      </c>
      <c r="H220" s="120" t="s">
        <v>202</v>
      </c>
    </row>
    <row r="221" spans="1:8" x14ac:dyDescent="0.25">
      <c r="A221" s="120" t="s">
        <v>210</v>
      </c>
      <c r="B221" s="121" t="s">
        <v>211</v>
      </c>
      <c r="C221" s="121" t="s">
        <v>10</v>
      </c>
      <c r="D221" s="121" t="s">
        <v>136</v>
      </c>
      <c r="E221" s="121" t="s">
        <v>12</v>
      </c>
      <c r="F221" s="121" t="s">
        <v>540</v>
      </c>
      <c r="G221" s="120" t="str">
        <f t="shared" si="14"/>
        <v>Delacor QMH Thermal Chamber Examples 4.0.0.21</v>
      </c>
      <c r="H221" s="120" t="s">
        <v>202</v>
      </c>
    </row>
    <row r="222" spans="1:8" x14ac:dyDescent="0.25">
      <c r="A222" s="120" t="s">
        <v>215</v>
      </c>
      <c r="B222" s="121" t="s">
        <v>216</v>
      </c>
      <c r="C222" s="121" t="s">
        <v>10</v>
      </c>
      <c r="D222" s="121" t="s">
        <v>136</v>
      </c>
      <c r="E222" s="121" t="s">
        <v>12</v>
      </c>
      <c r="F222" s="121" t="s">
        <v>217</v>
      </c>
      <c r="G222" s="120" t="str">
        <f t="shared" si="14"/>
        <v>GPower All Toolsets 2017.0.0.11</v>
      </c>
      <c r="H222" s="120" t="s">
        <v>202</v>
      </c>
    </row>
    <row r="223" spans="1:8" x14ac:dyDescent="0.25">
      <c r="A223" s="120" t="s">
        <v>218</v>
      </c>
      <c r="B223" s="121" t="s">
        <v>162</v>
      </c>
      <c r="C223" s="121" t="s">
        <v>10</v>
      </c>
      <c r="D223" s="121" t="s">
        <v>136</v>
      </c>
      <c r="E223" s="121" t="s">
        <v>12</v>
      </c>
      <c r="F223" s="121" t="s">
        <v>217</v>
      </c>
      <c r="G223" s="120" t="str">
        <f t="shared" si="14"/>
        <v>GPower Array 2016.2.0.27</v>
      </c>
      <c r="H223" s="120" t="s">
        <v>202</v>
      </c>
    </row>
    <row r="224" spans="1:8" x14ac:dyDescent="0.25">
      <c r="A224" s="120" t="s">
        <v>219</v>
      </c>
      <c r="B224" s="121" t="s">
        <v>220</v>
      </c>
      <c r="C224" s="121" t="s">
        <v>10</v>
      </c>
      <c r="D224" s="121" t="s">
        <v>136</v>
      </c>
      <c r="E224" s="121" t="s">
        <v>12</v>
      </c>
      <c r="F224" s="121" t="s">
        <v>217</v>
      </c>
      <c r="G224" s="120" t="str">
        <f t="shared" si="14"/>
        <v>GPower Comparison 2016.0.0.4</v>
      </c>
      <c r="H224" s="120" t="s">
        <v>202</v>
      </c>
    </row>
    <row r="225" spans="1:8" x14ac:dyDescent="0.25">
      <c r="A225" s="120" t="s">
        <v>221</v>
      </c>
      <c r="B225" s="121" t="s">
        <v>222</v>
      </c>
      <c r="C225" s="121" t="s">
        <v>10</v>
      </c>
      <c r="D225" s="121" t="s">
        <v>136</v>
      </c>
      <c r="E225" s="121" t="s">
        <v>12</v>
      </c>
      <c r="F225" s="121" t="s">
        <v>217</v>
      </c>
      <c r="G225" s="120" t="str">
        <f t="shared" si="14"/>
        <v>GPower Error &amp; Warning 2014.0.0.38</v>
      </c>
      <c r="H225" s="120" t="s">
        <v>202</v>
      </c>
    </row>
    <row r="226" spans="1:8" x14ac:dyDescent="0.25">
      <c r="A226" s="120" t="s">
        <v>223</v>
      </c>
      <c r="B226" s="121" t="s">
        <v>224</v>
      </c>
      <c r="C226" s="121" t="s">
        <v>10</v>
      </c>
      <c r="D226" s="121" t="s">
        <v>136</v>
      </c>
      <c r="E226" s="121" t="s">
        <v>12</v>
      </c>
      <c r="F226" s="121" t="s">
        <v>217</v>
      </c>
      <c r="G226" s="120" t="str">
        <f t="shared" si="14"/>
        <v>GPower Events 2012.0.0.7</v>
      </c>
      <c r="H226" s="120" t="s">
        <v>202</v>
      </c>
    </row>
    <row r="227" spans="1:8" x14ac:dyDescent="0.25">
      <c r="A227" s="120" t="s">
        <v>225</v>
      </c>
      <c r="B227" s="121" t="s">
        <v>226</v>
      </c>
      <c r="C227" s="121" t="s">
        <v>10</v>
      </c>
      <c r="D227" s="121" t="s">
        <v>136</v>
      </c>
      <c r="E227" s="121" t="s">
        <v>12</v>
      </c>
      <c r="F227" s="121" t="s">
        <v>217</v>
      </c>
      <c r="G227" s="120" t="str">
        <f t="shared" si="14"/>
        <v>GPower Math 2012.1.0.6</v>
      </c>
      <c r="H227" s="120" t="s">
        <v>202</v>
      </c>
    </row>
    <row r="228" spans="1:8" x14ac:dyDescent="0.25">
      <c r="A228" s="120" t="s">
        <v>227</v>
      </c>
      <c r="B228" s="121" t="s">
        <v>228</v>
      </c>
      <c r="C228" s="121" t="s">
        <v>10</v>
      </c>
      <c r="D228" s="121" t="s">
        <v>136</v>
      </c>
      <c r="E228" s="121" t="s">
        <v>12</v>
      </c>
      <c r="F228" s="121" t="s">
        <v>217</v>
      </c>
      <c r="G228" s="120" t="str">
        <f t="shared" si="14"/>
        <v>GPower Numeric 2016.2.0.14</v>
      </c>
      <c r="H228" s="120" t="s">
        <v>202</v>
      </c>
    </row>
    <row r="229" spans="1:8" x14ac:dyDescent="0.25">
      <c r="A229" s="120" t="s">
        <v>229</v>
      </c>
      <c r="B229" s="121" t="s">
        <v>230</v>
      </c>
      <c r="C229" s="121" t="s">
        <v>10</v>
      </c>
      <c r="D229" s="121" t="s">
        <v>136</v>
      </c>
      <c r="E229" s="121" t="s">
        <v>12</v>
      </c>
      <c r="F229" s="121" t="s">
        <v>217</v>
      </c>
      <c r="G229" s="120" t="str">
        <f t="shared" si="14"/>
        <v>GPower Overflow 2014.0.0.4</v>
      </c>
      <c r="H229" s="120" t="s">
        <v>202</v>
      </c>
    </row>
    <row r="230" spans="1:8" x14ac:dyDescent="0.25">
      <c r="A230" s="120" t="s">
        <v>231</v>
      </c>
      <c r="B230" s="121" t="s">
        <v>232</v>
      </c>
      <c r="C230" s="121" t="s">
        <v>10</v>
      </c>
      <c r="D230" s="121" t="s">
        <v>136</v>
      </c>
      <c r="E230" s="121" t="s">
        <v>12</v>
      </c>
      <c r="F230" s="121" t="s">
        <v>217</v>
      </c>
      <c r="G230" s="120" t="str">
        <f t="shared" si="14"/>
        <v>GPower String 2016.1.0.11</v>
      </c>
      <c r="H230" s="120" t="s">
        <v>202</v>
      </c>
    </row>
    <row r="231" spans="1:8" x14ac:dyDescent="0.25">
      <c r="A231" s="120" t="s">
        <v>233</v>
      </c>
      <c r="B231" s="121" t="s">
        <v>234</v>
      </c>
      <c r="C231" s="121" t="s">
        <v>10</v>
      </c>
      <c r="D231" s="121" t="s">
        <v>136</v>
      </c>
      <c r="E231" s="121" t="s">
        <v>12</v>
      </c>
      <c r="F231" s="121" t="s">
        <v>217</v>
      </c>
      <c r="G231" s="120" t="str">
        <f t="shared" si="14"/>
        <v>GPower Timing 2017.0.0.26</v>
      </c>
      <c r="H231" s="120" t="s">
        <v>202</v>
      </c>
    </row>
    <row r="232" spans="1:8" x14ac:dyDescent="0.25">
      <c r="A232" s="120" t="s">
        <v>235</v>
      </c>
      <c r="B232" s="121" t="s">
        <v>236</v>
      </c>
      <c r="C232" s="121" t="s">
        <v>10</v>
      </c>
      <c r="D232" s="121" t="s">
        <v>136</v>
      </c>
      <c r="E232" s="121" t="s">
        <v>12</v>
      </c>
      <c r="F232" s="121" t="s">
        <v>217</v>
      </c>
      <c r="G232" s="120" t="str">
        <f t="shared" si="14"/>
        <v>GPower VI Launcher 2012.2.0.26</v>
      </c>
      <c r="H232" s="120" t="s">
        <v>202</v>
      </c>
    </row>
    <row r="233" spans="1:8" x14ac:dyDescent="0.25">
      <c r="A233" s="120" t="s">
        <v>237</v>
      </c>
      <c r="B233" s="121" t="s">
        <v>238</v>
      </c>
      <c r="C233" s="121" t="s">
        <v>10</v>
      </c>
      <c r="D233" s="121" t="s">
        <v>136</v>
      </c>
      <c r="E233" s="121" t="s">
        <v>12</v>
      </c>
      <c r="F233" s="121" t="s">
        <v>217</v>
      </c>
      <c r="G233" s="120" t="str">
        <f t="shared" si="14"/>
        <v>GPower VI Register 2016.0.0.31</v>
      </c>
      <c r="H233" s="120" t="s">
        <v>202</v>
      </c>
    </row>
    <row r="234" spans="1:8" x14ac:dyDescent="0.25">
      <c r="A234" s="120" t="s">
        <v>237</v>
      </c>
      <c r="B234" s="121" t="s">
        <v>238</v>
      </c>
      <c r="C234" s="121" t="s">
        <v>10</v>
      </c>
      <c r="D234" s="121" t="s">
        <v>136</v>
      </c>
      <c r="E234" s="121" t="s">
        <v>12</v>
      </c>
      <c r="F234" s="121" t="s">
        <v>217</v>
      </c>
      <c r="G234" s="120" t="str">
        <f t="shared" ref="G234:G238" si="15">A234&amp;" "&amp;B234</f>
        <v>GPower VI Register 2016.0.0.31</v>
      </c>
      <c r="H234" s="120" t="s">
        <v>202</v>
      </c>
    </row>
    <row r="235" spans="1:8" x14ac:dyDescent="0.25">
      <c r="A235" s="120" t="s">
        <v>241</v>
      </c>
      <c r="B235" s="121" t="s">
        <v>242</v>
      </c>
      <c r="C235" s="121" t="s">
        <v>10</v>
      </c>
      <c r="D235" s="121" t="s">
        <v>136</v>
      </c>
      <c r="E235" s="121" t="s">
        <v>12</v>
      </c>
      <c r="F235" s="121" t="s">
        <v>158</v>
      </c>
      <c r="G235" s="120" t="str">
        <f t="shared" si="15"/>
        <v>JKI State Machine Editor 2013.6.3.239</v>
      </c>
      <c r="H235" s="120" t="s">
        <v>202</v>
      </c>
    </row>
    <row r="236" spans="1:8" x14ac:dyDescent="0.25">
      <c r="A236" s="120" t="s">
        <v>243</v>
      </c>
      <c r="B236" s="121" t="s">
        <v>244</v>
      </c>
      <c r="C236" s="121" t="s">
        <v>10</v>
      </c>
      <c r="D236" s="121" t="s">
        <v>136</v>
      </c>
      <c r="E236" s="121" t="s">
        <v>12</v>
      </c>
      <c r="F236" s="121" t="s">
        <v>158</v>
      </c>
      <c r="G236" s="120" t="str">
        <f t="shared" si="15"/>
        <v>JKI State Machine Objects (SMO) 1.3.0.56</v>
      </c>
      <c r="H236" s="120" t="s">
        <v>202</v>
      </c>
    </row>
    <row r="237" spans="1:8" x14ac:dyDescent="0.25">
      <c r="A237" s="120" t="s">
        <v>167</v>
      </c>
      <c r="B237" s="121" t="s">
        <v>168</v>
      </c>
      <c r="C237" s="121" t="s">
        <v>10</v>
      </c>
      <c r="D237" s="121" t="s">
        <v>136</v>
      </c>
      <c r="E237" s="121" t="s">
        <v>12</v>
      </c>
      <c r="F237" s="121" t="s">
        <v>167</v>
      </c>
      <c r="G237" s="120" t="str">
        <f t="shared" si="15"/>
        <v>OpenGDS 1.1.17</v>
      </c>
      <c r="H237" s="120" t="s">
        <v>202</v>
      </c>
    </row>
    <row r="238" spans="1:8" x14ac:dyDescent="0.25">
      <c r="A238" s="120" t="s">
        <v>200</v>
      </c>
      <c r="B238" s="121" t="s">
        <v>201</v>
      </c>
      <c r="C238" s="121" t="s">
        <v>10</v>
      </c>
      <c r="D238" s="121" t="s">
        <v>136</v>
      </c>
      <c r="E238" s="121" t="s">
        <v>12</v>
      </c>
      <c r="F238" s="121" t="s">
        <v>158</v>
      </c>
      <c r="G238" s="120" t="str">
        <f t="shared" si="15"/>
        <v>Caraya Unit Test Framework 0.6.3.54</v>
      </c>
      <c r="H238" s="120" t="s">
        <v>202</v>
      </c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hyperlinks>
    <hyperlink ref="F157" r:id="rId1" display="http://openg.org/" xr:uid="{B446C77A-E3E3-4E31-8B03-9D6C938222F8}"/>
    <hyperlink ref="F158" r:id="rId2" display="http://openg.org/" xr:uid="{8E2B50EB-291C-4EDA-B0F1-D900FBD69FD5}"/>
    <hyperlink ref="F159" r:id="rId3" display="http://openg.org/" xr:uid="{8042162C-33E3-439F-A1E8-3C31099286CB}"/>
    <hyperlink ref="F160" r:id="rId4" display="http://openg.org/" xr:uid="{9673A03C-7B38-4DCB-BA7A-FD4D280DEE4C}"/>
    <hyperlink ref="F161" r:id="rId5" display="http://openg.org/" xr:uid="{9BD4FEE8-62F8-4716-8773-57F783BC2145}"/>
    <hyperlink ref="F162" r:id="rId6" display="http://openg.org/" xr:uid="{A5639DDC-922A-40C1-85CE-956CE952B4B5}"/>
    <hyperlink ref="F163" r:id="rId7" display="http://openg.org/" xr:uid="{6562E0F3-D6B2-4F56-A8AD-9B0B1C010BD3}"/>
    <hyperlink ref="F164" r:id="rId8" display="http://openg.org/" xr:uid="{012764B9-16AD-40E6-BB00-40B6418B5D87}"/>
    <hyperlink ref="F165" r:id="rId9" display="http://openg.org/" xr:uid="{2739134B-036B-4ABD-A25E-1C30699932EE}"/>
    <hyperlink ref="F166" r:id="rId10" display="http://openg.org/" xr:uid="{F69B0C8D-B27D-4446-A197-C74183C57153}"/>
    <hyperlink ref="F169" r:id="rId11" display="http://openg.org/" xr:uid="{B2FB60C7-2E1E-4910-A9A6-59F9B0BA8A12}"/>
    <hyperlink ref="F170" r:id="rId12" display="http://openg.org/" xr:uid="{7AF0C2C7-B32C-4115-8DC3-7468BB171B10}"/>
    <hyperlink ref="F171" r:id="rId13" display="http://openg.org/" xr:uid="{6DDB2B10-EC7D-4B32-A735-AF59F2A85DEA}"/>
    <hyperlink ref="F172" r:id="rId14" display="http://openg.org/" xr:uid="{0A80548A-459E-4B1E-A886-F4246D977EC4}"/>
    <hyperlink ref="F173" r:id="rId15" display="http://openg.org/" xr:uid="{808DE125-28BC-4A64-8CDC-B916A71E1159}"/>
    <hyperlink ref="F174" r:id="rId16" display="http://openg.org/" xr:uid="{7616BC88-F2E4-40B4-9E53-3F14C10714F0}"/>
    <hyperlink ref="F175" r:id="rId17" display="http://openg.org/" xr:uid="{06B4014B-480E-4DCA-8431-842D22FD307B}"/>
    <hyperlink ref="F176" r:id="rId18" display="http://openg.org/" xr:uid="{964936D9-6D6E-4629-A7C3-A793A361C680}"/>
    <hyperlink ref="F177" r:id="rId19" display="http://openg.org/" xr:uid="{C7C8B123-8D41-43C4-A227-ECE4F084E46B}"/>
    <hyperlink ref="F178" r:id="rId20" display="http://openg.org/" xr:uid="{940EBE7A-DAF7-4FD6-A953-B58B14EE9DB3}"/>
    <hyperlink ref="F179" r:id="rId21" display="http://openg.org/" xr:uid="{248E1233-331D-4A9C-8F6E-705CCE5223E5}"/>
    <hyperlink ref="F180" r:id="rId22" display="http://openg.org/" xr:uid="{531CC195-0CCB-41BD-8C34-A2E770FDF5C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Q117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0.7109375" style="25" customWidth="1"/>
    <col min="2" max="2" width="13.85546875" style="25" bestFit="1" customWidth="1"/>
    <col min="3" max="3" width="30.7109375" style="25" customWidth="1"/>
    <col min="4" max="4" width="13.85546875" style="25" bestFit="1" customWidth="1"/>
    <col min="5" max="5" width="30.7109375" style="25" customWidth="1"/>
    <col min="6" max="6" width="13.85546875" style="25" bestFit="1" customWidth="1"/>
    <col min="7" max="7" width="30.7109375" style="25" customWidth="1"/>
    <col min="8" max="8" width="19.42578125" style="25" bestFit="1" customWidth="1"/>
    <col min="9" max="9" width="30.5703125" style="47" bestFit="1" customWidth="1"/>
    <col min="10" max="10" width="19.7109375" style="47" bestFit="1" customWidth="1"/>
    <col min="11" max="11" width="30.5703125" style="61" bestFit="1" customWidth="1"/>
    <col min="12" max="12" width="19.7109375" style="61" bestFit="1" customWidth="1"/>
    <col min="13" max="13" width="30.5703125" style="22" customWidth="1"/>
    <col min="14" max="14" width="19.7109375" style="22" customWidth="1"/>
    <col min="15" max="15" width="30.28515625" style="25" bestFit="1" customWidth="1"/>
    <col min="16" max="16" width="29.42578125" style="25" bestFit="1" customWidth="1"/>
    <col min="17" max="16384" width="9.140625" style="22"/>
  </cols>
  <sheetData>
    <row r="1" spans="1:17" x14ac:dyDescent="0.25">
      <c r="A1" s="162"/>
      <c r="B1" s="162"/>
      <c r="C1" s="162"/>
      <c r="D1" s="162"/>
      <c r="E1" s="162"/>
      <c r="F1" s="162"/>
      <c r="G1" s="162"/>
      <c r="H1" s="163"/>
    </row>
    <row r="2" spans="1:17" ht="15.75" thickBot="1" x14ac:dyDescent="0.3">
      <c r="A2" s="162"/>
      <c r="B2" s="162"/>
      <c r="C2" s="162"/>
      <c r="D2" s="162"/>
      <c r="E2" s="162"/>
      <c r="F2" s="162"/>
      <c r="G2" s="162"/>
      <c r="H2" s="163"/>
      <c r="I2" s="83"/>
      <c r="J2" s="83"/>
      <c r="K2" s="62"/>
      <c r="L2" s="62"/>
      <c r="M2" s="79"/>
      <c r="N2" s="79"/>
    </row>
    <row r="3" spans="1:17" ht="15.75" thickBot="1" x14ac:dyDescent="0.3">
      <c r="A3" s="168" t="s">
        <v>42</v>
      </c>
      <c r="B3" s="169"/>
      <c r="C3" s="170" t="s">
        <v>91</v>
      </c>
      <c r="D3" s="171"/>
      <c r="E3" s="172" t="s">
        <v>465</v>
      </c>
      <c r="F3" s="173"/>
      <c r="G3" s="174" t="s">
        <v>424</v>
      </c>
      <c r="H3" s="175"/>
      <c r="I3" s="166" t="s">
        <v>477</v>
      </c>
      <c r="J3" s="167"/>
      <c r="K3" s="164" t="s">
        <v>495</v>
      </c>
      <c r="L3" s="165"/>
      <c r="M3" s="160" t="s">
        <v>499</v>
      </c>
      <c r="N3" s="161"/>
      <c r="O3" s="158" t="s">
        <v>363</v>
      </c>
      <c r="P3" s="159"/>
    </row>
    <row r="4" spans="1:17" x14ac:dyDescent="0.25">
      <c r="A4" s="89" t="s">
        <v>14</v>
      </c>
      <c r="B4" s="89" t="s">
        <v>9</v>
      </c>
      <c r="C4" s="88" t="s">
        <v>14</v>
      </c>
      <c r="D4" s="88" t="s">
        <v>9</v>
      </c>
      <c r="E4" s="87" t="s">
        <v>14</v>
      </c>
      <c r="F4" s="87" t="s">
        <v>9</v>
      </c>
      <c r="G4" s="85" t="s">
        <v>14</v>
      </c>
      <c r="H4" s="86" t="s">
        <v>9</v>
      </c>
      <c r="I4" s="84" t="s">
        <v>14</v>
      </c>
      <c r="J4" s="84" t="s">
        <v>478</v>
      </c>
      <c r="K4" s="81" t="s">
        <v>14</v>
      </c>
      <c r="L4" s="82" t="s">
        <v>478</v>
      </c>
      <c r="M4" s="80" t="s">
        <v>14</v>
      </c>
      <c r="N4" s="139" t="s">
        <v>478</v>
      </c>
      <c r="O4" s="142" t="s">
        <v>363</v>
      </c>
      <c r="P4" s="142" t="s">
        <v>30</v>
      </c>
      <c r="Q4" s="49"/>
    </row>
    <row r="5" spans="1:17" ht="30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44" t="s">
        <v>9</v>
      </c>
      <c r="I5" s="51" t="s">
        <v>15</v>
      </c>
      <c r="J5" s="51" t="s">
        <v>478</v>
      </c>
      <c r="K5" s="63" t="s">
        <v>15</v>
      </c>
      <c r="L5" s="76" t="s">
        <v>478</v>
      </c>
      <c r="M5" s="78" t="s">
        <v>15</v>
      </c>
      <c r="N5" s="140" t="s">
        <v>478</v>
      </c>
      <c r="O5" s="142" t="s">
        <v>14</v>
      </c>
      <c r="P5" s="142" t="s">
        <v>478</v>
      </c>
      <c r="Q5" s="49"/>
    </row>
    <row r="6" spans="1:17" ht="45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44" t="s">
        <v>9</v>
      </c>
      <c r="I6" s="51" t="s">
        <v>75</v>
      </c>
      <c r="J6" s="51" t="s">
        <v>9</v>
      </c>
      <c r="K6" s="63" t="s">
        <v>75</v>
      </c>
      <c r="L6" s="76" t="s">
        <v>9</v>
      </c>
      <c r="M6" s="78" t="s">
        <v>75</v>
      </c>
      <c r="N6" s="140" t="s">
        <v>9</v>
      </c>
      <c r="O6" s="142" t="s">
        <v>15</v>
      </c>
      <c r="P6" s="142" t="s">
        <v>478</v>
      </c>
      <c r="Q6" s="49"/>
    </row>
    <row r="7" spans="1:17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44" t="s">
        <v>9</v>
      </c>
      <c r="I7" s="51" t="s">
        <v>35</v>
      </c>
      <c r="J7" s="51" t="s">
        <v>9</v>
      </c>
      <c r="K7" s="63" t="s">
        <v>35</v>
      </c>
      <c r="L7" s="76" t="s">
        <v>9</v>
      </c>
      <c r="M7" s="78" t="s">
        <v>35</v>
      </c>
      <c r="N7" s="140" t="s">
        <v>9</v>
      </c>
      <c r="O7" s="142" t="s">
        <v>75</v>
      </c>
      <c r="P7" s="142" t="s">
        <v>9</v>
      </c>
      <c r="Q7" s="49"/>
    </row>
    <row r="8" spans="1:17" ht="30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44" t="s">
        <v>77</v>
      </c>
      <c r="I8" s="51" t="s">
        <v>76</v>
      </c>
      <c r="J8" s="51" t="s">
        <v>77</v>
      </c>
      <c r="K8" s="63" t="s">
        <v>76</v>
      </c>
      <c r="L8" s="76" t="s">
        <v>77</v>
      </c>
      <c r="M8" s="78" t="s">
        <v>76</v>
      </c>
      <c r="N8" s="140" t="s">
        <v>77</v>
      </c>
      <c r="O8" s="142" t="s">
        <v>35</v>
      </c>
      <c r="P8" s="142" t="s">
        <v>9</v>
      </c>
      <c r="Q8" s="49"/>
    </row>
    <row r="9" spans="1:17" ht="60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44" t="s">
        <v>79</v>
      </c>
      <c r="I9" s="51" t="s">
        <v>78</v>
      </c>
      <c r="J9" s="51" t="s">
        <v>79</v>
      </c>
      <c r="K9" s="63" t="s">
        <v>78</v>
      </c>
      <c r="L9" s="76" t="s">
        <v>79</v>
      </c>
      <c r="M9" s="78" t="s">
        <v>78</v>
      </c>
      <c r="N9" s="140" t="s">
        <v>79</v>
      </c>
      <c r="O9" s="142" t="s">
        <v>76</v>
      </c>
      <c r="P9" s="142" t="s">
        <v>77</v>
      </c>
      <c r="Q9" s="49"/>
    </row>
    <row r="10" spans="1:17" ht="30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44" t="s">
        <v>81</v>
      </c>
      <c r="I10" s="51" t="s">
        <v>80</v>
      </c>
      <c r="J10" s="51" t="s">
        <v>81</v>
      </c>
      <c r="K10" s="63" t="s">
        <v>80</v>
      </c>
      <c r="L10" s="76" t="s">
        <v>81</v>
      </c>
      <c r="M10" s="78" t="s">
        <v>80</v>
      </c>
      <c r="N10" s="140" t="s">
        <v>81</v>
      </c>
      <c r="O10" s="142" t="s">
        <v>78</v>
      </c>
      <c r="P10" s="142" t="s">
        <v>79</v>
      </c>
      <c r="Q10" s="49"/>
    </row>
    <row r="11" spans="1:17" ht="30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44" t="s">
        <v>9</v>
      </c>
      <c r="I11" s="51" t="s">
        <v>82</v>
      </c>
      <c r="J11" s="51" t="s">
        <v>9</v>
      </c>
      <c r="K11" s="63" t="s">
        <v>82</v>
      </c>
      <c r="L11" s="76" t="s">
        <v>9</v>
      </c>
      <c r="M11" s="78" t="s">
        <v>82</v>
      </c>
      <c r="N11" s="140" t="s">
        <v>9</v>
      </c>
      <c r="O11" s="142" t="s">
        <v>80</v>
      </c>
      <c r="P11" s="142" t="s">
        <v>81</v>
      </c>
      <c r="Q11" s="49"/>
    </row>
    <row r="12" spans="1:17" ht="90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44" t="s">
        <v>84</v>
      </c>
      <c r="I12" s="51" t="s">
        <v>83</v>
      </c>
      <c r="J12" s="51" t="s">
        <v>84</v>
      </c>
      <c r="K12" s="63" t="s">
        <v>83</v>
      </c>
      <c r="L12" s="76" t="s">
        <v>84</v>
      </c>
      <c r="M12" s="78" t="s">
        <v>83</v>
      </c>
      <c r="N12" s="140" t="s">
        <v>84</v>
      </c>
      <c r="O12" s="142" t="s">
        <v>82</v>
      </c>
      <c r="P12" s="142" t="s">
        <v>9</v>
      </c>
      <c r="Q12" s="49"/>
    </row>
    <row r="13" spans="1:17" ht="60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44" t="s">
        <v>86</v>
      </c>
      <c r="I13" s="51" t="s">
        <v>85</v>
      </c>
      <c r="J13" s="51" t="s">
        <v>86</v>
      </c>
      <c r="K13" s="63" t="s">
        <v>85</v>
      </c>
      <c r="L13" s="76" t="s">
        <v>86</v>
      </c>
      <c r="M13" s="78" t="s">
        <v>85</v>
      </c>
      <c r="N13" s="140" t="s">
        <v>86</v>
      </c>
      <c r="O13" s="142" t="s">
        <v>83</v>
      </c>
      <c r="P13" s="142" t="s">
        <v>84</v>
      </c>
      <c r="Q13" s="49"/>
    </row>
    <row r="14" spans="1:17" ht="30" x14ac:dyDescent="0.25">
      <c r="A14" s="26" t="s">
        <v>425</v>
      </c>
      <c r="B14" s="26" t="s">
        <v>87</v>
      </c>
      <c r="C14" s="10" t="s">
        <v>425</v>
      </c>
      <c r="D14" s="10" t="s">
        <v>87</v>
      </c>
      <c r="E14" s="24" t="s">
        <v>425</v>
      </c>
      <c r="F14" s="24" t="s">
        <v>87</v>
      </c>
      <c r="G14" s="23" t="s">
        <v>425</v>
      </c>
      <c r="H14" s="44" t="s">
        <v>87</v>
      </c>
      <c r="I14" s="51" t="s">
        <v>425</v>
      </c>
      <c r="J14" s="51" t="s">
        <v>87</v>
      </c>
      <c r="K14" s="63" t="s">
        <v>425</v>
      </c>
      <c r="L14" s="76" t="s">
        <v>87</v>
      </c>
      <c r="M14" s="78" t="s">
        <v>425</v>
      </c>
      <c r="N14" s="140" t="s">
        <v>87</v>
      </c>
      <c r="O14" s="142" t="s">
        <v>85</v>
      </c>
      <c r="P14" s="142" t="s">
        <v>86</v>
      </c>
      <c r="Q14" s="49"/>
    </row>
    <row r="15" spans="1:17" ht="30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44" t="s">
        <v>426</v>
      </c>
      <c r="I15" s="51" t="s">
        <v>16</v>
      </c>
      <c r="J15" s="51" t="s">
        <v>426</v>
      </c>
      <c r="K15" s="63" t="s">
        <v>16</v>
      </c>
      <c r="L15" s="76" t="s">
        <v>426</v>
      </c>
      <c r="M15" s="78" t="s">
        <v>16</v>
      </c>
      <c r="N15" s="140" t="s">
        <v>426</v>
      </c>
      <c r="O15" s="142" t="s">
        <v>425</v>
      </c>
      <c r="P15" s="142" t="s">
        <v>87</v>
      </c>
      <c r="Q15" s="49"/>
    </row>
    <row r="16" spans="1:17" ht="60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44" t="s">
        <v>9</v>
      </c>
      <c r="I16" s="51" t="s">
        <v>18</v>
      </c>
      <c r="J16" s="51" t="s">
        <v>478</v>
      </c>
      <c r="K16" s="63" t="s">
        <v>18</v>
      </c>
      <c r="L16" s="76" t="s">
        <v>478</v>
      </c>
      <c r="M16" s="78" t="s">
        <v>18</v>
      </c>
      <c r="N16" s="140" t="s">
        <v>478</v>
      </c>
      <c r="O16" s="142" t="s">
        <v>16</v>
      </c>
      <c r="P16" s="142" t="s">
        <v>426</v>
      </c>
      <c r="Q16" s="49"/>
    </row>
    <row r="17" spans="1:17" ht="60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44" t="s">
        <v>9</v>
      </c>
      <c r="I17" s="51" t="s">
        <v>19</v>
      </c>
      <c r="J17" s="51" t="s">
        <v>478</v>
      </c>
      <c r="K17" s="63" t="s">
        <v>19</v>
      </c>
      <c r="L17" s="76" t="s">
        <v>478</v>
      </c>
      <c r="M17" s="78" t="s">
        <v>19</v>
      </c>
      <c r="N17" s="140" t="s">
        <v>478</v>
      </c>
      <c r="O17" s="142" t="s">
        <v>18</v>
      </c>
      <c r="P17" s="142" t="s">
        <v>478</v>
      </c>
      <c r="Q17" s="49"/>
    </row>
    <row r="18" spans="1:17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44">
        <v>14</v>
      </c>
      <c r="I18" s="51" t="s">
        <v>20</v>
      </c>
      <c r="J18" s="51">
        <v>14</v>
      </c>
      <c r="K18" s="63" t="s">
        <v>20</v>
      </c>
      <c r="L18" s="76">
        <v>14</v>
      </c>
      <c r="M18" s="78" t="s">
        <v>20</v>
      </c>
      <c r="N18" s="140">
        <v>14</v>
      </c>
      <c r="O18" s="142" t="s">
        <v>19</v>
      </c>
      <c r="P18" s="142" t="s">
        <v>478</v>
      </c>
      <c r="Q18" s="49"/>
    </row>
    <row r="19" spans="1:17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44"/>
      <c r="I19" s="51" t="s">
        <v>21</v>
      </c>
      <c r="J19" s="51"/>
      <c r="K19" s="63" t="s">
        <v>21</v>
      </c>
      <c r="L19" s="76"/>
      <c r="M19" s="78" t="s">
        <v>21</v>
      </c>
      <c r="N19" s="140"/>
      <c r="O19" s="142" t="s">
        <v>20</v>
      </c>
      <c r="P19" s="142">
        <v>14</v>
      </c>
      <c r="Q19" s="49"/>
    </row>
    <row r="20" spans="1:17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44">
        <v>15</v>
      </c>
      <c r="I20" s="51" t="s">
        <v>22</v>
      </c>
      <c r="J20" s="51">
        <v>15</v>
      </c>
      <c r="K20" s="63" t="s">
        <v>22</v>
      </c>
      <c r="L20" s="76">
        <v>15</v>
      </c>
      <c r="M20" s="78" t="s">
        <v>22</v>
      </c>
      <c r="N20" s="140">
        <v>15</v>
      </c>
      <c r="O20" s="142" t="s">
        <v>21</v>
      </c>
      <c r="P20" s="142"/>
      <c r="Q20" s="49"/>
    </row>
    <row r="21" spans="1:17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44">
        <v>15</v>
      </c>
      <c r="I21" s="51" t="s">
        <v>23</v>
      </c>
      <c r="J21" s="51">
        <v>15</v>
      </c>
      <c r="K21" s="63" t="s">
        <v>23</v>
      </c>
      <c r="L21" s="76">
        <v>15</v>
      </c>
      <c r="M21" s="78" t="s">
        <v>23</v>
      </c>
      <c r="N21" s="140">
        <v>15</v>
      </c>
      <c r="O21" s="142" t="s">
        <v>22</v>
      </c>
      <c r="P21" s="142">
        <v>15</v>
      </c>
      <c r="Q21" s="49"/>
    </row>
    <row r="22" spans="1:17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44">
        <v>15</v>
      </c>
      <c r="I22" s="51" t="s">
        <v>24</v>
      </c>
      <c r="J22" s="51">
        <v>15</v>
      </c>
      <c r="K22" s="63" t="s">
        <v>24</v>
      </c>
      <c r="L22" s="76">
        <v>15</v>
      </c>
      <c r="M22" s="78" t="s">
        <v>24</v>
      </c>
      <c r="N22" s="140">
        <v>15</v>
      </c>
      <c r="O22" s="142" t="s">
        <v>23</v>
      </c>
      <c r="P22" s="142">
        <v>15</v>
      </c>
      <c r="Q22" s="49"/>
    </row>
    <row r="23" spans="1:17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44" t="s">
        <v>9</v>
      </c>
      <c r="I23" s="51" t="s">
        <v>25</v>
      </c>
      <c r="J23" s="51" t="s">
        <v>9</v>
      </c>
      <c r="K23" s="63" t="s">
        <v>25</v>
      </c>
      <c r="L23" s="76" t="s">
        <v>9</v>
      </c>
      <c r="M23" s="78" t="s">
        <v>25</v>
      </c>
      <c r="N23" s="140" t="s">
        <v>9</v>
      </c>
      <c r="O23" s="142" t="s">
        <v>24</v>
      </c>
      <c r="P23" s="142">
        <v>15</v>
      </c>
      <c r="Q23" s="49"/>
    </row>
    <row r="24" spans="1:17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44"/>
      <c r="I24" s="51" t="s">
        <v>26</v>
      </c>
      <c r="J24" s="51"/>
      <c r="K24" s="63" t="s">
        <v>26</v>
      </c>
      <c r="L24" s="76"/>
      <c r="M24" s="78" t="s">
        <v>26</v>
      </c>
      <c r="N24" s="140"/>
      <c r="O24" s="142" t="s">
        <v>25</v>
      </c>
      <c r="P24" s="142" t="s">
        <v>9</v>
      </c>
      <c r="Q24" s="49"/>
    </row>
    <row r="25" spans="1:17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44">
        <v>15</v>
      </c>
      <c r="I25" s="51" t="s">
        <v>22</v>
      </c>
      <c r="J25" s="51">
        <v>15</v>
      </c>
      <c r="K25" s="63" t="s">
        <v>22</v>
      </c>
      <c r="L25" s="76">
        <v>15</v>
      </c>
      <c r="M25" s="78" t="s">
        <v>22</v>
      </c>
      <c r="N25" s="140">
        <v>15</v>
      </c>
      <c r="O25" s="142" t="s">
        <v>26</v>
      </c>
      <c r="P25" s="142"/>
      <c r="Q25" s="49"/>
    </row>
    <row r="26" spans="1:17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44">
        <v>15</v>
      </c>
      <c r="I26" s="51" t="s">
        <v>23</v>
      </c>
      <c r="J26" s="51">
        <v>15</v>
      </c>
      <c r="K26" s="63" t="s">
        <v>23</v>
      </c>
      <c r="L26" s="76">
        <v>15</v>
      </c>
      <c r="M26" s="78" t="s">
        <v>23</v>
      </c>
      <c r="N26" s="140">
        <v>15</v>
      </c>
      <c r="O26" s="142" t="s">
        <v>22</v>
      </c>
      <c r="P26" s="142">
        <v>15</v>
      </c>
      <c r="Q26" s="49"/>
    </row>
    <row r="27" spans="1:17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44">
        <v>15</v>
      </c>
      <c r="I27" s="51" t="s">
        <v>24</v>
      </c>
      <c r="J27" s="51">
        <v>15</v>
      </c>
      <c r="K27" s="63" t="s">
        <v>24</v>
      </c>
      <c r="L27" s="76">
        <v>15</v>
      </c>
      <c r="M27" s="78" t="s">
        <v>24</v>
      </c>
      <c r="N27" s="140">
        <v>15</v>
      </c>
      <c r="O27" s="142" t="s">
        <v>23</v>
      </c>
      <c r="P27" s="142">
        <v>15</v>
      </c>
      <c r="Q27" s="49"/>
    </row>
    <row r="28" spans="1:17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44">
        <v>15</v>
      </c>
      <c r="I28" s="51" t="s">
        <v>27</v>
      </c>
      <c r="J28" s="51">
        <v>15</v>
      </c>
      <c r="K28" s="63" t="s">
        <v>27</v>
      </c>
      <c r="L28" s="76">
        <v>15</v>
      </c>
      <c r="M28" s="78" t="s">
        <v>27</v>
      </c>
      <c r="N28" s="140">
        <v>15</v>
      </c>
      <c r="O28" s="142" t="s">
        <v>24</v>
      </c>
      <c r="P28" s="142">
        <v>15</v>
      </c>
      <c r="Q28" s="49"/>
    </row>
    <row r="29" spans="1:17" x14ac:dyDescent="0.25">
      <c r="A29" s="26" t="s">
        <v>427</v>
      </c>
      <c r="B29" s="26" t="s">
        <v>9</v>
      </c>
      <c r="C29" s="10" t="s">
        <v>427</v>
      </c>
      <c r="D29" s="10" t="s">
        <v>9</v>
      </c>
      <c r="E29" s="24" t="s">
        <v>427</v>
      </c>
      <c r="F29" s="24" t="s">
        <v>9</v>
      </c>
      <c r="G29" s="23" t="s">
        <v>427</v>
      </c>
      <c r="H29" s="44" t="s">
        <v>135</v>
      </c>
      <c r="I29" s="51" t="s">
        <v>427</v>
      </c>
      <c r="J29" s="51" t="s">
        <v>135</v>
      </c>
      <c r="K29" s="63" t="s">
        <v>427</v>
      </c>
      <c r="L29" s="76" t="s">
        <v>135</v>
      </c>
      <c r="M29" s="78" t="s">
        <v>427</v>
      </c>
      <c r="N29" s="140" t="s">
        <v>135</v>
      </c>
      <c r="O29" s="142" t="s">
        <v>27</v>
      </c>
      <c r="P29" s="142">
        <v>15</v>
      </c>
      <c r="Q29" s="49"/>
    </row>
    <row r="30" spans="1:17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44" t="s">
        <v>9</v>
      </c>
      <c r="I30" s="51" t="s">
        <v>28</v>
      </c>
      <c r="J30" s="51" t="s">
        <v>9</v>
      </c>
      <c r="K30" s="63" t="s">
        <v>28</v>
      </c>
      <c r="L30" s="76" t="s">
        <v>9</v>
      </c>
      <c r="M30" s="78" t="s">
        <v>28</v>
      </c>
      <c r="N30" s="140" t="s">
        <v>9</v>
      </c>
      <c r="O30" s="142" t="s">
        <v>427</v>
      </c>
      <c r="P30" s="142" t="s">
        <v>135</v>
      </c>
      <c r="Q30" s="49"/>
    </row>
    <row r="31" spans="1:17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366</v>
      </c>
      <c r="H31" s="44" t="s">
        <v>135</v>
      </c>
      <c r="I31" s="51" t="s">
        <v>366</v>
      </c>
      <c r="J31" s="51" t="s">
        <v>135</v>
      </c>
      <c r="K31" s="63" t="s">
        <v>366</v>
      </c>
      <c r="L31" s="76" t="s">
        <v>135</v>
      </c>
      <c r="M31" s="78" t="s">
        <v>366</v>
      </c>
      <c r="N31" s="140" t="s">
        <v>135</v>
      </c>
      <c r="O31" s="142" t="s">
        <v>28</v>
      </c>
      <c r="P31" s="142" t="s">
        <v>9</v>
      </c>
      <c r="Q31" s="49"/>
    </row>
    <row r="32" spans="1:17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428</v>
      </c>
      <c r="H32" s="44" t="s">
        <v>135</v>
      </c>
      <c r="I32" s="51" t="s">
        <v>428</v>
      </c>
      <c r="J32" s="51" t="s">
        <v>135</v>
      </c>
      <c r="K32" s="63" t="s">
        <v>428</v>
      </c>
      <c r="L32" s="76" t="s">
        <v>135</v>
      </c>
      <c r="M32" s="78" t="s">
        <v>428</v>
      </c>
      <c r="N32" s="140" t="s">
        <v>135</v>
      </c>
      <c r="O32" s="142" t="s">
        <v>366</v>
      </c>
      <c r="P32" s="142" t="s">
        <v>135</v>
      </c>
      <c r="Q32" s="49"/>
    </row>
    <row r="33" spans="1:17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431</v>
      </c>
      <c r="F33" s="24" t="s">
        <v>9</v>
      </c>
      <c r="G33" s="23" t="s">
        <v>368</v>
      </c>
      <c r="H33" s="44" t="s">
        <v>135</v>
      </c>
      <c r="I33" s="51" t="s">
        <v>368</v>
      </c>
      <c r="J33" s="51" t="s">
        <v>135</v>
      </c>
      <c r="K33" s="63" t="s">
        <v>368</v>
      </c>
      <c r="L33" s="76" t="s">
        <v>135</v>
      </c>
      <c r="M33" s="78" t="s">
        <v>368</v>
      </c>
      <c r="N33" s="140" t="s">
        <v>135</v>
      </c>
      <c r="O33" s="142" t="s">
        <v>428</v>
      </c>
      <c r="P33" s="142" t="s">
        <v>135</v>
      </c>
      <c r="Q33" s="49"/>
    </row>
    <row r="34" spans="1:17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432</v>
      </c>
      <c r="F34" s="24" t="s">
        <v>105</v>
      </c>
      <c r="G34" s="23" t="s">
        <v>428</v>
      </c>
      <c r="H34" s="44" t="s">
        <v>135</v>
      </c>
      <c r="I34" s="51" t="s">
        <v>428</v>
      </c>
      <c r="J34" s="51" t="s">
        <v>135</v>
      </c>
      <c r="K34" s="63" t="s">
        <v>428</v>
      </c>
      <c r="L34" s="76" t="s">
        <v>135</v>
      </c>
      <c r="M34" s="78" t="s">
        <v>428</v>
      </c>
      <c r="N34" s="140" t="s">
        <v>135</v>
      </c>
      <c r="O34" s="142" t="s">
        <v>368</v>
      </c>
      <c r="P34" s="142" t="s">
        <v>135</v>
      </c>
      <c r="Q34" s="49"/>
    </row>
    <row r="35" spans="1:17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433</v>
      </c>
      <c r="F35" s="24" t="s">
        <v>105</v>
      </c>
      <c r="G35" s="23" t="s">
        <v>370</v>
      </c>
      <c r="H35" s="44" t="s">
        <v>135</v>
      </c>
      <c r="I35" s="51" t="s">
        <v>370</v>
      </c>
      <c r="J35" s="51" t="s">
        <v>135</v>
      </c>
      <c r="K35" s="63" t="s">
        <v>370</v>
      </c>
      <c r="L35" s="76" t="s">
        <v>135</v>
      </c>
      <c r="M35" s="78" t="s">
        <v>370</v>
      </c>
      <c r="N35" s="140" t="s">
        <v>135</v>
      </c>
      <c r="O35" s="142" t="s">
        <v>428</v>
      </c>
      <c r="P35" s="142" t="s">
        <v>135</v>
      </c>
      <c r="Q35" s="49"/>
    </row>
    <row r="36" spans="1:17" ht="25.5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371</v>
      </c>
      <c r="H36" s="44" t="s">
        <v>429</v>
      </c>
      <c r="I36" s="51" t="s">
        <v>371</v>
      </c>
      <c r="J36" s="51" t="s">
        <v>429</v>
      </c>
      <c r="K36" s="63" t="s">
        <v>371</v>
      </c>
      <c r="L36" s="76" t="s">
        <v>429</v>
      </c>
      <c r="M36" s="78" t="s">
        <v>371</v>
      </c>
      <c r="N36" s="140" t="s">
        <v>429</v>
      </c>
      <c r="O36" s="142" t="s">
        <v>370</v>
      </c>
      <c r="P36" s="142" t="s">
        <v>135</v>
      </c>
      <c r="Q36" s="49"/>
    </row>
    <row r="37" spans="1:17" ht="54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373</v>
      </c>
      <c r="H37" s="44" t="s">
        <v>429</v>
      </c>
      <c r="I37" s="51" t="s">
        <v>373</v>
      </c>
      <c r="J37" s="51" t="s">
        <v>429</v>
      </c>
      <c r="K37" s="63" t="s">
        <v>373</v>
      </c>
      <c r="L37" s="76" t="s">
        <v>429</v>
      </c>
      <c r="M37" s="78" t="s">
        <v>373</v>
      </c>
      <c r="N37" s="140" t="s">
        <v>429</v>
      </c>
      <c r="O37" s="142" t="s">
        <v>371</v>
      </c>
      <c r="P37" s="142" t="s">
        <v>429</v>
      </c>
      <c r="Q37" s="49"/>
    </row>
    <row r="38" spans="1:17" ht="27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434</v>
      </c>
      <c r="F38" s="24"/>
      <c r="G38" s="23" t="s">
        <v>143</v>
      </c>
      <c r="H38" s="44" t="s">
        <v>144</v>
      </c>
      <c r="I38" s="51" t="s">
        <v>143</v>
      </c>
      <c r="J38" s="51" t="s">
        <v>144</v>
      </c>
      <c r="K38" s="63" t="s">
        <v>143</v>
      </c>
      <c r="L38" s="76" t="s">
        <v>494</v>
      </c>
      <c r="M38" s="78" t="s">
        <v>143</v>
      </c>
      <c r="N38" s="140" t="s">
        <v>494</v>
      </c>
      <c r="O38" s="142" t="s">
        <v>373</v>
      </c>
      <c r="P38" s="142" t="s">
        <v>429</v>
      </c>
      <c r="Q38" s="49"/>
    </row>
    <row r="39" spans="1:17" ht="30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435</v>
      </c>
      <c r="F39" s="24" t="s">
        <v>45</v>
      </c>
      <c r="G39" s="23" t="s">
        <v>29</v>
      </c>
      <c r="H39" s="44" t="s">
        <v>430</v>
      </c>
      <c r="I39" s="51" t="s">
        <v>29</v>
      </c>
      <c r="J39" s="51" t="s">
        <v>430</v>
      </c>
      <c r="K39" s="63" t="s">
        <v>29</v>
      </c>
      <c r="L39" s="76" t="s">
        <v>430</v>
      </c>
      <c r="M39" s="78" t="s">
        <v>29</v>
      </c>
      <c r="N39" s="140" t="s">
        <v>430</v>
      </c>
      <c r="O39" s="142" t="s">
        <v>143</v>
      </c>
      <c r="P39" s="142" t="s">
        <v>494</v>
      </c>
      <c r="Q39" s="49"/>
    </row>
    <row r="40" spans="1:17" ht="27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436</v>
      </c>
      <c r="F40" s="24" t="s">
        <v>45</v>
      </c>
      <c r="G40" s="23" t="s">
        <v>31</v>
      </c>
      <c r="H40" s="44">
        <v>15</v>
      </c>
      <c r="I40" s="51" t="s">
        <v>31</v>
      </c>
      <c r="J40" s="51">
        <v>15</v>
      </c>
      <c r="K40" s="63" t="s">
        <v>31</v>
      </c>
      <c r="L40" s="76">
        <v>15</v>
      </c>
      <c r="M40" s="78" t="s">
        <v>31</v>
      </c>
      <c r="N40" s="140">
        <v>15</v>
      </c>
      <c r="O40" s="142" t="s">
        <v>29</v>
      </c>
      <c r="P40" s="142" t="s">
        <v>430</v>
      </c>
      <c r="Q40" s="49"/>
    </row>
    <row r="41" spans="1:17" ht="27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431</v>
      </c>
      <c r="H41" s="44" t="s">
        <v>9</v>
      </c>
      <c r="I41" s="51" t="s">
        <v>431</v>
      </c>
      <c r="J41" s="51" t="s">
        <v>9</v>
      </c>
      <c r="K41" s="63" t="s">
        <v>431</v>
      </c>
      <c r="L41" s="76" t="s">
        <v>9</v>
      </c>
      <c r="M41" s="78" t="s">
        <v>431</v>
      </c>
      <c r="N41" s="140" t="s">
        <v>9</v>
      </c>
      <c r="O41" s="142" t="s">
        <v>31</v>
      </c>
      <c r="P41" s="142">
        <v>15</v>
      </c>
      <c r="Q41" s="49"/>
    </row>
    <row r="42" spans="1:17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432</v>
      </c>
      <c r="H42" s="44" t="s">
        <v>105</v>
      </c>
      <c r="I42" s="51" t="s">
        <v>432</v>
      </c>
      <c r="J42" s="51" t="s">
        <v>105</v>
      </c>
      <c r="K42" s="63" t="s">
        <v>432</v>
      </c>
      <c r="L42" s="76" t="s">
        <v>105</v>
      </c>
      <c r="M42" s="78" t="s">
        <v>432</v>
      </c>
      <c r="N42" s="140" t="s">
        <v>105</v>
      </c>
      <c r="O42" s="142" t="s">
        <v>431</v>
      </c>
      <c r="P42" s="142" t="s">
        <v>9</v>
      </c>
      <c r="Q42" s="49"/>
    </row>
    <row r="43" spans="1:17" ht="25.5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433</v>
      </c>
      <c r="H43" s="44" t="s">
        <v>105</v>
      </c>
      <c r="I43" s="51" t="s">
        <v>433</v>
      </c>
      <c r="J43" s="51" t="s">
        <v>105</v>
      </c>
      <c r="K43" s="63" t="s">
        <v>433</v>
      </c>
      <c r="L43" s="76" t="s">
        <v>105</v>
      </c>
      <c r="M43" s="78" t="s">
        <v>433</v>
      </c>
      <c r="N43" s="140" t="s">
        <v>105</v>
      </c>
      <c r="O43" s="142" t="s">
        <v>432</v>
      </c>
      <c r="P43" s="142" t="s">
        <v>105</v>
      </c>
      <c r="Q43" s="49"/>
    </row>
    <row r="44" spans="1:17" ht="30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44" t="s">
        <v>94</v>
      </c>
      <c r="I44" s="51" t="s">
        <v>41</v>
      </c>
      <c r="J44" s="51" t="s">
        <v>479</v>
      </c>
      <c r="K44" s="63" t="s">
        <v>41</v>
      </c>
      <c r="L44" s="76" t="s">
        <v>479</v>
      </c>
      <c r="M44" s="78" t="s">
        <v>41</v>
      </c>
      <c r="N44" s="140" t="s">
        <v>479</v>
      </c>
      <c r="O44" s="142" t="s">
        <v>433</v>
      </c>
      <c r="P44" s="142" t="s">
        <v>105</v>
      </c>
      <c r="Q44" s="49"/>
    </row>
    <row r="45" spans="1:17" ht="40.5" x14ac:dyDescent="0.25">
      <c r="A45" s="26" t="s">
        <v>431</v>
      </c>
      <c r="B45" s="26" t="s">
        <v>9</v>
      </c>
      <c r="C45" s="10" t="s">
        <v>431</v>
      </c>
      <c r="D45" s="10" t="s">
        <v>9</v>
      </c>
      <c r="E45" s="24" t="s">
        <v>24</v>
      </c>
      <c r="F45" s="24">
        <v>15</v>
      </c>
      <c r="G45" s="23" t="s">
        <v>43</v>
      </c>
      <c r="H45" s="44" t="s">
        <v>44</v>
      </c>
      <c r="I45" s="51" t="s">
        <v>43</v>
      </c>
      <c r="J45" s="51" t="s">
        <v>44</v>
      </c>
      <c r="K45" s="63" t="s">
        <v>43</v>
      </c>
      <c r="L45" s="76" t="s">
        <v>44</v>
      </c>
      <c r="M45" s="78" t="s">
        <v>43</v>
      </c>
      <c r="N45" s="140" t="s">
        <v>44</v>
      </c>
      <c r="O45" s="142" t="s">
        <v>41</v>
      </c>
      <c r="P45" s="142" t="s">
        <v>479</v>
      </c>
      <c r="Q45" s="49"/>
    </row>
    <row r="46" spans="1:17" ht="30" x14ac:dyDescent="0.25">
      <c r="A46" s="26" t="s">
        <v>458</v>
      </c>
      <c r="B46" s="26" t="s">
        <v>105</v>
      </c>
      <c r="C46" s="10" t="s">
        <v>432</v>
      </c>
      <c r="D46" s="10" t="s">
        <v>105</v>
      </c>
      <c r="E46" s="24" t="s">
        <v>49</v>
      </c>
      <c r="F46" s="24">
        <v>15</v>
      </c>
      <c r="G46" s="23" t="s">
        <v>434</v>
      </c>
      <c r="H46" s="44"/>
      <c r="I46" s="51" t="s">
        <v>434</v>
      </c>
      <c r="J46" s="51"/>
      <c r="K46" s="63" t="s">
        <v>434</v>
      </c>
      <c r="L46" s="76"/>
      <c r="M46" s="78" t="s">
        <v>434</v>
      </c>
      <c r="N46" s="140"/>
      <c r="O46" s="142" t="s">
        <v>43</v>
      </c>
      <c r="P46" s="142" t="s">
        <v>44</v>
      </c>
      <c r="Q46" s="49"/>
    </row>
    <row r="47" spans="1:17" x14ac:dyDescent="0.25">
      <c r="A47" s="26" t="s">
        <v>433</v>
      </c>
      <c r="B47" s="26" t="s">
        <v>105</v>
      </c>
      <c r="C47" s="10" t="s">
        <v>433</v>
      </c>
      <c r="D47" s="10" t="s">
        <v>105</v>
      </c>
      <c r="E47" s="24" t="s">
        <v>50</v>
      </c>
      <c r="F47" s="24"/>
      <c r="G47" s="23" t="s">
        <v>435</v>
      </c>
      <c r="H47" s="44" t="s">
        <v>45</v>
      </c>
      <c r="I47" s="51" t="s">
        <v>435</v>
      </c>
      <c r="J47" s="51" t="s">
        <v>45</v>
      </c>
      <c r="K47" s="63" t="s">
        <v>435</v>
      </c>
      <c r="L47" s="76" t="s">
        <v>45</v>
      </c>
      <c r="M47" s="78" t="s">
        <v>435</v>
      </c>
      <c r="N47" s="140" t="s">
        <v>45</v>
      </c>
      <c r="O47" s="142" t="s">
        <v>434</v>
      </c>
      <c r="P47" s="142"/>
      <c r="Q47" s="49"/>
    </row>
    <row r="48" spans="1:17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436</v>
      </c>
      <c r="H48" s="44" t="s">
        <v>45</v>
      </c>
      <c r="I48" s="51" t="s">
        <v>436</v>
      </c>
      <c r="J48" s="51" t="s">
        <v>45</v>
      </c>
      <c r="K48" s="63" t="s">
        <v>436</v>
      </c>
      <c r="L48" s="76" t="s">
        <v>45</v>
      </c>
      <c r="M48" s="78" t="s">
        <v>436</v>
      </c>
      <c r="N48" s="140" t="s">
        <v>45</v>
      </c>
      <c r="O48" s="142" t="s">
        <v>435</v>
      </c>
      <c r="P48" s="142" t="s">
        <v>45</v>
      </c>
      <c r="Q48" s="49"/>
    </row>
    <row r="49" spans="1:17" ht="54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44" t="s">
        <v>95</v>
      </c>
      <c r="I49" s="51" t="s">
        <v>46</v>
      </c>
      <c r="J49" s="51" t="s">
        <v>95</v>
      </c>
      <c r="K49" s="63" t="s">
        <v>46</v>
      </c>
      <c r="L49" s="76" t="s">
        <v>95</v>
      </c>
      <c r="M49" s="78" t="s">
        <v>46</v>
      </c>
      <c r="N49" s="140" t="s">
        <v>152</v>
      </c>
      <c r="O49" s="142" t="s">
        <v>436</v>
      </c>
      <c r="P49" s="142" t="s">
        <v>45</v>
      </c>
      <c r="Q49" s="49"/>
    </row>
    <row r="50" spans="1:17" x14ac:dyDescent="0.25">
      <c r="A50" s="26" t="s">
        <v>434</v>
      </c>
      <c r="B50" s="26"/>
      <c r="C50" s="10" t="s">
        <v>434</v>
      </c>
      <c r="D50" s="10"/>
      <c r="E50" s="24" t="s">
        <v>24</v>
      </c>
      <c r="F50" s="24">
        <v>15</v>
      </c>
      <c r="G50" s="23" t="s">
        <v>48</v>
      </c>
      <c r="H50" s="44"/>
      <c r="I50" s="51" t="s">
        <v>48</v>
      </c>
      <c r="J50" s="51"/>
      <c r="K50" s="63" t="s">
        <v>48</v>
      </c>
      <c r="L50" s="76"/>
      <c r="M50" s="78" t="s">
        <v>48</v>
      </c>
      <c r="N50" s="140"/>
      <c r="O50" s="142" t="s">
        <v>46</v>
      </c>
      <c r="P50" s="142" t="s">
        <v>152</v>
      </c>
      <c r="Q50" s="49"/>
    </row>
    <row r="51" spans="1:17" x14ac:dyDescent="0.25">
      <c r="A51" s="26" t="s">
        <v>435</v>
      </c>
      <c r="B51" s="26" t="s">
        <v>45</v>
      </c>
      <c r="C51" s="10" t="s">
        <v>435</v>
      </c>
      <c r="D51" s="10" t="s">
        <v>45</v>
      </c>
      <c r="E51" s="24" t="s">
        <v>51</v>
      </c>
      <c r="F51" s="24" t="s">
        <v>9</v>
      </c>
      <c r="G51" s="23" t="s">
        <v>22</v>
      </c>
      <c r="H51" s="44">
        <v>15</v>
      </c>
      <c r="I51" s="51" t="s">
        <v>22</v>
      </c>
      <c r="J51" s="51">
        <v>15</v>
      </c>
      <c r="K51" s="63" t="s">
        <v>22</v>
      </c>
      <c r="L51" s="76">
        <v>15</v>
      </c>
      <c r="M51" s="78" t="s">
        <v>22</v>
      </c>
      <c r="N51" s="140">
        <v>15</v>
      </c>
      <c r="O51" s="142" t="s">
        <v>48</v>
      </c>
      <c r="P51" s="142"/>
      <c r="Q51" s="49"/>
    </row>
    <row r="52" spans="1:17" x14ac:dyDescent="0.25">
      <c r="A52" s="26" t="s">
        <v>436</v>
      </c>
      <c r="B52" s="26" t="s">
        <v>45</v>
      </c>
      <c r="C52" s="10" t="s">
        <v>436</v>
      </c>
      <c r="D52" s="10" t="s">
        <v>45</v>
      </c>
      <c r="E52" s="24" t="s">
        <v>52</v>
      </c>
      <c r="F52" s="24" t="s">
        <v>53</v>
      </c>
      <c r="G52" s="23" t="s">
        <v>23</v>
      </c>
      <c r="H52" s="44">
        <v>15</v>
      </c>
      <c r="I52" s="51" t="s">
        <v>23</v>
      </c>
      <c r="J52" s="51">
        <v>15</v>
      </c>
      <c r="K52" s="63" t="s">
        <v>23</v>
      </c>
      <c r="L52" s="76">
        <v>15</v>
      </c>
      <c r="M52" s="78" t="s">
        <v>23</v>
      </c>
      <c r="N52" s="140">
        <v>15</v>
      </c>
      <c r="O52" s="142" t="s">
        <v>22</v>
      </c>
      <c r="P52" s="142">
        <v>15</v>
      </c>
      <c r="Q52" s="49"/>
    </row>
    <row r="53" spans="1:17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439</v>
      </c>
      <c r="F53" s="24" t="s">
        <v>53</v>
      </c>
      <c r="G53" s="23" t="s">
        <v>24</v>
      </c>
      <c r="H53" s="44">
        <v>15</v>
      </c>
      <c r="I53" s="51" t="s">
        <v>24</v>
      </c>
      <c r="J53" s="51">
        <v>15</v>
      </c>
      <c r="K53" s="63" t="s">
        <v>24</v>
      </c>
      <c r="L53" s="76">
        <v>15</v>
      </c>
      <c r="M53" s="78" t="s">
        <v>24</v>
      </c>
      <c r="N53" s="140">
        <v>15</v>
      </c>
      <c r="O53" s="142" t="s">
        <v>23</v>
      </c>
      <c r="P53" s="142">
        <v>15</v>
      </c>
      <c r="Q53" s="49"/>
    </row>
    <row r="54" spans="1:17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44">
        <v>15</v>
      </c>
      <c r="I54" s="51" t="s">
        <v>49</v>
      </c>
      <c r="J54" s="51">
        <v>15</v>
      </c>
      <c r="K54" s="63" t="s">
        <v>49</v>
      </c>
      <c r="L54" s="76">
        <v>15</v>
      </c>
      <c r="M54" s="78" t="s">
        <v>49</v>
      </c>
      <c r="N54" s="140">
        <v>15</v>
      </c>
      <c r="O54" s="142" t="s">
        <v>24</v>
      </c>
      <c r="P54" s="142">
        <v>15</v>
      </c>
      <c r="Q54" s="49"/>
    </row>
    <row r="55" spans="1:17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44"/>
      <c r="I55" s="51" t="s">
        <v>50</v>
      </c>
      <c r="J55" s="51"/>
      <c r="K55" s="63" t="s">
        <v>50</v>
      </c>
      <c r="L55" s="76"/>
      <c r="M55" s="78" t="s">
        <v>50</v>
      </c>
      <c r="N55" s="140"/>
      <c r="O55" s="142" t="s">
        <v>49</v>
      </c>
      <c r="P55" s="142">
        <v>15</v>
      </c>
      <c r="Q55" s="49"/>
    </row>
    <row r="56" spans="1:17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44">
        <v>15</v>
      </c>
      <c r="I56" s="51" t="s">
        <v>22</v>
      </c>
      <c r="J56" s="51">
        <v>15</v>
      </c>
      <c r="K56" s="63" t="s">
        <v>22</v>
      </c>
      <c r="L56" s="76">
        <v>15</v>
      </c>
      <c r="M56" s="78" t="s">
        <v>22</v>
      </c>
      <c r="N56" s="140">
        <v>15</v>
      </c>
      <c r="O56" s="142" t="s">
        <v>50</v>
      </c>
      <c r="P56" s="142"/>
      <c r="Q56" s="49"/>
    </row>
    <row r="57" spans="1:17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44">
        <v>15</v>
      </c>
      <c r="I57" s="51" t="s">
        <v>23</v>
      </c>
      <c r="J57" s="51">
        <v>15</v>
      </c>
      <c r="K57" s="63" t="s">
        <v>23</v>
      </c>
      <c r="L57" s="76">
        <v>15</v>
      </c>
      <c r="M57" s="78" t="s">
        <v>23</v>
      </c>
      <c r="N57" s="140">
        <v>15</v>
      </c>
      <c r="O57" s="142" t="s">
        <v>22</v>
      </c>
      <c r="P57" s="142">
        <v>15</v>
      </c>
      <c r="Q57" s="49"/>
    </row>
    <row r="58" spans="1:17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44">
        <v>15</v>
      </c>
      <c r="I58" s="51" t="s">
        <v>24</v>
      </c>
      <c r="J58" s="51">
        <v>15</v>
      </c>
      <c r="K58" s="63" t="s">
        <v>24</v>
      </c>
      <c r="L58" s="76">
        <v>15</v>
      </c>
      <c r="M58" s="78" t="s">
        <v>24</v>
      </c>
      <c r="N58" s="140">
        <v>15</v>
      </c>
      <c r="O58" s="142" t="s">
        <v>23</v>
      </c>
      <c r="P58" s="142">
        <v>15</v>
      </c>
      <c r="Q58" s="49"/>
    </row>
    <row r="59" spans="1:17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412</v>
      </c>
      <c r="G59" s="23" t="s">
        <v>51</v>
      </c>
      <c r="H59" s="44" t="s">
        <v>9</v>
      </c>
      <c r="I59" s="51" t="s">
        <v>51</v>
      </c>
      <c r="J59" s="51" t="s">
        <v>9</v>
      </c>
      <c r="K59" s="63" t="s">
        <v>51</v>
      </c>
      <c r="L59" s="76" t="s">
        <v>9</v>
      </c>
      <c r="M59" s="78" t="s">
        <v>51</v>
      </c>
      <c r="N59" s="140" t="s">
        <v>9</v>
      </c>
      <c r="O59" s="142" t="s">
        <v>24</v>
      </c>
      <c r="P59" s="142">
        <v>15</v>
      </c>
      <c r="Q59" s="49"/>
    </row>
    <row r="60" spans="1:17" ht="27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398</v>
      </c>
      <c r="F60" s="24" t="s">
        <v>30</v>
      </c>
      <c r="G60" s="23" t="s">
        <v>382</v>
      </c>
      <c r="H60" s="44" t="s">
        <v>135</v>
      </c>
      <c r="I60" s="51" t="s">
        <v>382</v>
      </c>
      <c r="J60" s="51" t="s">
        <v>135</v>
      </c>
      <c r="K60" s="63" t="s">
        <v>382</v>
      </c>
      <c r="L60" s="76" t="s">
        <v>135</v>
      </c>
      <c r="M60" s="78" t="s">
        <v>382</v>
      </c>
      <c r="N60" s="140" t="s">
        <v>135</v>
      </c>
      <c r="O60" s="142" t="s">
        <v>51</v>
      </c>
      <c r="P60" s="142" t="s">
        <v>9</v>
      </c>
      <c r="Q60" s="49"/>
    </row>
    <row r="61" spans="1:17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428</v>
      </c>
      <c r="H61" s="44" t="s">
        <v>135</v>
      </c>
      <c r="I61" s="51" t="s">
        <v>428</v>
      </c>
      <c r="J61" s="51" t="s">
        <v>135</v>
      </c>
      <c r="K61" s="63" t="s">
        <v>428</v>
      </c>
      <c r="L61" s="76" t="s">
        <v>135</v>
      </c>
      <c r="M61" s="78" t="s">
        <v>428</v>
      </c>
      <c r="N61" s="140" t="s">
        <v>135</v>
      </c>
      <c r="O61" s="142" t="s">
        <v>382</v>
      </c>
      <c r="P61" s="142" t="s">
        <v>135</v>
      </c>
      <c r="Q61" s="49"/>
    </row>
    <row r="62" spans="1:17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384</v>
      </c>
      <c r="H62" s="44" t="s">
        <v>429</v>
      </c>
      <c r="I62" s="51" t="s">
        <v>384</v>
      </c>
      <c r="J62" s="51" t="s">
        <v>429</v>
      </c>
      <c r="K62" s="63" t="s">
        <v>384</v>
      </c>
      <c r="L62" s="76" t="s">
        <v>429</v>
      </c>
      <c r="M62" s="78" t="s">
        <v>384</v>
      </c>
      <c r="N62" s="140" t="s">
        <v>429</v>
      </c>
      <c r="O62" s="142" t="s">
        <v>428</v>
      </c>
      <c r="P62" s="142" t="s">
        <v>135</v>
      </c>
      <c r="Q62" s="49"/>
    </row>
    <row r="63" spans="1:17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437</v>
      </c>
      <c r="H63" s="44" t="s">
        <v>438</v>
      </c>
      <c r="I63" s="51" t="s">
        <v>437</v>
      </c>
      <c r="J63" s="51" t="s">
        <v>438</v>
      </c>
      <c r="K63" s="63" t="s">
        <v>437</v>
      </c>
      <c r="L63" s="76" t="s">
        <v>438</v>
      </c>
      <c r="M63" s="78" t="s">
        <v>437</v>
      </c>
      <c r="N63" s="140" t="s">
        <v>438</v>
      </c>
      <c r="O63" s="142" t="s">
        <v>384</v>
      </c>
      <c r="P63" s="142" t="s">
        <v>429</v>
      </c>
      <c r="Q63" s="49"/>
    </row>
    <row r="64" spans="1:17" ht="25.5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44" t="s">
        <v>53</v>
      </c>
      <c r="I64" s="51" t="s">
        <v>52</v>
      </c>
      <c r="J64" s="51" t="s">
        <v>479</v>
      </c>
      <c r="K64" s="63" t="s">
        <v>52</v>
      </c>
      <c r="L64" s="76" t="s">
        <v>479</v>
      </c>
      <c r="M64" s="78" t="s">
        <v>52</v>
      </c>
      <c r="N64" s="140" t="s">
        <v>479</v>
      </c>
      <c r="O64" s="142" t="s">
        <v>437</v>
      </c>
      <c r="P64" s="142" t="s">
        <v>438</v>
      </c>
      <c r="Q64" s="49"/>
    </row>
    <row r="65" spans="1:17" ht="30" x14ac:dyDescent="0.25">
      <c r="A65" s="26" t="s">
        <v>439</v>
      </c>
      <c r="B65" s="26" t="s">
        <v>53</v>
      </c>
      <c r="C65" s="10" t="s">
        <v>439</v>
      </c>
      <c r="D65" s="10" t="s">
        <v>53</v>
      </c>
      <c r="E65" s="24" t="s">
        <v>62</v>
      </c>
      <c r="F65" s="24">
        <v>15</v>
      </c>
      <c r="G65" s="23" t="s">
        <v>439</v>
      </c>
      <c r="H65" s="44" t="s">
        <v>426</v>
      </c>
      <c r="I65" s="51" t="s">
        <v>439</v>
      </c>
      <c r="J65" s="51" t="s">
        <v>426</v>
      </c>
      <c r="K65" s="63" t="s">
        <v>439</v>
      </c>
      <c r="L65" s="76" t="s">
        <v>426</v>
      </c>
      <c r="M65" s="78" t="s">
        <v>439</v>
      </c>
      <c r="N65" s="140" t="s">
        <v>426</v>
      </c>
      <c r="O65" s="142" t="s">
        <v>52</v>
      </c>
      <c r="P65" s="142" t="s">
        <v>479</v>
      </c>
      <c r="Q65" s="49"/>
    </row>
    <row r="66" spans="1:17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44" t="s">
        <v>9</v>
      </c>
      <c r="I66" s="51" t="s">
        <v>55</v>
      </c>
      <c r="J66" s="51" t="s">
        <v>9</v>
      </c>
      <c r="K66" s="63" t="s">
        <v>55</v>
      </c>
      <c r="L66" s="76" t="s">
        <v>9</v>
      </c>
      <c r="M66" s="78" t="s">
        <v>55</v>
      </c>
      <c r="N66" s="140" t="s">
        <v>9</v>
      </c>
      <c r="O66" s="142" t="s">
        <v>439</v>
      </c>
      <c r="P66" s="142" t="s">
        <v>426</v>
      </c>
      <c r="Q66" s="49"/>
    </row>
    <row r="67" spans="1:17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44" t="s">
        <v>30</v>
      </c>
      <c r="I67" s="51" t="s">
        <v>56</v>
      </c>
      <c r="J67" s="51" t="s">
        <v>30</v>
      </c>
      <c r="K67" s="63" t="s">
        <v>56</v>
      </c>
      <c r="L67" s="76" t="s">
        <v>30</v>
      </c>
      <c r="M67" s="78" t="s">
        <v>500</v>
      </c>
      <c r="N67" s="140" t="s">
        <v>147</v>
      </c>
      <c r="O67" s="142" t="s">
        <v>55</v>
      </c>
      <c r="P67" s="142" t="s">
        <v>9</v>
      </c>
      <c r="Q67" s="49"/>
    </row>
    <row r="68" spans="1:17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44" t="s">
        <v>30</v>
      </c>
      <c r="I68" s="51" t="s">
        <v>56</v>
      </c>
      <c r="J68" s="51" t="s">
        <v>480</v>
      </c>
      <c r="K68" s="63" t="s">
        <v>56</v>
      </c>
      <c r="L68" s="76" t="s">
        <v>480</v>
      </c>
      <c r="M68" s="78" t="s">
        <v>56</v>
      </c>
      <c r="N68" s="140" t="s">
        <v>480</v>
      </c>
      <c r="O68" s="142" t="s">
        <v>500</v>
      </c>
      <c r="P68" s="142" t="s">
        <v>147</v>
      </c>
      <c r="Q68" s="49"/>
    </row>
    <row r="69" spans="1:17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387</v>
      </c>
      <c r="H69" s="44" t="s">
        <v>426</v>
      </c>
      <c r="I69" s="51" t="s">
        <v>57</v>
      </c>
      <c r="J69" s="51" t="s">
        <v>30</v>
      </c>
      <c r="K69" s="63" t="s">
        <v>57</v>
      </c>
      <c r="L69" s="76" t="s">
        <v>30</v>
      </c>
      <c r="M69" s="78" t="s">
        <v>57</v>
      </c>
      <c r="N69" s="140" t="s">
        <v>30</v>
      </c>
      <c r="O69" s="142" t="s">
        <v>56</v>
      </c>
      <c r="P69" s="142" t="s">
        <v>480</v>
      </c>
      <c r="Q69" s="49"/>
    </row>
    <row r="70" spans="1:17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44" t="s">
        <v>30</v>
      </c>
      <c r="I70" s="51" t="s">
        <v>387</v>
      </c>
      <c r="J70" s="51" t="s">
        <v>426</v>
      </c>
      <c r="K70" s="63" t="s">
        <v>387</v>
      </c>
      <c r="L70" s="76" t="s">
        <v>426</v>
      </c>
      <c r="M70" s="78" t="s">
        <v>387</v>
      </c>
      <c r="N70" s="140" t="s">
        <v>426</v>
      </c>
      <c r="O70" s="142" t="s">
        <v>57</v>
      </c>
      <c r="P70" s="142" t="s">
        <v>30</v>
      </c>
      <c r="Q70" s="49"/>
    </row>
    <row r="71" spans="1:17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44" t="s">
        <v>135</v>
      </c>
      <c r="I71" s="51" t="s">
        <v>58</v>
      </c>
      <c r="J71" s="51" t="s">
        <v>30</v>
      </c>
      <c r="K71" s="63" t="s">
        <v>58</v>
      </c>
      <c r="L71" s="76" t="s">
        <v>30</v>
      </c>
      <c r="M71" s="78" t="s">
        <v>58</v>
      </c>
      <c r="N71" s="140" t="s">
        <v>30</v>
      </c>
      <c r="O71" s="142" t="s">
        <v>387</v>
      </c>
      <c r="P71" s="142" t="s">
        <v>426</v>
      </c>
      <c r="Q71" s="49"/>
    </row>
    <row r="72" spans="1:17" ht="27" x14ac:dyDescent="0.25">
      <c r="A72" s="26" t="s">
        <v>398</v>
      </c>
      <c r="B72" s="26" t="s">
        <v>30</v>
      </c>
      <c r="C72" s="10" t="s">
        <v>398</v>
      </c>
      <c r="D72" s="10" t="s">
        <v>30</v>
      </c>
      <c r="E72" s="24" t="s">
        <v>24</v>
      </c>
      <c r="F72" s="24">
        <v>15</v>
      </c>
      <c r="G72" s="23" t="s">
        <v>398</v>
      </c>
      <c r="H72" s="44" t="s">
        <v>30</v>
      </c>
      <c r="I72" s="51" t="s">
        <v>59</v>
      </c>
      <c r="J72" s="51" t="s">
        <v>135</v>
      </c>
      <c r="K72" s="63" t="s">
        <v>59</v>
      </c>
      <c r="L72" s="76" t="s">
        <v>135</v>
      </c>
      <c r="M72" s="78" t="s">
        <v>59</v>
      </c>
      <c r="N72" s="140" t="s">
        <v>135</v>
      </c>
      <c r="O72" s="142" t="s">
        <v>58</v>
      </c>
      <c r="P72" s="142" t="s">
        <v>30</v>
      </c>
      <c r="Q72" s="49"/>
    </row>
    <row r="73" spans="1:17" ht="25.5" x14ac:dyDescent="0.25">
      <c r="A73" s="26" t="s">
        <v>61</v>
      </c>
      <c r="B73" s="26"/>
      <c r="C73" s="10" t="s">
        <v>61</v>
      </c>
      <c r="D73" s="10"/>
      <c r="E73" s="24" t="s">
        <v>440</v>
      </c>
      <c r="F73" s="24" t="s">
        <v>9</v>
      </c>
      <c r="G73" s="23" t="s">
        <v>61</v>
      </c>
      <c r="H73" s="44"/>
      <c r="I73" s="51" t="s">
        <v>398</v>
      </c>
      <c r="J73" s="51" t="s">
        <v>30</v>
      </c>
      <c r="K73" s="63" t="s">
        <v>398</v>
      </c>
      <c r="L73" s="76" t="s">
        <v>30</v>
      </c>
      <c r="M73" s="78" t="s">
        <v>398</v>
      </c>
      <c r="N73" s="140" t="s">
        <v>30</v>
      </c>
      <c r="O73" s="142" t="s">
        <v>59</v>
      </c>
      <c r="P73" s="142" t="s">
        <v>135</v>
      </c>
      <c r="Q73" s="49"/>
    </row>
    <row r="74" spans="1:17" ht="30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44">
        <v>15</v>
      </c>
      <c r="I74" s="51" t="s">
        <v>61</v>
      </c>
      <c r="J74" s="51"/>
      <c r="K74" s="63" t="s">
        <v>61</v>
      </c>
      <c r="L74" s="76"/>
      <c r="M74" s="78" t="s">
        <v>61</v>
      </c>
      <c r="N74" s="140"/>
      <c r="O74" s="142" t="s">
        <v>398</v>
      </c>
      <c r="P74" s="142" t="s">
        <v>30</v>
      </c>
      <c r="Q74" s="49"/>
    </row>
    <row r="75" spans="1:17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44">
        <v>15</v>
      </c>
      <c r="I75" s="51" t="s">
        <v>22</v>
      </c>
      <c r="J75" s="51">
        <v>15</v>
      </c>
      <c r="K75" s="63" t="s">
        <v>22</v>
      </c>
      <c r="L75" s="76">
        <v>15</v>
      </c>
      <c r="M75" s="78" t="s">
        <v>22</v>
      </c>
      <c r="N75" s="140">
        <v>15</v>
      </c>
      <c r="O75" s="142" t="s">
        <v>61</v>
      </c>
      <c r="P75" s="142"/>
      <c r="Q75" s="49"/>
    </row>
    <row r="76" spans="1:17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44">
        <v>15</v>
      </c>
      <c r="I76" s="51" t="s">
        <v>23</v>
      </c>
      <c r="J76" s="51">
        <v>15</v>
      </c>
      <c r="K76" s="63" t="s">
        <v>23</v>
      </c>
      <c r="L76" s="76">
        <v>15</v>
      </c>
      <c r="M76" s="78" t="s">
        <v>23</v>
      </c>
      <c r="N76" s="140">
        <v>15</v>
      </c>
      <c r="O76" s="142" t="s">
        <v>22</v>
      </c>
      <c r="P76" s="142">
        <v>15</v>
      </c>
      <c r="Q76" s="49"/>
    </row>
    <row r="77" spans="1:17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44">
        <v>15</v>
      </c>
      <c r="I77" s="51" t="s">
        <v>24</v>
      </c>
      <c r="J77" s="51">
        <v>15</v>
      </c>
      <c r="K77" s="63" t="s">
        <v>24</v>
      </c>
      <c r="L77" s="76">
        <v>15</v>
      </c>
      <c r="M77" s="78" t="s">
        <v>24</v>
      </c>
      <c r="N77" s="140">
        <v>15</v>
      </c>
      <c r="O77" s="142" t="s">
        <v>23</v>
      </c>
      <c r="P77" s="142">
        <v>15</v>
      </c>
      <c r="Q77" s="49"/>
    </row>
    <row r="78" spans="1:17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44" t="s">
        <v>430</v>
      </c>
      <c r="I78" s="51" t="s">
        <v>62</v>
      </c>
      <c r="J78" s="51">
        <v>15</v>
      </c>
      <c r="K78" s="63" t="s">
        <v>62</v>
      </c>
      <c r="L78" s="76">
        <v>15</v>
      </c>
      <c r="M78" s="78" t="s">
        <v>62</v>
      </c>
      <c r="N78" s="140">
        <v>15</v>
      </c>
      <c r="O78" s="142" t="s">
        <v>24</v>
      </c>
      <c r="P78" s="142">
        <v>15</v>
      </c>
      <c r="Q78" s="49"/>
    </row>
    <row r="79" spans="1:17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44" t="s">
        <v>30</v>
      </c>
      <c r="I79" s="51" t="s">
        <v>63</v>
      </c>
      <c r="J79" s="51" t="s">
        <v>430</v>
      </c>
      <c r="K79" s="63" t="s">
        <v>63</v>
      </c>
      <c r="L79" s="76" t="s">
        <v>430</v>
      </c>
      <c r="M79" s="78" t="s">
        <v>63</v>
      </c>
      <c r="N79" s="140" t="s">
        <v>430</v>
      </c>
      <c r="O79" s="142" t="s">
        <v>62</v>
      </c>
      <c r="P79" s="142">
        <v>15</v>
      </c>
      <c r="Q79" s="49"/>
    </row>
    <row r="80" spans="1:17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44">
        <v>15</v>
      </c>
      <c r="I80" s="51" t="s">
        <v>64</v>
      </c>
      <c r="J80" s="51" t="s">
        <v>481</v>
      </c>
      <c r="K80" s="63" t="s">
        <v>64</v>
      </c>
      <c r="L80" s="76" t="s">
        <v>481</v>
      </c>
      <c r="M80" s="78" t="s">
        <v>64</v>
      </c>
      <c r="N80" s="140" t="s">
        <v>481</v>
      </c>
      <c r="O80" s="142" t="s">
        <v>63</v>
      </c>
      <c r="P80" s="142" t="s">
        <v>430</v>
      </c>
      <c r="Q80" s="49"/>
    </row>
    <row r="81" spans="1:17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44">
        <v>15</v>
      </c>
      <c r="I81" s="51" t="s">
        <v>65</v>
      </c>
      <c r="J81" s="51">
        <v>15</v>
      </c>
      <c r="K81" s="63" t="s">
        <v>65</v>
      </c>
      <c r="L81" s="76">
        <v>15</v>
      </c>
      <c r="M81" s="78" t="s">
        <v>65</v>
      </c>
      <c r="N81" s="140">
        <v>15</v>
      </c>
      <c r="O81" s="142" t="s">
        <v>64</v>
      </c>
      <c r="P81" s="142" t="s">
        <v>481</v>
      </c>
      <c r="Q81" s="49"/>
    </row>
    <row r="82" spans="1:17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44">
        <v>15</v>
      </c>
      <c r="I82" s="51" t="s">
        <v>66</v>
      </c>
      <c r="J82" s="51">
        <v>15</v>
      </c>
      <c r="K82" s="63" t="s">
        <v>66</v>
      </c>
      <c r="L82" s="76">
        <v>15</v>
      </c>
      <c r="M82" s="78" t="s">
        <v>66</v>
      </c>
      <c r="N82" s="140">
        <v>15</v>
      </c>
      <c r="O82" s="142" t="s">
        <v>65</v>
      </c>
      <c r="P82" s="142">
        <v>15</v>
      </c>
      <c r="Q82" s="49"/>
    </row>
    <row r="83" spans="1:17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44">
        <v>15</v>
      </c>
      <c r="I83" s="51" t="s">
        <v>22</v>
      </c>
      <c r="J83" s="51">
        <v>15</v>
      </c>
      <c r="K83" s="63" t="s">
        <v>22</v>
      </c>
      <c r="L83" s="76">
        <v>15</v>
      </c>
      <c r="M83" s="78" t="s">
        <v>22</v>
      </c>
      <c r="N83" s="140">
        <v>15</v>
      </c>
      <c r="O83" s="142" t="s">
        <v>66</v>
      </c>
      <c r="P83" s="142">
        <v>15</v>
      </c>
      <c r="Q83" s="49"/>
    </row>
    <row r="84" spans="1:17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44">
        <v>15</v>
      </c>
      <c r="I84" s="51" t="s">
        <v>23</v>
      </c>
      <c r="J84" s="51">
        <v>15</v>
      </c>
      <c r="K84" s="63" t="s">
        <v>23</v>
      </c>
      <c r="L84" s="76">
        <v>15</v>
      </c>
      <c r="M84" s="78" t="s">
        <v>23</v>
      </c>
      <c r="N84" s="140">
        <v>15</v>
      </c>
      <c r="O84" s="142" t="s">
        <v>22</v>
      </c>
      <c r="P84" s="142">
        <v>15</v>
      </c>
      <c r="Q84" s="49"/>
    </row>
    <row r="85" spans="1:17" x14ac:dyDescent="0.25">
      <c r="A85" s="26" t="s">
        <v>440</v>
      </c>
      <c r="B85" s="26" t="s">
        <v>9</v>
      </c>
      <c r="C85" s="10" t="s">
        <v>440</v>
      </c>
      <c r="D85" s="10" t="s">
        <v>9</v>
      </c>
      <c r="E85" s="24" t="s">
        <v>104</v>
      </c>
      <c r="F85" s="24" t="s">
        <v>9</v>
      </c>
      <c r="G85" s="23" t="s">
        <v>440</v>
      </c>
      <c r="H85" s="44" t="s">
        <v>9</v>
      </c>
      <c r="I85" s="51" t="s">
        <v>24</v>
      </c>
      <c r="J85" s="51">
        <v>15</v>
      </c>
      <c r="K85" s="63" t="s">
        <v>24</v>
      </c>
      <c r="L85" s="76">
        <v>15</v>
      </c>
      <c r="M85" s="78" t="s">
        <v>24</v>
      </c>
      <c r="N85" s="140">
        <v>15</v>
      </c>
      <c r="O85" s="142" t="s">
        <v>23</v>
      </c>
      <c r="P85" s="142">
        <v>15</v>
      </c>
      <c r="Q85" s="49"/>
    </row>
    <row r="86" spans="1:17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44" t="s">
        <v>430</v>
      </c>
      <c r="I86" s="51" t="s">
        <v>440</v>
      </c>
      <c r="J86" s="51" t="s">
        <v>478</v>
      </c>
      <c r="K86" s="63" t="s">
        <v>440</v>
      </c>
      <c r="L86" s="76" t="s">
        <v>478</v>
      </c>
      <c r="M86" s="78" t="s">
        <v>440</v>
      </c>
      <c r="N86" s="140" t="s">
        <v>478</v>
      </c>
      <c r="O86" s="142" t="s">
        <v>24</v>
      </c>
      <c r="P86" s="142">
        <v>15</v>
      </c>
      <c r="Q86" s="49"/>
    </row>
    <row r="87" spans="1:17" ht="27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44">
        <v>15</v>
      </c>
      <c r="I87" s="51" t="s">
        <v>68</v>
      </c>
      <c r="J87" s="51" t="s">
        <v>430</v>
      </c>
      <c r="K87" s="63" t="s">
        <v>68</v>
      </c>
      <c r="L87" s="76" t="s">
        <v>430</v>
      </c>
      <c r="M87" s="78" t="s">
        <v>68</v>
      </c>
      <c r="N87" s="140" t="s">
        <v>430</v>
      </c>
      <c r="O87" s="142" t="s">
        <v>440</v>
      </c>
      <c r="P87" s="142" t="s">
        <v>478</v>
      </c>
      <c r="Q87" s="49"/>
    </row>
    <row r="88" spans="1:17" ht="27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44">
        <v>19</v>
      </c>
      <c r="I88" s="51" t="s">
        <v>69</v>
      </c>
      <c r="J88" s="51">
        <v>15</v>
      </c>
      <c r="K88" s="63" t="s">
        <v>69</v>
      </c>
      <c r="L88" s="76">
        <v>15</v>
      </c>
      <c r="M88" s="78" t="s">
        <v>69</v>
      </c>
      <c r="N88" s="140">
        <v>15</v>
      </c>
      <c r="O88" s="142" t="s">
        <v>68</v>
      </c>
      <c r="P88" s="142" t="s">
        <v>430</v>
      </c>
      <c r="Q88" s="49"/>
    </row>
    <row r="89" spans="1:17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44" t="s">
        <v>72</v>
      </c>
      <c r="I89" s="51" t="s">
        <v>70</v>
      </c>
      <c r="J89" s="51">
        <v>19</v>
      </c>
      <c r="K89" s="63" t="s">
        <v>70</v>
      </c>
      <c r="L89" s="76">
        <v>19</v>
      </c>
      <c r="M89" s="78" t="s">
        <v>70</v>
      </c>
      <c r="N89" s="140">
        <v>19</v>
      </c>
      <c r="O89" s="142" t="s">
        <v>69</v>
      </c>
      <c r="P89" s="142">
        <v>15</v>
      </c>
      <c r="Q89" s="49"/>
    </row>
    <row r="90" spans="1:17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44" t="s">
        <v>72</v>
      </c>
      <c r="I90" s="51" t="s">
        <v>71</v>
      </c>
      <c r="J90" s="51" t="s">
        <v>72</v>
      </c>
      <c r="K90" s="63" t="s">
        <v>71</v>
      </c>
      <c r="L90" s="76" t="s">
        <v>72</v>
      </c>
      <c r="M90" s="78" t="s">
        <v>71</v>
      </c>
      <c r="N90" s="140" t="s">
        <v>72</v>
      </c>
      <c r="O90" s="142" t="s">
        <v>70</v>
      </c>
      <c r="P90" s="142">
        <v>19</v>
      </c>
      <c r="Q90" s="49"/>
    </row>
    <row r="91" spans="1:17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44">
        <v>19</v>
      </c>
      <c r="I91" s="51" t="s">
        <v>73</v>
      </c>
      <c r="J91" s="51" t="s">
        <v>482</v>
      </c>
      <c r="K91" s="63" t="s">
        <v>73</v>
      </c>
      <c r="L91" s="76" t="s">
        <v>482</v>
      </c>
      <c r="M91" s="78" t="s">
        <v>73</v>
      </c>
      <c r="N91" s="140" t="s">
        <v>482</v>
      </c>
      <c r="O91" s="142" t="s">
        <v>71</v>
      </c>
      <c r="P91" s="142" t="s">
        <v>72</v>
      </c>
      <c r="Q91" s="49"/>
    </row>
    <row r="92" spans="1:17" x14ac:dyDescent="0.25">
      <c r="A92" s="26" t="s">
        <v>459</v>
      </c>
      <c r="B92" s="26" t="s">
        <v>137</v>
      </c>
      <c r="C92" s="10" t="s">
        <v>442</v>
      </c>
      <c r="D92" s="10" t="s">
        <v>137</v>
      </c>
      <c r="E92" s="24" t="s">
        <v>442</v>
      </c>
      <c r="F92" s="24" t="s">
        <v>137</v>
      </c>
      <c r="G92" s="23" t="s">
        <v>390</v>
      </c>
      <c r="H92" s="44" t="s">
        <v>135</v>
      </c>
      <c r="I92" s="51" t="s">
        <v>74</v>
      </c>
      <c r="J92" s="51">
        <v>19</v>
      </c>
      <c r="K92" s="63" t="s">
        <v>74</v>
      </c>
      <c r="L92" s="76">
        <v>19</v>
      </c>
      <c r="M92" s="78" t="s">
        <v>74</v>
      </c>
      <c r="N92" s="140">
        <v>19</v>
      </c>
      <c r="O92" s="142" t="s">
        <v>73</v>
      </c>
      <c r="P92" s="142" t="s">
        <v>482</v>
      </c>
      <c r="Q92" s="49"/>
    </row>
    <row r="93" spans="1:17" x14ac:dyDescent="0.25">
      <c r="A93" s="26" t="s">
        <v>460</v>
      </c>
      <c r="B93" s="26" t="s">
        <v>110</v>
      </c>
      <c r="C93" s="10" t="s">
        <v>464</v>
      </c>
      <c r="D93" s="10" t="s">
        <v>110</v>
      </c>
      <c r="E93" s="24" t="s">
        <v>443</v>
      </c>
      <c r="F93" s="24" t="s">
        <v>110</v>
      </c>
      <c r="G93" s="23" t="s">
        <v>441</v>
      </c>
      <c r="H93" s="44" t="s">
        <v>135</v>
      </c>
      <c r="I93" s="51" t="s">
        <v>390</v>
      </c>
      <c r="J93" s="51" t="s">
        <v>135</v>
      </c>
      <c r="K93" s="63" t="s">
        <v>390</v>
      </c>
      <c r="L93" s="76" t="s">
        <v>135</v>
      </c>
      <c r="M93" s="78" t="s">
        <v>390</v>
      </c>
      <c r="N93" s="140" t="s">
        <v>135</v>
      </c>
      <c r="O93" s="142" t="s">
        <v>74</v>
      </c>
      <c r="P93" s="142">
        <v>19</v>
      </c>
      <c r="Q93" s="49"/>
    </row>
    <row r="94" spans="1:17" x14ac:dyDescent="0.25">
      <c r="A94" s="26" t="s">
        <v>461</v>
      </c>
      <c r="B94" s="26" t="s">
        <v>9</v>
      </c>
      <c r="C94" s="10" t="s">
        <v>444</v>
      </c>
      <c r="D94" s="10" t="s">
        <v>92</v>
      </c>
      <c r="E94" s="24" t="s">
        <v>449</v>
      </c>
      <c r="F94" s="24" t="s">
        <v>92</v>
      </c>
      <c r="G94" s="23" t="s">
        <v>32</v>
      </c>
      <c r="H94" s="44" t="s">
        <v>92</v>
      </c>
      <c r="I94" s="51" t="s">
        <v>441</v>
      </c>
      <c r="J94" s="51" t="s">
        <v>135</v>
      </c>
      <c r="K94" s="63" t="s">
        <v>441</v>
      </c>
      <c r="L94" s="76" t="s">
        <v>135</v>
      </c>
      <c r="M94" s="78" t="s">
        <v>441</v>
      </c>
      <c r="N94" s="140" t="s">
        <v>135</v>
      </c>
      <c r="O94" s="142" t="s">
        <v>390</v>
      </c>
      <c r="P94" s="142" t="s">
        <v>135</v>
      </c>
      <c r="Q94" s="49"/>
    </row>
    <row r="95" spans="1:17" ht="27" x14ac:dyDescent="0.25">
      <c r="A95" s="26" t="s">
        <v>462</v>
      </c>
      <c r="B95" s="26" t="s">
        <v>110</v>
      </c>
      <c r="C95" s="10" t="s">
        <v>462</v>
      </c>
      <c r="D95" s="10" t="s">
        <v>110</v>
      </c>
      <c r="E95" s="24" t="s">
        <v>447</v>
      </c>
      <c r="F95" s="24" t="s">
        <v>110</v>
      </c>
      <c r="G95" s="23" t="s">
        <v>8</v>
      </c>
      <c r="H95" s="44" t="s">
        <v>9</v>
      </c>
      <c r="I95" s="51" t="s">
        <v>32</v>
      </c>
      <c r="J95" s="51" t="s">
        <v>92</v>
      </c>
      <c r="K95" s="63" t="s">
        <v>32</v>
      </c>
      <c r="L95" s="76" t="s">
        <v>92</v>
      </c>
      <c r="M95" s="78" t="s">
        <v>32</v>
      </c>
      <c r="N95" s="140" t="s">
        <v>92</v>
      </c>
      <c r="O95" s="142" t="s">
        <v>441</v>
      </c>
      <c r="P95" s="142" t="s">
        <v>135</v>
      </c>
      <c r="Q95" s="49"/>
    </row>
    <row r="96" spans="1:17" x14ac:dyDescent="0.25">
      <c r="A96" s="26" t="s">
        <v>463</v>
      </c>
      <c r="B96" s="26" t="s">
        <v>9</v>
      </c>
      <c r="C96" s="10" t="s">
        <v>463</v>
      </c>
      <c r="D96" s="10" t="s">
        <v>9</v>
      </c>
      <c r="E96" s="24" t="s">
        <v>448</v>
      </c>
      <c r="F96" s="24" t="s">
        <v>9</v>
      </c>
      <c r="G96" s="23" t="s">
        <v>33</v>
      </c>
      <c r="H96" s="44" t="s">
        <v>9</v>
      </c>
      <c r="I96" s="51" t="s">
        <v>8</v>
      </c>
      <c r="J96" s="51" t="s">
        <v>9</v>
      </c>
      <c r="K96" s="63" t="s">
        <v>8</v>
      </c>
      <c r="L96" s="76" t="s">
        <v>9</v>
      </c>
      <c r="M96" s="78" t="s">
        <v>8</v>
      </c>
      <c r="N96" s="140" t="s">
        <v>9</v>
      </c>
      <c r="O96" s="142" t="s">
        <v>32</v>
      </c>
      <c r="P96" s="142" t="s">
        <v>92</v>
      </c>
      <c r="Q96" s="49"/>
    </row>
    <row r="97" spans="7:17" ht="30" x14ac:dyDescent="0.25">
      <c r="G97" s="23" t="s">
        <v>88</v>
      </c>
      <c r="H97" s="44" t="s">
        <v>89</v>
      </c>
      <c r="I97" s="51" t="s">
        <v>33</v>
      </c>
      <c r="J97" s="51" t="s">
        <v>9</v>
      </c>
      <c r="K97" s="63" t="s">
        <v>33</v>
      </c>
      <c r="L97" s="76" t="s">
        <v>9</v>
      </c>
      <c r="M97" s="78" t="s">
        <v>33</v>
      </c>
      <c r="N97" s="140" t="s">
        <v>9</v>
      </c>
      <c r="O97" s="142" t="s">
        <v>8</v>
      </c>
      <c r="P97" s="142" t="s">
        <v>9</v>
      </c>
      <c r="Q97" s="49"/>
    </row>
    <row r="98" spans="7:17" x14ac:dyDescent="0.25">
      <c r="G98" s="23" t="s">
        <v>34</v>
      </c>
      <c r="H98" s="44" t="s">
        <v>9</v>
      </c>
      <c r="I98" s="51" t="s">
        <v>88</v>
      </c>
      <c r="J98" s="51" t="s">
        <v>89</v>
      </c>
      <c r="K98" s="63" t="s">
        <v>88</v>
      </c>
      <c r="L98" s="76" t="s">
        <v>89</v>
      </c>
      <c r="M98" s="78" t="s">
        <v>88</v>
      </c>
      <c r="N98" s="140" t="s">
        <v>89</v>
      </c>
      <c r="O98" s="142" t="s">
        <v>33</v>
      </c>
      <c r="P98" s="142" t="s">
        <v>9</v>
      </c>
      <c r="Q98" s="49"/>
    </row>
    <row r="99" spans="7:17" x14ac:dyDescent="0.25">
      <c r="G99" s="23" t="s">
        <v>104</v>
      </c>
      <c r="H99" s="44" t="s">
        <v>9</v>
      </c>
      <c r="I99" s="51" t="s">
        <v>34</v>
      </c>
      <c r="J99" s="51" t="s">
        <v>9</v>
      </c>
      <c r="K99" s="63" t="s">
        <v>34</v>
      </c>
      <c r="L99" s="76" t="s">
        <v>9</v>
      </c>
      <c r="M99" s="78" t="s">
        <v>34</v>
      </c>
      <c r="N99" s="140" t="s">
        <v>9</v>
      </c>
      <c r="O99" s="142" t="s">
        <v>88</v>
      </c>
      <c r="P99" s="142" t="s">
        <v>89</v>
      </c>
      <c r="Q99" s="49"/>
    </row>
    <row r="100" spans="7:17" x14ac:dyDescent="0.25">
      <c r="G100" s="23" t="s">
        <v>35</v>
      </c>
      <c r="H100" s="44" t="s">
        <v>92</v>
      </c>
      <c r="I100" s="51" t="s">
        <v>104</v>
      </c>
      <c r="J100" s="51" t="s">
        <v>9</v>
      </c>
      <c r="K100" s="63" t="s">
        <v>104</v>
      </c>
      <c r="L100" s="76" t="s">
        <v>9</v>
      </c>
      <c r="M100" s="78" t="s">
        <v>104</v>
      </c>
      <c r="N100" s="140" t="s">
        <v>9</v>
      </c>
      <c r="O100" s="142" t="s">
        <v>34</v>
      </c>
      <c r="P100" s="142" t="s">
        <v>9</v>
      </c>
      <c r="Q100" s="49"/>
    </row>
    <row r="101" spans="7:17" ht="27" x14ac:dyDescent="0.25">
      <c r="G101" s="23" t="s">
        <v>36</v>
      </c>
      <c r="H101" s="44" t="s">
        <v>92</v>
      </c>
      <c r="I101" s="51" t="s">
        <v>35</v>
      </c>
      <c r="J101" s="51" t="s">
        <v>92</v>
      </c>
      <c r="K101" s="63" t="s">
        <v>35</v>
      </c>
      <c r="L101" s="76" t="s">
        <v>92</v>
      </c>
      <c r="M101" s="78" t="s">
        <v>35</v>
      </c>
      <c r="N101" s="140" t="s">
        <v>92</v>
      </c>
      <c r="O101" s="142" t="s">
        <v>104</v>
      </c>
      <c r="P101" s="142" t="s">
        <v>9</v>
      </c>
      <c r="Q101" s="49"/>
    </row>
    <row r="102" spans="7:17" ht="27" x14ac:dyDescent="0.25">
      <c r="G102" s="23" t="s">
        <v>37</v>
      </c>
      <c r="H102" s="44" t="s">
        <v>9</v>
      </c>
      <c r="I102" s="51" t="s">
        <v>36</v>
      </c>
      <c r="J102" s="51" t="s">
        <v>92</v>
      </c>
      <c r="K102" s="63" t="s">
        <v>36</v>
      </c>
      <c r="L102" s="76" t="s">
        <v>92</v>
      </c>
      <c r="M102" s="78" t="s">
        <v>36</v>
      </c>
      <c r="N102" s="140" t="s">
        <v>92</v>
      </c>
      <c r="O102" s="142" t="s">
        <v>35</v>
      </c>
      <c r="P102" s="142" t="s">
        <v>92</v>
      </c>
      <c r="Q102" s="49"/>
    </row>
    <row r="103" spans="7:17" ht="30" x14ac:dyDescent="0.25">
      <c r="G103" s="23" t="s">
        <v>38</v>
      </c>
      <c r="H103" s="44">
        <v>15</v>
      </c>
      <c r="I103" s="51" t="s">
        <v>37</v>
      </c>
      <c r="J103" s="51" t="s">
        <v>9</v>
      </c>
      <c r="K103" s="63" t="s">
        <v>37</v>
      </c>
      <c r="L103" s="76" t="s">
        <v>9</v>
      </c>
      <c r="M103" s="78" t="s">
        <v>37</v>
      </c>
      <c r="N103" s="140" t="s">
        <v>9</v>
      </c>
      <c r="O103" s="142" t="s">
        <v>36</v>
      </c>
      <c r="P103" s="142" t="s">
        <v>92</v>
      </c>
      <c r="Q103" s="49"/>
    </row>
    <row r="104" spans="7:17" ht="30" x14ac:dyDescent="0.25">
      <c r="G104" s="23" t="s">
        <v>39</v>
      </c>
      <c r="H104" s="44" t="s">
        <v>9</v>
      </c>
      <c r="I104" s="51" t="s">
        <v>38</v>
      </c>
      <c r="J104" s="51">
        <v>15</v>
      </c>
      <c r="K104" s="63" t="s">
        <v>38</v>
      </c>
      <c r="L104" s="76">
        <v>15</v>
      </c>
      <c r="M104" s="78" t="s">
        <v>38</v>
      </c>
      <c r="N104" s="140">
        <v>15</v>
      </c>
      <c r="O104" s="142" t="s">
        <v>37</v>
      </c>
      <c r="P104" s="142" t="s">
        <v>9</v>
      </c>
      <c r="Q104" s="49"/>
    </row>
    <row r="105" spans="7:17" x14ac:dyDescent="0.25">
      <c r="G105" s="23" t="s">
        <v>40</v>
      </c>
      <c r="H105" s="44" t="s">
        <v>9</v>
      </c>
      <c r="I105" s="51" t="s">
        <v>39</v>
      </c>
      <c r="J105" s="51" t="s">
        <v>9</v>
      </c>
      <c r="K105" s="63" t="s">
        <v>39</v>
      </c>
      <c r="L105" s="76" t="s">
        <v>9</v>
      </c>
      <c r="M105" s="78" t="s">
        <v>39</v>
      </c>
      <c r="N105" s="140" t="s">
        <v>9</v>
      </c>
      <c r="O105" s="142" t="s">
        <v>38</v>
      </c>
      <c r="P105" s="142">
        <v>15</v>
      </c>
      <c r="Q105" s="49"/>
    </row>
    <row r="106" spans="7:17" x14ac:dyDescent="0.25">
      <c r="G106" s="23" t="s">
        <v>442</v>
      </c>
      <c r="H106" s="44" t="s">
        <v>137</v>
      </c>
      <c r="I106" s="51" t="s">
        <v>40</v>
      </c>
      <c r="J106" s="51" t="s">
        <v>9</v>
      </c>
      <c r="K106" s="63" t="s">
        <v>40</v>
      </c>
      <c r="L106" s="76" t="s">
        <v>9</v>
      </c>
      <c r="M106" s="78" t="s">
        <v>40</v>
      </c>
      <c r="N106" s="140" t="s">
        <v>9</v>
      </c>
      <c r="O106" s="142" t="s">
        <v>39</v>
      </c>
      <c r="P106" s="142" t="s">
        <v>9</v>
      </c>
      <c r="Q106" s="49"/>
    </row>
    <row r="107" spans="7:17" x14ac:dyDescent="0.25">
      <c r="G107" s="23" t="s">
        <v>443</v>
      </c>
      <c r="H107" s="44" t="s">
        <v>110</v>
      </c>
      <c r="I107" s="51" t="s">
        <v>442</v>
      </c>
      <c r="J107" s="51" t="s">
        <v>137</v>
      </c>
      <c r="K107" s="63" t="s">
        <v>442</v>
      </c>
      <c r="L107" s="76" t="s">
        <v>137</v>
      </c>
      <c r="M107" s="78" t="s">
        <v>442</v>
      </c>
      <c r="N107" s="140" t="s">
        <v>137</v>
      </c>
      <c r="O107" s="142" t="s">
        <v>40</v>
      </c>
      <c r="P107" s="142" t="s">
        <v>9</v>
      </c>
      <c r="Q107" s="49"/>
    </row>
    <row r="108" spans="7:17" x14ac:dyDescent="0.25">
      <c r="G108" s="23" t="s">
        <v>444</v>
      </c>
      <c r="H108" s="44" t="s">
        <v>92</v>
      </c>
      <c r="I108" s="51" t="s">
        <v>443</v>
      </c>
      <c r="J108" s="51" t="s">
        <v>110</v>
      </c>
      <c r="K108" s="63" t="s">
        <v>443</v>
      </c>
      <c r="L108" s="76" t="s">
        <v>110</v>
      </c>
      <c r="M108" s="78" t="s">
        <v>443</v>
      </c>
      <c r="N108" s="140" t="s">
        <v>110</v>
      </c>
      <c r="O108" s="142" t="s">
        <v>442</v>
      </c>
      <c r="P108" s="142" t="s">
        <v>137</v>
      </c>
      <c r="Q108" s="49"/>
    </row>
    <row r="109" spans="7:17" x14ac:dyDescent="0.25">
      <c r="G109" s="23" t="s">
        <v>445</v>
      </c>
      <c r="H109" s="44" t="s">
        <v>402</v>
      </c>
      <c r="I109" s="51" t="s">
        <v>444</v>
      </c>
      <c r="J109" s="51" t="s">
        <v>92</v>
      </c>
      <c r="K109" s="63" t="s">
        <v>444</v>
      </c>
      <c r="L109" s="76" t="s">
        <v>92</v>
      </c>
      <c r="M109" s="78" t="s">
        <v>444</v>
      </c>
      <c r="N109" s="140" t="s">
        <v>92</v>
      </c>
      <c r="O109" s="142" t="s">
        <v>443</v>
      </c>
      <c r="P109" s="142" t="s">
        <v>110</v>
      </c>
      <c r="Q109" s="49"/>
    </row>
    <row r="110" spans="7:17" x14ac:dyDescent="0.25">
      <c r="G110" s="23" t="s">
        <v>446</v>
      </c>
      <c r="H110" s="44" t="s">
        <v>135</v>
      </c>
      <c r="I110" s="51" t="s">
        <v>483</v>
      </c>
      <c r="J110" s="51" t="s">
        <v>404</v>
      </c>
      <c r="K110" s="63" t="s">
        <v>483</v>
      </c>
      <c r="L110" s="76" t="s">
        <v>404</v>
      </c>
      <c r="M110" s="78" t="s">
        <v>483</v>
      </c>
      <c r="N110" s="140" t="s">
        <v>404</v>
      </c>
      <c r="O110" s="142" t="s">
        <v>444</v>
      </c>
      <c r="P110" s="142" t="s">
        <v>92</v>
      </c>
      <c r="Q110" s="49"/>
    </row>
    <row r="111" spans="7:17" ht="27" x14ac:dyDescent="0.25">
      <c r="G111" s="23" t="s">
        <v>447</v>
      </c>
      <c r="H111" s="44" t="s">
        <v>110</v>
      </c>
      <c r="I111" s="51" t="s">
        <v>484</v>
      </c>
      <c r="J111" s="51" t="s">
        <v>406</v>
      </c>
      <c r="K111" s="63" t="s">
        <v>484</v>
      </c>
      <c r="L111" s="76" t="s">
        <v>406</v>
      </c>
      <c r="M111" s="78" t="s">
        <v>501</v>
      </c>
      <c r="N111" s="140" t="s">
        <v>406</v>
      </c>
      <c r="O111" s="142" t="s">
        <v>483</v>
      </c>
      <c r="P111" s="142" t="s">
        <v>404</v>
      </c>
      <c r="Q111" s="49"/>
    </row>
    <row r="112" spans="7:17" x14ac:dyDescent="0.25">
      <c r="G112" s="23" t="s">
        <v>448</v>
      </c>
      <c r="H112" s="44" t="s">
        <v>9</v>
      </c>
      <c r="I112" s="51" t="s">
        <v>445</v>
      </c>
      <c r="J112" s="51" t="s">
        <v>402</v>
      </c>
      <c r="K112" s="63" t="s">
        <v>445</v>
      </c>
      <c r="L112" s="76" t="s">
        <v>402</v>
      </c>
      <c r="M112" s="78" t="s">
        <v>445</v>
      </c>
      <c r="N112" s="140" t="s">
        <v>402</v>
      </c>
      <c r="O112" s="142" t="s">
        <v>501</v>
      </c>
      <c r="P112" s="142" t="s">
        <v>406</v>
      </c>
      <c r="Q112" s="49"/>
    </row>
    <row r="113" spans="8:17" x14ac:dyDescent="0.25">
      <c r="H113" s="48"/>
      <c r="I113" s="51" t="s">
        <v>446</v>
      </c>
      <c r="J113" s="51" t="s">
        <v>135</v>
      </c>
      <c r="K113" s="63" t="s">
        <v>446</v>
      </c>
      <c r="L113" s="76" t="s">
        <v>135</v>
      </c>
      <c r="M113" s="78" t="s">
        <v>446</v>
      </c>
      <c r="N113" s="140" t="s">
        <v>135</v>
      </c>
      <c r="O113" s="142" t="s">
        <v>445</v>
      </c>
      <c r="P113" s="142" t="s">
        <v>402</v>
      </c>
      <c r="Q113" s="49"/>
    </row>
    <row r="114" spans="8:17" ht="25.5" x14ac:dyDescent="0.25">
      <c r="H114" s="48"/>
      <c r="I114" s="51" t="s">
        <v>447</v>
      </c>
      <c r="J114" s="51" t="s">
        <v>110</v>
      </c>
      <c r="K114" s="63" t="s">
        <v>447</v>
      </c>
      <c r="L114" s="76" t="s">
        <v>110</v>
      </c>
      <c r="M114" s="78" t="s">
        <v>447</v>
      </c>
      <c r="N114" s="140" t="s">
        <v>110</v>
      </c>
      <c r="O114" s="142" t="s">
        <v>547</v>
      </c>
      <c r="P114" s="142" t="s">
        <v>112</v>
      </c>
      <c r="Q114" s="49"/>
    </row>
    <row r="115" spans="8:17" ht="30" x14ac:dyDescent="0.25">
      <c r="H115" s="48"/>
      <c r="I115" s="51" t="s">
        <v>448</v>
      </c>
      <c r="J115" s="51" t="s">
        <v>9</v>
      </c>
      <c r="K115" s="63" t="s">
        <v>448</v>
      </c>
      <c r="L115" s="76" t="s">
        <v>9</v>
      </c>
      <c r="M115" s="78" t="s">
        <v>448</v>
      </c>
      <c r="N115" s="140" t="s">
        <v>9</v>
      </c>
      <c r="O115" s="142" t="s">
        <v>447</v>
      </c>
      <c r="P115" s="142" t="s">
        <v>110</v>
      </c>
      <c r="Q115" s="49"/>
    </row>
    <row r="116" spans="8:17" x14ac:dyDescent="0.25">
      <c r="I116" s="50"/>
      <c r="J116" s="50"/>
      <c r="K116" s="64"/>
      <c r="L116" s="64"/>
      <c r="M116" s="77"/>
      <c r="N116" s="141"/>
      <c r="O116" s="142" t="s">
        <v>448</v>
      </c>
      <c r="P116" s="142" t="s">
        <v>9</v>
      </c>
      <c r="Q116" s="49"/>
    </row>
    <row r="117" spans="8:17" x14ac:dyDescent="0.25">
      <c r="O117" s="143"/>
      <c r="P117" s="143"/>
    </row>
  </sheetData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XFB124"/>
  <sheetViews>
    <sheetView showZeros="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52" customWidth="1"/>
    <col min="10" max="10" width="28" style="52" customWidth="1"/>
    <col min="11" max="11" width="28.42578125" style="22" customWidth="1"/>
    <col min="12" max="12" width="28" style="22" customWidth="1"/>
    <col min="13" max="13" width="28.42578125" style="22" customWidth="1"/>
    <col min="14" max="14" width="28" style="22" customWidth="1"/>
    <col min="15" max="15" width="27.85546875" style="22" bestFit="1" customWidth="1"/>
    <col min="16" max="16" width="28" style="22" bestFit="1" customWidth="1"/>
    <col min="17" max="16384" width="9.140625" style="22"/>
  </cols>
  <sheetData>
    <row r="1" spans="1:16" x14ac:dyDescent="0.25">
      <c r="A1" s="162"/>
      <c r="B1" s="162"/>
      <c r="C1" s="162"/>
      <c r="D1" s="162"/>
      <c r="E1" s="162"/>
      <c r="F1" s="162"/>
      <c r="G1" s="162"/>
      <c r="H1" s="163"/>
    </row>
    <row r="2" spans="1:16" ht="15.75" thickBot="1" x14ac:dyDescent="0.3">
      <c r="A2" s="180"/>
      <c r="B2" s="180"/>
      <c r="C2" s="180"/>
      <c r="D2" s="180"/>
      <c r="E2" s="180"/>
      <c r="F2" s="180"/>
      <c r="G2" s="180"/>
      <c r="H2" s="181"/>
    </row>
    <row r="3" spans="1:16" ht="15.75" thickBot="1" x14ac:dyDescent="0.3">
      <c r="A3" s="185" t="s">
        <v>42</v>
      </c>
      <c r="B3" s="186"/>
      <c r="C3" s="187" t="s">
        <v>91</v>
      </c>
      <c r="D3" s="188"/>
      <c r="E3" s="189" t="s">
        <v>465</v>
      </c>
      <c r="F3" s="190"/>
      <c r="G3" s="191" t="s">
        <v>424</v>
      </c>
      <c r="H3" s="192"/>
      <c r="I3" s="183" t="s">
        <v>424</v>
      </c>
      <c r="J3" s="184"/>
      <c r="K3" s="182" t="s">
        <v>495</v>
      </c>
      <c r="L3" s="182"/>
      <c r="M3" s="178" t="s">
        <v>499</v>
      </c>
      <c r="N3" s="179"/>
      <c r="O3" s="176" t="s">
        <v>363</v>
      </c>
      <c r="P3" s="177"/>
    </row>
    <row r="4" spans="1:16" x14ac:dyDescent="0.25">
      <c r="A4" s="68" t="s">
        <v>450</v>
      </c>
      <c r="B4" s="68" t="s">
        <v>3</v>
      </c>
      <c r="C4" s="69" t="s">
        <v>450</v>
      </c>
      <c r="D4" s="69" t="s">
        <v>3</v>
      </c>
      <c r="E4" s="70" t="s">
        <v>450</v>
      </c>
      <c r="F4" s="70" t="s">
        <v>3</v>
      </c>
      <c r="G4" s="71" t="s">
        <v>450</v>
      </c>
      <c r="H4" s="71" t="s">
        <v>3</v>
      </c>
      <c r="I4" s="53" t="s">
        <v>450</v>
      </c>
      <c r="J4" s="53" t="s">
        <v>3</v>
      </c>
      <c r="K4" s="65" t="s">
        <v>450</v>
      </c>
      <c r="L4" s="65" t="s">
        <v>3</v>
      </c>
      <c r="M4" s="67" t="s">
        <v>450</v>
      </c>
      <c r="N4" s="67" t="s">
        <v>3</v>
      </c>
      <c r="O4" s="134" t="s">
        <v>450</v>
      </c>
      <c r="P4" s="134" t="s">
        <v>3</v>
      </c>
    </row>
    <row r="5" spans="1:16" x14ac:dyDescent="0.25">
      <c r="A5" s="72" t="str">
        <f>'MAX Originals'!A4</f>
        <v>CompactRIO</v>
      </c>
      <c r="B5" s="72" t="str">
        <f>'MAX Originals'!B4</f>
        <v>15.0.0</v>
      </c>
      <c r="C5" s="73" t="str">
        <f>'MAX Originals'!C4</f>
        <v>CompactRIO</v>
      </c>
      <c r="D5" s="73" t="str">
        <f>'MAX Originals'!D4</f>
        <v>15.0.0</v>
      </c>
      <c r="E5" s="74" t="str">
        <f>'MAX Originals'!E4</f>
        <v>CompactRIO</v>
      </c>
      <c r="F5" s="74" t="str">
        <f>'MAX Originals'!F4</f>
        <v>15.0.0</v>
      </c>
      <c r="G5" s="75" t="str">
        <f>'MAX Originals'!G4</f>
        <v>CompactRIO</v>
      </c>
      <c r="H5" s="75" t="str">
        <f>'MAX Originals'!H4</f>
        <v>15.0.0</v>
      </c>
      <c r="I5" s="54" t="str">
        <f>'MAX Originals'!I4</f>
        <v>CompactRIO</v>
      </c>
      <c r="J5" s="54" t="str">
        <f>'MAX Originals'!J4</f>
        <v>18.1.0</v>
      </c>
      <c r="K5" s="66" t="str">
        <f>'MAX Originals'!K4</f>
        <v>CompactRIO</v>
      </c>
      <c r="L5" s="66" t="str">
        <f>'MAX Originals'!L4</f>
        <v>18.1.0</v>
      </c>
      <c r="M5" s="90" t="str">
        <f>'MAX Originals'!M4</f>
        <v>CompactRIO</v>
      </c>
      <c r="N5" s="90" t="str">
        <f>'MAX Originals'!N4</f>
        <v>18.1.0</v>
      </c>
      <c r="O5" s="135" t="str">
        <f>'MAX Originals'!O5</f>
        <v>CompactRIO</v>
      </c>
      <c r="P5" s="135" t="str">
        <f>'MAX Originals'!P5</f>
        <v>18.1.0</v>
      </c>
    </row>
    <row r="6" spans="1:16" x14ac:dyDescent="0.25">
      <c r="A6" s="72" t="str">
        <f>'MAX Originals'!A5</f>
        <v>C Series Module Support</v>
      </c>
      <c r="B6" s="72" t="str">
        <f>'MAX Originals'!B5</f>
        <v>15.0.0</v>
      </c>
      <c r="C6" s="73" t="str">
        <f>'MAX Originals'!C5</f>
        <v>C Series Module Support</v>
      </c>
      <c r="D6" s="73" t="str">
        <f>'MAX Originals'!D5</f>
        <v>15.0.0</v>
      </c>
      <c r="E6" s="74" t="str">
        <f>'MAX Originals'!E5</f>
        <v>C Series Module Support</v>
      </c>
      <c r="F6" s="74" t="str">
        <f>'MAX Originals'!F5</f>
        <v>15.0.0</v>
      </c>
      <c r="G6" s="75" t="str">
        <f>'MAX Originals'!G5</f>
        <v>C Series Module Support</v>
      </c>
      <c r="H6" s="75" t="str">
        <f>'MAX Originals'!H5</f>
        <v>15.0.0</v>
      </c>
      <c r="I6" s="54" t="str">
        <f>'MAX Originals'!I5</f>
        <v>C Series Module Support</v>
      </c>
      <c r="J6" s="54" t="str">
        <f>'MAX Originals'!J5</f>
        <v>18.1.0</v>
      </c>
      <c r="K6" s="66" t="str">
        <f>'MAX Originals'!K5</f>
        <v>C Series Module Support</v>
      </c>
      <c r="L6" s="66" t="str">
        <f>'MAX Originals'!L5</f>
        <v>18.1.0</v>
      </c>
      <c r="M6" s="90" t="str">
        <f>'MAX Originals'!M5</f>
        <v>C Series Module Support</v>
      </c>
      <c r="N6" s="90" t="str">
        <f>'MAX Originals'!N5</f>
        <v>18.1.0</v>
      </c>
      <c r="O6" s="135" t="str">
        <f>'MAX Originals'!O6</f>
        <v>C Series Module Support</v>
      </c>
      <c r="P6" s="135" t="str">
        <f>'MAX Originals'!P6</f>
        <v>18.1.0</v>
      </c>
    </row>
    <row r="7" spans="1:16" x14ac:dyDescent="0.25">
      <c r="A7" s="72" t="str">
        <f>'MAX Originals'!A6</f>
        <v>CVI</v>
      </c>
      <c r="B7" s="72" t="str">
        <f>'MAX Originals'!B6</f>
        <v>15.0.0</v>
      </c>
      <c r="C7" s="73" t="str">
        <f>'MAX Originals'!C6</f>
        <v>CVI</v>
      </c>
      <c r="D7" s="73" t="str">
        <f>'MAX Originals'!D6</f>
        <v>15.0.0</v>
      </c>
      <c r="E7" s="74" t="str">
        <f>'MAX Originals'!E6</f>
        <v>CVI</v>
      </c>
      <c r="F7" s="74" t="str">
        <f>'MAX Originals'!F6</f>
        <v>15.0.0</v>
      </c>
      <c r="G7" s="75" t="str">
        <f>'MAX Originals'!G6</f>
        <v>CVI</v>
      </c>
      <c r="H7" s="75" t="str">
        <f>'MAX Originals'!H6</f>
        <v>15.0.0</v>
      </c>
      <c r="I7" s="54" t="str">
        <f>'MAX Originals'!I6</f>
        <v>CVI</v>
      </c>
      <c r="J7" s="54" t="str">
        <f>'MAX Originals'!J6</f>
        <v>15.0.0</v>
      </c>
      <c r="K7" s="66" t="str">
        <f>'MAX Originals'!K6</f>
        <v>CVI</v>
      </c>
      <c r="L7" s="66" t="str">
        <f>'MAX Originals'!L6</f>
        <v>15.0.0</v>
      </c>
      <c r="M7" s="90" t="str">
        <f>'MAX Originals'!M6</f>
        <v>CVI</v>
      </c>
      <c r="N7" s="90" t="str">
        <f>'MAX Originals'!N6</f>
        <v>15.0.0</v>
      </c>
      <c r="O7" s="135" t="str">
        <f>'MAX Originals'!O7</f>
        <v>CVI</v>
      </c>
      <c r="P7" s="135" t="str">
        <f>'MAX Originals'!P7</f>
        <v>15.0.0</v>
      </c>
    </row>
    <row r="8" spans="1:16" x14ac:dyDescent="0.25">
      <c r="A8" s="72" t="str">
        <f>'MAX Originals'!A7</f>
        <v>Real-Time</v>
      </c>
      <c r="B8" s="72" t="str">
        <f>'MAX Originals'!B7</f>
        <v>15.0.0</v>
      </c>
      <c r="C8" s="73" t="str">
        <f>'MAX Originals'!C7</f>
        <v>Real-Time</v>
      </c>
      <c r="D8" s="73" t="str">
        <f>'MAX Originals'!D7</f>
        <v>15.0.0</v>
      </c>
      <c r="E8" s="74" t="str">
        <f>'MAX Originals'!E7</f>
        <v>Real-Time</v>
      </c>
      <c r="F8" s="74" t="str">
        <f>'MAX Originals'!F7</f>
        <v>15.0.0</v>
      </c>
      <c r="G8" s="75" t="str">
        <f>'MAX Originals'!G7</f>
        <v>Real-Time</v>
      </c>
      <c r="H8" s="75" t="str">
        <f>'MAX Originals'!H7</f>
        <v>15.0.0</v>
      </c>
      <c r="I8" s="54" t="str">
        <f>'MAX Originals'!I7</f>
        <v>Real-Time</v>
      </c>
      <c r="J8" s="54" t="str">
        <f>'MAX Originals'!J7</f>
        <v>15.0.0</v>
      </c>
      <c r="K8" s="66" t="str">
        <f>'MAX Originals'!K7</f>
        <v>Real-Time</v>
      </c>
      <c r="L8" s="66" t="str">
        <f>'MAX Originals'!L7</f>
        <v>15.0.0</v>
      </c>
      <c r="M8" s="90" t="str">
        <f>'MAX Originals'!M7</f>
        <v>Real-Time</v>
      </c>
      <c r="N8" s="90" t="str">
        <f>'MAX Originals'!N7</f>
        <v>15.0.0</v>
      </c>
      <c r="O8" s="135" t="str">
        <f>'MAX Originals'!O8</f>
        <v>Real-Time</v>
      </c>
      <c r="P8" s="135" t="str">
        <f>'MAX Originals'!P8</f>
        <v>15.0.0</v>
      </c>
    </row>
    <row r="9" spans="1:16" ht="30" x14ac:dyDescent="0.25">
      <c r="A9" s="72" t="str">
        <f>'MAX Originals'!A8</f>
        <v>CVI AddOns</v>
      </c>
      <c r="B9" s="72" t="str">
        <f>'MAX Originals'!B8</f>
        <v>LabWindows/CVI Shared AddOns</v>
      </c>
      <c r="C9" s="73" t="str">
        <f>'MAX Originals'!C8</f>
        <v>CVI AddOns</v>
      </c>
      <c r="D9" s="73" t="str">
        <f>'MAX Originals'!D8</f>
        <v>LabWindows/CVI Shared AddOns</v>
      </c>
      <c r="E9" s="74" t="str">
        <f>'MAX Originals'!E8</f>
        <v>CVI AddOns</v>
      </c>
      <c r="F9" s="74" t="str">
        <f>'MAX Originals'!F8</f>
        <v>LabWindows/CVI Shared AddOns</v>
      </c>
      <c r="G9" s="75" t="str">
        <f>'MAX Originals'!G8</f>
        <v>CVI AddOns</v>
      </c>
      <c r="H9" s="75" t="str">
        <f>'MAX Originals'!H8</f>
        <v>LabWindows/CVI Shared AddOns</v>
      </c>
      <c r="I9" s="54" t="str">
        <f>'MAX Originals'!I8</f>
        <v>CVI AddOns</v>
      </c>
      <c r="J9" s="54" t="str">
        <f>'MAX Originals'!J8</f>
        <v>LabWindows/CVI Shared AddOns</v>
      </c>
      <c r="K9" s="66" t="str">
        <f>'MAX Originals'!K8</f>
        <v>CVI AddOns</v>
      </c>
      <c r="L9" s="66" t="str">
        <f>'MAX Originals'!L8</f>
        <v>LabWindows/CVI Shared AddOns</v>
      </c>
      <c r="M9" s="90" t="str">
        <f>'MAX Originals'!M8</f>
        <v>CVI AddOns</v>
      </c>
      <c r="N9" s="90" t="str">
        <f>'MAX Originals'!N8</f>
        <v>LabWindows/CVI Shared AddOns</v>
      </c>
      <c r="O9" s="135" t="str">
        <f>'MAX Originals'!O9</f>
        <v>CVI AddOns</v>
      </c>
      <c r="P9" s="135" t="str">
        <f>'MAX Originals'!P9</f>
        <v>LabWindows/CVI Shared AddOns</v>
      </c>
    </row>
    <row r="10" spans="1:16" x14ac:dyDescent="0.25">
      <c r="A10" s="72" t="str">
        <f>'MAX Originals'!A9</f>
        <v>PID Toolkit</v>
      </c>
      <c r="B10" s="72" t="str">
        <f>'MAX Originals'!B9</f>
        <v>2.1.0</v>
      </c>
      <c r="C10" s="73" t="str">
        <f>'MAX Originals'!C9</f>
        <v>PID Toolkit</v>
      </c>
      <c r="D10" s="73" t="str">
        <f>'MAX Originals'!D9</f>
        <v>2.1.0</v>
      </c>
      <c r="E10" s="74" t="str">
        <f>'MAX Originals'!E9</f>
        <v>PID Toolkit</v>
      </c>
      <c r="F10" s="74" t="str">
        <f>'MAX Originals'!F9</f>
        <v>2.1.0</v>
      </c>
      <c r="G10" s="75" t="str">
        <f>'MAX Originals'!G9</f>
        <v>PID Toolkit</v>
      </c>
      <c r="H10" s="75" t="str">
        <f>'MAX Originals'!H9</f>
        <v>2.1.0</v>
      </c>
      <c r="I10" s="54" t="str">
        <f>'MAX Originals'!I9</f>
        <v>PID Toolkit</v>
      </c>
      <c r="J10" s="54" t="str">
        <f>'MAX Originals'!J9</f>
        <v>2.1.0</v>
      </c>
      <c r="K10" s="66" t="str">
        <f>'MAX Originals'!K9</f>
        <v>PID Toolkit</v>
      </c>
      <c r="L10" s="66" t="str">
        <f>'MAX Originals'!L9</f>
        <v>2.1.0</v>
      </c>
      <c r="M10" s="90" t="str">
        <f>'MAX Originals'!M9</f>
        <v>PID Toolkit</v>
      </c>
      <c r="N10" s="90" t="str">
        <f>'MAX Originals'!N9</f>
        <v>2.1.0</v>
      </c>
      <c r="O10" s="135" t="str">
        <f>'MAX Originals'!O10</f>
        <v>PID Toolkit</v>
      </c>
      <c r="P10" s="135" t="str">
        <f>'MAX Originals'!P10</f>
        <v>2.1.0</v>
      </c>
    </row>
    <row r="11" spans="1:16" x14ac:dyDescent="0.25">
      <c r="A11" s="72" t="str">
        <f>'MAX Originals'!A10</f>
        <v>Profiler Toolkit</v>
      </c>
      <c r="B11" s="72" t="str">
        <f>'MAX Originals'!B10</f>
        <v>1.0.0</v>
      </c>
      <c r="C11" s="73" t="str">
        <f>'MAX Originals'!C10</f>
        <v>Profiler Toolkit</v>
      </c>
      <c r="D11" s="73" t="str">
        <f>'MAX Originals'!D10</f>
        <v>1.0.0</v>
      </c>
      <c r="E11" s="74" t="str">
        <f>'MAX Originals'!E10</f>
        <v>Profiler Toolkit</v>
      </c>
      <c r="F11" s="74" t="str">
        <f>'MAX Originals'!F10</f>
        <v>1.0.0</v>
      </c>
      <c r="G11" s="75" t="str">
        <f>'MAX Originals'!G10</f>
        <v>Profiler Toolkit</v>
      </c>
      <c r="H11" s="75" t="str">
        <f>'MAX Originals'!H10</f>
        <v>1.0.0</v>
      </c>
      <c r="I11" s="54" t="str">
        <f>'MAX Originals'!I10</f>
        <v>Profiler Toolkit</v>
      </c>
      <c r="J11" s="54" t="str">
        <f>'MAX Originals'!J10</f>
        <v>1.0.0</v>
      </c>
      <c r="K11" s="66" t="str">
        <f>'MAX Originals'!K10</f>
        <v>Profiler Toolkit</v>
      </c>
      <c r="L11" s="66" t="str">
        <f>'MAX Originals'!L10</f>
        <v>1.0.0</v>
      </c>
      <c r="M11" s="90" t="str">
        <f>'MAX Originals'!M10</f>
        <v>Profiler Toolkit</v>
      </c>
      <c r="N11" s="90" t="str">
        <f>'MAX Originals'!N10</f>
        <v>1.0.0</v>
      </c>
      <c r="O11" s="135" t="str">
        <f>'MAX Originals'!O11</f>
        <v>Profiler Toolkit</v>
      </c>
      <c r="P11" s="135" t="str">
        <f>'MAX Originals'!P11</f>
        <v>1.0.0</v>
      </c>
    </row>
    <row r="12" spans="1:16" ht="30" x14ac:dyDescent="0.25">
      <c r="A12" s="72" t="str">
        <f>'MAX Originals'!A11</f>
        <v>Real-Time Trace Viewer - CVI Support</v>
      </c>
      <c r="B12" s="72" t="str">
        <f>'MAX Originals'!B11</f>
        <v>15.0.0</v>
      </c>
      <c r="C12" s="73" t="str">
        <f>'MAX Originals'!C11</f>
        <v>Real-Time Trace Viewer - CVI Support</v>
      </c>
      <c r="D12" s="73" t="str">
        <f>'MAX Originals'!D11</f>
        <v>15.0.0</v>
      </c>
      <c r="E12" s="74" t="str">
        <f>'MAX Originals'!E11</f>
        <v>Real-Time Trace Viewer - CVI Support</v>
      </c>
      <c r="F12" s="74" t="str">
        <f>'MAX Originals'!F11</f>
        <v>15.0.0</v>
      </c>
      <c r="G12" s="75" t="str">
        <f>'MAX Originals'!G11</f>
        <v>Real-Time Trace Viewer - CVI Support</v>
      </c>
      <c r="H12" s="75" t="str">
        <f>'MAX Originals'!H11</f>
        <v>15.0.0</v>
      </c>
      <c r="I12" s="54" t="str">
        <f>'MAX Originals'!I11</f>
        <v>Real-Time Trace Viewer - CVI Support</v>
      </c>
      <c r="J12" s="54" t="str">
        <f>'MAX Originals'!J11</f>
        <v>15.0.0</v>
      </c>
      <c r="K12" s="66" t="str">
        <f>'MAX Originals'!K11</f>
        <v>Real-Time Trace Viewer - CVI Support</v>
      </c>
      <c r="L12" s="66" t="str">
        <f>'MAX Originals'!L11</f>
        <v>15.0.0</v>
      </c>
      <c r="M12" s="90" t="str">
        <f>'MAX Originals'!M11</f>
        <v>Real-Time Trace Viewer - CVI Support</v>
      </c>
      <c r="N12" s="90" t="str">
        <f>'MAX Originals'!N11</f>
        <v>15.0.0</v>
      </c>
      <c r="O12" s="135" t="str">
        <f>'MAX Originals'!O12</f>
        <v>Real-Time Trace Viewer - CVI Support</v>
      </c>
      <c r="P12" s="135" t="str">
        <f>'MAX Originals'!P12</f>
        <v>15.0.0</v>
      </c>
    </row>
    <row r="13" spans="1:16" x14ac:dyDescent="0.25">
      <c r="A13" s="72" t="str">
        <f>'MAX Originals'!A12</f>
        <v>Signal Processing Toolkit</v>
      </c>
      <c r="B13" s="72" t="str">
        <f>'MAX Originals'!B12</f>
        <v>7.0.2</v>
      </c>
      <c r="C13" s="73" t="str">
        <f>'MAX Originals'!C12</f>
        <v>Signal Processing Toolkit</v>
      </c>
      <c r="D13" s="73" t="str">
        <f>'MAX Originals'!D12</f>
        <v>7.0.2</v>
      </c>
      <c r="E13" s="74" t="str">
        <f>'MAX Originals'!E12</f>
        <v>Signal Processing Toolkit</v>
      </c>
      <c r="F13" s="74" t="str">
        <f>'MAX Originals'!F12</f>
        <v>7.0.2</v>
      </c>
      <c r="G13" s="75" t="str">
        <f>'MAX Originals'!G12</f>
        <v>Signal Processing Toolkit</v>
      </c>
      <c r="H13" s="75" t="str">
        <f>'MAX Originals'!H12</f>
        <v>7.0.2</v>
      </c>
      <c r="I13" s="54" t="str">
        <f>'MAX Originals'!I12</f>
        <v>Signal Processing Toolkit</v>
      </c>
      <c r="J13" s="54" t="str">
        <f>'MAX Originals'!J12</f>
        <v>7.0.2</v>
      </c>
      <c r="K13" s="66" t="str">
        <f>'MAX Originals'!K12</f>
        <v>Signal Processing Toolkit</v>
      </c>
      <c r="L13" s="66" t="str">
        <f>'MAX Originals'!L12</f>
        <v>7.0.2</v>
      </c>
      <c r="M13" s="90" t="str">
        <f>'MAX Originals'!M12</f>
        <v>Signal Processing Toolkit</v>
      </c>
      <c r="N13" s="90" t="str">
        <f>'MAX Originals'!N12</f>
        <v>7.0.2</v>
      </c>
      <c r="O13" s="135" t="str">
        <f>'MAX Originals'!O13</f>
        <v>Signal Processing Toolkit</v>
      </c>
      <c r="P13" s="135" t="str">
        <f>'MAX Originals'!P13</f>
        <v>7.0.2</v>
      </c>
    </row>
    <row r="14" spans="1:16" x14ac:dyDescent="0.25">
      <c r="A14" s="72" t="str">
        <f>'MAX Originals'!A13</f>
        <v>SQL Toolkit</v>
      </c>
      <c r="B14" s="72" t="str">
        <f>'MAX Originals'!B13</f>
        <v>2.3.0</v>
      </c>
      <c r="C14" s="73" t="str">
        <f>'MAX Originals'!C13</f>
        <v>SQL Toolkit</v>
      </c>
      <c r="D14" s="73" t="str">
        <f>'MAX Originals'!D13</f>
        <v>2.3.0</v>
      </c>
      <c r="E14" s="74" t="str">
        <f>'MAX Originals'!E13</f>
        <v>SQL Toolkit</v>
      </c>
      <c r="F14" s="74" t="str">
        <f>'MAX Originals'!F13</f>
        <v>2.3.0</v>
      </c>
      <c r="G14" s="75" t="str">
        <f>'MAX Originals'!G13</f>
        <v>SQL Toolkit</v>
      </c>
      <c r="H14" s="75" t="str">
        <f>'MAX Originals'!H13</f>
        <v>2.3.0</v>
      </c>
      <c r="I14" s="54" t="str">
        <f>'MAX Originals'!I13</f>
        <v>SQL Toolkit</v>
      </c>
      <c r="J14" s="54" t="str">
        <f>'MAX Originals'!J13</f>
        <v>2.3.0</v>
      </c>
      <c r="K14" s="66" t="str">
        <f>'MAX Originals'!K13</f>
        <v>SQL Toolkit</v>
      </c>
      <c r="L14" s="66" t="str">
        <f>'MAX Originals'!L13</f>
        <v>2.3.0</v>
      </c>
      <c r="M14" s="90" t="str">
        <f>'MAX Originals'!M13</f>
        <v>SQL Toolkit</v>
      </c>
      <c r="N14" s="90" t="str">
        <f>'MAX Originals'!N13</f>
        <v>2.3.0</v>
      </c>
      <c r="O14" s="135" t="str">
        <f>'MAX Originals'!O14</f>
        <v>SQL Toolkit</v>
      </c>
      <c r="P14" s="135" t="str">
        <f>'MAX Originals'!P14</f>
        <v>2.3.0</v>
      </c>
    </row>
    <row r="15" spans="1:16" x14ac:dyDescent="0.25">
      <c r="A15" s="72" t="str">
        <f>'MAX Originals'!A14</f>
        <v>CVI Runtime</v>
      </c>
      <c r="B15" s="72" t="str">
        <f>'MAX Originals'!B14</f>
        <v>15.0.0.408</v>
      </c>
      <c r="C15" s="73" t="str">
        <f>'MAX Originals'!C14</f>
        <v>CVI Runtime</v>
      </c>
      <c r="D15" s="73" t="str">
        <f>'MAX Originals'!D14</f>
        <v>15.0.0.408</v>
      </c>
      <c r="E15" s="74" t="str">
        <f>'MAX Originals'!E14</f>
        <v>CVI Runtime</v>
      </c>
      <c r="F15" s="74" t="str">
        <f>'MAX Originals'!F14</f>
        <v>15.0.0.408</v>
      </c>
      <c r="G15" s="75" t="str">
        <f>'MAX Originals'!G14</f>
        <v>CVI Runtime</v>
      </c>
      <c r="H15" s="75" t="str">
        <f>'MAX Originals'!H14</f>
        <v>15.0.0.408</v>
      </c>
      <c r="I15" s="54" t="str">
        <f>'MAX Originals'!I14</f>
        <v>CVI Runtime</v>
      </c>
      <c r="J15" s="54" t="str">
        <f>'MAX Originals'!J14</f>
        <v>15.0.0.408</v>
      </c>
      <c r="K15" s="66" t="str">
        <f>'MAX Originals'!K14</f>
        <v>CVI Runtime</v>
      </c>
      <c r="L15" s="66" t="str">
        <f>'MAX Originals'!L14</f>
        <v>15.0.0.408</v>
      </c>
      <c r="M15" s="90" t="str">
        <f>'MAX Originals'!M14</f>
        <v>CVI Runtime</v>
      </c>
      <c r="N15" s="90" t="str">
        <f>'MAX Originals'!N14</f>
        <v>15.0.0.408</v>
      </c>
      <c r="O15" s="135" t="str">
        <f>'MAX Originals'!O15</f>
        <v>CVI Runtime</v>
      </c>
      <c r="P15" s="135" t="str">
        <f>'MAX Originals'!P15</f>
        <v>15.0.0.408</v>
      </c>
    </row>
    <row r="16" spans="1:16" x14ac:dyDescent="0.25">
      <c r="A16" s="72" t="str">
        <f>'MAX Originals'!A15</f>
        <v>NI-DAQmx Device Driver</v>
      </c>
      <c r="B16" s="72" t="str">
        <f>'MAX Originals'!B15</f>
        <v>15.0.0f2</v>
      </c>
      <c r="C16" s="73" t="str">
        <f>'MAX Originals'!C15</f>
        <v>NI-DAQmx Device Driver</v>
      </c>
      <c r="D16" s="73" t="str">
        <f>'MAX Originals'!D15</f>
        <v>15.0.0f2</v>
      </c>
      <c r="E16" s="74" t="str">
        <f>'MAX Originals'!E15</f>
        <v>NI-DAQmx Device Driver</v>
      </c>
      <c r="F16" s="74" t="str">
        <f>'MAX Originals'!F15</f>
        <v>15.0.0f2</v>
      </c>
      <c r="G16" s="75" t="str">
        <f>'MAX Originals'!G15</f>
        <v>NI-DAQmx Device Driver</v>
      </c>
      <c r="H16" s="75" t="str">
        <f>'MAX Originals'!H15</f>
        <v>19.0.0f1</v>
      </c>
      <c r="I16" s="54" t="str">
        <f>'MAX Originals'!I15</f>
        <v>NI-DAQmx Device Driver</v>
      </c>
      <c r="J16" s="54" t="str">
        <f>'MAX Originals'!J15</f>
        <v>19.0.0f1</v>
      </c>
      <c r="K16" s="66" t="str">
        <f>'MAX Originals'!K15</f>
        <v>NI-DAQmx Device Driver</v>
      </c>
      <c r="L16" s="66" t="str">
        <f>'MAX Originals'!L15</f>
        <v>19.0.0f1</v>
      </c>
      <c r="M16" s="90" t="str">
        <f>'MAX Originals'!M15</f>
        <v>NI-DAQmx Device Driver</v>
      </c>
      <c r="N16" s="90" t="str">
        <f>'MAX Originals'!N15</f>
        <v>19.0.0f1</v>
      </c>
      <c r="O16" s="135" t="str">
        <f>'MAX Originals'!O16</f>
        <v>NI-DAQmx Device Driver</v>
      </c>
      <c r="P16" s="135" t="str">
        <f>'MAX Originals'!P16</f>
        <v>19.0.0f1</v>
      </c>
    </row>
    <row r="17" spans="1:16" x14ac:dyDescent="0.25">
      <c r="A17" s="72" t="str">
        <f>'MAX Originals'!A16</f>
        <v>NI-DAQmx ADE Support</v>
      </c>
      <c r="B17" s="72" t="str">
        <f>'MAX Originals'!B16</f>
        <v>15.0.0</v>
      </c>
      <c r="C17" s="73" t="str">
        <f>'MAX Originals'!C16</f>
        <v>NI-DAQmx ADE Support</v>
      </c>
      <c r="D17" s="73" t="str">
        <f>'MAX Originals'!D16</f>
        <v>15.0.0</v>
      </c>
      <c r="E17" s="74" t="str">
        <f>'MAX Originals'!E16</f>
        <v>NI-DAQmx ADE Support</v>
      </c>
      <c r="F17" s="74" t="str">
        <f>'MAX Originals'!F16</f>
        <v>15.0.0</v>
      </c>
      <c r="G17" s="75" t="str">
        <f>'MAX Originals'!G16</f>
        <v>NI-DAQmx ADE Support</v>
      </c>
      <c r="H17" s="75" t="str">
        <f>'MAX Originals'!H16</f>
        <v>15.0.0</v>
      </c>
      <c r="I17" s="54" t="str">
        <f>'MAX Originals'!I16</f>
        <v>NI-DAQmx ADE Support</v>
      </c>
      <c r="J17" s="54" t="str">
        <f>'MAX Originals'!J16</f>
        <v>18.1.0</v>
      </c>
      <c r="K17" s="66" t="str">
        <f>'MAX Originals'!K16</f>
        <v>NI-DAQmx ADE Support</v>
      </c>
      <c r="L17" s="66" t="str">
        <f>'MAX Originals'!L16</f>
        <v>18.1.0</v>
      </c>
      <c r="M17" s="90" t="str">
        <f>'MAX Originals'!M16</f>
        <v>NI-DAQmx ADE Support</v>
      </c>
      <c r="N17" s="90" t="str">
        <f>'MAX Originals'!N16</f>
        <v>18.1.0</v>
      </c>
      <c r="O17" s="135" t="str">
        <f>'MAX Originals'!O17</f>
        <v>NI-DAQmx ADE Support</v>
      </c>
      <c r="P17" s="135" t="str">
        <f>'MAX Originals'!P17</f>
        <v>18.1.0</v>
      </c>
    </row>
    <row r="18" spans="1:16" x14ac:dyDescent="0.25">
      <c r="A18" s="72" t="str">
        <f>'MAX Originals'!A17</f>
        <v>NI-DAQmx MAX Configuration</v>
      </c>
      <c r="B18" s="72" t="str">
        <f>'MAX Originals'!B17</f>
        <v>15.0.0</v>
      </c>
      <c r="C18" s="73" t="str">
        <f>'MAX Originals'!C17</f>
        <v>NI-DAQmx MAX Configuration</v>
      </c>
      <c r="D18" s="73" t="str">
        <f>'MAX Originals'!D17</f>
        <v>15.0.0</v>
      </c>
      <c r="E18" s="74" t="str">
        <f>'MAX Originals'!E17</f>
        <v>NI-DAQmx MAX Configuration</v>
      </c>
      <c r="F18" s="74" t="str">
        <f>'MAX Originals'!F17</f>
        <v>15.0.0</v>
      </c>
      <c r="G18" s="75" t="str">
        <f>'MAX Originals'!G17</f>
        <v>NI-DAQmx MAX Configuration</v>
      </c>
      <c r="H18" s="75" t="str">
        <f>'MAX Originals'!H17</f>
        <v>15.0.0</v>
      </c>
      <c r="I18" s="54" t="str">
        <f>'MAX Originals'!I17</f>
        <v>NI-DAQmx MAX Configuration</v>
      </c>
      <c r="J18" s="54" t="str">
        <f>'MAX Originals'!J17</f>
        <v>18.1.0</v>
      </c>
      <c r="K18" s="66" t="str">
        <f>'MAX Originals'!K17</f>
        <v>NI-DAQmx MAX Configuration</v>
      </c>
      <c r="L18" s="66" t="str">
        <f>'MAX Originals'!L17</f>
        <v>18.1.0</v>
      </c>
      <c r="M18" s="90" t="str">
        <f>'MAX Originals'!M17</f>
        <v>NI-DAQmx MAX Configuration</v>
      </c>
      <c r="N18" s="90" t="str">
        <f>'MAX Originals'!N17</f>
        <v>18.1.0</v>
      </c>
      <c r="O18" s="135" t="str">
        <f>'MAX Originals'!O18</f>
        <v>NI-DAQmx MAX Configuration</v>
      </c>
      <c r="P18" s="135" t="str">
        <f>'MAX Originals'!P18</f>
        <v>18.1.0</v>
      </c>
    </row>
    <row r="19" spans="1:16" x14ac:dyDescent="0.25">
      <c r="A19" s="72" t="str">
        <f>'MAX Originals'!A18</f>
        <v>NI Script Editor</v>
      </c>
      <c r="B19" s="72">
        <f>'MAX Originals'!B18</f>
        <v>14</v>
      </c>
      <c r="C19" s="73" t="str">
        <f>'MAX Originals'!C18</f>
        <v>NI Script Editor</v>
      </c>
      <c r="D19" s="73">
        <f>'MAX Originals'!D18</f>
        <v>14</v>
      </c>
      <c r="E19" s="74" t="str">
        <f>'MAX Originals'!E18</f>
        <v>NI Script Editor</v>
      </c>
      <c r="F19" s="74">
        <f>'MAX Originals'!F18</f>
        <v>14</v>
      </c>
      <c r="G19" s="75" t="str">
        <f>'MAX Originals'!G18</f>
        <v>NI Script Editor</v>
      </c>
      <c r="H19" s="75">
        <f>'MAX Originals'!H18</f>
        <v>14</v>
      </c>
      <c r="I19" s="54" t="str">
        <f>'MAX Originals'!I18</f>
        <v>NI Script Editor</v>
      </c>
      <c r="J19" s="54">
        <f>'MAX Originals'!J18</f>
        <v>14</v>
      </c>
      <c r="K19" s="66" t="str">
        <f>'MAX Originals'!K18</f>
        <v>NI Script Editor</v>
      </c>
      <c r="L19" s="66">
        <f>'MAX Originals'!L18</f>
        <v>14</v>
      </c>
      <c r="M19" s="90" t="str">
        <f>'MAX Originals'!M18</f>
        <v>NI Script Editor</v>
      </c>
      <c r="N19" s="90">
        <f>'MAX Originals'!N18</f>
        <v>14</v>
      </c>
      <c r="O19" s="135" t="str">
        <f>'MAX Originals'!O19</f>
        <v>NI Script Editor</v>
      </c>
      <c r="P19" s="135">
        <f>'MAX Originals'!P19</f>
        <v>14</v>
      </c>
    </row>
    <row r="20" spans="1:16" x14ac:dyDescent="0.25">
      <c r="A20" s="72" t="str">
        <f>'MAX Originals'!A19</f>
        <v>NI-DMM</v>
      </c>
      <c r="B20" s="72"/>
      <c r="C20" s="73" t="str">
        <f>'MAX Originals'!C19</f>
        <v>NI-DMM</v>
      </c>
      <c r="D20" s="73"/>
      <c r="E20" s="74" t="str">
        <f>'MAX Originals'!E19</f>
        <v>NI-DMM</v>
      </c>
      <c r="F20" s="74"/>
      <c r="G20" s="75" t="str">
        <f>'MAX Originals'!G19</f>
        <v>NI-DMM</v>
      </c>
      <c r="H20" s="75"/>
      <c r="I20" s="54" t="str">
        <f>'MAX Originals'!I19</f>
        <v>NI-DMM</v>
      </c>
      <c r="J20" s="54"/>
      <c r="K20" s="66" t="str">
        <f>'MAX Originals'!K19</f>
        <v>NI-DMM</v>
      </c>
      <c r="L20" s="66"/>
      <c r="M20" s="90" t="str">
        <f>'MAX Originals'!M19</f>
        <v>NI-DMM</v>
      </c>
      <c r="N20" s="90"/>
      <c r="O20" s="135" t="str">
        <f>'MAX Originals'!O20</f>
        <v>NI-DMM</v>
      </c>
      <c r="P20" s="135">
        <f>'MAX Originals'!P20</f>
        <v>0</v>
      </c>
    </row>
    <row r="21" spans="1:16" x14ac:dyDescent="0.25">
      <c r="A21" s="72" t="str">
        <f>'MAX Originals'!A20</f>
        <v>Configuration Support</v>
      </c>
      <c r="B21" s="72">
        <f>'MAX Originals'!B20</f>
        <v>15</v>
      </c>
      <c r="C21" s="73" t="str">
        <f>'MAX Originals'!C20</f>
        <v>Configuration Support</v>
      </c>
      <c r="D21" s="73">
        <f>'MAX Originals'!D20</f>
        <v>15</v>
      </c>
      <c r="E21" s="74" t="str">
        <f>'MAX Originals'!E20</f>
        <v>Configuration Support</v>
      </c>
      <c r="F21" s="74">
        <f>'MAX Originals'!F20</f>
        <v>15</v>
      </c>
      <c r="G21" s="75" t="str">
        <f>'MAX Originals'!G20</f>
        <v>Configuration Support</v>
      </c>
      <c r="H21" s="75">
        <f>'MAX Originals'!H20</f>
        <v>15</v>
      </c>
      <c r="I21" s="54" t="str">
        <f>'MAX Originals'!I20</f>
        <v>Configuration Support</v>
      </c>
      <c r="J21" s="54">
        <f>'MAX Originals'!J20</f>
        <v>15</v>
      </c>
      <c r="K21" s="66" t="str">
        <f>'MAX Originals'!K20</f>
        <v>Configuration Support</v>
      </c>
      <c r="L21" s="66">
        <f>'MAX Originals'!L20</f>
        <v>15</v>
      </c>
      <c r="M21" s="90" t="str">
        <f>'MAX Originals'!M20</f>
        <v>Configuration Support</v>
      </c>
      <c r="N21" s="90">
        <f>'MAX Originals'!N20</f>
        <v>15</v>
      </c>
      <c r="O21" s="135" t="str">
        <f>'MAX Originals'!O21</f>
        <v>Configuration Support</v>
      </c>
      <c r="P21" s="135">
        <f>'MAX Originals'!P21</f>
        <v>15</v>
      </c>
    </row>
    <row r="22" spans="1:16" x14ac:dyDescent="0.25">
      <c r="A22" s="72" t="str">
        <f>'MAX Originals'!A21</f>
        <v>Development Support</v>
      </c>
      <c r="B22" s="72">
        <f>'MAX Originals'!B21</f>
        <v>15</v>
      </c>
      <c r="C22" s="73" t="str">
        <f>'MAX Originals'!C21</f>
        <v>Development Support</v>
      </c>
      <c r="D22" s="73">
        <f>'MAX Originals'!D21</f>
        <v>15</v>
      </c>
      <c r="E22" s="74" t="str">
        <f>'MAX Originals'!E21</f>
        <v>Development Support</v>
      </c>
      <c r="F22" s="74">
        <f>'MAX Originals'!F21</f>
        <v>15</v>
      </c>
      <c r="G22" s="75" t="str">
        <f>'MAX Originals'!G21</f>
        <v>Development Support</v>
      </c>
      <c r="H22" s="75">
        <f>'MAX Originals'!H21</f>
        <v>15</v>
      </c>
      <c r="I22" s="54" t="str">
        <f>'MAX Originals'!I21</f>
        <v>Development Support</v>
      </c>
      <c r="J22" s="54">
        <f>'MAX Originals'!J21</f>
        <v>15</v>
      </c>
      <c r="K22" s="66" t="str">
        <f>'MAX Originals'!K21</f>
        <v>Development Support</v>
      </c>
      <c r="L22" s="66">
        <f>'MAX Originals'!L21</f>
        <v>15</v>
      </c>
      <c r="M22" s="90" t="str">
        <f>'MAX Originals'!M21</f>
        <v>Development Support</v>
      </c>
      <c r="N22" s="90">
        <f>'MAX Originals'!N21</f>
        <v>15</v>
      </c>
      <c r="O22" s="135" t="str">
        <f>'MAX Originals'!O22</f>
        <v>Development Support</v>
      </c>
      <c r="P22" s="135">
        <f>'MAX Originals'!P22</f>
        <v>15</v>
      </c>
    </row>
    <row r="23" spans="1:16" x14ac:dyDescent="0.25">
      <c r="A23" s="72" t="str">
        <f>'MAX Originals'!A22</f>
        <v>Runtime</v>
      </c>
      <c r="B23" s="72">
        <f>'MAX Originals'!B22</f>
        <v>15</v>
      </c>
      <c r="C23" s="73" t="str">
        <f>'MAX Originals'!C22</f>
        <v>Runtime</v>
      </c>
      <c r="D23" s="73">
        <f>'MAX Originals'!D22</f>
        <v>15</v>
      </c>
      <c r="E23" s="74" t="str">
        <f>'MAX Originals'!E22</f>
        <v>Runtime</v>
      </c>
      <c r="F23" s="74">
        <f>'MAX Originals'!F22</f>
        <v>15</v>
      </c>
      <c r="G23" s="75" t="str">
        <f>'MAX Originals'!G22</f>
        <v>Runtime</v>
      </c>
      <c r="H23" s="75">
        <f>'MAX Originals'!H22</f>
        <v>15</v>
      </c>
      <c r="I23" s="54" t="str">
        <f>'MAX Originals'!I22</f>
        <v>Runtime</v>
      </c>
      <c r="J23" s="54">
        <f>'MAX Originals'!J22</f>
        <v>15</v>
      </c>
      <c r="K23" s="66" t="str">
        <f>'MAX Originals'!K22</f>
        <v>Runtime</v>
      </c>
      <c r="L23" s="66">
        <f>'MAX Originals'!L22</f>
        <v>15</v>
      </c>
      <c r="M23" s="90" t="str">
        <f>'MAX Originals'!M22</f>
        <v>Runtime</v>
      </c>
      <c r="N23" s="90">
        <f>'MAX Originals'!N22</f>
        <v>15</v>
      </c>
      <c r="O23" s="135" t="str">
        <f>'MAX Originals'!O23</f>
        <v>Runtime</v>
      </c>
      <c r="P23" s="135">
        <f>'MAX Originals'!P23</f>
        <v>15</v>
      </c>
    </row>
    <row r="24" spans="1:16" x14ac:dyDescent="0.25">
      <c r="A24" s="72" t="str">
        <f>'MAX Originals'!A23</f>
        <v>DMM Soft Front Panel</v>
      </c>
      <c r="B24" s="72" t="str">
        <f>'MAX Originals'!B23</f>
        <v>15.0.0</v>
      </c>
      <c r="C24" s="73" t="str">
        <f>'MAX Originals'!C23</f>
        <v>DMM Soft Front Panel</v>
      </c>
      <c r="D24" s="73" t="str">
        <f>'MAX Originals'!D23</f>
        <v>15.0.0</v>
      </c>
      <c r="E24" s="74" t="str">
        <f>'MAX Originals'!E23</f>
        <v>DMM Soft Front Panel</v>
      </c>
      <c r="F24" s="74" t="str">
        <f>'MAX Originals'!F23</f>
        <v>15.0.0</v>
      </c>
      <c r="G24" s="75" t="str">
        <f>'MAX Originals'!G23</f>
        <v>DMM Soft Front Panel</v>
      </c>
      <c r="H24" s="75" t="str">
        <f>'MAX Originals'!H23</f>
        <v>15.0.0</v>
      </c>
      <c r="I24" s="54" t="str">
        <f>'MAX Originals'!I23</f>
        <v>DMM Soft Front Panel</v>
      </c>
      <c r="J24" s="54" t="str">
        <f>'MAX Originals'!J23</f>
        <v>15.0.0</v>
      </c>
      <c r="K24" s="66" t="str">
        <f>'MAX Originals'!K23</f>
        <v>DMM Soft Front Panel</v>
      </c>
      <c r="L24" s="66" t="str">
        <f>'MAX Originals'!L23</f>
        <v>15.0.0</v>
      </c>
      <c r="M24" s="90" t="str">
        <f>'MAX Originals'!M23</f>
        <v>DMM Soft Front Panel</v>
      </c>
      <c r="N24" s="90" t="str">
        <f>'MAX Originals'!N23</f>
        <v>15.0.0</v>
      </c>
      <c r="O24" s="135" t="str">
        <f>'MAX Originals'!O24</f>
        <v>DMM Soft Front Panel</v>
      </c>
      <c r="P24" s="135" t="str">
        <f>'MAX Originals'!P24</f>
        <v>15.0.0</v>
      </c>
    </row>
    <row r="25" spans="1:16" x14ac:dyDescent="0.25">
      <c r="A25" s="72" t="str">
        <f>'MAX Originals'!A24</f>
        <v>NI-FGEN</v>
      </c>
      <c r="B25" s="72">
        <f>'MAX Originals'!B24</f>
        <v>0</v>
      </c>
      <c r="C25" s="73" t="str">
        <f>'MAX Originals'!C24</f>
        <v>NI-FGEN</v>
      </c>
      <c r="D25" s="73">
        <f>'MAX Originals'!D24</f>
        <v>0</v>
      </c>
      <c r="E25" s="74" t="str">
        <f>'MAX Originals'!E24</f>
        <v>NI-FGEN</v>
      </c>
      <c r="F25" s="74">
        <f>'MAX Originals'!F24</f>
        <v>0</v>
      </c>
      <c r="G25" s="75" t="str">
        <f>'MAX Originals'!G24</f>
        <v>NI-FGEN</v>
      </c>
      <c r="H25" s="75">
        <f>'MAX Originals'!H24</f>
        <v>0</v>
      </c>
      <c r="I25" s="54" t="str">
        <f>'MAX Originals'!I24</f>
        <v>NI-FGEN</v>
      </c>
      <c r="J25" s="54">
        <f>'MAX Originals'!J24</f>
        <v>0</v>
      </c>
      <c r="K25" s="66" t="str">
        <f>'MAX Originals'!K24</f>
        <v>NI-FGEN</v>
      </c>
      <c r="L25" s="66">
        <f>'MAX Originals'!L24</f>
        <v>0</v>
      </c>
      <c r="M25" s="90" t="str">
        <f>'MAX Originals'!M24</f>
        <v>NI-FGEN</v>
      </c>
      <c r="N25" s="90">
        <f>'MAX Originals'!N24</f>
        <v>0</v>
      </c>
      <c r="O25" s="135" t="str">
        <f>'MAX Originals'!O25</f>
        <v>NI-FGEN</v>
      </c>
      <c r="P25" s="135">
        <f>'MAX Originals'!P25</f>
        <v>0</v>
      </c>
    </row>
    <row r="26" spans="1:16" x14ac:dyDescent="0.25">
      <c r="A26" s="72" t="str">
        <f>'MAX Originals'!A25</f>
        <v>Configuration Support</v>
      </c>
      <c r="B26" s="72">
        <f>'MAX Originals'!B25</f>
        <v>15</v>
      </c>
      <c r="C26" s="73" t="str">
        <f>'MAX Originals'!C25</f>
        <v>Configuration Support</v>
      </c>
      <c r="D26" s="73">
        <f>'MAX Originals'!D25</f>
        <v>15</v>
      </c>
      <c r="E26" s="74" t="str">
        <f>'MAX Originals'!E25</f>
        <v>Configuration Support</v>
      </c>
      <c r="F26" s="74">
        <f>'MAX Originals'!F25</f>
        <v>15</v>
      </c>
      <c r="G26" s="75" t="str">
        <f>'MAX Originals'!G25</f>
        <v>Configuration Support</v>
      </c>
      <c r="H26" s="75">
        <f>'MAX Originals'!H25</f>
        <v>15</v>
      </c>
      <c r="I26" s="54" t="str">
        <f>'MAX Originals'!I25</f>
        <v>Configuration Support</v>
      </c>
      <c r="J26" s="54">
        <f>'MAX Originals'!J25</f>
        <v>15</v>
      </c>
      <c r="K26" s="66" t="str">
        <f>'MAX Originals'!K25</f>
        <v>Configuration Support</v>
      </c>
      <c r="L26" s="66">
        <f>'MAX Originals'!L25</f>
        <v>15</v>
      </c>
      <c r="M26" s="90" t="str">
        <f>'MAX Originals'!M25</f>
        <v>Configuration Support</v>
      </c>
      <c r="N26" s="90">
        <f>'MAX Originals'!N25</f>
        <v>15</v>
      </c>
      <c r="O26" s="135" t="str">
        <f>'MAX Originals'!O26</f>
        <v>Configuration Support</v>
      </c>
      <c r="P26" s="135">
        <f>'MAX Originals'!P26</f>
        <v>15</v>
      </c>
    </row>
    <row r="27" spans="1:16" x14ac:dyDescent="0.25">
      <c r="A27" s="72" t="str">
        <f>'MAX Originals'!A26</f>
        <v>Development Support</v>
      </c>
      <c r="B27" s="72">
        <f>'MAX Originals'!B26</f>
        <v>15</v>
      </c>
      <c r="C27" s="73" t="str">
        <f>'MAX Originals'!C26</f>
        <v>Development Support</v>
      </c>
      <c r="D27" s="73">
        <f>'MAX Originals'!D26</f>
        <v>15</v>
      </c>
      <c r="E27" s="74" t="str">
        <f>'MAX Originals'!E26</f>
        <v>Development Support</v>
      </c>
      <c r="F27" s="74">
        <f>'MAX Originals'!F26</f>
        <v>15</v>
      </c>
      <c r="G27" s="75" t="str">
        <f>'MAX Originals'!G26</f>
        <v>Development Support</v>
      </c>
      <c r="H27" s="75">
        <f>'MAX Originals'!H26</f>
        <v>15</v>
      </c>
      <c r="I27" s="54" t="str">
        <f>'MAX Originals'!I26</f>
        <v>Development Support</v>
      </c>
      <c r="J27" s="54">
        <f>'MAX Originals'!J26</f>
        <v>15</v>
      </c>
      <c r="K27" s="66" t="str">
        <f>'MAX Originals'!K26</f>
        <v>Development Support</v>
      </c>
      <c r="L27" s="66">
        <f>'MAX Originals'!L26</f>
        <v>15</v>
      </c>
      <c r="M27" s="90" t="str">
        <f>'MAX Originals'!M26</f>
        <v>Development Support</v>
      </c>
      <c r="N27" s="90">
        <f>'MAX Originals'!N26</f>
        <v>15</v>
      </c>
      <c r="O27" s="135" t="str">
        <f>'MAX Originals'!O27</f>
        <v>Development Support</v>
      </c>
      <c r="P27" s="135">
        <f>'MAX Originals'!P27</f>
        <v>15</v>
      </c>
    </row>
    <row r="28" spans="1:16" x14ac:dyDescent="0.25">
      <c r="A28" s="72" t="str">
        <f>'MAX Originals'!A27</f>
        <v>Runtime</v>
      </c>
      <c r="B28" s="72">
        <f>'MAX Originals'!B27</f>
        <v>15</v>
      </c>
      <c r="C28" s="73" t="str">
        <f>'MAX Originals'!C27</f>
        <v>Runtime</v>
      </c>
      <c r="D28" s="73">
        <f>'MAX Originals'!D27</f>
        <v>15</v>
      </c>
      <c r="E28" s="74" t="str">
        <f>'MAX Originals'!E27</f>
        <v>Runtime</v>
      </c>
      <c r="F28" s="74">
        <f>'MAX Originals'!F27</f>
        <v>15</v>
      </c>
      <c r="G28" s="75" t="str">
        <f>'MAX Originals'!G27</f>
        <v>Runtime</v>
      </c>
      <c r="H28" s="75">
        <f>'MAX Originals'!H27</f>
        <v>15</v>
      </c>
      <c r="I28" s="54" t="str">
        <f>'MAX Originals'!I27</f>
        <v>Runtime</v>
      </c>
      <c r="J28" s="54">
        <f>'MAX Originals'!J27</f>
        <v>15</v>
      </c>
      <c r="K28" s="66" t="str">
        <f>'MAX Originals'!K27</f>
        <v>Runtime</v>
      </c>
      <c r="L28" s="66">
        <f>'MAX Originals'!L27</f>
        <v>15</v>
      </c>
      <c r="M28" s="90" t="str">
        <f>'MAX Originals'!M27</f>
        <v>Runtime</v>
      </c>
      <c r="N28" s="90">
        <f>'MAX Originals'!N27</f>
        <v>15</v>
      </c>
      <c r="O28" s="135" t="str">
        <f>'MAX Originals'!O28</f>
        <v>Runtime</v>
      </c>
      <c r="P28" s="135">
        <f>'MAX Originals'!P28</f>
        <v>15</v>
      </c>
    </row>
    <row r="29" spans="1:16" x14ac:dyDescent="0.25">
      <c r="A29" s="72" t="str">
        <f>'MAX Originals'!A28</f>
        <v>FGEN Soft Front Panel</v>
      </c>
      <c r="B29" s="72">
        <f>'MAX Originals'!B28</f>
        <v>15</v>
      </c>
      <c r="C29" s="73" t="str">
        <f>'MAX Originals'!C28</f>
        <v>FGEN Soft Front Panel</v>
      </c>
      <c r="D29" s="73">
        <f>'MAX Originals'!D28</f>
        <v>15</v>
      </c>
      <c r="E29" s="74" t="str">
        <f>'MAX Originals'!E28</f>
        <v>FGEN Soft Front Panel</v>
      </c>
      <c r="F29" s="74">
        <f>'MAX Originals'!F28</f>
        <v>15</v>
      </c>
      <c r="G29" s="75" t="str">
        <f>'MAX Originals'!G28</f>
        <v>FGEN Soft Front Panel</v>
      </c>
      <c r="H29" s="75">
        <f>'MAX Originals'!H28</f>
        <v>15</v>
      </c>
      <c r="I29" s="54" t="str">
        <f>'MAX Originals'!I28</f>
        <v>FGEN Soft Front Panel</v>
      </c>
      <c r="J29" s="54">
        <f>'MAX Originals'!J28</f>
        <v>15</v>
      </c>
      <c r="K29" s="66" t="str">
        <f>'MAX Originals'!K28</f>
        <v>FGEN Soft Front Panel</v>
      </c>
      <c r="L29" s="66">
        <f>'MAX Originals'!L28</f>
        <v>15</v>
      </c>
      <c r="M29" s="90" t="str">
        <f>'MAX Originals'!M28</f>
        <v>FGEN Soft Front Panel</v>
      </c>
      <c r="N29" s="90">
        <f>'MAX Originals'!N28</f>
        <v>15</v>
      </c>
      <c r="O29" s="135" t="str">
        <f>'MAX Originals'!O29</f>
        <v>FGEN Soft Front Panel</v>
      </c>
      <c r="P29" s="135">
        <f>'MAX Originals'!P29</f>
        <v>15</v>
      </c>
    </row>
    <row r="30" spans="1:16" x14ac:dyDescent="0.25">
      <c r="A30" s="72" t="str">
        <f>'MAX Originals'!A29</f>
        <v>NI-488.2 Runtime</v>
      </c>
      <c r="B30" s="72" t="str">
        <f>'MAX Originals'!B29</f>
        <v>15.0.0</v>
      </c>
      <c r="C30" s="73" t="str">
        <f>'MAX Originals'!C29</f>
        <v>NI-488.2 Runtime</v>
      </c>
      <c r="D30" s="73" t="str">
        <f>'MAX Originals'!D29</f>
        <v>15.0.0</v>
      </c>
      <c r="E30" s="74" t="str">
        <f>'MAX Originals'!E29</f>
        <v>NI-488.2 Runtime</v>
      </c>
      <c r="F30" s="74" t="str">
        <f>'MAX Originals'!F29</f>
        <v>15.0.0</v>
      </c>
      <c r="G30" s="75" t="str">
        <f>'MAX Originals'!G29</f>
        <v>NI-488.2 Runtime</v>
      </c>
      <c r="H30" s="75" t="str">
        <f>'MAX Originals'!H29</f>
        <v>19.0.0</v>
      </c>
      <c r="I30" s="54" t="str">
        <f>'MAX Originals'!I29</f>
        <v>NI-488.2 Runtime</v>
      </c>
      <c r="J30" s="54" t="str">
        <f>'MAX Originals'!J29</f>
        <v>19.0.0</v>
      </c>
      <c r="K30" s="66" t="str">
        <f>'MAX Originals'!K29</f>
        <v>NI-488.2 Runtime</v>
      </c>
      <c r="L30" s="66" t="str">
        <f>'MAX Originals'!L29</f>
        <v>19.0.0</v>
      </c>
      <c r="M30" s="90" t="str">
        <f>'MAX Originals'!M29</f>
        <v>NI-488.2 Runtime</v>
      </c>
      <c r="N30" s="90" t="str">
        <f>'MAX Originals'!N29</f>
        <v>19.0.0</v>
      </c>
      <c r="O30" s="135" t="str">
        <f>'MAX Originals'!O30</f>
        <v>NI-488.2 Runtime</v>
      </c>
      <c r="P30" s="135" t="str">
        <f>'MAX Originals'!P30</f>
        <v>19.0.0</v>
      </c>
    </row>
    <row r="31" spans="1:16" x14ac:dyDescent="0.25">
      <c r="A31" s="72" t="str">
        <f>'MAX Originals'!A30</f>
        <v>NI-488.2</v>
      </c>
      <c r="B31" s="72" t="str">
        <f>'MAX Originals'!B30</f>
        <v>15.0.0</v>
      </c>
      <c r="C31" s="73" t="str">
        <f>'MAX Originals'!C30</f>
        <v>NI-488.2</v>
      </c>
      <c r="D31" s="73" t="str">
        <f>'MAX Originals'!D30</f>
        <v>15.0.0</v>
      </c>
      <c r="E31" s="74" t="str">
        <f>'MAX Originals'!E30</f>
        <v>NI-488.2</v>
      </c>
      <c r="F31" s="74" t="str">
        <f>'MAX Originals'!F30</f>
        <v>15.0.0</v>
      </c>
      <c r="G31" s="75" t="str">
        <f>'MAX Originals'!G30</f>
        <v>NI-488.2</v>
      </c>
      <c r="H31" s="75" t="str">
        <f>'MAX Originals'!H30</f>
        <v>15.0.0</v>
      </c>
      <c r="I31" s="54" t="str">
        <f>'MAX Originals'!I30</f>
        <v>NI-488.2</v>
      </c>
      <c r="J31" s="54" t="str">
        <f>'MAX Originals'!J30</f>
        <v>15.0.0</v>
      </c>
      <c r="K31" s="66" t="str">
        <f>'MAX Originals'!K30</f>
        <v>NI-488.2</v>
      </c>
      <c r="L31" s="66" t="str">
        <f>'MAX Originals'!L30</f>
        <v>15.0.0</v>
      </c>
      <c r="M31" s="90" t="str">
        <f>'MAX Originals'!M30</f>
        <v>NI-488.2</v>
      </c>
      <c r="N31" s="90" t="str">
        <f>'MAX Originals'!N30</f>
        <v>15.0.0</v>
      </c>
      <c r="O31" s="135" t="str">
        <f>'MAX Originals'!O31</f>
        <v>NI-488.2</v>
      </c>
      <c r="P31" s="135" t="str">
        <f>'MAX Originals'!P31</f>
        <v>15.0.0</v>
      </c>
    </row>
    <row r="32" spans="1:16" x14ac:dyDescent="0.25">
      <c r="A32" s="72" t="str">
        <f>'MAX Originals'!A31</f>
        <v>NI I/O Trace</v>
      </c>
      <c r="B32" s="72" t="str">
        <f>'MAX Originals'!B31</f>
        <v>15.0.0f0</v>
      </c>
      <c r="C32" s="73" t="str">
        <f>'MAX Originals'!C31</f>
        <v>NI I/O Trace</v>
      </c>
      <c r="D32" s="73" t="str">
        <f>'MAX Originals'!D31</f>
        <v>15.0.0f0</v>
      </c>
      <c r="E32" s="74" t="str">
        <f>'MAX Originals'!E31</f>
        <v>NI I/O Trace</v>
      </c>
      <c r="F32" s="74" t="str">
        <f>'MAX Originals'!F31</f>
        <v>15.0.0f0</v>
      </c>
      <c r="G32" s="75" t="str">
        <f>'MAX Originals'!G39</f>
        <v>NI I/O Trace</v>
      </c>
      <c r="H32" s="75" t="str">
        <f>'MAX Originals'!H39</f>
        <v>19.0.0f0</v>
      </c>
      <c r="I32" s="54" t="str">
        <f>'MAX Originals'!I39</f>
        <v>NI I/O Trace</v>
      </c>
      <c r="J32" s="54" t="str">
        <f>'MAX Originals'!J39</f>
        <v>19.0.0f0</v>
      </c>
      <c r="K32" s="66" t="str">
        <f>'MAX Originals'!K39</f>
        <v>NI I/O Trace</v>
      </c>
      <c r="L32" s="66" t="str">
        <f>'MAX Originals'!L39</f>
        <v>19.0.0f0</v>
      </c>
      <c r="M32" s="90" t="str">
        <f>'MAX Originals'!M39</f>
        <v>NI I/O Trace</v>
      </c>
      <c r="N32" s="90" t="str">
        <f>'MAX Originals'!N39</f>
        <v>19.0.0f0</v>
      </c>
      <c r="O32" s="135" t="str">
        <f>'MAX Originals'!O40</f>
        <v>NI I/O Trace</v>
      </c>
      <c r="P32" s="135" t="str">
        <f>'MAX Originals'!P40</f>
        <v>19.0.0f0</v>
      </c>
    </row>
    <row r="33" spans="1:16" x14ac:dyDescent="0.25">
      <c r="A33" s="72" t="str">
        <f>'MAX Originals'!A32</f>
        <v>IVI Compliance Package</v>
      </c>
      <c r="B33" s="72">
        <f>'MAX Originals'!B32</f>
        <v>15</v>
      </c>
      <c r="C33" s="73" t="str">
        <f>'MAX Originals'!C32</f>
        <v>IVI Compliance Package</v>
      </c>
      <c r="D33" s="73">
        <f>'MAX Originals'!D32</f>
        <v>15</v>
      </c>
      <c r="E33" s="74" t="str">
        <f>'MAX Originals'!E32</f>
        <v>IVI Compliance Package</v>
      </c>
      <c r="F33" s="74">
        <f>'MAX Originals'!F32</f>
        <v>15</v>
      </c>
      <c r="G33" s="75" t="str">
        <f>'MAX Originals'!G40</f>
        <v>IVI Compliance Package</v>
      </c>
      <c r="H33" s="75">
        <f>'MAX Originals'!H40</f>
        <v>15</v>
      </c>
      <c r="I33" s="54" t="str">
        <f>'MAX Originals'!I40</f>
        <v>IVI Compliance Package</v>
      </c>
      <c r="J33" s="54">
        <f>'MAX Originals'!J40</f>
        <v>15</v>
      </c>
      <c r="K33" s="66" t="str">
        <f>'MAX Originals'!K40</f>
        <v>IVI Compliance Package</v>
      </c>
      <c r="L33" s="66">
        <f>'MAX Originals'!L40</f>
        <v>15</v>
      </c>
      <c r="M33" s="90" t="str">
        <f>'MAX Originals'!M40</f>
        <v>IVI Compliance Package</v>
      </c>
      <c r="N33" s="90">
        <f>'MAX Originals'!N40</f>
        <v>15</v>
      </c>
      <c r="O33" s="135" t="str">
        <f>'MAX Originals'!O41</f>
        <v>IVI Compliance Package</v>
      </c>
      <c r="P33" s="135">
        <f>'MAX Originals'!P41</f>
        <v>15</v>
      </c>
    </row>
    <row r="34" spans="1:16" x14ac:dyDescent="0.25">
      <c r="A34" s="72" t="str">
        <f>'MAX Originals'!A33</f>
        <v>LabVIEW</v>
      </c>
      <c r="B34" s="72" t="str">
        <f>'MAX Originals'!B33</f>
        <v>15.0.0</v>
      </c>
      <c r="C34" s="73" t="str">
        <f>'MAX Originals'!C33</f>
        <v>LabVIEW</v>
      </c>
      <c r="D34" s="73" t="str">
        <f>'MAX Originals'!D33</f>
        <v>15.0.1</v>
      </c>
      <c r="E34" s="74" t="str">
        <f>'MAX Originals'!E80</f>
        <v>LabVIEW</v>
      </c>
      <c r="F34" s="74" t="str">
        <f>'MAX Originals'!F80</f>
        <v>15.0.1</v>
      </c>
      <c r="G34" s="75" t="str">
        <f>'MAX Originals'!G94</f>
        <v>LabVIEW</v>
      </c>
      <c r="H34" s="75" t="str">
        <f>'MAX Originals'!H94</f>
        <v>15.0.1</v>
      </c>
      <c r="I34" s="54" t="str">
        <f>'MAX Originals'!I95</f>
        <v>LabVIEW</v>
      </c>
      <c r="J34" s="54" t="str">
        <f>'MAX Originals'!J95</f>
        <v>15.0.1</v>
      </c>
      <c r="K34" s="66" t="str">
        <f>'MAX Originals'!K95</f>
        <v>LabVIEW</v>
      </c>
      <c r="L34" s="66" t="str">
        <f>'MAX Originals'!L95</f>
        <v>15.0.1</v>
      </c>
      <c r="M34" s="90" t="str">
        <f>'MAX Originals'!M95</f>
        <v>LabVIEW</v>
      </c>
      <c r="N34" s="90" t="str">
        <f>'MAX Originals'!N95</f>
        <v>15.0.1</v>
      </c>
      <c r="O34" s="135" t="str">
        <f>'MAX Originals'!O96</f>
        <v>LabVIEW</v>
      </c>
      <c r="P34" s="135" t="str">
        <f>'MAX Originals'!P96</f>
        <v>15.0.1</v>
      </c>
    </row>
    <row r="35" spans="1:16" ht="30" x14ac:dyDescent="0.25">
      <c r="A35" s="72" t="str">
        <f>'MAX Originals'!A34</f>
        <v>Advanced Signal Processing Toolkit</v>
      </c>
      <c r="B35" s="72" t="str">
        <f>'MAX Originals'!B34</f>
        <v>15.0.0</v>
      </c>
      <c r="C35" s="73" t="str">
        <f>'MAX Originals'!C34</f>
        <v>Advanced Signal Processing Toolkit</v>
      </c>
      <c r="D35" s="73" t="str">
        <f>'MAX Originals'!D34</f>
        <v>15.0.0</v>
      </c>
      <c r="E35" s="74" t="str">
        <f>'MAX Originals'!E81</f>
        <v>Advanced Signal Processing Toolkit</v>
      </c>
      <c r="F35" s="74" t="str">
        <f>'MAX Originals'!F81</f>
        <v>15.0.0</v>
      </c>
      <c r="G35" s="75" t="str">
        <f>'MAX Originals'!G95</f>
        <v>Advanced Signal Processing Toolkit</v>
      </c>
      <c r="H35" s="75" t="str">
        <f>'MAX Originals'!H95</f>
        <v>15.0.0</v>
      </c>
      <c r="I35" s="54" t="str">
        <f>'MAX Originals'!I96</f>
        <v>Advanced Signal Processing Toolkit</v>
      </c>
      <c r="J35" s="54" t="str">
        <f>'MAX Originals'!J96</f>
        <v>15.0.0</v>
      </c>
      <c r="K35" s="66" t="str">
        <f>'MAX Originals'!K96</f>
        <v>Advanced Signal Processing Toolkit</v>
      </c>
      <c r="L35" s="66" t="str">
        <f>'MAX Originals'!L96</f>
        <v>15.0.0</v>
      </c>
      <c r="M35" s="90" t="str">
        <f>'MAX Originals'!M96</f>
        <v>Advanced Signal Processing Toolkit</v>
      </c>
      <c r="N35" s="90" t="str">
        <f>'MAX Originals'!N96</f>
        <v>15.0.0</v>
      </c>
      <c r="O35" s="135" t="str">
        <f>'MAX Originals'!O97</f>
        <v>Advanced Signal Processing Toolkit</v>
      </c>
      <c r="P35" s="135" t="str">
        <f>'MAX Originals'!P97</f>
        <v>15.0.0</v>
      </c>
    </row>
    <row r="36" spans="1:16" x14ac:dyDescent="0.25">
      <c r="A36" s="72" t="str">
        <f>'MAX Originals'!A35</f>
        <v>Database Connectivity Toolkit</v>
      </c>
      <c r="B36" s="72" t="str">
        <f>'MAX Originals'!B35</f>
        <v>15.0.0</v>
      </c>
      <c r="C36" s="73" t="str">
        <f>'MAX Originals'!C35</f>
        <v>Database Connectivity Toolkit</v>
      </c>
      <c r="D36" s="73" t="str">
        <f>'MAX Originals'!D35</f>
        <v>15.0.0</v>
      </c>
      <c r="E36" s="74" t="str">
        <f>'MAX Originals'!E82</f>
        <v>Database Connectivity Toolkit</v>
      </c>
      <c r="F36" s="74" t="str">
        <f>'MAX Originals'!F82</f>
        <v>15.0.0</v>
      </c>
      <c r="G36" s="75" t="str">
        <f>'MAX Originals'!G96</f>
        <v>Database Connectivity Toolkit</v>
      </c>
      <c r="H36" s="75" t="str">
        <f>'MAX Originals'!H96</f>
        <v>15.0.0</v>
      </c>
      <c r="I36" s="54" t="str">
        <f>'MAX Originals'!I97</f>
        <v>Database Connectivity Toolkit</v>
      </c>
      <c r="J36" s="54" t="str">
        <f>'MAX Originals'!J97</f>
        <v>15.0.0</v>
      </c>
      <c r="K36" s="66" t="str">
        <f>'MAX Originals'!K97</f>
        <v>Database Connectivity Toolkit</v>
      </c>
      <c r="L36" s="66" t="str">
        <f>'MAX Originals'!L97</f>
        <v>15.0.0</v>
      </c>
      <c r="M36" s="90" t="str">
        <f>'MAX Originals'!M97</f>
        <v>Database Connectivity Toolkit</v>
      </c>
      <c r="N36" s="90" t="str">
        <f>'MAX Originals'!N97</f>
        <v>15.0.0</v>
      </c>
      <c r="O36" s="135" t="str">
        <f>'MAX Originals'!O98</f>
        <v>Database Connectivity Toolkit</v>
      </c>
      <c r="P36" s="135" t="str">
        <f>'MAX Originals'!P98</f>
        <v>15.0.0</v>
      </c>
    </row>
    <row r="37" spans="1:16" x14ac:dyDescent="0.25">
      <c r="A37" s="72" t="str">
        <f>'MAX Originals'!A36</f>
        <v>DataFinder Toolkit</v>
      </c>
      <c r="B37" s="72" t="str">
        <f>'MAX Originals'!B36</f>
        <v>15.0.06020</v>
      </c>
      <c r="C37" s="73" t="str">
        <f>'MAX Originals'!C36</f>
        <v>DataFinder Toolkit</v>
      </c>
      <c r="D37" s="73" t="str">
        <f>'MAX Originals'!D36</f>
        <v>15.0.06020</v>
      </c>
      <c r="E37" s="74" t="str">
        <f>'MAX Originals'!E83</f>
        <v>DataFinder Toolkit</v>
      </c>
      <c r="F37" s="74" t="str">
        <f>'MAX Originals'!F83</f>
        <v>15.0.06020</v>
      </c>
      <c r="G37" s="75" t="str">
        <f>'MAX Originals'!G97</f>
        <v>DataFinder Toolkit</v>
      </c>
      <c r="H37" s="75" t="str">
        <f>'MAX Originals'!H97</f>
        <v>15.0.06020</v>
      </c>
      <c r="I37" s="54" t="str">
        <f>'MAX Originals'!I98</f>
        <v>DataFinder Toolkit</v>
      </c>
      <c r="J37" s="54" t="str">
        <f>'MAX Originals'!J98</f>
        <v>15.0.06020</v>
      </c>
      <c r="K37" s="66" t="str">
        <f>'MAX Originals'!K98</f>
        <v>DataFinder Toolkit</v>
      </c>
      <c r="L37" s="66" t="str">
        <f>'MAX Originals'!L98</f>
        <v>15.0.06020</v>
      </c>
      <c r="M37" s="90" t="str">
        <f>'MAX Originals'!M98</f>
        <v>DataFinder Toolkit</v>
      </c>
      <c r="N37" s="90" t="str">
        <f>'MAX Originals'!N98</f>
        <v>15.0.06020</v>
      </c>
      <c r="O37" s="135" t="str">
        <f>'MAX Originals'!O99</f>
        <v>DataFinder Toolkit</v>
      </c>
      <c r="P37" s="135" t="str">
        <f>'MAX Originals'!P99</f>
        <v>15.0.06020</v>
      </c>
    </row>
    <row r="38" spans="1:16" x14ac:dyDescent="0.25">
      <c r="A38" s="72" t="str">
        <f>'MAX Originals'!A37</f>
        <v>Digital Filter Design Toolkit</v>
      </c>
      <c r="B38" s="72" t="str">
        <f>'MAX Originals'!B37</f>
        <v>15.0.0</v>
      </c>
      <c r="C38" s="73" t="str">
        <f>'MAX Originals'!C37</f>
        <v>Digital Filter Design Toolkit</v>
      </c>
      <c r="D38" s="73" t="str">
        <f>'MAX Originals'!D37</f>
        <v>15.0.0</v>
      </c>
      <c r="E38" s="74" t="str">
        <f>'MAX Originals'!E84</f>
        <v>Digital Filter Design Toolkit</v>
      </c>
      <c r="F38" s="74" t="str">
        <f>'MAX Originals'!F84</f>
        <v>15.0.0</v>
      </c>
      <c r="G38" s="75" t="str">
        <f>'MAX Originals'!G98</f>
        <v>Digital Filter Design Toolkit</v>
      </c>
      <c r="H38" s="75" t="str">
        <f>'MAX Originals'!H98</f>
        <v>15.0.0</v>
      </c>
      <c r="I38" s="54" t="str">
        <f>'MAX Originals'!I99</f>
        <v>Digital Filter Design Toolkit</v>
      </c>
      <c r="J38" s="54" t="str">
        <f>'MAX Originals'!J99</f>
        <v>15.0.0</v>
      </c>
      <c r="K38" s="66" t="str">
        <f>'MAX Originals'!K99</f>
        <v>Digital Filter Design Toolkit</v>
      </c>
      <c r="L38" s="66" t="str">
        <f>'MAX Originals'!L99</f>
        <v>15.0.0</v>
      </c>
      <c r="M38" s="90" t="str">
        <f>'MAX Originals'!M99</f>
        <v>Digital Filter Design Toolkit</v>
      </c>
      <c r="N38" s="90" t="str">
        <f>'MAX Originals'!N99</f>
        <v>15.0.0</v>
      </c>
      <c r="O38" s="135" t="str">
        <f>'MAX Originals'!O100</f>
        <v>Digital Filter Design Toolkit</v>
      </c>
      <c r="P38" s="135" t="str">
        <f>'MAX Originals'!P100</f>
        <v>15.0.0</v>
      </c>
    </row>
    <row r="39" spans="1:16" x14ac:dyDescent="0.25">
      <c r="A39" s="72" t="str">
        <f>'MAX Originals'!A38</f>
        <v>MathScript RT Module</v>
      </c>
      <c r="B39" s="72" t="str">
        <f>'MAX Originals'!B38</f>
        <v>15.0.0</v>
      </c>
      <c r="C39" s="73" t="str">
        <f>'MAX Originals'!C38</f>
        <v>MathScript RT Module</v>
      </c>
      <c r="D39" s="73" t="str">
        <f>'MAX Originals'!D38</f>
        <v>15.0.0</v>
      </c>
      <c r="E39" s="74" t="str">
        <f>'MAX Originals'!E85</f>
        <v>MathScript RT Module</v>
      </c>
      <c r="F39" s="74" t="str">
        <f>'MAX Originals'!F85</f>
        <v>15.0.0</v>
      </c>
      <c r="G39" s="75" t="str">
        <f>'MAX Originals'!G99</f>
        <v>MathScript RT Module</v>
      </c>
      <c r="H39" s="75" t="str">
        <f>'MAX Originals'!H99</f>
        <v>15.0.0</v>
      </c>
      <c r="I39" s="54" t="str">
        <f>'MAX Originals'!I100</f>
        <v>MathScript RT Module</v>
      </c>
      <c r="J39" s="54" t="str">
        <f>'MAX Originals'!J100</f>
        <v>15.0.0</v>
      </c>
      <c r="K39" s="66" t="str">
        <f>'MAX Originals'!K100</f>
        <v>MathScript RT Module</v>
      </c>
      <c r="L39" s="66" t="str">
        <f>'MAX Originals'!L100</f>
        <v>15.0.0</v>
      </c>
      <c r="M39" s="90" t="str">
        <f>'MAX Originals'!M100</f>
        <v>MathScript RT Module</v>
      </c>
      <c r="N39" s="90" t="str">
        <f>'MAX Originals'!N100</f>
        <v>15.0.0</v>
      </c>
      <c r="O39" s="135" t="str">
        <f>'MAX Originals'!O101</f>
        <v>MathScript RT Module</v>
      </c>
      <c r="P39" s="135" t="str">
        <f>'MAX Originals'!P101</f>
        <v>15.0.0</v>
      </c>
    </row>
    <row r="40" spans="1:16" x14ac:dyDescent="0.25">
      <c r="A40" s="72" t="str">
        <f>'MAX Originals'!A39</f>
        <v>Real-Time</v>
      </c>
      <c r="B40" s="72" t="str">
        <f>'MAX Originals'!B39</f>
        <v>15.0.0</v>
      </c>
      <c r="C40" s="73" t="str">
        <f>'MAX Originals'!C39</f>
        <v>Real-Time</v>
      </c>
      <c r="D40" s="73" t="str">
        <f>'MAX Originals'!D39</f>
        <v>15.0.0</v>
      </c>
      <c r="E40" s="74" t="str">
        <f>'MAX Originals'!E86</f>
        <v>Real-Time</v>
      </c>
      <c r="F40" s="74" t="str">
        <f>'MAX Originals'!F86</f>
        <v>15.0.1</v>
      </c>
      <c r="G40" s="75" t="str">
        <f>'MAX Originals'!G100</f>
        <v>Real-Time</v>
      </c>
      <c r="H40" s="75" t="str">
        <f>'MAX Originals'!H100</f>
        <v>15.0.1</v>
      </c>
      <c r="I40" s="54" t="str">
        <f>'MAX Originals'!I101</f>
        <v>Real-Time</v>
      </c>
      <c r="J40" s="54" t="str">
        <f>'MAX Originals'!J101</f>
        <v>15.0.1</v>
      </c>
      <c r="K40" s="66" t="str">
        <f>'MAX Originals'!K101</f>
        <v>Real-Time</v>
      </c>
      <c r="L40" s="66" t="str">
        <f>'MAX Originals'!L101</f>
        <v>15.0.1</v>
      </c>
      <c r="M40" s="90" t="str">
        <f>'MAX Originals'!M101</f>
        <v>Real-Time</v>
      </c>
      <c r="N40" s="90" t="str">
        <f>'MAX Originals'!N101</f>
        <v>15.0.1</v>
      </c>
      <c r="O40" s="135" t="str">
        <f>'MAX Originals'!O102</f>
        <v>Real-Time</v>
      </c>
      <c r="P40" s="135" t="str">
        <f>'MAX Originals'!P102</f>
        <v>15.0.1</v>
      </c>
    </row>
    <row r="41" spans="1:16" ht="30" x14ac:dyDescent="0.25">
      <c r="A41" s="72" t="str">
        <f>'MAX Originals'!A40</f>
        <v>Real-Time Trace Viewer - LabVIEW 2015 Support</v>
      </c>
      <c r="B41" s="72" t="str">
        <f>'MAX Originals'!B40</f>
        <v>15.0.0</v>
      </c>
      <c r="C41" s="73" t="str">
        <f>'MAX Originals'!C40</f>
        <v>Real-Time Trace Viewer - LabVIEW 2015 Support</v>
      </c>
      <c r="D41" s="73" t="str">
        <f>'MAX Originals'!D40</f>
        <v>15.0.0</v>
      </c>
      <c r="E41" s="74" t="str">
        <f>'MAX Originals'!E87</f>
        <v>Real-Time Trace Viewer - LabVIEW 2015 Support</v>
      </c>
      <c r="F41" s="74" t="str">
        <f>'MAX Originals'!F87</f>
        <v>15.0.1</v>
      </c>
      <c r="G41" s="75" t="str">
        <f>'MAX Originals'!G101</f>
        <v>Real-Time Trace Viewer - LabVIEW 2015 Support</v>
      </c>
      <c r="H41" s="75" t="str">
        <f>'MAX Originals'!H101</f>
        <v>15.0.1</v>
      </c>
      <c r="I41" s="54" t="str">
        <f>'MAX Originals'!I102</f>
        <v>Real-Time Trace Viewer - LabVIEW 2015 Support</v>
      </c>
      <c r="J41" s="54" t="str">
        <f>'MAX Originals'!J102</f>
        <v>15.0.1</v>
      </c>
      <c r="K41" s="66" t="str">
        <f>'MAX Originals'!K102</f>
        <v>Real-Time Trace Viewer - LabVIEW 2015 Support</v>
      </c>
      <c r="L41" s="66" t="str">
        <f>'MAX Originals'!L102</f>
        <v>15.0.1</v>
      </c>
      <c r="M41" s="90" t="str">
        <f>'MAX Originals'!M102</f>
        <v>Real-Time Trace Viewer - LabVIEW 2015 Support</v>
      </c>
      <c r="N41" s="90" t="str">
        <f>'MAX Originals'!N102</f>
        <v>15.0.1</v>
      </c>
      <c r="O41" s="135" t="str">
        <f>'MAX Originals'!O103</f>
        <v>Real-Time Trace Viewer - LabVIEW 2015 Support</v>
      </c>
      <c r="P41" s="135" t="str">
        <f>'MAX Originals'!P103</f>
        <v>15.0.1</v>
      </c>
    </row>
    <row r="42" spans="1:16" ht="30" x14ac:dyDescent="0.25">
      <c r="A42" s="72" t="str">
        <f>'MAX Originals'!A41</f>
        <v>Report Generation Toolkit For Microsoft Office</v>
      </c>
      <c r="B42" s="72" t="str">
        <f>'MAX Originals'!B41</f>
        <v>15.0.0</v>
      </c>
      <c r="C42" s="73" t="str">
        <f>'MAX Originals'!C41</f>
        <v>Report Generation Toolkit For Microsoft Office</v>
      </c>
      <c r="D42" s="73" t="str">
        <f>'MAX Originals'!D41</f>
        <v>15.0.0</v>
      </c>
      <c r="E42" s="74" t="str">
        <f>'MAX Originals'!E88</f>
        <v>Report Generation Toolkit For Microsoft Office</v>
      </c>
      <c r="F42" s="74" t="str">
        <f>'MAX Originals'!F88</f>
        <v>15.0.0</v>
      </c>
      <c r="G42" s="75" t="str">
        <f>'MAX Originals'!G102</f>
        <v>Report Generation Toolkit For Microsoft Office</v>
      </c>
      <c r="H42" s="75" t="str">
        <f>'MAX Originals'!H102</f>
        <v>15.0.0</v>
      </c>
      <c r="I42" s="54" t="str">
        <f>'MAX Originals'!I103</f>
        <v>Report Generation Toolkit For Microsoft Office</v>
      </c>
      <c r="J42" s="54" t="str">
        <f>'MAX Originals'!J103</f>
        <v>15.0.0</v>
      </c>
      <c r="K42" s="66" t="str">
        <f>'MAX Originals'!K103</f>
        <v>Report Generation Toolkit For Microsoft Office</v>
      </c>
      <c r="L42" s="66" t="str">
        <f>'MAX Originals'!L103</f>
        <v>15.0.0</v>
      </c>
      <c r="M42" s="90" t="str">
        <f>'MAX Originals'!M103</f>
        <v>Report Generation Toolkit For Microsoft Office</v>
      </c>
      <c r="N42" s="90" t="str">
        <f>'MAX Originals'!N103</f>
        <v>15.0.0</v>
      </c>
      <c r="O42" s="135" t="str">
        <f>'MAX Originals'!O104</f>
        <v>Report Generation Toolkit For Microsoft Office</v>
      </c>
      <c r="P42" s="135" t="str">
        <f>'MAX Originals'!P104</f>
        <v>15.0.0</v>
      </c>
    </row>
    <row r="43" spans="1:16" x14ac:dyDescent="0.25">
      <c r="A43" s="72" t="str">
        <f>'MAX Originals'!A42</f>
        <v>Statechart Module</v>
      </c>
      <c r="B43" s="72">
        <f>'MAX Originals'!B42</f>
        <v>15</v>
      </c>
      <c r="C43" s="73" t="str">
        <f>'MAX Originals'!C42</f>
        <v>Statechart Module</v>
      </c>
      <c r="D43" s="73">
        <f>'MAX Originals'!D42</f>
        <v>15</v>
      </c>
      <c r="E43" s="74" t="str">
        <f>'MAX Originals'!E89</f>
        <v>Statechart Module</v>
      </c>
      <c r="F43" s="74">
        <f>'MAX Originals'!F89</f>
        <v>15</v>
      </c>
      <c r="G43" s="75" t="str">
        <f>'MAX Originals'!G103</f>
        <v>Statechart Module</v>
      </c>
      <c r="H43" s="75">
        <f>'MAX Originals'!H103</f>
        <v>15</v>
      </c>
      <c r="I43" s="54" t="str">
        <f>'MAX Originals'!I104</f>
        <v>Statechart Module</v>
      </c>
      <c r="J43" s="54">
        <f>'MAX Originals'!J104</f>
        <v>15</v>
      </c>
      <c r="K43" s="66" t="str">
        <f>'MAX Originals'!K104</f>
        <v>Statechart Module</v>
      </c>
      <c r="L43" s="66">
        <f>'MAX Originals'!L104</f>
        <v>15</v>
      </c>
      <c r="M43" s="90" t="str">
        <f>'MAX Originals'!M104</f>
        <v>Statechart Module</v>
      </c>
      <c r="N43" s="90">
        <f>'MAX Originals'!N104</f>
        <v>15</v>
      </c>
      <c r="O43" s="135" t="str">
        <f>'MAX Originals'!O105</f>
        <v>Statechart Module</v>
      </c>
      <c r="P43" s="135">
        <f>'MAX Originals'!P105</f>
        <v>15</v>
      </c>
    </row>
    <row r="44" spans="1:16" x14ac:dyDescent="0.25">
      <c r="A44" s="72" t="str">
        <f>'MAX Originals'!A43</f>
        <v>Unit Test Framework Toolkit</v>
      </c>
      <c r="B44" s="72" t="str">
        <f>'MAX Originals'!B43</f>
        <v>15.0.0</v>
      </c>
      <c r="C44" s="73" t="str">
        <f>'MAX Originals'!C43</f>
        <v>Unit Test Framework Toolkit</v>
      </c>
      <c r="D44" s="73" t="str">
        <f>'MAX Originals'!D43</f>
        <v>15.0.0</v>
      </c>
      <c r="E44" s="74" t="str">
        <f>'MAX Originals'!E90</f>
        <v>Unit Test Framework Toolkit</v>
      </c>
      <c r="F44" s="74" t="str">
        <f>'MAX Originals'!F90</f>
        <v>15.0.0</v>
      </c>
      <c r="G44" s="75" t="str">
        <f>'MAX Originals'!G104</f>
        <v>Unit Test Framework Toolkit</v>
      </c>
      <c r="H44" s="75" t="str">
        <f>'MAX Originals'!H104</f>
        <v>15.0.0</v>
      </c>
      <c r="I44" s="54" t="str">
        <f>'MAX Originals'!I105</f>
        <v>Unit Test Framework Toolkit</v>
      </c>
      <c r="J44" s="54" t="str">
        <f>'MAX Originals'!J105</f>
        <v>15.0.0</v>
      </c>
      <c r="K44" s="66" t="str">
        <f>'MAX Originals'!K105</f>
        <v>Unit Test Framework Toolkit</v>
      </c>
      <c r="L44" s="66" t="str">
        <f>'MAX Originals'!L105</f>
        <v>15.0.0</v>
      </c>
      <c r="M44" s="90" t="str">
        <f>'MAX Originals'!M105</f>
        <v>Unit Test Framework Toolkit</v>
      </c>
      <c r="N44" s="90" t="str">
        <f>'MAX Originals'!N105</f>
        <v>15.0.0</v>
      </c>
      <c r="O44" s="135" t="str">
        <f>'MAX Originals'!O106</f>
        <v>Unit Test Framework Toolkit</v>
      </c>
      <c r="P44" s="135" t="str">
        <f>'MAX Originals'!P106</f>
        <v>15.0.0</v>
      </c>
    </row>
    <row r="45" spans="1:16" x14ac:dyDescent="0.25">
      <c r="A45" s="72" t="str">
        <f>'MAX Originals'!A44</f>
        <v>VI Analyzer Toolkit</v>
      </c>
      <c r="B45" s="72" t="str">
        <f>'MAX Originals'!B44</f>
        <v>15.0.0</v>
      </c>
      <c r="C45" s="73" t="str">
        <f>'MAX Originals'!C44</f>
        <v>VI Analyzer Toolkit</v>
      </c>
      <c r="D45" s="73" t="str">
        <f>'MAX Originals'!D44</f>
        <v>15.0.0</v>
      </c>
      <c r="E45" s="74" t="str">
        <f>'MAX Originals'!E91</f>
        <v>VI Analyzer Toolkit</v>
      </c>
      <c r="F45" s="74" t="str">
        <f>'MAX Originals'!F91</f>
        <v>15.0.0</v>
      </c>
      <c r="G45" s="75" t="str">
        <f>'MAX Originals'!G105</f>
        <v>VI Analyzer Toolkit</v>
      </c>
      <c r="H45" s="75" t="str">
        <f>'MAX Originals'!H105</f>
        <v>15.0.0</v>
      </c>
      <c r="I45" s="54" t="str">
        <f>'MAX Originals'!I106</f>
        <v>VI Analyzer Toolkit</v>
      </c>
      <c r="J45" s="54" t="str">
        <f>'MAX Originals'!J106</f>
        <v>15.0.0</v>
      </c>
      <c r="K45" s="66" t="str">
        <f>'MAX Originals'!K106</f>
        <v>VI Analyzer Toolkit</v>
      </c>
      <c r="L45" s="66" t="str">
        <f>'MAX Originals'!L106</f>
        <v>15.0.0</v>
      </c>
      <c r="M45" s="90" t="str">
        <f>'MAX Originals'!M106</f>
        <v>VI Analyzer Toolkit</v>
      </c>
      <c r="N45" s="90" t="str">
        <f>'MAX Originals'!N106</f>
        <v>15.0.0</v>
      </c>
      <c r="O45" s="135" t="str">
        <f>'MAX Originals'!O41</f>
        <v>IVI Compliance Package</v>
      </c>
      <c r="P45" s="135">
        <f>'MAX Originals'!P41</f>
        <v>15</v>
      </c>
    </row>
    <row r="46" spans="1:16" x14ac:dyDescent="0.25">
      <c r="A46" s="72" t="str">
        <f>'MAX Originals'!A45</f>
        <v>LabVIEW 2015 (64-bit)</v>
      </c>
      <c r="B46" s="72" t="str">
        <f>'MAX Originals'!B45</f>
        <v>15.0.0</v>
      </c>
      <c r="C46" s="73" t="str">
        <f>'MAX Originals'!C45</f>
        <v>LabVIEW 2015 (64-bit)</v>
      </c>
      <c r="D46" s="73" t="str">
        <f>'MAX Originals'!D45</f>
        <v>15.0.0</v>
      </c>
      <c r="E46" s="74" t="str">
        <f>'MAX Originals'!E33</f>
        <v>LabVIEW 2015 (64-bit)</v>
      </c>
      <c r="F46" s="74" t="str">
        <f>'MAX Originals'!F33</f>
        <v>15.0.0</v>
      </c>
      <c r="G46" s="75" t="str">
        <f>'MAX Originals'!G41</f>
        <v>LabVIEW 2015 (64-bit)</v>
      </c>
      <c r="H46" s="75" t="str">
        <f>'MAX Originals'!H41</f>
        <v>15.0.0</v>
      </c>
      <c r="I46" s="54" t="str">
        <f>'MAX Originals'!I41</f>
        <v>LabVIEW 2015 (64-bit)</v>
      </c>
      <c r="J46" s="54" t="str">
        <f>'MAX Originals'!J41</f>
        <v>15.0.0</v>
      </c>
      <c r="K46" s="66" t="str">
        <f>'MAX Originals'!K41</f>
        <v>LabVIEW 2015 (64-bit)</v>
      </c>
      <c r="L46" s="66" t="str">
        <f>'MAX Originals'!L41</f>
        <v>15.0.0</v>
      </c>
      <c r="M46" s="90" t="str">
        <f>'MAX Originals'!M41</f>
        <v>LabVIEW 2015 (64-bit)</v>
      </c>
      <c r="N46" s="90" t="str">
        <f>'MAX Originals'!N41</f>
        <v>15.0.0</v>
      </c>
      <c r="O46" s="135" t="str">
        <f>'MAX Originals'!O42</f>
        <v>LabVIEW 2015 (64-bit)</v>
      </c>
      <c r="P46" s="135" t="str">
        <f>'MAX Originals'!P42</f>
        <v>15.0.0</v>
      </c>
    </row>
    <row r="47" spans="1:16" x14ac:dyDescent="0.25">
      <c r="A47" s="72" t="str">
        <f>'MAX Originals'!A46</f>
        <v>LabVIEW Run-Time 2012 SP1 f9</v>
      </c>
      <c r="B47" s="72" t="str">
        <f>'MAX Originals'!B46</f>
        <v>12.0.1</v>
      </c>
      <c r="C47" s="73" t="str">
        <f>'MAX Originals'!C46</f>
        <v>LabVIEW Runtime 2012 SP1 f9</v>
      </c>
      <c r="D47" s="73" t="str">
        <f>'MAX Originals'!D46</f>
        <v>12.0.1</v>
      </c>
      <c r="E47" s="74" t="str">
        <f>'MAX Originals'!E34</f>
        <v>LabVIEW Runtime 2012 SP1 f9</v>
      </c>
      <c r="F47" s="74" t="str">
        <f>'MAX Originals'!F34</f>
        <v>12.0.1</v>
      </c>
      <c r="G47" s="75" t="str">
        <f>'MAX Originals'!G42</f>
        <v>LabVIEW Runtime 2012 SP1 f9</v>
      </c>
      <c r="H47" s="75" t="str">
        <f>'MAX Originals'!H42</f>
        <v>12.0.1</v>
      </c>
      <c r="I47" s="54" t="str">
        <f>'MAX Originals'!I42</f>
        <v>LabVIEW Runtime 2012 SP1 f9</v>
      </c>
      <c r="J47" s="54" t="str">
        <f>'MAX Originals'!J42</f>
        <v>12.0.1</v>
      </c>
      <c r="K47" s="66" t="str">
        <f>'MAX Originals'!K42</f>
        <v>LabVIEW Runtime 2012 SP1 f9</v>
      </c>
      <c r="L47" s="66" t="str">
        <f>'MAX Originals'!L42</f>
        <v>12.0.1</v>
      </c>
      <c r="M47" s="90" t="str">
        <f>'MAX Originals'!M42</f>
        <v>LabVIEW Runtime 2012 SP1 f9</v>
      </c>
      <c r="N47" s="90" t="str">
        <f>'MAX Originals'!N42</f>
        <v>12.0.1</v>
      </c>
      <c r="O47" s="135" t="str">
        <f>'MAX Originals'!O43</f>
        <v>LabVIEW Runtime 2012 SP1 f9</v>
      </c>
      <c r="P47" s="135" t="str">
        <f>'MAX Originals'!P43</f>
        <v>12.0.1</v>
      </c>
    </row>
    <row r="48" spans="1:16" ht="30" x14ac:dyDescent="0.25">
      <c r="A48" s="72" t="str">
        <f>'MAX Originals'!A47</f>
        <v>LabVIEW Runtime 2012 SP1 f9 (64-bit)</v>
      </c>
      <c r="B48" s="72" t="str">
        <f>'MAX Originals'!B47</f>
        <v>12.0.1</v>
      </c>
      <c r="C48" s="73" t="str">
        <f>'MAX Originals'!C47</f>
        <v>LabVIEW Runtime 2012 SP1 f9 (64-bit)</v>
      </c>
      <c r="D48" s="73" t="str">
        <f>'MAX Originals'!D47</f>
        <v>12.0.1</v>
      </c>
      <c r="E48" s="74" t="str">
        <f>'MAX Originals'!E35</f>
        <v>LabVIEW Runtime 2012 SP1 f9 (64-bit)</v>
      </c>
      <c r="F48" s="74" t="str">
        <f>'MAX Originals'!F35</f>
        <v>12.0.1</v>
      </c>
      <c r="G48" s="75" t="str">
        <f>'MAX Originals'!G43</f>
        <v>LabVIEW Runtime 2012 SP1 f9 (64-bit)</v>
      </c>
      <c r="H48" s="75" t="str">
        <f>'MAX Originals'!H43</f>
        <v>12.0.1</v>
      </c>
      <c r="I48" s="54" t="str">
        <f>'MAX Originals'!I43</f>
        <v>LabVIEW Runtime 2012 SP1 f9 (64-bit)</v>
      </c>
      <c r="J48" s="54" t="str">
        <f>'MAX Originals'!J43</f>
        <v>12.0.1</v>
      </c>
      <c r="K48" s="66" t="str">
        <f>'MAX Originals'!K43</f>
        <v>LabVIEW Runtime 2012 SP1 f9 (64-bit)</v>
      </c>
      <c r="L48" s="66" t="str">
        <f>'MAX Originals'!L43</f>
        <v>12.0.1</v>
      </c>
      <c r="M48" s="90" t="str">
        <f>'MAX Originals'!M43</f>
        <v>LabVIEW Runtime 2012 SP1 f9 (64-bit)</v>
      </c>
      <c r="N48" s="90" t="str">
        <f>'MAX Originals'!N43</f>
        <v>12.0.1</v>
      </c>
      <c r="O48" s="135" t="str">
        <f>'MAX Originals'!O44</f>
        <v>LabVIEW Runtime 2012 SP1 f9 (64-bit)</v>
      </c>
      <c r="P48" s="135" t="str">
        <f>'MAX Originals'!P44</f>
        <v>12.0.1</v>
      </c>
    </row>
    <row r="49" spans="1:16" ht="30" x14ac:dyDescent="0.25">
      <c r="A49" s="72" t="str">
        <f>'MAX Originals'!A48</f>
        <v>Measurement &amp; Automation Explorer</v>
      </c>
      <c r="B49" s="72" t="str">
        <f>'MAX Originals'!B48</f>
        <v>15.0.0f0</v>
      </c>
      <c r="C49" s="73" t="str">
        <f>'MAX Originals'!C48</f>
        <v>Measurement &amp; Automation Explorer</v>
      </c>
      <c r="D49" s="73" t="str">
        <f>'MAX Originals'!D48</f>
        <v>15.3.0f0</v>
      </c>
      <c r="E49" s="74" t="str">
        <f>'MAX Originals'!E36</f>
        <v>Measurement &amp; Automation Explorer</v>
      </c>
      <c r="F49" s="74" t="str">
        <f>'MAX Originals'!F36</f>
        <v>15.3.0f0</v>
      </c>
      <c r="G49" s="75" t="str">
        <f>'MAX Originals'!G44</f>
        <v>Measurement &amp; Automation Explorer</v>
      </c>
      <c r="H49" s="75" t="str">
        <f>'MAX Originals'!H44</f>
        <v>15.3.0f0</v>
      </c>
      <c r="I49" s="54" t="str">
        <f>'MAX Originals'!I44</f>
        <v>Measurement &amp; Automation Explorer</v>
      </c>
      <c r="J49" s="54" t="str">
        <f>'MAX Originals'!J44</f>
        <v>18.0.0f0</v>
      </c>
      <c r="K49" s="66" t="str">
        <f>'MAX Originals'!K44</f>
        <v>Measurement &amp; Automation Explorer</v>
      </c>
      <c r="L49" s="66" t="str">
        <f>'MAX Originals'!L44</f>
        <v>18.0.0f0</v>
      </c>
      <c r="M49" s="90" t="str">
        <f>'MAX Originals'!M44</f>
        <v>Measurement &amp; Automation Explorer</v>
      </c>
      <c r="N49" s="90" t="str">
        <f>'MAX Originals'!N44</f>
        <v>18.0.0f0</v>
      </c>
      <c r="O49" s="135" t="str">
        <f>'MAX Originals'!O45</f>
        <v>Measurement &amp; Automation Explorer</v>
      </c>
      <c r="P49" s="135" t="str">
        <f>'MAX Originals'!P45</f>
        <v>18.0.0f0</v>
      </c>
    </row>
    <row r="50" spans="1:16" ht="30" x14ac:dyDescent="0.25">
      <c r="A50" s="72" t="str">
        <f>'MAX Originals'!A49</f>
        <v>Measurement Studio</v>
      </c>
      <c r="B50" s="72" t="str">
        <f>'MAX Originals'!B49</f>
        <v>Visual Studio 2010 Support - See individual versions below.</v>
      </c>
      <c r="C50" s="73" t="str">
        <f>'MAX Originals'!C49</f>
        <v>Measurement Studio</v>
      </c>
      <c r="D50" s="73" t="str">
        <f>'MAX Originals'!D49</f>
        <v>Visual Studio 2010 Support - See individual versions below.</v>
      </c>
      <c r="E50" s="74" t="str">
        <f>'MAX Originals'!E37</f>
        <v>Measurement Studio</v>
      </c>
      <c r="F50" s="74" t="str">
        <f>'MAX Originals'!F37</f>
        <v>Visual Studio 2010 Support - See individual versions below.</v>
      </c>
      <c r="G50" s="75" t="str">
        <f>'MAX Originals'!G45</f>
        <v>Measurement Studio</v>
      </c>
      <c r="H50" s="75" t="str">
        <f>'MAX Originals'!H45</f>
        <v>Visual Studio 2010 Support - See individual versions below.</v>
      </c>
      <c r="I50" s="54" t="str">
        <f>'MAX Originals'!I45</f>
        <v>Measurement Studio</v>
      </c>
      <c r="J50" s="54" t="str">
        <f>'MAX Originals'!J45</f>
        <v>Visual Studio 2010 Support - See individual versions below.</v>
      </c>
      <c r="K50" s="66" t="str">
        <f>'MAX Originals'!K45</f>
        <v>Measurement Studio</v>
      </c>
      <c r="L50" s="66" t="str">
        <f>'MAX Originals'!L45</f>
        <v>Visual Studio 2010 Support - See individual versions below.</v>
      </c>
      <c r="M50" s="90" t="str">
        <f>'MAX Originals'!M45</f>
        <v>Measurement Studio</v>
      </c>
      <c r="N50" s="90" t="str">
        <f>'MAX Originals'!N45</f>
        <v>Visual Studio 2010 Support - See individual versions below.</v>
      </c>
      <c r="O50" s="135" t="str">
        <f>'MAX Originals'!O46</f>
        <v>Measurement Studio</v>
      </c>
      <c r="P50" s="135" t="str">
        <f>'MAX Originals'!P46</f>
        <v>Visual Studio 2010 Support - See individual versions below.</v>
      </c>
    </row>
    <row r="51" spans="1:16" x14ac:dyDescent="0.25">
      <c r="A51" s="72" t="str">
        <f>'MAX Originals'!A50</f>
        <v>DotNET</v>
      </c>
      <c r="B51" s="72">
        <f>'MAX Originals'!B50</f>
        <v>0</v>
      </c>
      <c r="C51" s="73" t="str">
        <f>'MAX Originals'!C50</f>
        <v>DotNET</v>
      </c>
      <c r="D51" s="73">
        <f>'MAX Originals'!D50</f>
        <v>0</v>
      </c>
      <c r="E51" s="74" t="str">
        <f>'MAX Originals'!E38</f>
        <v>DotNET</v>
      </c>
      <c r="F51" s="74">
        <f>'MAX Originals'!F38</f>
        <v>0</v>
      </c>
      <c r="G51" s="75" t="str">
        <f>'MAX Originals'!G46</f>
        <v>DotNET</v>
      </c>
      <c r="H51" s="75">
        <f>'MAX Originals'!H46</f>
        <v>0</v>
      </c>
      <c r="I51" s="54" t="str">
        <f>'MAX Originals'!I46</f>
        <v>DotNET</v>
      </c>
      <c r="J51" s="54">
        <f>'MAX Originals'!J46</f>
        <v>0</v>
      </c>
      <c r="K51" s="66" t="str">
        <f>'MAX Originals'!K46</f>
        <v>DotNET</v>
      </c>
      <c r="L51" s="66">
        <f>'MAX Originals'!L46</f>
        <v>0</v>
      </c>
      <c r="M51" s="90" t="str">
        <f>'MAX Originals'!M46</f>
        <v>DotNET</v>
      </c>
      <c r="N51" s="90">
        <f>'MAX Originals'!N46</f>
        <v>0</v>
      </c>
      <c r="O51" s="135" t="str">
        <f>'MAX Originals'!O47</f>
        <v>DotNET</v>
      </c>
      <c r="P51" s="135">
        <f>'MAX Originals'!P47</f>
        <v>0</v>
      </c>
    </row>
    <row r="52" spans="1:16" x14ac:dyDescent="0.25">
      <c r="A52" s="72" t="str">
        <f>'MAX Originals'!A51</f>
        <v>Common</v>
      </c>
      <c r="B52" s="72" t="str">
        <f>'MAX Originals'!B51</f>
        <v>15.0.40.49154</v>
      </c>
      <c r="C52" s="73" t="str">
        <f>'MAX Originals'!C51</f>
        <v>Common</v>
      </c>
      <c r="D52" s="73" t="str">
        <f>'MAX Originals'!D51</f>
        <v>15.0.40.49154</v>
      </c>
      <c r="E52" s="74" t="str">
        <f>'MAX Originals'!E39</f>
        <v>Common</v>
      </c>
      <c r="F52" s="74" t="str">
        <f>'MAX Originals'!F39</f>
        <v>15.0.40.49154</v>
      </c>
      <c r="G52" s="75" t="str">
        <f>'MAX Originals'!G47</f>
        <v>Common</v>
      </c>
      <c r="H52" s="75" t="str">
        <f>'MAX Originals'!H47</f>
        <v>15.0.40.49154</v>
      </c>
      <c r="I52" s="54" t="str">
        <f>'MAX Originals'!I47</f>
        <v>Common</v>
      </c>
      <c r="J52" s="54" t="str">
        <f>'MAX Originals'!J47</f>
        <v>15.0.40.49154</v>
      </c>
      <c r="K52" s="66" t="str">
        <f>'MAX Originals'!K47</f>
        <v>Common</v>
      </c>
      <c r="L52" s="66" t="str">
        <f>'MAX Originals'!L47</f>
        <v>15.0.40.49154</v>
      </c>
      <c r="M52" s="90" t="str">
        <f>'MAX Originals'!M47</f>
        <v>Common</v>
      </c>
      <c r="N52" s="90" t="str">
        <f>'MAX Originals'!N47</f>
        <v>15.0.40.49154</v>
      </c>
      <c r="O52" s="135" t="str">
        <f>'MAX Originals'!O48</f>
        <v>Common</v>
      </c>
      <c r="P52" s="135" t="str">
        <f>'MAX Originals'!P48</f>
        <v>15.0.40.49154</v>
      </c>
    </row>
    <row r="53" spans="1:16" x14ac:dyDescent="0.25">
      <c r="A53" s="72" t="str">
        <f>'MAX Originals'!A52</f>
        <v>Common (64-bit)</v>
      </c>
      <c r="B53" s="72" t="str">
        <f>'MAX Originals'!B52</f>
        <v>15.0.40.49154</v>
      </c>
      <c r="C53" s="73" t="str">
        <f>'MAX Originals'!C52</f>
        <v>Common (64-bit)</v>
      </c>
      <c r="D53" s="73" t="str">
        <f>'MAX Originals'!D52</f>
        <v>15.0.40.49154</v>
      </c>
      <c r="E53" s="74" t="str">
        <f>'MAX Originals'!E40</f>
        <v>Common (64-bit)</v>
      </c>
      <c r="F53" s="74" t="str">
        <f>'MAX Originals'!F40</f>
        <v>15.0.40.49154</v>
      </c>
      <c r="G53" s="75" t="str">
        <f>'MAX Originals'!G48</f>
        <v>Common (64-bit)</v>
      </c>
      <c r="H53" s="75" t="str">
        <f>'MAX Originals'!H48</f>
        <v>15.0.40.49154</v>
      </c>
      <c r="I53" s="54" t="str">
        <f>'MAX Originals'!I48</f>
        <v>Common (64-bit)</v>
      </c>
      <c r="J53" s="54" t="str">
        <f>'MAX Originals'!J48</f>
        <v>15.0.40.49154</v>
      </c>
      <c r="K53" s="66" t="str">
        <f>'MAX Originals'!K48</f>
        <v>Common (64-bit)</v>
      </c>
      <c r="L53" s="66" t="str">
        <f>'MAX Originals'!L48</f>
        <v>15.0.40.49154</v>
      </c>
      <c r="M53" s="90" t="str">
        <f>'MAX Originals'!M48</f>
        <v>Common (64-bit)</v>
      </c>
      <c r="N53" s="90" t="str">
        <f>'MAX Originals'!N48</f>
        <v>15.0.40.49154</v>
      </c>
      <c r="O53" s="135" t="str">
        <f>'MAX Originals'!O49</f>
        <v>Common (64-bit)</v>
      </c>
      <c r="P53" s="135" t="str">
        <f>'MAX Originals'!P49</f>
        <v>15.0.40.49154</v>
      </c>
    </row>
    <row r="54" spans="1:16" x14ac:dyDescent="0.25">
      <c r="A54" s="72" t="str">
        <f>'MAX Originals'!A53</f>
        <v>NI-USI</v>
      </c>
      <c r="B54" s="72" t="str">
        <f>'MAX Originals'!B53</f>
        <v>15.0.0.5998</v>
      </c>
      <c r="C54" s="73" t="str">
        <f>'MAX Originals'!C53</f>
        <v>NI-USI</v>
      </c>
      <c r="D54" s="73" t="str">
        <f>'MAX Originals'!D53</f>
        <v>15.0.1.6118</v>
      </c>
      <c r="E54" s="74" t="str">
        <f>'MAX Originals'!E41</f>
        <v>NI-USI</v>
      </c>
      <c r="F54" s="74" t="str">
        <f>'MAX Originals'!F41</f>
        <v>15.0.1.6118</v>
      </c>
      <c r="G54" s="75" t="str">
        <f>'MAX Originals'!G49</f>
        <v>NI-USI</v>
      </c>
      <c r="H54" s="75" t="str">
        <f>'MAX Originals'!H49</f>
        <v>15.0.1.6118</v>
      </c>
      <c r="I54" s="54" t="str">
        <f>'MAX Originals'!I49</f>
        <v>NI-USI</v>
      </c>
      <c r="J54" s="54" t="str">
        <f>'MAX Originals'!J49</f>
        <v>15.0.1.6118</v>
      </c>
      <c r="K54" s="66" t="str">
        <f>'MAX Originals'!K49</f>
        <v>NI-USI</v>
      </c>
      <c r="L54" s="66" t="str">
        <f>'MAX Originals'!L49</f>
        <v>15.0.1.6118</v>
      </c>
      <c r="M54" s="90" t="str">
        <f>'MAX Originals'!M49</f>
        <v>NI-USI</v>
      </c>
      <c r="N54" s="90" t="str">
        <f>'MAX Originals'!N49</f>
        <v>17.0.0.6654</v>
      </c>
      <c r="O54" s="135" t="str">
        <f>'MAX Originals'!O50</f>
        <v>NI-USI</v>
      </c>
      <c r="P54" s="135" t="str">
        <f>'MAX Originals'!P50</f>
        <v>17.0.0.6654</v>
      </c>
    </row>
    <row r="55" spans="1:16" x14ac:dyDescent="0.25">
      <c r="A55" s="72" t="str">
        <f>'MAX Originals'!A54</f>
        <v>NI-DCPower</v>
      </c>
      <c r="B55" s="72">
        <f>'MAX Originals'!B54</f>
        <v>0</v>
      </c>
      <c r="C55" s="73" t="str">
        <f>'MAX Originals'!C54</f>
        <v>NI-DCPower</v>
      </c>
      <c r="D55" s="73">
        <f>'MAX Originals'!D54</f>
        <v>0</v>
      </c>
      <c r="E55" s="74" t="str">
        <f>'MAX Originals'!E42</f>
        <v>NI-DCPower</v>
      </c>
      <c r="F55" s="74">
        <f>'MAX Originals'!F42</f>
        <v>0</v>
      </c>
      <c r="G55" s="75" t="str">
        <f>'MAX Originals'!G50</f>
        <v>NI-DCPower</v>
      </c>
      <c r="H55" s="75">
        <f>'MAX Originals'!H50</f>
        <v>0</v>
      </c>
      <c r="I55" s="54" t="str">
        <f>'MAX Originals'!I50</f>
        <v>NI-DCPower</v>
      </c>
      <c r="J55" s="54">
        <f>'MAX Originals'!J50</f>
        <v>0</v>
      </c>
      <c r="K55" s="66" t="str">
        <f>'MAX Originals'!K50</f>
        <v>NI-DCPower</v>
      </c>
      <c r="L55" s="66">
        <f>'MAX Originals'!L50</f>
        <v>0</v>
      </c>
      <c r="M55" s="90" t="str">
        <f>'MAX Originals'!M50</f>
        <v>NI-DCPower</v>
      </c>
      <c r="N55" s="90">
        <f>'MAX Originals'!N50</f>
        <v>0</v>
      </c>
      <c r="O55" s="135" t="str">
        <f>'MAX Originals'!O51</f>
        <v>NI-DCPower</v>
      </c>
      <c r="P55" s="135">
        <f>'MAX Originals'!P51</f>
        <v>0</v>
      </c>
    </row>
    <row r="56" spans="1:16" x14ac:dyDescent="0.25">
      <c r="A56" s="72" t="str">
        <f>'MAX Originals'!A55</f>
        <v>Configuration Support</v>
      </c>
      <c r="B56" s="72">
        <f>'MAX Originals'!B55</f>
        <v>15</v>
      </c>
      <c r="C56" s="73" t="str">
        <f>'MAX Originals'!C55</f>
        <v>Configuration Support</v>
      </c>
      <c r="D56" s="73">
        <f>'MAX Originals'!D55</f>
        <v>15</v>
      </c>
      <c r="E56" s="74" t="str">
        <f>'MAX Originals'!E43</f>
        <v>Configuration Support</v>
      </c>
      <c r="F56" s="74">
        <f>'MAX Originals'!F43</f>
        <v>15</v>
      </c>
      <c r="G56" s="75" t="str">
        <f>'MAX Originals'!G51</f>
        <v>Configuration Support</v>
      </c>
      <c r="H56" s="75">
        <f>'MAX Originals'!H51</f>
        <v>15</v>
      </c>
      <c r="I56" s="54" t="str">
        <f>'MAX Originals'!I51</f>
        <v>Configuration Support</v>
      </c>
      <c r="J56" s="54">
        <f>'MAX Originals'!J51</f>
        <v>15</v>
      </c>
      <c r="K56" s="66" t="str">
        <f>'MAX Originals'!K51</f>
        <v>Configuration Support</v>
      </c>
      <c r="L56" s="66">
        <f>'MAX Originals'!L51</f>
        <v>15</v>
      </c>
      <c r="M56" s="90" t="str">
        <f>'MAX Originals'!M51</f>
        <v>Configuration Support</v>
      </c>
      <c r="N56" s="90">
        <f>'MAX Originals'!N51</f>
        <v>15</v>
      </c>
      <c r="O56" s="135" t="str">
        <f>'MAX Originals'!O52</f>
        <v>Configuration Support</v>
      </c>
      <c r="P56" s="135">
        <f>'MAX Originals'!P52</f>
        <v>15</v>
      </c>
    </row>
    <row r="57" spans="1:16" x14ac:dyDescent="0.25">
      <c r="A57" s="72" t="str">
        <f>'MAX Originals'!A56</f>
        <v>Development Support</v>
      </c>
      <c r="B57" s="72">
        <f>'MAX Originals'!B56</f>
        <v>15</v>
      </c>
      <c r="C57" s="73" t="str">
        <f>'MAX Originals'!C56</f>
        <v>Development Support</v>
      </c>
      <c r="D57" s="73">
        <f>'MAX Originals'!D56</f>
        <v>15</v>
      </c>
      <c r="E57" s="74" t="str">
        <f>'MAX Originals'!E44</f>
        <v>Development Support</v>
      </c>
      <c r="F57" s="74">
        <f>'MAX Originals'!F44</f>
        <v>15</v>
      </c>
      <c r="G57" s="75" t="str">
        <f>'MAX Originals'!G52</f>
        <v>Development Support</v>
      </c>
      <c r="H57" s="75">
        <f>'MAX Originals'!H52</f>
        <v>15</v>
      </c>
      <c r="I57" s="54" t="str">
        <f>'MAX Originals'!I52</f>
        <v>Development Support</v>
      </c>
      <c r="J57" s="54">
        <f>'MAX Originals'!J52</f>
        <v>15</v>
      </c>
      <c r="K57" s="66" t="str">
        <f>'MAX Originals'!K52</f>
        <v>Development Support</v>
      </c>
      <c r="L57" s="66">
        <f>'MAX Originals'!L52</f>
        <v>15</v>
      </c>
      <c r="M57" s="90" t="str">
        <f>'MAX Originals'!M52</f>
        <v>Development Support</v>
      </c>
      <c r="N57" s="90">
        <f>'MAX Originals'!N52</f>
        <v>15</v>
      </c>
      <c r="O57" s="135" t="str">
        <f>'MAX Originals'!O53</f>
        <v>Development Support</v>
      </c>
      <c r="P57" s="135">
        <f>'MAX Originals'!P53</f>
        <v>15</v>
      </c>
    </row>
    <row r="58" spans="1:16" x14ac:dyDescent="0.25">
      <c r="A58" s="72" t="str">
        <f>'MAX Originals'!A57</f>
        <v>Runtime</v>
      </c>
      <c r="B58" s="72">
        <f>'MAX Originals'!B57</f>
        <v>15</v>
      </c>
      <c r="C58" s="73" t="str">
        <f>'MAX Originals'!C57</f>
        <v>Runtime</v>
      </c>
      <c r="D58" s="73">
        <f>'MAX Originals'!D57</f>
        <v>15</v>
      </c>
      <c r="E58" s="74" t="str">
        <f>'MAX Originals'!E45</f>
        <v>Runtime</v>
      </c>
      <c r="F58" s="74">
        <f>'MAX Originals'!F45</f>
        <v>15</v>
      </c>
      <c r="G58" s="75" t="str">
        <f>'MAX Originals'!G53</f>
        <v>Runtime</v>
      </c>
      <c r="H58" s="75">
        <f>'MAX Originals'!H53</f>
        <v>15</v>
      </c>
      <c r="I58" s="54" t="str">
        <f>'MAX Originals'!I53</f>
        <v>Runtime</v>
      </c>
      <c r="J58" s="54">
        <f>'MAX Originals'!J53</f>
        <v>15</v>
      </c>
      <c r="K58" s="66" t="str">
        <f>'MAX Originals'!K53</f>
        <v>Runtime</v>
      </c>
      <c r="L58" s="66">
        <f>'MAX Originals'!L53</f>
        <v>15</v>
      </c>
      <c r="M58" s="90" t="str">
        <f>'MAX Originals'!M53</f>
        <v>Runtime</v>
      </c>
      <c r="N58" s="90">
        <f>'MAX Originals'!N53</f>
        <v>15</v>
      </c>
      <c r="O58" s="135" t="str">
        <f>'MAX Originals'!O54</f>
        <v>Runtime</v>
      </c>
      <c r="P58" s="135">
        <f>'MAX Originals'!P54</f>
        <v>15</v>
      </c>
    </row>
    <row r="59" spans="1:16" x14ac:dyDescent="0.25">
      <c r="A59" s="72" t="str">
        <f>'MAX Originals'!A58</f>
        <v>NI-DCPower Soft Front Panel</v>
      </c>
      <c r="B59" s="72">
        <f>'MAX Originals'!B58</f>
        <v>15</v>
      </c>
      <c r="C59" s="73" t="str">
        <f>'MAX Originals'!C58</f>
        <v>NI-DCPower Soft Front Panel</v>
      </c>
      <c r="D59" s="73">
        <f>'MAX Originals'!D58</f>
        <v>15</v>
      </c>
      <c r="E59" s="74" t="str">
        <f>'MAX Originals'!E46</f>
        <v>NI-DCPower Soft Front Panel</v>
      </c>
      <c r="F59" s="74">
        <f>'MAX Originals'!F46</f>
        <v>15</v>
      </c>
      <c r="G59" s="75" t="str">
        <f>'MAX Originals'!G54</f>
        <v>NI-DCPower Soft Front Panel</v>
      </c>
      <c r="H59" s="75">
        <f>'MAX Originals'!H54</f>
        <v>15</v>
      </c>
      <c r="I59" s="54" t="str">
        <f>'MAX Originals'!I54</f>
        <v>NI-DCPower Soft Front Panel</v>
      </c>
      <c r="J59" s="54">
        <f>'MAX Originals'!J54</f>
        <v>15</v>
      </c>
      <c r="K59" s="66" t="str">
        <f>'MAX Originals'!K54</f>
        <v>NI-DCPower Soft Front Panel</v>
      </c>
      <c r="L59" s="66">
        <f>'MAX Originals'!L54</f>
        <v>15</v>
      </c>
      <c r="M59" s="90" t="str">
        <f>'MAX Originals'!M54</f>
        <v>NI-DCPower Soft Front Panel</v>
      </c>
      <c r="N59" s="90">
        <f>'MAX Originals'!N54</f>
        <v>15</v>
      </c>
      <c r="O59" s="135" t="str">
        <f>'MAX Originals'!O55</f>
        <v>NI-DCPower Soft Front Panel</v>
      </c>
      <c r="P59" s="135">
        <f>'MAX Originals'!P55</f>
        <v>15</v>
      </c>
    </row>
    <row r="60" spans="1:16" x14ac:dyDescent="0.25">
      <c r="A60" s="72" t="str">
        <f>'MAX Originals'!A59</f>
        <v>NI-HSDIO</v>
      </c>
      <c r="B60" s="72">
        <f>'MAX Originals'!B59</f>
        <v>0</v>
      </c>
      <c r="C60" s="73" t="str">
        <f>'MAX Originals'!C59</f>
        <v>NI-HSDIO</v>
      </c>
      <c r="D60" s="73">
        <f>'MAX Originals'!D59</f>
        <v>0</v>
      </c>
      <c r="E60" s="74" t="str">
        <f>'MAX Originals'!E47</f>
        <v>NI-HSDIO</v>
      </c>
      <c r="F60" s="74">
        <f>'MAX Originals'!F47</f>
        <v>0</v>
      </c>
      <c r="G60" s="75" t="str">
        <f>'MAX Originals'!G55</f>
        <v>NI-HSDIO</v>
      </c>
      <c r="H60" s="75">
        <f>'MAX Originals'!H55</f>
        <v>0</v>
      </c>
      <c r="I60" s="54" t="str">
        <f>'MAX Originals'!I55</f>
        <v>NI-HSDIO</v>
      </c>
      <c r="J60" s="54">
        <f>'MAX Originals'!J55</f>
        <v>0</v>
      </c>
      <c r="K60" s="66" t="str">
        <f>'MAX Originals'!K55</f>
        <v>NI-HSDIO</v>
      </c>
      <c r="L60" s="66">
        <f>'MAX Originals'!L55</f>
        <v>0</v>
      </c>
      <c r="M60" s="90" t="str">
        <f>'MAX Originals'!M55</f>
        <v>NI-HSDIO</v>
      </c>
      <c r="N60" s="90">
        <f>'MAX Originals'!N55</f>
        <v>0</v>
      </c>
      <c r="O60" s="135" t="str">
        <f>'MAX Originals'!O56</f>
        <v>NI-HSDIO</v>
      </c>
      <c r="P60" s="135">
        <f>'MAX Originals'!P56</f>
        <v>0</v>
      </c>
    </row>
    <row r="61" spans="1:16" x14ac:dyDescent="0.25">
      <c r="A61" s="72" t="str">
        <f>'MAX Originals'!A60</f>
        <v>Configuration Support</v>
      </c>
      <c r="B61" s="72">
        <f>'MAX Originals'!B60</f>
        <v>15</v>
      </c>
      <c r="C61" s="73" t="str">
        <f>'MAX Originals'!C60</f>
        <v>Configuration Support</v>
      </c>
      <c r="D61" s="73">
        <f>'MAX Originals'!D60</f>
        <v>15</v>
      </c>
      <c r="E61" s="74" t="str">
        <f>'MAX Originals'!E48</f>
        <v>Configuration Support</v>
      </c>
      <c r="F61" s="74">
        <f>'MAX Originals'!F48</f>
        <v>15</v>
      </c>
      <c r="G61" s="75" t="str">
        <f>'MAX Originals'!G56</f>
        <v>Configuration Support</v>
      </c>
      <c r="H61" s="75">
        <f>'MAX Originals'!H56</f>
        <v>15</v>
      </c>
      <c r="I61" s="54" t="str">
        <f>'MAX Originals'!I56</f>
        <v>Configuration Support</v>
      </c>
      <c r="J61" s="54">
        <f>'MAX Originals'!J56</f>
        <v>15</v>
      </c>
      <c r="K61" s="66" t="str">
        <f>'MAX Originals'!K56</f>
        <v>Configuration Support</v>
      </c>
      <c r="L61" s="66">
        <f>'MAX Originals'!L56</f>
        <v>15</v>
      </c>
      <c r="M61" s="90" t="str">
        <f>'MAX Originals'!M56</f>
        <v>Configuration Support</v>
      </c>
      <c r="N61" s="90">
        <f>'MAX Originals'!N56</f>
        <v>15</v>
      </c>
      <c r="O61" s="135" t="str">
        <f>'MAX Originals'!O57</f>
        <v>Configuration Support</v>
      </c>
      <c r="P61" s="135">
        <f>'MAX Originals'!P57</f>
        <v>15</v>
      </c>
    </row>
    <row r="62" spans="1:16" x14ac:dyDescent="0.25">
      <c r="A62" s="72" t="str">
        <f>'MAX Originals'!A61</f>
        <v>Development Support</v>
      </c>
      <c r="B62" s="72">
        <f>'MAX Originals'!B61</f>
        <v>15</v>
      </c>
      <c r="C62" s="73" t="str">
        <f>'MAX Originals'!C61</f>
        <v>Development Support</v>
      </c>
      <c r="D62" s="73">
        <f>'MAX Originals'!D61</f>
        <v>15</v>
      </c>
      <c r="E62" s="74" t="str">
        <f>'MAX Originals'!E49</f>
        <v>Development Support</v>
      </c>
      <c r="F62" s="74">
        <f>'MAX Originals'!F49</f>
        <v>15</v>
      </c>
      <c r="G62" s="75" t="str">
        <f>'MAX Originals'!G57</f>
        <v>Development Support</v>
      </c>
      <c r="H62" s="75">
        <f>'MAX Originals'!H57</f>
        <v>15</v>
      </c>
      <c r="I62" s="54" t="str">
        <f>'MAX Originals'!I57</f>
        <v>Development Support</v>
      </c>
      <c r="J62" s="54">
        <f>'MAX Originals'!J57</f>
        <v>15</v>
      </c>
      <c r="K62" s="66" t="str">
        <f>'MAX Originals'!K57</f>
        <v>Development Support</v>
      </c>
      <c r="L62" s="66">
        <f>'MAX Originals'!L57</f>
        <v>15</v>
      </c>
      <c r="M62" s="90" t="str">
        <f>'MAX Originals'!M57</f>
        <v>Development Support</v>
      </c>
      <c r="N62" s="90">
        <f>'MAX Originals'!N57</f>
        <v>15</v>
      </c>
      <c r="O62" s="135" t="str">
        <f>'MAX Originals'!O58</f>
        <v>Development Support</v>
      </c>
      <c r="P62" s="135">
        <f>'MAX Originals'!P58</f>
        <v>15</v>
      </c>
    </row>
    <row r="63" spans="1:16" x14ac:dyDescent="0.25">
      <c r="A63" s="72" t="str">
        <f>'MAX Originals'!A62</f>
        <v>Runtime</v>
      </c>
      <c r="B63" s="72">
        <f>'MAX Originals'!B62</f>
        <v>15</v>
      </c>
      <c r="C63" s="73" t="str">
        <f>'MAX Originals'!C62</f>
        <v>Runtime</v>
      </c>
      <c r="D63" s="73">
        <f>'MAX Originals'!D62</f>
        <v>15</v>
      </c>
      <c r="E63" s="74" t="str">
        <f>'MAX Originals'!E50</f>
        <v>Runtime</v>
      </c>
      <c r="F63" s="74">
        <f>'MAX Originals'!F50</f>
        <v>15</v>
      </c>
      <c r="G63" s="75" t="str">
        <f>'MAX Originals'!G58</f>
        <v>Runtime</v>
      </c>
      <c r="H63" s="75">
        <f>'MAX Originals'!H58</f>
        <v>15</v>
      </c>
      <c r="I63" s="54" t="str">
        <f>'MAX Originals'!I58</f>
        <v>Runtime</v>
      </c>
      <c r="J63" s="54">
        <f>'MAX Originals'!J58</f>
        <v>15</v>
      </c>
      <c r="K63" s="66" t="str">
        <f>'MAX Originals'!K58</f>
        <v>Runtime</v>
      </c>
      <c r="L63" s="66">
        <f>'MAX Originals'!L58</f>
        <v>15</v>
      </c>
      <c r="M63" s="90" t="str">
        <f>'MAX Originals'!M58</f>
        <v>Runtime</v>
      </c>
      <c r="N63" s="90">
        <f>'MAX Originals'!N58</f>
        <v>15</v>
      </c>
      <c r="O63" s="135" t="str">
        <f>'MAX Originals'!O59</f>
        <v>Runtime</v>
      </c>
      <c r="P63" s="135">
        <f>'MAX Originals'!P59</f>
        <v>15</v>
      </c>
    </row>
    <row r="64" spans="1:16" x14ac:dyDescent="0.25">
      <c r="A64" s="72" t="str">
        <f>'MAX Originals'!A63</f>
        <v>NI-HWS</v>
      </c>
      <c r="B64" s="72" t="str">
        <f>'MAX Originals'!B63</f>
        <v>15.0.0</v>
      </c>
      <c r="C64" s="73" t="str">
        <f>'MAX Originals'!C63</f>
        <v>NI-HWS</v>
      </c>
      <c r="D64" s="73" t="str">
        <f>'MAX Originals'!D63</f>
        <v>15.0.0</v>
      </c>
      <c r="E64" s="74" t="str">
        <f>'MAX Originals'!E51</f>
        <v>NI-HWS</v>
      </c>
      <c r="F64" s="74" t="str">
        <f>'MAX Originals'!F51</f>
        <v>15.0.0</v>
      </c>
      <c r="G64" s="75" t="str">
        <f>'MAX Originals'!G59</f>
        <v>NI-HWS</v>
      </c>
      <c r="H64" s="75" t="str">
        <f>'MAX Originals'!H59</f>
        <v>15.0.0</v>
      </c>
      <c r="I64" s="54" t="str">
        <f>'MAX Originals'!I59</f>
        <v>NI-HWS</v>
      </c>
      <c r="J64" s="54" t="str">
        <f>'MAX Originals'!J59</f>
        <v>15.0.0</v>
      </c>
      <c r="K64" s="66" t="str">
        <f>'MAX Originals'!K59</f>
        <v>NI-HWS</v>
      </c>
      <c r="L64" s="66" t="str">
        <f>'MAX Originals'!L59</f>
        <v>15.0.0</v>
      </c>
      <c r="M64" s="90" t="str">
        <f>'MAX Originals'!M59</f>
        <v>NI-HWS</v>
      </c>
      <c r="N64" s="90" t="str">
        <f>'MAX Originals'!N59</f>
        <v>15.0.0</v>
      </c>
      <c r="O64" s="135" t="str">
        <f>'MAX Originals'!O60</f>
        <v>NI-HWS</v>
      </c>
      <c r="P64" s="135" t="str">
        <f>'MAX Originals'!P60</f>
        <v>15.0.0</v>
      </c>
    </row>
    <row r="65" spans="1:16" ht="30" x14ac:dyDescent="0.25">
      <c r="A65" s="72" t="str">
        <f>'MAX Originals'!A64</f>
        <v>NI PXI Platform Services Configuration</v>
      </c>
      <c r="B65" s="72" t="str">
        <f>'MAX Originals'!B64</f>
        <v>15.0.0f1</v>
      </c>
      <c r="C65" s="73" t="str">
        <f>'MAX Originals'!C64</f>
        <v>NI PXI Platform Services Configuration</v>
      </c>
      <c r="D65" s="73" t="str">
        <f>'MAX Originals'!D64</f>
        <v>15.0.0f1</v>
      </c>
      <c r="E65" s="74" t="str">
        <f>'MAX Originals'!E52</f>
        <v>NI PXI Platform Services Configuration</v>
      </c>
      <c r="F65" s="74" t="str">
        <f>'MAX Originals'!F52</f>
        <v>15.0.0f1</v>
      </c>
      <c r="G65" s="75" t="str">
        <f>'MAX Originals'!G64</f>
        <v>NI PXI Platform Services Configuration</v>
      </c>
      <c r="H65" s="75" t="str">
        <f>'MAX Originals'!H64</f>
        <v>15.0.0f1</v>
      </c>
      <c r="I65" s="54" t="str">
        <f>'MAX Originals'!I64</f>
        <v>NI PXI Platform Services Configuration</v>
      </c>
      <c r="J65" s="54" t="str">
        <f>'MAX Originals'!J64</f>
        <v>18.0.0f0</v>
      </c>
      <c r="K65" s="66" t="str">
        <f>'MAX Originals'!K64</f>
        <v>NI PXI Platform Services Configuration</v>
      </c>
      <c r="L65" s="66" t="str">
        <f>'MAX Originals'!L64</f>
        <v>18.0.0f0</v>
      </c>
      <c r="M65" s="90" t="str">
        <f>'MAX Originals'!M64</f>
        <v>NI PXI Platform Services Configuration</v>
      </c>
      <c r="N65" s="90" t="str">
        <f>'MAX Originals'!N64</f>
        <v>18.0.0f0</v>
      </c>
      <c r="O65" s="135" t="str">
        <f>'MAX Originals'!O65</f>
        <v>NI PXI Platform Services Configuration</v>
      </c>
      <c r="P65" s="135" t="str">
        <f>'MAX Originals'!P65</f>
        <v>18.0.0f0</v>
      </c>
    </row>
    <row r="66" spans="1:16" ht="30" x14ac:dyDescent="0.25">
      <c r="A66" s="72" t="str">
        <f>'MAX Originals'!A65</f>
        <v>NI PXI Platform Services Runtime</v>
      </c>
      <c r="B66" s="72" t="str">
        <f>'MAX Originals'!B65</f>
        <v>15.0.0f1</v>
      </c>
      <c r="C66" s="73" t="str">
        <f>'MAX Originals'!C65</f>
        <v>NI PXI Platform Services Runtime</v>
      </c>
      <c r="D66" s="73" t="str">
        <f>'MAX Originals'!D65</f>
        <v>15.0.0f1</v>
      </c>
      <c r="E66" s="74" t="str">
        <f>'MAX Originals'!E53</f>
        <v>NI PXI Platform Services Runtime</v>
      </c>
      <c r="F66" s="74" t="str">
        <f>'MAX Originals'!F53</f>
        <v>15.0.0f1</v>
      </c>
      <c r="G66" s="75" t="str">
        <f>'MAX Originals'!G65</f>
        <v>NI PXI Platform Services Runtime</v>
      </c>
      <c r="H66" s="75" t="str">
        <f>'MAX Originals'!H65</f>
        <v>19.0.0f1</v>
      </c>
      <c r="I66" s="54" t="str">
        <f>'MAX Originals'!I65</f>
        <v>NI PXI Platform Services Runtime</v>
      </c>
      <c r="J66" s="54" t="str">
        <f>'MAX Originals'!J65</f>
        <v>19.0.0f1</v>
      </c>
      <c r="K66" s="66" t="str">
        <f>'MAX Originals'!K65</f>
        <v>NI PXI Platform Services Runtime</v>
      </c>
      <c r="L66" s="66" t="str">
        <f>'MAX Originals'!L65</f>
        <v>19.0.0f1</v>
      </c>
      <c r="M66" s="90" t="str">
        <f>'MAX Originals'!M65</f>
        <v>NI PXI Platform Services Runtime</v>
      </c>
      <c r="N66" s="90" t="str">
        <f>'MAX Originals'!N65</f>
        <v>19.0.0f1</v>
      </c>
      <c r="O66" s="135" t="str">
        <f>'MAX Originals'!O66</f>
        <v>NI PXI Platform Services Runtime</v>
      </c>
      <c r="P66" s="135" t="str">
        <f>'MAX Originals'!P66</f>
        <v>19.0.0f1</v>
      </c>
    </row>
    <row r="67" spans="1:16" x14ac:dyDescent="0.25">
      <c r="A67" s="72" t="str">
        <f>'MAX Originals'!A66</f>
        <v>NI-RIO</v>
      </c>
      <c r="B67" s="72" t="str">
        <f>'MAX Originals'!B66</f>
        <v>15.0.0</v>
      </c>
      <c r="C67" s="73" t="str">
        <f>'MAX Originals'!C66</f>
        <v>NI-RIO</v>
      </c>
      <c r="D67" s="73" t="str">
        <f>'MAX Originals'!D66</f>
        <v>15.0.0</v>
      </c>
      <c r="E67" s="74" t="str">
        <f>'MAX Originals'!E54</f>
        <v>NI-RIO</v>
      </c>
      <c r="F67" s="74" t="str">
        <f>'MAX Originals'!F54</f>
        <v>15.0.0</v>
      </c>
      <c r="G67" s="75" t="str">
        <f>'MAX Originals'!G66</f>
        <v>NI R Series Multifunction RIO</v>
      </c>
      <c r="H67" s="75" t="str">
        <f>'MAX Originals'!H66</f>
        <v>15.0.0</v>
      </c>
      <c r="I67" s="54" t="str">
        <f>'MAX Originals'!I66</f>
        <v>NI R Series Multifunction RIO</v>
      </c>
      <c r="J67" s="54" t="str">
        <f>'MAX Originals'!J66</f>
        <v>15.0.0</v>
      </c>
      <c r="K67" s="66" t="str">
        <f>'MAX Originals'!K66</f>
        <v>NI R Series Multifunction RIO</v>
      </c>
      <c r="L67" s="66" t="str">
        <f>'MAX Originals'!L66</f>
        <v>15.0.0</v>
      </c>
      <c r="M67" s="90" t="str">
        <f>'MAX Originals'!M66</f>
        <v>NI R Series Multifunction RIO</v>
      </c>
      <c r="N67" s="90" t="str">
        <f>'MAX Originals'!N66</f>
        <v>15.0.0</v>
      </c>
      <c r="O67" s="135" t="str">
        <f>'MAX Originals'!O67</f>
        <v>NI R Series Multifunction RIO</v>
      </c>
      <c r="P67" s="135" t="str">
        <f>'MAX Originals'!P67</f>
        <v>15.0.0</v>
      </c>
    </row>
    <row r="68" spans="1:16" x14ac:dyDescent="0.25">
      <c r="A68" s="72" t="str">
        <f>'MAX Originals'!A67</f>
        <v>NI R Series Multifunction RIO</v>
      </c>
      <c r="B68" s="72" t="str">
        <f>'MAX Originals'!B67</f>
        <v>15.0.0</v>
      </c>
      <c r="C68" s="73" t="str">
        <f>'MAX Originals'!C67</f>
        <v>NI R Series Multifunction RIO</v>
      </c>
      <c r="D68" s="73" t="str">
        <f>'MAX Originals'!D67</f>
        <v>15.0.0</v>
      </c>
      <c r="E68" s="74" t="str">
        <f>'MAX Originals'!E55</f>
        <v>NI R Series Multifunction RIO</v>
      </c>
      <c r="F68" s="74" t="str">
        <f>'MAX Originals'!F55</f>
        <v>15.0.0</v>
      </c>
      <c r="G68" s="75" t="str">
        <f>'MAX Originals'!G67</f>
        <v>NI-Sync</v>
      </c>
      <c r="H68" s="75" t="str">
        <f>'MAX Originals'!H67</f>
        <v>15.0.0f0</v>
      </c>
      <c r="I68" s="54" t="str">
        <f>'MAX Originals'!I67</f>
        <v>NI-Sync</v>
      </c>
      <c r="J68" s="54" t="str">
        <f>'MAX Originals'!J67</f>
        <v>15.0.0f0</v>
      </c>
      <c r="K68" s="66" t="str">
        <f>'MAX Originals'!K67</f>
        <v>NI-Sync</v>
      </c>
      <c r="L68" s="66" t="str">
        <f>'MAX Originals'!L67</f>
        <v>15.0.0f0</v>
      </c>
      <c r="M68" s="90" t="str">
        <f>'MAX Originals'!M67</f>
        <v>NI-Sync Runtime</v>
      </c>
      <c r="N68" s="90" t="str">
        <f>'MAX Originals'!N67</f>
        <v>15.0.1f0</v>
      </c>
      <c r="O68" s="135" t="str">
        <f>'MAX Originals'!O68</f>
        <v>NI-Sync Runtime</v>
      </c>
      <c r="P68" s="135" t="str">
        <f>'MAX Originals'!P68</f>
        <v>15.0.1f0</v>
      </c>
    </row>
    <row r="69" spans="1:16" x14ac:dyDescent="0.25">
      <c r="A69" s="72" t="str">
        <f>'MAX Originals'!A68</f>
        <v>NI-Sync</v>
      </c>
      <c r="B69" s="72" t="str">
        <f>'MAX Originals'!B68</f>
        <v>15.0.0f0</v>
      </c>
      <c r="C69" s="73" t="str">
        <f>'MAX Originals'!C68</f>
        <v>NI-Sync</v>
      </c>
      <c r="D69" s="73" t="str">
        <f>'MAX Originals'!D68</f>
        <v>15.0.0f0</v>
      </c>
      <c r="E69" s="74" t="str">
        <f>'MAX Originals'!E56</f>
        <v>NI-Sync</v>
      </c>
      <c r="F69" s="74" t="str">
        <f>'MAX Originals'!F56</f>
        <v>15.0.0f0</v>
      </c>
      <c r="G69" s="75" t="str">
        <f>'MAX Originals'!G68</f>
        <v>NI-TimeSync</v>
      </c>
      <c r="H69" s="75" t="str">
        <f>'MAX Originals'!H68</f>
        <v>15.0.0f0</v>
      </c>
      <c r="I69" s="54" t="str">
        <f>'MAX Originals'!I69</f>
        <v>NI-TimeSync</v>
      </c>
      <c r="J69" s="54" t="str">
        <f>'MAX Originals'!J69</f>
        <v>15.0.0f0</v>
      </c>
      <c r="K69" s="66" t="str">
        <f>'MAX Originals'!K69</f>
        <v>NI-TimeSync</v>
      </c>
      <c r="L69" s="66" t="str">
        <f>'MAX Originals'!L69</f>
        <v>15.0.0f0</v>
      </c>
      <c r="M69" s="90" t="str">
        <f>'MAX Originals'!M69</f>
        <v>NI-TimeSync</v>
      </c>
      <c r="N69" s="90" t="str">
        <f>'MAX Originals'!N69</f>
        <v>15.0.0f0</v>
      </c>
      <c r="O69" s="135" t="str">
        <f>'MAX Originals'!O70</f>
        <v>NI-TimeSync</v>
      </c>
      <c r="P69" s="135" t="str">
        <f>'MAX Originals'!P70</f>
        <v>15.0.0f0</v>
      </c>
    </row>
    <row r="70" spans="1:16" x14ac:dyDescent="0.25">
      <c r="A70" s="72" t="str">
        <f>'MAX Originals'!A69</f>
        <v>NI-TimeSync</v>
      </c>
      <c r="B70" s="72" t="str">
        <f>'MAX Originals'!B69</f>
        <v>15.0.0f0</v>
      </c>
      <c r="C70" s="73" t="str">
        <f>'MAX Originals'!C69</f>
        <v>NI-TimeSync</v>
      </c>
      <c r="D70" s="73" t="str">
        <f>'MAX Originals'!D69</f>
        <v>15.0.0f0</v>
      </c>
      <c r="E70" s="74" t="str">
        <f>'MAX Originals'!E57</f>
        <v>NI-TimeSync</v>
      </c>
      <c r="F70" s="74" t="str">
        <f>'MAX Originals'!F57</f>
        <v>15.0.0f0</v>
      </c>
      <c r="G70" s="75" t="str">
        <f>'MAX Originals'!G69</f>
        <v>NI-XNET Runtime</v>
      </c>
      <c r="H70" s="75" t="str">
        <f>'MAX Originals'!H69</f>
        <v>19.0.0f1</v>
      </c>
      <c r="I70" s="54" t="str">
        <f>'MAX Originals'!I70</f>
        <v>NI-XNET Runtime</v>
      </c>
      <c r="J70" s="54" t="str">
        <f>'MAX Originals'!J70</f>
        <v>19.0.0f1</v>
      </c>
      <c r="K70" s="66" t="str">
        <f>'MAX Originals'!K70</f>
        <v>NI-XNET Runtime</v>
      </c>
      <c r="L70" s="66" t="str">
        <f>'MAX Originals'!L70</f>
        <v>19.0.0f1</v>
      </c>
      <c r="M70" s="90" t="str">
        <f>'MAX Originals'!M70</f>
        <v>NI-XNET Runtime</v>
      </c>
      <c r="N70" s="90" t="str">
        <f>'MAX Originals'!N70</f>
        <v>19.0.0f1</v>
      </c>
      <c r="O70" s="135" t="str">
        <f>'MAX Originals'!O71</f>
        <v>NI-XNET Runtime</v>
      </c>
      <c r="P70" s="135" t="str">
        <f>'MAX Originals'!P71</f>
        <v>19.0.0f1</v>
      </c>
    </row>
    <row r="71" spans="1:16" x14ac:dyDescent="0.25">
      <c r="A71" s="72" t="str">
        <f>'MAX Originals'!A70</f>
        <v>FlexRIO</v>
      </c>
      <c r="B71" s="72" t="str">
        <f>'MAX Originals'!B70</f>
        <v>15.0.0f0</v>
      </c>
      <c r="C71" s="73" t="str">
        <f>'MAX Originals'!C70</f>
        <v>FlexRIO</v>
      </c>
      <c r="D71" s="73" t="str">
        <f>'MAX Originals'!D70</f>
        <v>15.0.0f0</v>
      </c>
      <c r="E71" s="74" t="str">
        <f>'MAX Originals'!E58</f>
        <v>FlexRIO</v>
      </c>
      <c r="F71" s="74" t="str">
        <f>'MAX Originals'!F58</f>
        <v>15.0.0f0</v>
      </c>
      <c r="G71" s="75" t="str">
        <f>'MAX Originals'!G70</f>
        <v>FlexRIO</v>
      </c>
      <c r="H71" s="75" t="str">
        <f>'MAX Originals'!H70</f>
        <v>15.0.0f0</v>
      </c>
      <c r="I71" s="54" t="str">
        <f>'MAX Originals'!I71</f>
        <v>FlexRIO</v>
      </c>
      <c r="J71" s="54" t="str">
        <f>'MAX Originals'!J71</f>
        <v>15.0.0f0</v>
      </c>
      <c r="K71" s="66" t="str">
        <f>'MAX Originals'!K71</f>
        <v>FlexRIO</v>
      </c>
      <c r="L71" s="66" t="str">
        <f>'MAX Originals'!L71</f>
        <v>15.0.0f0</v>
      </c>
      <c r="M71" s="90" t="str">
        <f>'MAX Originals'!M71</f>
        <v>FlexRIO</v>
      </c>
      <c r="N71" s="90" t="str">
        <f>'MAX Originals'!N71</f>
        <v>15.0.0f0</v>
      </c>
      <c r="O71" s="135" t="str">
        <f>'MAX Originals'!O72</f>
        <v>FlexRIO</v>
      </c>
      <c r="P71" s="135" t="str">
        <f>'MAX Originals'!P72</f>
        <v>15.0.0f0</v>
      </c>
    </row>
    <row r="72" spans="1:16" x14ac:dyDescent="0.25">
      <c r="A72" s="72" t="str">
        <f>'MAX Originals'!A71</f>
        <v>NI-PAL Software</v>
      </c>
      <c r="B72" s="72" t="str">
        <f>'MAX Originals'!B71</f>
        <v>15.0.0</v>
      </c>
      <c r="C72" s="73" t="str">
        <f>'MAX Originals'!C71</f>
        <v>NI-PAL Software</v>
      </c>
      <c r="D72" s="73" t="str">
        <f>'MAX Originals'!D71</f>
        <v>15.0.0</v>
      </c>
      <c r="E72" s="74" t="str">
        <f>'MAX Originals'!E59</f>
        <v>NI-PAL Software</v>
      </c>
      <c r="F72" s="74" t="str">
        <f>'MAX Originals'!F59</f>
        <v>15.1.0</v>
      </c>
      <c r="G72" s="75" t="str">
        <f>'MAX Originals'!G71</f>
        <v>NI-PAL Software</v>
      </c>
      <c r="H72" s="75" t="str">
        <f>'MAX Originals'!H71</f>
        <v>19.0.0</v>
      </c>
      <c r="I72" s="54" t="str">
        <f>'MAX Originals'!I72</f>
        <v>NI-PAL Software</v>
      </c>
      <c r="J72" s="54" t="str">
        <f>'MAX Originals'!J72</f>
        <v>19.0.0</v>
      </c>
      <c r="K72" s="66" t="str">
        <f>'MAX Originals'!K72</f>
        <v>NI-PAL Software</v>
      </c>
      <c r="L72" s="66" t="str">
        <f>'MAX Originals'!L72</f>
        <v>19.0.0</v>
      </c>
      <c r="M72" s="90" t="str">
        <f>'MAX Originals'!M72</f>
        <v>NI-PAL Software</v>
      </c>
      <c r="N72" s="90" t="str">
        <f>'MAX Originals'!N72</f>
        <v>19.0.0</v>
      </c>
      <c r="O72" s="135" t="str">
        <f>'MAX Originals'!O73</f>
        <v>NI-PAL Software</v>
      </c>
      <c r="P72" s="135" t="str">
        <f>'MAX Originals'!P73</f>
        <v>19.0.0</v>
      </c>
    </row>
    <row r="73" spans="1:16" ht="30" x14ac:dyDescent="0.25">
      <c r="A73" s="72" t="str">
        <f>'MAX Originals'!A72</f>
        <v>NI 1588-2008 Network Management 15.0.0</v>
      </c>
      <c r="B73" s="72" t="str">
        <f>'MAX Originals'!B72</f>
        <v>15.0.0f0</v>
      </c>
      <c r="C73" s="73" t="str">
        <f>'MAX Originals'!C72</f>
        <v>NI 1588-2008 Network Management 15.0.0</v>
      </c>
      <c r="D73" s="73" t="str">
        <f>'MAX Originals'!D72</f>
        <v>15.0.0f0</v>
      </c>
      <c r="E73" s="74" t="str">
        <f>'MAX Originals'!E60</f>
        <v>NI 1588-2008 Network Management 15.0.0</v>
      </c>
      <c r="F73" s="74" t="str">
        <f>'MAX Originals'!F60</f>
        <v>15.0.0f0</v>
      </c>
      <c r="G73" s="75" t="str">
        <f>'MAX Originals'!G72</f>
        <v>NI 1588-2008 Network Management 15.0.0</v>
      </c>
      <c r="H73" s="75" t="str">
        <f>'MAX Originals'!H72</f>
        <v>15.0.0f0</v>
      </c>
      <c r="I73" s="54" t="str">
        <f>'MAX Originals'!I73</f>
        <v>NI 1588-2008 Network Management 15.0.0</v>
      </c>
      <c r="J73" s="54" t="str">
        <f>'MAX Originals'!J73</f>
        <v>15.0.0f0</v>
      </c>
      <c r="K73" s="66" t="str">
        <f>'MAX Originals'!K73</f>
        <v>NI 1588-2008 Network Management 15.0.0</v>
      </c>
      <c r="L73" s="66" t="str">
        <f>'MAX Originals'!L73</f>
        <v>15.0.0f0</v>
      </c>
      <c r="M73" s="90" t="str">
        <f>'MAX Originals'!M73</f>
        <v>NI 1588-2008 Network Management 15.0.0</v>
      </c>
      <c r="N73" s="90" t="str">
        <f>'MAX Originals'!N73</f>
        <v>15.0.0f0</v>
      </c>
      <c r="O73" s="135" t="str">
        <f>'MAX Originals'!O74</f>
        <v>NI 1588-2008 Network Management 15.0.0</v>
      </c>
      <c r="P73" s="135" t="str">
        <f>'MAX Originals'!P74</f>
        <v>15.0.0f0</v>
      </c>
    </row>
    <row r="74" spans="1:16" x14ac:dyDescent="0.25">
      <c r="A74" s="72" t="str">
        <f>'MAX Originals'!A73</f>
        <v>NI-SCOPE</v>
      </c>
      <c r="B74" s="72">
        <f>'MAX Originals'!B73</f>
        <v>0</v>
      </c>
      <c r="C74" s="73" t="str">
        <f>'MAX Originals'!C73</f>
        <v>NI-SCOPE</v>
      </c>
      <c r="D74" s="73">
        <f>'MAX Originals'!D73</f>
        <v>0</v>
      </c>
      <c r="E74" s="74" t="str">
        <f>'MAX Originals'!E61</f>
        <v>NI-SCOPE</v>
      </c>
      <c r="F74" s="74">
        <f>'MAX Originals'!F61</f>
        <v>0</v>
      </c>
      <c r="G74" s="75" t="str">
        <f>'MAX Originals'!G73</f>
        <v>NI-SCOPE</v>
      </c>
      <c r="H74" s="75">
        <f>'MAX Originals'!H73</f>
        <v>0</v>
      </c>
      <c r="I74" s="54" t="str">
        <f>'MAX Originals'!I74</f>
        <v>NI-SCOPE</v>
      </c>
      <c r="J74" s="54">
        <f>'MAX Originals'!J74</f>
        <v>0</v>
      </c>
      <c r="K74" s="66" t="str">
        <f>'MAX Originals'!K74</f>
        <v>NI-SCOPE</v>
      </c>
      <c r="L74" s="66">
        <f>'MAX Originals'!L74</f>
        <v>0</v>
      </c>
      <c r="M74" s="90" t="str">
        <f>'MAX Originals'!M74</f>
        <v>NI-SCOPE</v>
      </c>
      <c r="N74" s="90">
        <f>'MAX Originals'!N74</f>
        <v>0</v>
      </c>
      <c r="O74" s="135" t="str">
        <f>'MAX Originals'!O75</f>
        <v>NI-SCOPE</v>
      </c>
      <c r="P74" s="135">
        <f>'MAX Originals'!P75</f>
        <v>0</v>
      </c>
    </row>
    <row r="75" spans="1:16" x14ac:dyDescent="0.25">
      <c r="A75" s="72" t="str">
        <f>'MAX Originals'!A74</f>
        <v>Configuration Support</v>
      </c>
      <c r="B75" s="72">
        <f>'MAX Originals'!B74</f>
        <v>15</v>
      </c>
      <c r="C75" s="73" t="str">
        <f>'MAX Originals'!C74</f>
        <v>Configuration Support</v>
      </c>
      <c r="D75" s="73">
        <f>'MAX Originals'!D74</f>
        <v>15</v>
      </c>
      <c r="E75" s="74" t="str">
        <f>'MAX Originals'!E62</f>
        <v>Configuration Support</v>
      </c>
      <c r="F75" s="74">
        <f>'MAX Originals'!F62</f>
        <v>15</v>
      </c>
      <c r="G75" s="75" t="str">
        <f>'MAX Originals'!G74</f>
        <v>Configuration Support</v>
      </c>
      <c r="H75" s="75">
        <f>'MAX Originals'!H74</f>
        <v>15</v>
      </c>
      <c r="I75" s="54" t="str">
        <f>'MAX Originals'!I75</f>
        <v>Configuration Support</v>
      </c>
      <c r="J75" s="54">
        <f>'MAX Originals'!J75</f>
        <v>15</v>
      </c>
      <c r="K75" s="66" t="str">
        <f>'MAX Originals'!K75</f>
        <v>Configuration Support</v>
      </c>
      <c r="L75" s="66">
        <f>'MAX Originals'!L75</f>
        <v>15</v>
      </c>
      <c r="M75" s="90" t="str">
        <f>'MAX Originals'!M75</f>
        <v>Configuration Support</v>
      </c>
      <c r="N75" s="90">
        <f>'MAX Originals'!N75</f>
        <v>15</v>
      </c>
      <c r="O75" s="135" t="str">
        <f>'MAX Originals'!O76</f>
        <v>Configuration Support</v>
      </c>
      <c r="P75" s="135">
        <f>'MAX Originals'!P76</f>
        <v>15</v>
      </c>
    </row>
    <row r="76" spans="1:16" x14ac:dyDescent="0.25">
      <c r="A76" s="72" t="str">
        <f>'MAX Originals'!A75</f>
        <v>Development Support</v>
      </c>
      <c r="B76" s="72">
        <f>'MAX Originals'!B75</f>
        <v>15</v>
      </c>
      <c r="C76" s="73" t="str">
        <f>'MAX Originals'!C75</f>
        <v>Development Support</v>
      </c>
      <c r="D76" s="73">
        <f>'MAX Originals'!D75</f>
        <v>15</v>
      </c>
      <c r="E76" s="74" t="str">
        <f>'MAX Originals'!E63</f>
        <v>Development Support</v>
      </c>
      <c r="F76" s="74">
        <f>'MAX Originals'!F63</f>
        <v>15</v>
      </c>
      <c r="G76" s="75" t="str">
        <f>'MAX Originals'!G75</f>
        <v>Development Support</v>
      </c>
      <c r="H76" s="75">
        <f>'MAX Originals'!H75</f>
        <v>15</v>
      </c>
      <c r="I76" s="54" t="str">
        <f>'MAX Originals'!I76</f>
        <v>Development Support</v>
      </c>
      <c r="J76" s="54">
        <f>'MAX Originals'!J76</f>
        <v>15</v>
      </c>
      <c r="K76" s="66" t="str">
        <f>'MAX Originals'!K76</f>
        <v>Development Support</v>
      </c>
      <c r="L76" s="66">
        <f>'MAX Originals'!L76</f>
        <v>15</v>
      </c>
      <c r="M76" s="90" t="str">
        <f>'MAX Originals'!M76</f>
        <v>Development Support</v>
      </c>
      <c r="N76" s="90">
        <f>'MAX Originals'!N76</f>
        <v>15</v>
      </c>
      <c r="O76" s="135" t="str">
        <f>'MAX Originals'!O77</f>
        <v>Development Support</v>
      </c>
      <c r="P76" s="135">
        <f>'MAX Originals'!P77</f>
        <v>15</v>
      </c>
    </row>
    <row r="77" spans="1:16" x14ac:dyDescent="0.25">
      <c r="A77" s="72" t="str">
        <f>'MAX Originals'!A76</f>
        <v>Runtime</v>
      </c>
      <c r="B77" s="72">
        <f>'MAX Originals'!B76</f>
        <v>15</v>
      </c>
      <c r="C77" s="73" t="str">
        <f>'MAX Originals'!C76</f>
        <v>Runtime</v>
      </c>
      <c r="D77" s="73">
        <f>'MAX Originals'!D76</f>
        <v>15</v>
      </c>
      <c r="E77" s="74" t="str">
        <f>'MAX Originals'!E64</f>
        <v>Runtime</v>
      </c>
      <c r="F77" s="74">
        <f>'MAX Originals'!F64</f>
        <v>15</v>
      </c>
      <c r="G77" s="75" t="str">
        <f>'MAX Originals'!G76</f>
        <v>Runtime</v>
      </c>
      <c r="H77" s="75">
        <f>'MAX Originals'!H76</f>
        <v>15</v>
      </c>
      <c r="I77" s="54" t="str">
        <f>'MAX Originals'!I77</f>
        <v>Runtime</v>
      </c>
      <c r="J77" s="54">
        <f>'MAX Originals'!J77</f>
        <v>15</v>
      </c>
      <c r="K77" s="66" t="str">
        <f>'MAX Originals'!K77</f>
        <v>Runtime</v>
      </c>
      <c r="L77" s="66">
        <f>'MAX Originals'!L77</f>
        <v>15</v>
      </c>
      <c r="M77" s="90" t="str">
        <f>'MAX Originals'!M77</f>
        <v>Runtime</v>
      </c>
      <c r="N77" s="90">
        <f>'MAX Originals'!N77</f>
        <v>15</v>
      </c>
      <c r="O77" s="135" t="str">
        <f>'MAX Originals'!O78</f>
        <v>Runtime</v>
      </c>
      <c r="P77" s="135">
        <f>'MAX Originals'!P78</f>
        <v>15</v>
      </c>
    </row>
    <row r="78" spans="1:16" x14ac:dyDescent="0.25">
      <c r="A78" s="72" t="str">
        <f>'MAX Originals'!A77</f>
        <v>SCOPE Soft Front Panel</v>
      </c>
      <c r="B78" s="72">
        <f>'MAX Originals'!B77</f>
        <v>15</v>
      </c>
      <c r="C78" s="73" t="str">
        <f>'MAX Originals'!C77</f>
        <v>SCOPE Soft Front Panel</v>
      </c>
      <c r="D78" s="73">
        <f>'MAX Originals'!D77</f>
        <v>15</v>
      </c>
      <c r="E78" s="74" t="str">
        <f>'MAX Originals'!E65</f>
        <v>SCOPE Soft Front Panel</v>
      </c>
      <c r="F78" s="74">
        <f>'MAX Originals'!F65</f>
        <v>15</v>
      </c>
      <c r="G78" s="75" t="str">
        <f>'MAX Originals'!G77</f>
        <v>SCOPE Soft Front Panel</v>
      </c>
      <c r="H78" s="75">
        <f>'MAX Originals'!H77</f>
        <v>15</v>
      </c>
      <c r="I78" s="54" t="str">
        <f>'MAX Originals'!I78</f>
        <v>SCOPE Soft Front Panel</v>
      </c>
      <c r="J78" s="54">
        <f>'MAX Originals'!J78</f>
        <v>15</v>
      </c>
      <c r="K78" s="66" t="str">
        <f>'MAX Originals'!K78</f>
        <v>SCOPE Soft Front Panel</v>
      </c>
      <c r="L78" s="66">
        <f>'MAX Originals'!L78</f>
        <v>15</v>
      </c>
      <c r="M78" s="90" t="str">
        <f>'MAX Originals'!M78</f>
        <v>SCOPE Soft Front Panel</v>
      </c>
      <c r="N78" s="90">
        <f>'MAX Originals'!N78</f>
        <v>15</v>
      </c>
      <c r="O78" s="135" t="str">
        <f>'MAX Originals'!O79</f>
        <v>SCOPE Soft Front Panel</v>
      </c>
      <c r="P78" s="135">
        <f>'MAX Originals'!P79</f>
        <v>15</v>
      </c>
    </row>
    <row r="79" spans="1:16" x14ac:dyDescent="0.25">
      <c r="A79" s="72" t="str">
        <f>'MAX Originals'!A78</f>
        <v>NI-Serial Runtime</v>
      </c>
      <c r="B79" s="72" t="str">
        <f>'MAX Originals'!B78</f>
        <v>15.0.0f0</v>
      </c>
      <c r="C79" s="73" t="str">
        <f>'MAX Originals'!C78</f>
        <v>NI-Serial Runtime</v>
      </c>
      <c r="D79" s="73" t="str">
        <f>'MAX Originals'!D78</f>
        <v>15.0.0f0</v>
      </c>
      <c r="E79" s="74" t="str">
        <f>'MAX Originals'!E66</f>
        <v>NI-Serial Runtime</v>
      </c>
      <c r="F79" s="74" t="str">
        <f>'MAX Originals'!F66</f>
        <v>15.0.0f0</v>
      </c>
      <c r="G79" s="75" t="str">
        <f>'MAX Originals'!G78</f>
        <v>NI-Serial Runtime</v>
      </c>
      <c r="H79" s="75" t="str">
        <f>'MAX Originals'!H78</f>
        <v>19.0.0f0</v>
      </c>
      <c r="I79" s="54" t="str">
        <f>'MAX Originals'!I79</f>
        <v>NI-Serial Runtime</v>
      </c>
      <c r="J79" s="54" t="str">
        <f>'MAX Originals'!J79</f>
        <v>19.0.0f0</v>
      </c>
      <c r="K79" s="66" t="str">
        <f>'MAX Originals'!K79</f>
        <v>NI-Serial Runtime</v>
      </c>
      <c r="L79" s="66" t="str">
        <f>'MAX Originals'!L79</f>
        <v>19.0.0f0</v>
      </c>
      <c r="M79" s="90" t="str">
        <f>'MAX Originals'!M79</f>
        <v>NI-Serial Runtime</v>
      </c>
      <c r="N79" s="90" t="str">
        <f>'MAX Originals'!N79</f>
        <v>19.0.0f0</v>
      </c>
      <c r="O79" s="135" t="str">
        <f>'MAX Originals'!O80</f>
        <v>NI-Serial Runtime</v>
      </c>
      <c r="P79" s="135" t="str">
        <f>'MAX Originals'!P80</f>
        <v>19.0.0f0</v>
      </c>
    </row>
    <row r="80" spans="1:16" x14ac:dyDescent="0.25">
      <c r="A80" s="72" t="str">
        <f>'MAX Originals'!A79</f>
        <v>NI-Serial Configuration</v>
      </c>
      <c r="B80" s="72" t="str">
        <f>'MAX Originals'!B79</f>
        <v>15.0.0f0</v>
      </c>
      <c r="C80" s="73" t="str">
        <f>'MAX Originals'!C79</f>
        <v>NI-Serial Configuration</v>
      </c>
      <c r="D80" s="73" t="str">
        <f>'MAX Originals'!D79</f>
        <v>15.0.0f0</v>
      </c>
      <c r="E80" s="74" t="str">
        <f>'MAX Originals'!E67</f>
        <v>NI-Serial Configuration</v>
      </c>
      <c r="F80" s="74" t="str">
        <f>'MAX Originals'!F67</f>
        <v>15.0.0f0</v>
      </c>
      <c r="G80" s="75" t="str">
        <f>'MAX Originals'!G79</f>
        <v>NI-Serial Configuration</v>
      </c>
      <c r="H80" s="75" t="str">
        <f>'MAX Originals'!H79</f>
        <v>15.0.0f0</v>
      </c>
      <c r="I80" s="54" t="str">
        <f>'MAX Originals'!I80</f>
        <v>NI-Serial Configuration</v>
      </c>
      <c r="J80" s="54" t="str">
        <f>'MAX Originals'!J80</f>
        <v>17.5.0f0</v>
      </c>
      <c r="K80" s="66" t="str">
        <f>'MAX Originals'!K80</f>
        <v>NI-Serial Configuration</v>
      </c>
      <c r="L80" s="66" t="str">
        <f>'MAX Originals'!L80</f>
        <v>17.5.0f0</v>
      </c>
      <c r="M80" s="90" t="str">
        <f>'MAX Originals'!M80</f>
        <v>NI-Serial Configuration</v>
      </c>
      <c r="N80" s="90" t="str">
        <f>'MAX Originals'!N80</f>
        <v>17.5.0f0</v>
      </c>
      <c r="O80" s="135" t="str">
        <f>'MAX Originals'!O81</f>
        <v>NI-Serial Configuration</v>
      </c>
      <c r="P80" s="135" t="str">
        <f>'MAX Originals'!P81</f>
        <v>17.5.0f0</v>
      </c>
    </row>
    <row r="81" spans="1:16" x14ac:dyDescent="0.25">
      <c r="A81" s="72" t="str">
        <f>'MAX Originals'!A80</f>
        <v>NI SignalExpress</v>
      </c>
      <c r="B81" s="72">
        <f>'MAX Originals'!B80</f>
        <v>15</v>
      </c>
      <c r="C81" s="73" t="str">
        <f>'MAX Originals'!C80</f>
        <v>NI SignalExpress</v>
      </c>
      <c r="D81" s="73">
        <f>'MAX Originals'!D80</f>
        <v>15</v>
      </c>
      <c r="E81" s="74" t="str">
        <f>'MAX Originals'!E68</f>
        <v>NI SignalExpress</v>
      </c>
      <c r="F81" s="74">
        <f>'MAX Originals'!F68</f>
        <v>15</v>
      </c>
      <c r="G81" s="75" t="str">
        <f>'MAX Originals'!G80</f>
        <v>NI SignalExpress</v>
      </c>
      <c r="H81" s="75">
        <f>'MAX Originals'!H80</f>
        <v>15</v>
      </c>
      <c r="I81" s="54" t="str">
        <f>'MAX Originals'!I81</f>
        <v>NI SignalExpress</v>
      </c>
      <c r="J81" s="54">
        <f>'MAX Originals'!J81</f>
        <v>15</v>
      </c>
      <c r="K81" s="66" t="str">
        <f>'MAX Originals'!K81</f>
        <v>NI SignalExpress</v>
      </c>
      <c r="L81" s="66">
        <f>'MAX Originals'!L81</f>
        <v>15</v>
      </c>
      <c r="M81" s="90" t="str">
        <f>'MAX Originals'!M81</f>
        <v>NI SignalExpress</v>
      </c>
      <c r="N81" s="90">
        <f>'MAX Originals'!N81</f>
        <v>15</v>
      </c>
      <c r="O81" s="135" t="str">
        <f>'MAX Originals'!O82</f>
        <v>NI SignalExpress</v>
      </c>
      <c r="P81" s="135">
        <f>'MAX Originals'!P82</f>
        <v>15</v>
      </c>
    </row>
    <row r="82" spans="1:16" x14ac:dyDescent="0.25">
      <c r="A82" s="72" t="str">
        <f>'MAX Originals'!A81</f>
        <v>NI-SWITCH</v>
      </c>
      <c r="B82" s="72">
        <f>'MAX Originals'!B81</f>
        <v>15</v>
      </c>
      <c r="C82" s="73" t="str">
        <f>'MAX Originals'!C81</f>
        <v>NI-SWITCH</v>
      </c>
      <c r="D82" s="73">
        <f>'MAX Originals'!D81</f>
        <v>15</v>
      </c>
      <c r="E82" s="74" t="str">
        <f>'MAX Originals'!E69</f>
        <v>NI-SWITCH</v>
      </c>
      <c r="F82" s="74">
        <f>'MAX Originals'!F69</f>
        <v>15</v>
      </c>
      <c r="G82" s="75" t="str">
        <f>'MAX Originals'!G81</f>
        <v>NI-SWITCH</v>
      </c>
      <c r="H82" s="75">
        <f>'MAX Originals'!H81</f>
        <v>15</v>
      </c>
      <c r="I82" s="54" t="str">
        <f>'MAX Originals'!I82</f>
        <v>NI-SWITCH</v>
      </c>
      <c r="J82" s="54">
        <f>'MAX Originals'!J82</f>
        <v>15</v>
      </c>
      <c r="K82" s="66" t="str">
        <f>'MAX Originals'!K82</f>
        <v>NI-SWITCH</v>
      </c>
      <c r="L82" s="66">
        <f>'MAX Originals'!L82</f>
        <v>15</v>
      </c>
      <c r="M82" s="90" t="str">
        <f>'MAX Originals'!M82</f>
        <v>NI-SWITCH</v>
      </c>
      <c r="N82" s="90">
        <f>'MAX Originals'!N82</f>
        <v>15</v>
      </c>
      <c r="O82" s="135" t="str">
        <f>'MAX Originals'!O83</f>
        <v>NI-SWITCH</v>
      </c>
      <c r="P82" s="135">
        <f>'MAX Originals'!P83</f>
        <v>15</v>
      </c>
    </row>
    <row r="83" spans="1:16" x14ac:dyDescent="0.25">
      <c r="A83" s="72" t="str">
        <f>'MAX Originals'!A82</f>
        <v>Configuration Support</v>
      </c>
      <c r="B83" s="72">
        <f>'MAX Originals'!B82</f>
        <v>15</v>
      </c>
      <c r="C83" s="73" t="str">
        <f>'MAX Originals'!C82</f>
        <v>Configuration Support</v>
      </c>
      <c r="D83" s="73">
        <f>'MAX Originals'!D82</f>
        <v>15</v>
      </c>
      <c r="E83" s="74" t="str">
        <f>'MAX Originals'!E70</f>
        <v>Configuration Support</v>
      </c>
      <c r="F83" s="74">
        <f>'MAX Originals'!F70</f>
        <v>15</v>
      </c>
      <c r="G83" s="75" t="str">
        <f>'MAX Originals'!G82</f>
        <v>Configuration Support</v>
      </c>
      <c r="H83" s="75">
        <f>'MAX Originals'!H82</f>
        <v>15</v>
      </c>
      <c r="I83" s="54" t="str">
        <f>'MAX Originals'!I83</f>
        <v>Configuration Support</v>
      </c>
      <c r="J83" s="54">
        <f>'MAX Originals'!J83</f>
        <v>15</v>
      </c>
      <c r="K83" s="66" t="str">
        <f>'MAX Originals'!K83</f>
        <v>Configuration Support</v>
      </c>
      <c r="L83" s="66">
        <f>'MAX Originals'!L83</f>
        <v>15</v>
      </c>
      <c r="M83" s="90" t="str">
        <f>'MAX Originals'!M83</f>
        <v>Configuration Support</v>
      </c>
      <c r="N83" s="90">
        <f>'MAX Originals'!N83</f>
        <v>15</v>
      </c>
      <c r="O83" s="135" t="str">
        <f>'MAX Originals'!O84</f>
        <v>Configuration Support</v>
      </c>
      <c r="P83" s="135">
        <f>'MAX Originals'!P84</f>
        <v>15</v>
      </c>
    </row>
    <row r="84" spans="1:16" x14ac:dyDescent="0.25">
      <c r="A84" s="72" t="str">
        <f>'MAX Originals'!A83</f>
        <v>Development Support</v>
      </c>
      <c r="B84" s="72">
        <f>'MAX Originals'!B83</f>
        <v>15</v>
      </c>
      <c r="C84" s="73" t="str">
        <f>'MAX Originals'!C83</f>
        <v>Development Support</v>
      </c>
      <c r="D84" s="73">
        <f>'MAX Originals'!D83</f>
        <v>15</v>
      </c>
      <c r="E84" s="74" t="str">
        <f>'MAX Originals'!E71</f>
        <v>Development Support</v>
      </c>
      <c r="F84" s="74">
        <f>'MAX Originals'!F71</f>
        <v>15</v>
      </c>
      <c r="G84" s="75" t="str">
        <f>'MAX Originals'!G83</f>
        <v>Development Support</v>
      </c>
      <c r="H84" s="75">
        <f>'MAX Originals'!H83</f>
        <v>15</v>
      </c>
      <c r="I84" s="54" t="str">
        <f>'MAX Originals'!I84</f>
        <v>Development Support</v>
      </c>
      <c r="J84" s="54">
        <f>'MAX Originals'!J84</f>
        <v>15</v>
      </c>
      <c r="K84" s="66" t="str">
        <f>'MAX Originals'!K84</f>
        <v>Development Support</v>
      </c>
      <c r="L84" s="66">
        <f>'MAX Originals'!L84</f>
        <v>15</v>
      </c>
      <c r="M84" s="90" t="str">
        <f>'MAX Originals'!M84</f>
        <v>Development Support</v>
      </c>
      <c r="N84" s="90">
        <f>'MAX Originals'!N84</f>
        <v>15</v>
      </c>
      <c r="O84" s="135" t="str">
        <f>'MAX Originals'!O85</f>
        <v>Development Support</v>
      </c>
      <c r="P84" s="135">
        <f>'MAX Originals'!P85</f>
        <v>15</v>
      </c>
    </row>
    <row r="85" spans="1:16" x14ac:dyDescent="0.25">
      <c r="A85" s="72" t="str">
        <f>'MAX Originals'!A84</f>
        <v>Runtime</v>
      </c>
      <c r="B85" s="72">
        <f>'MAX Originals'!B84</f>
        <v>15</v>
      </c>
      <c r="C85" s="73" t="str">
        <f>'MAX Originals'!C84</f>
        <v>Runtime</v>
      </c>
      <c r="D85" s="73">
        <f>'MAX Originals'!D84</f>
        <v>15</v>
      </c>
      <c r="E85" s="74" t="str">
        <f>'MAX Originals'!E72</f>
        <v>Runtime</v>
      </c>
      <c r="F85" s="74">
        <f>'MAX Originals'!F72</f>
        <v>15</v>
      </c>
      <c r="G85" s="75" t="str">
        <f>'MAX Originals'!G84</f>
        <v>Runtime</v>
      </c>
      <c r="H85" s="75">
        <f>'MAX Originals'!H84</f>
        <v>15</v>
      </c>
      <c r="I85" s="54" t="str">
        <f>'MAX Originals'!I85</f>
        <v>Runtime</v>
      </c>
      <c r="J85" s="54">
        <f>'MAX Originals'!J85</f>
        <v>15</v>
      </c>
      <c r="K85" s="66" t="str">
        <f>'MAX Originals'!K85</f>
        <v>Runtime</v>
      </c>
      <c r="L85" s="66">
        <f>'MAX Originals'!L85</f>
        <v>15</v>
      </c>
      <c r="M85" s="90" t="str">
        <f>'MAX Originals'!M85</f>
        <v>Runtime</v>
      </c>
      <c r="N85" s="90">
        <f>'MAX Originals'!N85</f>
        <v>15</v>
      </c>
      <c r="O85" s="135" t="str">
        <f>'MAX Originals'!O86</f>
        <v>Runtime</v>
      </c>
      <c r="P85" s="135">
        <f>'MAX Originals'!P86</f>
        <v>15</v>
      </c>
    </row>
    <row r="86" spans="1:16" x14ac:dyDescent="0.25">
      <c r="A86" s="72" t="str">
        <f>'MAX Originals'!A85</f>
        <v>Soft Front Panel</v>
      </c>
      <c r="B86" s="72" t="str">
        <f>'MAX Originals'!B85</f>
        <v>15.0.0</v>
      </c>
      <c r="C86" s="73" t="str">
        <f>'MAX Originals'!C85</f>
        <v>Soft Front Panel</v>
      </c>
      <c r="D86" s="73" t="str">
        <f>'MAX Originals'!D85</f>
        <v>15.0.0</v>
      </c>
      <c r="E86" s="74" t="str">
        <f>'MAX Originals'!E73</f>
        <v>Soft Front Panel</v>
      </c>
      <c r="F86" s="74" t="str">
        <f>'MAX Originals'!F73</f>
        <v>15.0.0</v>
      </c>
      <c r="G86" s="75" t="str">
        <f>'MAX Originals'!G85</f>
        <v>Soft Front Panel</v>
      </c>
      <c r="H86" s="75" t="str">
        <f>'MAX Originals'!H85</f>
        <v>15.0.0</v>
      </c>
      <c r="I86" s="54" t="str">
        <f>'MAX Originals'!I86</f>
        <v>Soft Front Panel</v>
      </c>
      <c r="J86" s="54" t="str">
        <f>'MAX Originals'!J86</f>
        <v>18.1.0</v>
      </c>
      <c r="K86" s="66" t="str">
        <f>'MAX Originals'!K86</f>
        <v>Soft Front Panel</v>
      </c>
      <c r="L86" s="66" t="str">
        <f>'MAX Originals'!L86</f>
        <v>18.1.0</v>
      </c>
      <c r="M86" s="90" t="str">
        <f>'MAX Originals'!M86</f>
        <v>Soft Front Panel</v>
      </c>
      <c r="N86" s="90" t="str">
        <f>'MAX Originals'!N86</f>
        <v>18.1.0</v>
      </c>
      <c r="O86" s="135" t="str">
        <f>'MAX Originals'!O87</f>
        <v>Soft Front Panel</v>
      </c>
      <c r="P86" s="135" t="str">
        <f>'MAX Originals'!P87</f>
        <v>18.1.0</v>
      </c>
    </row>
    <row r="87" spans="1:16" x14ac:dyDescent="0.25">
      <c r="A87" s="72" t="str">
        <f>'MAX Originals'!A86</f>
        <v>NI System Configuration</v>
      </c>
      <c r="B87" s="72" t="str">
        <f>'MAX Originals'!B86</f>
        <v>15.0.0f0</v>
      </c>
      <c r="C87" s="73" t="str">
        <f>'MAX Originals'!C86</f>
        <v>NI System Configuration</v>
      </c>
      <c r="D87" s="73" t="str">
        <f>'MAX Originals'!D86</f>
        <v>15.3.0f0</v>
      </c>
      <c r="E87" s="74" t="str">
        <f>'MAX Originals'!E74</f>
        <v>NI System Configuration</v>
      </c>
      <c r="F87" s="74" t="str">
        <f>'MAX Originals'!F74</f>
        <v>15.3.0f0</v>
      </c>
      <c r="G87" s="75" t="str">
        <f>'MAX Originals'!G86</f>
        <v>NI System Configuration</v>
      </c>
      <c r="H87" s="75" t="str">
        <f>'MAX Originals'!H86</f>
        <v>19.0.0f0</v>
      </c>
      <c r="I87" s="54" t="str">
        <f>'MAX Originals'!I87</f>
        <v>NI System Configuration</v>
      </c>
      <c r="J87" s="54" t="str">
        <f>'MAX Originals'!J87</f>
        <v>19.0.0f0</v>
      </c>
      <c r="K87" s="66" t="str">
        <f>'MAX Originals'!K87</f>
        <v>NI System Configuration</v>
      </c>
      <c r="L87" s="66" t="str">
        <f>'MAX Originals'!L87</f>
        <v>19.0.0f0</v>
      </c>
      <c r="M87" s="90" t="str">
        <f>'MAX Originals'!M87</f>
        <v>NI System Configuration</v>
      </c>
      <c r="N87" s="90" t="str">
        <f>'MAX Originals'!N87</f>
        <v>19.0.0f0</v>
      </c>
      <c r="O87" s="135" t="str">
        <f>'MAX Originals'!O88</f>
        <v>NI System Configuration</v>
      </c>
      <c r="P87" s="135" t="str">
        <f>'MAX Originals'!P88</f>
        <v>19.0.0f0</v>
      </c>
    </row>
    <row r="88" spans="1:16" x14ac:dyDescent="0.25">
      <c r="A88" s="72" t="str">
        <f>'MAX Originals'!A87</f>
        <v>NI-TClk</v>
      </c>
      <c r="B88" s="72">
        <f>'MAX Originals'!B87</f>
        <v>15</v>
      </c>
      <c r="C88" s="73" t="str">
        <f>'MAX Originals'!C87</f>
        <v>NI-TClk</v>
      </c>
      <c r="D88" s="73">
        <f>'MAX Originals'!D87</f>
        <v>15</v>
      </c>
      <c r="E88" s="74" t="str">
        <f>'MAX Originals'!E75</f>
        <v>NI-TClk</v>
      </c>
      <c r="F88" s="74">
        <f>'MAX Originals'!F75</f>
        <v>15</v>
      </c>
      <c r="G88" s="75" t="str">
        <f>'MAX Originals'!G87</f>
        <v>NI-TClk</v>
      </c>
      <c r="H88" s="75">
        <f>'MAX Originals'!H87</f>
        <v>15</v>
      </c>
      <c r="I88" s="54" t="str">
        <f>'MAX Originals'!I88</f>
        <v>NI-TClk</v>
      </c>
      <c r="J88" s="54">
        <f>'MAX Originals'!J88</f>
        <v>15</v>
      </c>
      <c r="K88" s="66" t="str">
        <f>'MAX Originals'!K88</f>
        <v>NI-TClk</v>
      </c>
      <c r="L88" s="66">
        <f>'MAX Originals'!L88</f>
        <v>15</v>
      </c>
      <c r="M88" s="90" t="str">
        <f>'MAX Originals'!M88</f>
        <v>NI-TClk</v>
      </c>
      <c r="N88" s="90">
        <f>'MAX Originals'!N88</f>
        <v>15</v>
      </c>
      <c r="O88" s="135" t="str">
        <f>'MAX Originals'!O89</f>
        <v>NI-TClk</v>
      </c>
      <c r="P88" s="135">
        <f>'MAX Originals'!P89</f>
        <v>15</v>
      </c>
    </row>
    <row r="89" spans="1:16" x14ac:dyDescent="0.25">
      <c r="A89" s="72" t="str">
        <f>'MAX Originals'!A88</f>
        <v>NI-VISA</v>
      </c>
      <c r="B89" s="72">
        <f>'MAX Originals'!B88</f>
        <v>15</v>
      </c>
      <c r="C89" s="73" t="str">
        <f>'MAX Originals'!C88</f>
        <v>NI-VISA</v>
      </c>
      <c r="D89" s="73">
        <f>'MAX Originals'!D88</f>
        <v>15</v>
      </c>
      <c r="E89" s="74" t="str">
        <f>'MAX Originals'!E76</f>
        <v>NI-VISA</v>
      </c>
      <c r="F89" s="74">
        <f>'MAX Originals'!F76</f>
        <v>15.5</v>
      </c>
      <c r="G89" s="75" t="str">
        <f>'MAX Originals'!G88</f>
        <v>NI-VISA</v>
      </c>
      <c r="H89" s="75">
        <f>'MAX Originals'!H88</f>
        <v>19</v>
      </c>
      <c r="I89" s="54" t="str">
        <f>'MAX Originals'!I89</f>
        <v>NI-VISA</v>
      </c>
      <c r="J89" s="54">
        <f>'MAX Originals'!J89</f>
        <v>19</v>
      </c>
      <c r="K89" s="66" t="str">
        <f>'MAX Originals'!K89</f>
        <v>NI-VISA</v>
      </c>
      <c r="L89" s="66">
        <f>'MAX Originals'!L89</f>
        <v>19</v>
      </c>
      <c r="M89" s="90" t="str">
        <f>'MAX Originals'!M89</f>
        <v>NI-VISA</v>
      </c>
      <c r="N89" s="90">
        <f>'MAX Originals'!N89</f>
        <v>19</v>
      </c>
      <c r="O89" s="135" t="str">
        <f>'MAX Originals'!O90</f>
        <v>NI-VISA</v>
      </c>
      <c r="P89" s="135">
        <f>'MAX Originals'!P90</f>
        <v>19</v>
      </c>
    </row>
    <row r="90" spans="1:16" x14ac:dyDescent="0.25">
      <c r="A90" s="72" t="str">
        <f>'MAX Originals'!A89</f>
        <v>NiVisaServer.exe</v>
      </c>
      <c r="B90" s="72" t="str">
        <f>'MAX Originals'!B89</f>
        <v>15.0.0.49152</v>
      </c>
      <c r="C90" s="73" t="str">
        <f>'MAX Originals'!C89</f>
        <v>NiVisaServer.exe</v>
      </c>
      <c r="D90" s="73" t="str">
        <f>'MAX Originals'!D89</f>
        <v>15.0.0.49152</v>
      </c>
      <c r="E90" s="74" t="str">
        <f>'MAX Originals'!E77</f>
        <v>NiVisaServer.exe</v>
      </c>
      <c r="F90" s="74" t="str">
        <f>'MAX Originals'!F77</f>
        <v>15.0.0.49152</v>
      </c>
      <c r="G90" s="75" t="str">
        <f>'MAX Originals'!G89</f>
        <v>NiVisaServer.exe</v>
      </c>
      <c r="H90" s="75" t="str">
        <f>'MAX Originals'!H89</f>
        <v>15.0.0.49152</v>
      </c>
      <c r="I90" s="54" t="str">
        <f>'MAX Originals'!I90</f>
        <v>NiVisaServer.exe</v>
      </c>
      <c r="J90" s="54" t="str">
        <f>'MAX Originals'!J90</f>
        <v>15.0.0.49152</v>
      </c>
      <c r="K90" s="66" t="str">
        <f>'MAX Originals'!K90</f>
        <v>NiVisaServer.exe</v>
      </c>
      <c r="L90" s="66" t="str">
        <f>'MAX Originals'!L90</f>
        <v>15.0.0.49152</v>
      </c>
      <c r="M90" s="90" t="str">
        <f>'MAX Originals'!M90</f>
        <v>NiVisaServer.exe</v>
      </c>
      <c r="N90" s="90" t="str">
        <f>'MAX Originals'!N90</f>
        <v>15.0.0.49152</v>
      </c>
      <c r="O90" s="135" t="str">
        <f>'MAX Originals'!O91</f>
        <v>NiVisaServer.exe</v>
      </c>
      <c r="P90" s="135" t="str">
        <f>'MAX Originals'!P91</f>
        <v>15.0.0.49152</v>
      </c>
    </row>
    <row r="91" spans="1:16" x14ac:dyDescent="0.25">
      <c r="A91" s="72" t="str">
        <f>'MAX Originals'!A90</f>
        <v>NIvisaic.exe</v>
      </c>
      <c r="B91" s="72" t="str">
        <f>'MAX Originals'!B90</f>
        <v>15.0.0.49152</v>
      </c>
      <c r="C91" s="73" t="str">
        <f>'MAX Originals'!C90</f>
        <v>NIvisaic.exe</v>
      </c>
      <c r="D91" s="73" t="str">
        <f>'MAX Originals'!D90</f>
        <v>15.0.0.49152</v>
      </c>
      <c r="E91" s="74" t="str">
        <f>'MAX Originals'!E78</f>
        <v>NIvisaic.exe</v>
      </c>
      <c r="F91" s="74" t="str">
        <f>'MAX Originals'!F78</f>
        <v>15.0.0.49152</v>
      </c>
      <c r="G91" s="75" t="str">
        <f>'MAX Originals'!G90</f>
        <v>NIvisaic.exe</v>
      </c>
      <c r="H91" s="75" t="str">
        <f>'MAX Originals'!H90</f>
        <v>15.0.0.49152</v>
      </c>
      <c r="I91" s="54" t="str">
        <f>'MAX Originals'!I91</f>
        <v>NIvisaic.exe</v>
      </c>
      <c r="J91" s="54" t="str">
        <f>'MAX Originals'!J91</f>
        <v>18.0.0.49152</v>
      </c>
      <c r="K91" s="66" t="str">
        <f>'MAX Originals'!K91</f>
        <v>NIvisaic.exe</v>
      </c>
      <c r="L91" s="66" t="str">
        <f>'MAX Originals'!L91</f>
        <v>18.0.0.49152</v>
      </c>
      <c r="M91" s="90" t="str">
        <f>'MAX Originals'!M91</f>
        <v>NIvisaic.exe</v>
      </c>
      <c r="N91" s="90" t="str">
        <f>'MAX Originals'!N91</f>
        <v>18.0.0.49152</v>
      </c>
      <c r="O91" s="135" t="str">
        <f>'MAX Originals'!O92</f>
        <v>NIvisaic.exe</v>
      </c>
      <c r="P91" s="135" t="str">
        <f>'MAX Originals'!P92</f>
        <v>18.0.0.49152</v>
      </c>
    </row>
    <row r="92" spans="1:16" x14ac:dyDescent="0.25">
      <c r="A92" s="72" t="str">
        <f>'MAX Originals'!A91</f>
        <v>NI-VISA Runtime</v>
      </c>
      <c r="B92" s="72">
        <f>'MAX Originals'!B91</f>
        <v>15</v>
      </c>
      <c r="C92" s="73" t="str">
        <f>'MAX Originals'!C91</f>
        <v>NI-VISA Runtime</v>
      </c>
      <c r="D92" s="73">
        <f>'MAX Originals'!D91</f>
        <v>15</v>
      </c>
      <c r="E92" s="74" t="str">
        <f>'MAX Originals'!E79</f>
        <v>NI-VISA Runtime</v>
      </c>
      <c r="F92" s="74">
        <f>'MAX Originals'!F79</f>
        <v>15.5</v>
      </c>
      <c r="G92" s="75" t="str">
        <f>'MAX Originals'!G91</f>
        <v>NI-VISA Runtime</v>
      </c>
      <c r="H92" s="75">
        <f>'MAX Originals'!H91</f>
        <v>19</v>
      </c>
      <c r="I92" s="54" t="str">
        <f>'MAX Originals'!I92</f>
        <v>NI-VISA Runtime</v>
      </c>
      <c r="J92" s="54">
        <f>'MAX Originals'!J92</f>
        <v>19</v>
      </c>
      <c r="K92" s="66" t="str">
        <f>'MAX Originals'!K92</f>
        <v>NI-VISA Runtime</v>
      </c>
      <c r="L92" s="66">
        <f>'MAX Originals'!L92</f>
        <v>19</v>
      </c>
      <c r="M92" s="90" t="str">
        <f>'MAX Originals'!M92</f>
        <v>NI-VISA Runtime</v>
      </c>
      <c r="N92" s="90">
        <f>'MAX Originals'!N92</f>
        <v>19</v>
      </c>
      <c r="O92" s="135" t="str">
        <f>'MAX Originals'!O93</f>
        <v>NI-VISA Runtime</v>
      </c>
      <c r="P92" s="135">
        <f>'MAX Originals'!P93</f>
        <v>19</v>
      </c>
    </row>
    <row r="93" spans="1:16" x14ac:dyDescent="0.25">
      <c r="A93" s="72" t="str">
        <f>'MAX Originals'!A92</f>
        <v>LabVIEW Run-Time 2013 SP1 f6</v>
      </c>
      <c r="B93" s="72" t="str">
        <f>'MAX Originals'!B92</f>
        <v>13.0.1</v>
      </c>
      <c r="C93" s="73" t="str">
        <f>'MAX Originals'!C92</f>
        <v>LabVIEW Runtime 2013 SP1 f6</v>
      </c>
      <c r="D93" s="73" t="str">
        <f>'MAX Originals'!D92</f>
        <v>13.0.1</v>
      </c>
      <c r="E93" s="74" t="str">
        <f>'MAX Originals'!E92</f>
        <v>LabVIEW Runtime 2013 SP1 f6</v>
      </c>
      <c r="F93" s="74" t="str">
        <f>'MAX Originals'!F92</f>
        <v>13.0.1</v>
      </c>
      <c r="G93" s="75" t="str">
        <f>'MAX Originals'!G106</f>
        <v>LabVIEW Runtime 2013 SP1 f6</v>
      </c>
      <c r="H93" s="75" t="str">
        <f>'MAX Originals'!H106</f>
        <v>13.0.1</v>
      </c>
      <c r="I93" s="54" t="str">
        <f>'MAX Originals'!I107</f>
        <v>LabVIEW Runtime 2013 SP1 f6</v>
      </c>
      <c r="J93" s="54" t="str">
        <f>'MAX Originals'!J107</f>
        <v>13.0.1</v>
      </c>
      <c r="K93" s="66" t="str">
        <f>'MAX Originals'!K107</f>
        <v>LabVIEW Runtime 2013 SP1 f6</v>
      </c>
      <c r="L93" s="66" t="str">
        <f>'MAX Originals'!L107</f>
        <v>13.0.1</v>
      </c>
      <c r="M93" s="90" t="str">
        <f>'MAX Originals'!M107</f>
        <v>LabVIEW Runtime 2013 SP1 f6</v>
      </c>
      <c r="N93" s="90" t="str">
        <f>'MAX Originals'!N107</f>
        <v>13.0.1</v>
      </c>
      <c r="O93" s="135" t="str">
        <f>'MAX Originals'!O108</f>
        <v>LabVIEW Runtime 2013 SP1 f6</v>
      </c>
      <c r="P93" s="135" t="str">
        <f>'MAX Originals'!P108</f>
        <v>13.0.1</v>
      </c>
    </row>
    <row r="94" spans="1:16" x14ac:dyDescent="0.25">
      <c r="A94" s="72" t="str">
        <f>'MAX Originals'!A93</f>
        <v>LabVIEW Run-Time 2014 SP1 f1</v>
      </c>
      <c r="B94" s="72" t="str">
        <f>'MAX Originals'!B93</f>
        <v>14.0.1</v>
      </c>
      <c r="C94" s="73" t="str">
        <f>'MAX Originals'!C93</f>
        <v>LabVIEW Runtime 2014 SP1 f3</v>
      </c>
      <c r="D94" s="73" t="str">
        <f>'MAX Originals'!D93</f>
        <v>14.0.1</v>
      </c>
      <c r="E94" s="74" t="str">
        <f>'MAX Originals'!E93</f>
        <v>LabVIEW Runtime 2014 SP1 f11</v>
      </c>
      <c r="F94" s="74" t="str">
        <f>'MAX Originals'!F93</f>
        <v>14.0.1</v>
      </c>
      <c r="G94" s="75" t="str">
        <f>'MAX Originals'!G107</f>
        <v>LabVIEW Runtime 2014 SP1 f11</v>
      </c>
      <c r="H94" s="75" t="str">
        <f>'MAX Originals'!H107</f>
        <v>14.0.1</v>
      </c>
      <c r="I94" s="54" t="str">
        <f>'MAX Originals'!I108</f>
        <v>LabVIEW Runtime 2014 SP1 f11</v>
      </c>
      <c r="J94" s="54" t="str">
        <f>'MAX Originals'!J108</f>
        <v>14.0.1</v>
      </c>
      <c r="K94" s="66" t="str">
        <f>'MAX Originals'!K108</f>
        <v>LabVIEW Runtime 2014 SP1 f11</v>
      </c>
      <c r="L94" s="66" t="str">
        <f>'MAX Originals'!L108</f>
        <v>14.0.1</v>
      </c>
      <c r="M94" s="90" t="str">
        <f>'MAX Originals'!M108</f>
        <v>LabVIEW Runtime 2014 SP1 f11</v>
      </c>
      <c r="N94" s="90" t="str">
        <f>'MAX Originals'!N108</f>
        <v>14.0.1</v>
      </c>
      <c r="O94" s="135" t="str">
        <f>'MAX Originals'!O109</f>
        <v>LabVIEW Runtime 2014 SP1 f11</v>
      </c>
      <c r="P94" s="135" t="str">
        <f>'MAX Originals'!P109</f>
        <v>14.0.1</v>
      </c>
    </row>
    <row r="95" spans="1:16" x14ac:dyDescent="0.25">
      <c r="A95" s="72" t="str">
        <f>'MAX Originals'!A94</f>
        <v>LabVIEW Run-Time 2015</v>
      </c>
      <c r="B95" s="72" t="str">
        <f>'MAX Originals'!B94</f>
        <v>15.0.0</v>
      </c>
      <c r="C95" s="73" t="str">
        <f>'MAX Originals'!C94</f>
        <v>LabVIEW Runtime 2015 SP1</v>
      </c>
      <c r="D95" s="73" t="str">
        <f>'MAX Originals'!D94</f>
        <v>15.0.1</v>
      </c>
      <c r="E95" s="74" t="str">
        <f>'MAX Originals'!E94</f>
        <v>LabVIEW Runtime 2015 SP1 f10</v>
      </c>
      <c r="F95" s="74" t="str">
        <f>'MAX Originals'!F94</f>
        <v>15.0.1</v>
      </c>
      <c r="G95" s="75" t="str">
        <f>'MAX Originals'!G108</f>
        <v>LabVIEW Runtime 2015 SP1</v>
      </c>
      <c r="H95" s="75" t="str">
        <f>'MAX Originals'!H108</f>
        <v>15.0.1</v>
      </c>
      <c r="I95" s="54" t="str">
        <f>'MAX Originals'!I109</f>
        <v>LabVIEW Runtime 2015 SP1</v>
      </c>
      <c r="J95" s="54" t="str">
        <f>'MAX Originals'!J109</f>
        <v>15.0.1</v>
      </c>
      <c r="K95" s="66" t="str">
        <f>'MAX Originals'!K109</f>
        <v>LabVIEW Runtime 2015 SP1</v>
      </c>
      <c r="L95" s="66" t="str">
        <f>'MAX Originals'!L109</f>
        <v>15.0.1</v>
      </c>
      <c r="M95" s="90" t="str">
        <f>'MAX Originals'!M109</f>
        <v>LabVIEW Runtime 2015 SP1</v>
      </c>
      <c r="N95" s="90" t="str">
        <f>'MAX Originals'!N109</f>
        <v>15.0.1</v>
      </c>
      <c r="O95" s="135" t="str">
        <f>'MAX Originals'!O114</f>
        <v>LabVIEW Runtime 2019 SP1 f3</v>
      </c>
      <c r="P95" s="135" t="str">
        <f>'MAX Originals'!P114</f>
        <v>19.0.1</v>
      </c>
    </row>
    <row r="96" spans="1:16" ht="30" x14ac:dyDescent="0.25">
      <c r="A96" s="72" t="str">
        <f>'MAX Originals'!A95</f>
        <v>LabVIEW Runtime 2014 SP1 f1 (64-bit)</v>
      </c>
      <c r="B96" s="72" t="str">
        <f>'MAX Originals'!B95</f>
        <v>14.0.1</v>
      </c>
      <c r="C96" s="73" t="str">
        <f>'MAX Originals'!C95</f>
        <v>LabVIEW Runtime 2014 SP1 f1 (64-bit)</v>
      </c>
      <c r="D96" s="73" t="str">
        <f>'MAX Originals'!D95</f>
        <v>14.0.1</v>
      </c>
      <c r="E96" s="74" t="str">
        <f>'MAX Originals'!E95</f>
        <v>LabVIEW Runtime 2014 SP1 f11 (64-bit)</v>
      </c>
      <c r="F96" s="74" t="str">
        <f>'MAX Originals'!F95</f>
        <v>14.0.1</v>
      </c>
      <c r="G96" s="75" t="str">
        <f>'MAX Originals'!G111</f>
        <v>LabVIEW Runtime 2014 SP1 f11 (64-bit)</v>
      </c>
      <c r="H96" s="75" t="str">
        <f>'MAX Originals'!H111</f>
        <v>14.0.1</v>
      </c>
      <c r="I96" s="54" t="str">
        <f>'MAX Originals'!I114</f>
        <v>LabVIEW Runtime 2014 SP1 f11 (64-bit)</v>
      </c>
      <c r="J96" s="54" t="str">
        <f>'MAX Originals'!J114</f>
        <v>14.0.1</v>
      </c>
      <c r="K96" s="66" t="str">
        <f>'MAX Originals'!K114</f>
        <v>LabVIEW Runtime 2014 SP1 f11 (64-bit)</v>
      </c>
      <c r="L96" s="66" t="str">
        <f>'MAX Originals'!L114</f>
        <v>14.0.1</v>
      </c>
      <c r="M96" s="90" t="str">
        <f>'MAX Originals'!M114</f>
        <v>LabVIEW Runtime 2014 SP1 f11 (64-bit)</v>
      </c>
      <c r="N96" s="90" t="str">
        <f>'MAX Originals'!N114</f>
        <v>14.0.1</v>
      </c>
      <c r="O96" s="135" t="str">
        <f>'MAX Originals'!O115</f>
        <v>LabVIEW Runtime 2014 SP1 f11 (64-bit)</v>
      </c>
      <c r="P96" s="135" t="str">
        <f>'MAX Originals'!P115</f>
        <v>14.0.1</v>
      </c>
    </row>
    <row r="97" spans="1:16" ht="30" x14ac:dyDescent="0.25">
      <c r="A97" s="72" t="str">
        <f>'MAX Originals'!A96</f>
        <v>LabVIEW Runtime 2015 (64-bit)</v>
      </c>
      <c r="B97" s="72" t="str">
        <f>'MAX Originals'!B96</f>
        <v>15.0.0</v>
      </c>
      <c r="C97" s="73" t="str">
        <f>'MAX Originals'!C96</f>
        <v>LabVIEW Runtime 2015 (64-bit)</v>
      </c>
      <c r="D97" s="73" t="str">
        <f>'MAX Originals'!D96</f>
        <v>15.0.0</v>
      </c>
      <c r="E97" s="74" t="str">
        <f>'MAX Originals'!E96</f>
        <v>LabVIEW Runtime 2015 f2 (64-bit)</v>
      </c>
      <c r="F97" s="74" t="str">
        <f>'MAX Originals'!F96</f>
        <v>15.0.0</v>
      </c>
      <c r="G97" s="75" t="str">
        <f>'MAX Originals'!G112</f>
        <v>LabVIEW Runtime 2015 f2 (64-bit)</v>
      </c>
      <c r="H97" s="75" t="str">
        <f>'MAX Originals'!H112</f>
        <v>15.0.0</v>
      </c>
      <c r="I97" s="54" t="str">
        <f>'MAX Originals'!I115</f>
        <v>LabVIEW Runtime 2015 f2 (64-bit)</v>
      </c>
      <c r="J97" s="54" t="str">
        <f>'MAX Originals'!J115</f>
        <v>15.0.0</v>
      </c>
      <c r="K97" s="66" t="str">
        <f>'MAX Originals'!K115</f>
        <v>LabVIEW Runtime 2015 f2 (64-bit)</v>
      </c>
      <c r="L97" s="66" t="str">
        <f>'MAX Originals'!L115</f>
        <v>15.0.0</v>
      </c>
      <c r="M97" s="90" t="str">
        <f>'MAX Originals'!M115</f>
        <v>LabVIEW Runtime 2015 f2 (64-bit)</v>
      </c>
      <c r="N97" s="90" t="str">
        <f>'MAX Originals'!N115</f>
        <v>15.0.0</v>
      </c>
      <c r="O97" s="135" t="str">
        <f>'MAX Originals'!O116</f>
        <v>LabVIEW Runtime 2015 f2 (64-bit)</v>
      </c>
      <c r="P97" s="135" t="str">
        <f>'MAX Originals'!P116</f>
        <v>15.0.0</v>
      </c>
    </row>
    <row r="98" spans="1:16" x14ac:dyDescent="0.25">
      <c r="A98" s="72" t="str">
        <f>'MAX Originals'!A31</f>
        <v>NI I/O Trace</v>
      </c>
      <c r="B98" s="72" t="s">
        <v>136</v>
      </c>
      <c r="C98" s="73" t="str">
        <f>'MAX Originals'!C31</f>
        <v>NI I/O Trace</v>
      </c>
      <c r="D98" s="73" t="s">
        <v>136</v>
      </c>
      <c r="E98" s="74" t="str">
        <f>'MAX Originals'!E31</f>
        <v>NI I/O Trace</v>
      </c>
      <c r="F98" s="74" t="s">
        <v>136</v>
      </c>
      <c r="G98" s="75" t="str">
        <f>'MAX Originals'!G31</f>
        <v>NI-IMAQ</v>
      </c>
      <c r="H98" s="75" t="str">
        <f>'MAX Originals'!H31</f>
        <v>19.0.0</v>
      </c>
      <c r="I98" s="54" t="str">
        <f>'MAX Originals'!I31</f>
        <v>NI-IMAQ</v>
      </c>
      <c r="J98" s="54" t="str">
        <f>'MAX Originals'!J31</f>
        <v>19.0.0</v>
      </c>
      <c r="K98" s="66" t="str">
        <f>'MAX Originals'!K31</f>
        <v>NI-IMAQ</v>
      </c>
      <c r="L98" s="66" t="str">
        <f>'MAX Originals'!L31</f>
        <v>19.0.0</v>
      </c>
      <c r="M98" s="90" t="str">
        <f>'MAX Originals'!M31</f>
        <v>NI-IMAQ</v>
      </c>
      <c r="N98" s="90" t="str">
        <f>'MAX Originals'!N31</f>
        <v>19.0.0</v>
      </c>
      <c r="O98" s="135" t="str">
        <f>'MAX Originals'!O32</f>
        <v>NI-IMAQ</v>
      </c>
      <c r="P98" s="135" t="str">
        <f>'MAX Originals'!P32</f>
        <v>19.0.0</v>
      </c>
    </row>
    <row r="99" spans="1:16" x14ac:dyDescent="0.25">
      <c r="A99" s="72" t="str">
        <f>'MAX Originals'!A32</f>
        <v>IVI Compliance Package</v>
      </c>
      <c r="B99" s="72" t="s">
        <v>136</v>
      </c>
      <c r="C99" s="73" t="str">
        <f>'MAX Originals'!C32</f>
        <v>IVI Compliance Package</v>
      </c>
      <c r="D99" s="73" t="s">
        <v>136</v>
      </c>
      <c r="E99" s="74" t="str">
        <f>'MAX Originals'!E32</f>
        <v>IVI Compliance Package</v>
      </c>
      <c r="F99" s="74" t="s">
        <v>136</v>
      </c>
      <c r="G99" s="75" t="str">
        <f>'MAX Originals'!G32</f>
        <v>Runtime 19.0.0</v>
      </c>
      <c r="H99" s="75" t="str">
        <f>'MAX Originals'!H32</f>
        <v>19.0.0</v>
      </c>
      <c r="I99" s="54" t="str">
        <f>'MAX Originals'!I32</f>
        <v>Runtime 19.0.0</v>
      </c>
      <c r="J99" s="54" t="str">
        <f>'MAX Originals'!J32</f>
        <v>19.0.0</v>
      </c>
      <c r="K99" s="66" t="str">
        <f>'MAX Originals'!K32</f>
        <v>Runtime 19.0.0</v>
      </c>
      <c r="L99" s="66" t="str">
        <f>'MAX Originals'!L32</f>
        <v>19.0.0</v>
      </c>
      <c r="M99" s="90" t="str">
        <f>'MAX Originals'!M32</f>
        <v>Runtime 19.0.0</v>
      </c>
      <c r="N99" s="90" t="str">
        <f>'MAX Originals'!N32</f>
        <v>19.0.0</v>
      </c>
      <c r="O99" s="135" t="str">
        <f>'MAX Originals'!O33</f>
        <v>Runtime 19.0.0</v>
      </c>
      <c r="P99" s="135" t="str">
        <f>'MAX Originals'!P33</f>
        <v>19.0.0</v>
      </c>
    </row>
    <row r="100" spans="1:16" x14ac:dyDescent="0.25">
      <c r="A100" s="72" t="str">
        <f>'MAX Originals'!A33</f>
        <v>LabVIEW</v>
      </c>
      <c r="B100" s="72" t="s">
        <v>136</v>
      </c>
      <c r="C100" s="73" t="str">
        <f>'MAX Originals'!C33</f>
        <v>LabVIEW</v>
      </c>
      <c r="D100" s="73" t="s">
        <v>136</v>
      </c>
      <c r="E100" s="74" t="str">
        <f>'MAX Originals'!E33</f>
        <v>LabVIEW 2015 (64-bit)</v>
      </c>
      <c r="F100" s="74" t="s">
        <v>136</v>
      </c>
      <c r="G100" s="75" t="str">
        <f>'MAX Originals'!G33</f>
        <v>NI-IMAQ I/O</v>
      </c>
      <c r="H100" s="75" t="str">
        <f>'MAX Originals'!H33</f>
        <v>19.0.0</v>
      </c>
      <c r="I100" s="54" t="str">
        <f>'MAX Originals'!I33</f>
        <v>NI-IMAQ I/O</v>
      </c>
      <c r="J100" s="54" t="str">
        <f>'MAX Originals'!J33</f>
        <v>19.0.0</v>
      </c>
      <c r="K100" s="66" t="str">
        <f>'MAX Originals'!K33</f>
        <v>NI-IMAQ I/O</v>
      </c>
      <c r="L100" s="66" t="str">
        <f>'MAX Originals'!L33</f>
        <v>19.0.0</v>
      </c>
      <c r="M100" s="90" t="str">
        <f>'MAX Originals'!M33</f>
        <v>NI-IMAQ I/O</v>
      </c>
      <c r="N100" s="90" t="str">
        <f>'MAX Originals'!N33</f>
        <v>19.0.0</v>
      </c>
      <c r="O100" s="135" t="str">
        <f>'MAX Originals'!O34</f>
        <v>NI-IMAQ I/O</v>
      </c>
      <c r="P100" s="135" t="str">
        <f>'MAX Originals'!P34</f>
        <v>19.0.0</v>
      </c>
    </row>
    <row r="101" spans="1:16" ht="30" x14ac:dyDescent="0.25">
      <c r="A101" s="72" t="str">
        <f>'MAX Originals'!A34</f>
        <v>Advanced Signal Processing Toolkit</v>
      </c>
      <c r="B101" s="72" t="s">
        <v>136</v>
      </c>
      <c r="C101" s="73" t="str">
        <f>'MAX Originals'!C34</f>
        <v>Advanced Signal Processing Toolkit</v>
      </c>
      <c r="D101" s="73" t="s">
        <v>136</v>
      </c>
      <c r="E101" s="74" t="str">
        <f>'MAX Originals'!E34</f>
        <v>LabVIEW Runtime 2012 SP1 f9</v>
      </c>
      <c r="F101" s="74" t="s">
        <v>136</v>
      </c>
      <c r="G101" s="75" t="str">
        <f>'MAX Originals'!G34</f>
        <v>Runtime 19.0.0</v>
      </c>
      <c r="H101" s="75" t="str">
        <f>'MAX Originals'!H34</f>
        <v>19.0.0</v>
      </c>
      <c r="I101" s="54" t="str">
        <f>'MAX Originals'!I34</f>
        <v>Runtime 19.0.0</v>
      </c>
      <c r="J101" s="54" t="str">
        <f>'MAX Originals'!J34</f>
        <v>19.0.0</v>
      </c>
      <c r="K101" s="66" t="str">
        <f>'MAX Originals'!K34</f>
        <v>Runtime 19.0.0</v>
      </c>
      <c r="L101" s="66" t="str">
        <f>'MAX Originals'!L34</f>
        <v>19.0.0</v>
      </c>
      <c r="M101" s="90" t="str">
        <f>'MAX Originals'!M34</f>
        <v>Runtime 19.0.0</v>
      </c>
      <c r="N101" s="90" t="str">
        <f>'MAX Originals'!N34</f>
        <v>19.0.0</v>
      </c>
      <c r="O101" s="135" t="str">
        <f>'MAX Originals'!O35</f>
        <v>Runtime 19.0.0</v>
      </c>
      <c r="P101" s="135" t="str">
        <f>'MAX Originals'!P35</f>
        <v>19.0.0</v>
      </c>
    </row>
    <row r="102" spans="1:16" ht="30" x14ac:dyDescent="0.25">
      <c r="A102" s="72" t="str">
        <f>'MAX Originals'!A35</f>
        <v>Database Connectivity Toolkit</v>
      </c>
      <c r="B102" s="72" t="s">
        <v>136</v>
      </c>
      <c r="C102" s="73" t="str">
        <f>'MAX Originals'!C35</f>
        <v>Database Connectivity Toolkit</v>
      </c>
      <c r="D102" s="73" t="s">
        <v>136</v>
      </c>
      <c r="E102" s="74" t="str">
        <f>'MAX Originals'!E35</f>
        <v>LabVIEW Runtime 2012 SP1 f9 (64-bit)</v>
      </c>
      <c r="F102" s="74" t="s">
        <v>136</v>
      </c>
      <c r="G102" s="75" t="str">
        <f>'MAX Originals'!G35</f>
        <v>Vision Common Resources</v>
      </c>
      <c r="H102" s="75" t="str">
        <f>'MAX Originals'!H35</f>
        <v>19.0.0</v>
      </c>
      <c r="I102" s="54" t="str">
        <f>'MAX Originals'!I35</f>
        <v>Vision Common Resources</v>
      </c>
      <c r="J102" s="54" t="str">
        <f>'MAX Originals'!J35</f>
        <v>19.0.0</v>
      </c>
      <c r="K102" s="66" t="str">
        <f>'MAX Originals'!K35</f>
        <v>Vision Common Resources</v>
      </c>
      <c r="L102" s="66" t="str">
        <f>'MAX Originals'!L35</f>
        <v>19.0.0</v>
      </c>
      <c r="M102" s="90" t="str">
        <f>'MAX Originals'!M35</f>
        <v>Vision Common Resources</v>
      </c>
      <c r="N102" s="90" t="str">
        <f>'MAX Originals'!N35</f>
        <v>19.0.0</v>
      </c>
      <c r="O102" s="135" t="str">
        <f>'MAX Originals'!O36</f>
        <v>Vision Common Resources</v>
      </c>
      <c r="P102" s="135" t="str">
        <f>'MAX Originals'!P36</f>
        <v>19.0.0</v>
      </c>
    </row>
    <row r="103" spans="1:16" ht="30" x14ac:dyDescent="0.25">
      <c r="A103" s="72" t="str">
        <f>'MAX Originals'!A36</f>
        <v>DataFinder Toolkit</v>
      </c>
      <c r="B103" s="72" t="s">
        <v>136</v>
      </c>
      <c r="C103" s="73" t="str">
        <f>'MAX Originals'!C36</f>
        <v>DataFinder Toolkit</v>
      </c>
      <c r="D103" s="73" t="s">
        <v>136</v>
      </c>
      <c r="E103" s="74" t="str">
        <f>'MAX Originals'!E36</f>
        <v>Measurement &amp; Automation Explorer</v>
      </c>
      <c r="F103" s="74" t="s">
        <v>136</v>
      </c>
      <c r="G103" s="75" t="str">
        <f>'MAX Originals'!G36</f>
        <v>Image Processing and Machine Vision</v>
      </c>
      <c r="H103" s="75" t="str">
        <f>'MAX Originals'!H36</f>
        <v>19.0.0.49152</v>
      </c>
      <c r="I103" s="54" t="str">
        <f>'MAX Originals'!I36</f>
        <v>Image Processing and Machine Vision</v>
      </c>
      <c r="J103" s="54" t="str">
        <f>'MAX Originals'!J36</f>
        <v>19.0.0.49152</v>
      </c>
      <c r="K103" s="66" t="str">
        <f>'MAX Originals'!K36</f>
        <v>Image Processing and Machine Vision</v>
      </c>
      <c r="L103" s="66" t="str">
        <f>'MAX Originals'!L36</f>
        <v>19.0.0.49152</v>
      </c>
      <c r="M103" s="90" t="str">
        <f>'MAX Originals'!M36</f>
        <v>Image Processing and Machine Vision</v>
      </c>
      <c r="N103" s="90" t="str">
        <f>'MAX Originals'!N36</f>
        <v>19.0.0.49152</v>
      </c>
      <c r="O103" s="135" t="str">
        <f>'MAX Originals'!O37</f>
        <v>Image Processing and Machine Vision</v>
      </c>
      <c r="P103" s="135" t="str">
        <f>'MAX Originals'!P37</f>
        <v>19.0.0.49152</v>
      </c>
    </row>
    <row r="104" spans="1:16" x14ac:dyDescent="0.25">
      <c r="A104" s="72" t="str">
        <f>'MAX Originals'!A37</f>
        <v>Digital Filter Design Toolkit</v>
      </c>
      <c r="B104" s="72" t="s">
        <v>136</v>
      </c>
      <c r="C104" s="73" t="str">
        <f>'MAX Originals'!C37</f>
        <v>Digital Filter Design Toolkit</v>
      </c>
      <c r="D104" s="73" t="s">
        <v>136</v>
      </c>
      <c r="E104" s="74" t="str">
        <f>'MAX Originals'!E37</f>
        <v>Measurement Studio</v>
      </c>
      <c r="F104" s="74" t="s">
        <v>136</v>
      </c>
      <c r="G104" s="75" t="str">
        <f>'MAX Originals'!G37</f>
        <v>Image Services</v>
      </c>
      <c r="H104" s="75" t="str">
        <f>'MAX Originals'!H37</f>
        <v>19.0.0.49152</v>
      </c>
      <c r="I104" s="54" t="str">
        <f>'MAX Originals'!I37</f>
        <v>Image Services</v>
      </c>
      <c r="J104" s="54" t="str">
        <f>'MAX Originals'!J37</f>
        <v>19.0.0.49152</v>
      </c>
      <c r="K104" s="66" t="str">
        <f>'MAX Originals'!K37</f>
        <v>Image Services</v>
      </c>
      <c r="L104" s="66" t="str">
        <f>'MAX Originals'!L37</f>
        <v>19.0.0.49152</v>
      </c>
      <c r="M104" s="90" t="str">
        <f>'MAX Originals'!M37</f>
        <v>Image Services</v>
      </c>
      <c r="N104" s="90" t="str">
        <f>'MAX Originals'!N37</f>
        <v>19.0.0.49152</v>
      </c>
      <c r="O104" s="135" t="str">
        <f>'MAX Originals'!O38</f>
        <v>Image Services</v>
      </c>
      <c r="P104" s="135" t="str">
        <f>'MAX Originals'!P38</f>
        <v>19.0.0.49152</v>
      </c>
    </row>
    <row r="105" spans="1:16" ht="30" x14ac:dyDescent="0.25">
      <c r="A105" s="72" t="str">
        <f>'MAX Originals'!A38</f>
        <v>MathScript RT Module</v>
      </c>
      <c r="B105" s="72" t="s">
        <v>136</v>
      </c>
      <c r="C105" s="73" t="str">
        <f>'MAX Originals'!C38</f>
        <v>MathScript RT Module</v>
      </c>
      <c r="D105" s="73" t="s">
        <v>136</v>
      </c>
      <c r="E105" s="74" t="str">
        <f>'MAX Originals'!E38</f>
        <v>DotNET</v>
      </c>
      <c r="F105" s="74" t="s">
        <v>136</v>
      </c>
      <c r="G105" s="75" t="str">
        <f>'MAX Originals'!G38</f>
        <v>NI-Industrial Communications for EtherCAT</v>
      </c>
      <c r="H105" s="75" t="str">
        <f>'MAX Originals'!H38</f>
        <v>15.0.0f3</v>
      </c>
      <c r="I105" s="54" t="str">
        <f>'MAX Originals'!I38</f>
        <v>NI-Industrial Communications for EtherCAT</v>
      </c>
      <c r="J105" s="54" t="str">
        <f>'MAX Originals'!J38</f>
        <v>15.0.0f3</v>
      </c>
      <c r="K105" s="66" t="str">
        <f>'MAX Originals'!K38</f>
        <v>NI-Industrial Communications for EtherCAT</v>
      </c>
      <c r="L105" s="66" t="str">
        <f>'MAX Originals'!L38</f>
        <v>18.0.0f1</v>
      </c>
      <c r="M105" s="90" t="str">
        <f>'MAX Originals'!M38</f>
        <v>NI-Industrial Communications for EtherCAT</v>
      </c>
      <c r="N105" s="90" t="str">
        <f>'MAX Originals'!N38</f>
        <v>18.0.0f1</v>
      </c>
      <c r="O105" s="135" t="str">
        <f>'MAX Originals'!O39</f>
        <v>NI-Industrial Communications for EtherCAT</v>
      </c>
      <c r="P105" s="135" t="str">
        <f>'MAX Originals'!P39</f>
        <v>18.0.0f1</v>
      </c>
    </row>
    <row r="106" spans="1:16" ht="30" x14ac:dyDescent="0.25">
      <c r="A106" s="72" t="str">
        <f>'MAX Originals'!A60</f>
        <v>Configuration Support</v>
      </c>
      <c r="B106" s="72" t="s">
        <v>136</v>
      </c>
      <c r="C106" s="73" t="str">
        <f>'MAX Originals'!C60</f>
        <v>Configuration Support</v>
      </c>
      <c r="D106" s="73" t="s">
        <v>136</v>
      </c>
      <c r="E106" s="74" t="str">
        <f>'MAX Originals'!E60</f>
        <v>NI 1588-2008 Network Management 15.0.0</v>
      </c>
      <c r="F106" s="74" t="s">
        <v>136</v>
      </c>
      <c r="G106" s="75" t="str">
        <f>'MAX Originals'!G60</f>
        <v>NI-IMAQdx</v>
      </c>
      <c r="H106" s="75" t="str">
        <f>'MAX Originals'!H60</f>
        <v>19.0.0</v>
      </c>
      <c r="I106" s="54" t="str">
        <f>'MAX Originals'!I60</f>
        <v>NI-IMAQdx</v>
      </c>
      <c r="J106" s="54" t="str">
        <f>'MAX Originals'!J60</f>
        <v>19.0.0</v>
      </c>
      <c r="K106" s="66" t="str">
        <f>'MAX Originals'!K60</f>
        <v>NI-IMAQdx</v>
      </c>
      <c r="L106" s="66" t="str">
        <f>'MAX Originals'!L60</f>
        <v>19.0.0</v>
      </c>
      <c r="M106" s="90" t="str">
        <f>'MAX Originals'!M60</f>
        <v>NI-IMAQdx</v>
      </c>
      <c r="N106" s="90" t="str">
        <f>'MAX Originals'!N60</f>
        <v>19.0.0</v>
      </c>
      <c r="O106" s="135" t="str">
        <f>'MAX Originals'!O61</f>
        <v>NI-IMAQdx</v>
      </c>
      <c r="P106" s="135" t="str">
        <f>'MAX Originals'!P61</f>
        <v>19.0.0</v>
      </c>
    </row>
    <row r="107" spans="1:16" x14ac:dyDescent="0.25">
      <c r="A107" s="72" t="str">
        <f>'MAX Originals'!A61</f>
        <v>Development Support</v>
      </c>
      <c r="B107" s="72" t="s">
        <v>136</v>
      </c>
      <c r="C107" s="73" t="str">
        <f>'MAX Originals'!C61</f>
        <v>Development Support</v>
      </c>
      <c r="D107" s="73" t="s">
        <v>136</v>
      </c>
      <c r="E107" s="74" t="str">
        <f>'MAX Originals'!E61</f>
        <v>NI-SCOPE</v>
      </c>
      <c r="F107" s="74" t="s">
        <v>136</v>
      </c>
      <c r="G107" s="75" t="str">
        <f>'MAX Originals'!G61</f>
        <v>Runtime 19.0.0</v>
      </c>
      <c r="H107" s="75" t="str">
        <f>'MAX Originals'!H61</f>
        <v>19.0.0</v>
      </c>
      <c r="I107" s="54" t="str">
        <f>'MAX Originals'!I61</f>
        <v>Runtime 19.0.0</v>
      </c>
      <c r="J107" s="54" t="str">
        <f>'MAX Originals'!J61</f>
        <v>19.0.0</v>
      </c>
      <c r="K107" s="66" t="str">
        <f>'MAX Originals'!K61</f>
        <v>Runtime 19.0.0</v>
      </c>
      <c r="L107" s="66" t="str">
        <f>'MAX Originals'!L61</f>
        <v>19.0.0</v>
      </c>
      <c r="M107" s="90" t="str">
        <f>'MAX Originals'!M61</f>
        <v>Runtime 19.0.0</v>
      </c>
      <c r="N107" s="90" t="str">
        <f>'MAX Originals'!N61</f>
        <v>19.0.0</v>
      </c>
      <c r="O107" s="135" t="str">
        <f>'MAX Originals'!O62</f>
        <v>Runtime 19.0.0</v>
      </c>
      <c r="P107" s="135" t="str">
        <f>'MAX Originals'!P62</f>
        <v>19.0.0</v>
      </c>
    </row>
    <row r="108" spans="1:16" x14ac:dyDescent="0.25">
      <c r="A108" s="72" t="str">
        <f>'MAX Originals'!A62</f>
        <v>Runtime</v>
      </c>
      <c r="B108" s="72" t="s">
        <v>136</v>
      </c>
      <c r="C108" s="73" t="str">
        <f>'MAX Originals'!C62</f>
        <v>Runtime</v>
      </c>
      <c r="D108" s="73" t="s">
        <v>136</v>
      </c>
      <c r="E108" s="74" t="str">
        <f>'MAX Originals'!E62</f>
        <v>Configuration Support</v>
      </c>
      <c r="F108" s="74" t="s">
        <v>136</v>
      </c>
      <c r="G108" s="75" t="str">
        <f>'MAX Originals'!G62</f>
        <v>USB3 Vision Driver</v>
      </c>
      <c r="H108" s="75" t="str">
        <f>'MAX Originals'!H62</f>
        <v>19.0.0.49152</v>
      </c>
      <c r="I108" s="54" t="str">
        <f>'MAX Originals'!I62</f>
        <v>USB3 Vision Driver</v>
      </c>
      <c r="J108" s="54" t="str">
        <f>'MAX Originals'!J62</f>
        <v>19.0.0.49152</v>
      </c>
      <c r="K108" s="66" t="str">
        <f>'MAX Originals'!K62</f>
        <v>USB3 Vision Driver</v>
      </c>
      <c r="L108" s="66" t="str">
        <f>'MAX Originals'!L62</f>
        <v>19.0.0.49152</v>
      </c>
      <c r="M108" s="90" t="str">
        <f>'MAX Originals'!M62</f>
        <v>USB3 Vision Driver</v>
      </c>
      <c r="N108" s="90" t="str">
        <f>'MAX Originals'!N62</f>
        <v>19.0.0.49152</v>
      </c>
      <c r="O108" s="135" t="str">
        <f>'MAX Originals'!O63</f>
        <v>USB3 Vision Driver</v>
      </c>
      <c r="P108" s="135" t="str">
        <f>'MAX Originals'!P63</f>
        <v>19.0.0.49152</v>
      </c>
    </row>
    <row r="109" spans="1:16" x14ac:dyDescent="0.25">
      <c r="A109" s="72" t="str">
        <f>'MAX Originals'!A63</f>
        <v>NI-HWS</v>
      </c>
      <c r="B109" s="72" t="s">
        <v>136</v>
      </c>
      <c r="C109" s="73" t="str">
        <f>'MAX Originals'!C63</f>
        <v>NI-HWS</v>
      </c>
      <c r="D109" s="73" t="s">
        <v>136</v>
      </c>
      <c r="E109" s="74" t="str">
        <f>'MAX Originals'!E63</f>
        <v>Development Support</v>
      </c>
      <c r="F109" s="74" t="s">
        <v>136</v>
      </c>
      <c r="G109" s="75" t="str">
        <f>'MAX Originals'!G63</f>
        <v>GigE Vision Driver</v>
      </c>
      <c r="H109" s="75" t="str">
        <f>'MAX Originals'!H63</f>
        <v>1.9.3.49152</v>
      </c>
      <c r="I109" s="54" t="str">
        <f>'MAX Originals'!I63</f>
        <v>GigE Vision Driver</v>
      </c>
      <c r="J109" s="54" t="str">
        <f>'MAX Originals'!J63</f>
        <v>1.9.3.49152</v>
      </c>
      <c r="K109" s="66" t="str">
        <f>'MAX Originals'!K63</f>
        <v>GigE Vision Driver</v>
      </c>
      <c r="L109" s="66" t="str">
        <f>'MAX Originals'!L63</f>
        <v>1.9.3.49152</v>
      </c>
      <c r="M109" s="90" t="str">
        <f>'MAX Originals'!M63</f>
        <v>GigE Vision Driver</v>
      </c>
      <c r="N109" s="90" t="str">
        <f>'MAX Originals'!N63</f>
        <v>1.9.3.49152</v>
      </c>
      <c r="O109" s="135" t="str">
        <f>'MAX Originals'!O64</f>
        <v>GigE Vision Driver</v>
      </c>
      <c r="P109" s="135" t="str">
        <f>'MAX Originals'!P64</f>
        <v>1.9.3.49152</v>
      </c>
    </row>
    <row r="110" spans="1:16" x14ac:dyDescent="0.25">
      <c r="A110" s="72" t="str">
        <f>'MAX Originals'!A92</f>
        <v>LabVIEW Run-Time 2013 SP1 f6</v>
      </c>
      <c r="B110" s="72" t="s">
        <v>136</v>
      </c>
      <c r="C110" s="73" t="str">
        <f>'MAX Originals'!C92</f>
        <v>LabVIEW Runtime 2013 SP1 f6</v>
      </c>
      <c r="D110" s="73" t="s">
        <v>136</v>
      </c>
      <c r="E110" s="74" t="str">
        <f>'MAX Originals'!E92</f>
        <v>LabVIEW Runtime 2013 SP1 f6</v>
      </c>
      <c r="F110" s="74" t="s">
        <v>136</v>
      </c>
      <c r="G110" s="75" t="str">
        <f>'MAX Originals'!G92</f>
        <v>Vision Development Module</v>
      </c>
      <c r="H110" s="75" t="str">
        <f>'MAX Originals'!H92</f>
        <v>19.0.0</v>
      </c>
      <c r="I110" s="54" t="str">
        <f>'MAX Originals'!I93</f>
        <v>Vision Development Module</v>
      </c>
      <c r="J110" s="54" t="str">
        <f>'MAX Originals'!J93</f>
        <v>19.0.0</v>
      </c>
      <c r="K110" s="66" t="str">
        <f>'MAX Originals'!K93</f>
        <v>Vision Development Module</v>
      </c>
      <c r="L110" s="66" t="str">
        <f>'MAX Originals'!L93</f>
        <v>19.0.0</v>
      </c>
      <c r="M110" s="90" t="str">
        <f>'MAX Originals'!M93</f>
        <v>Vision Development Module</v>
      </c>
      <c r="N110" s="90" t="str">
        <f>'MAX Originals'!N93</f>
        <v>19.0.0</v>
      </c>
      <c r="O110" s="135" t="str">
        <f>'MAX Originals'!O94</f>
        <v>Vision Development Module</v>
      </c>
      <c r="P110" s="135" t="str">
        <f>'MAX Originals'!P94</f>
        <v>19.0.0</v>
      </c>
    </row>
    <row r="111" spans="1:16" x14ac:dyDescent="0.25">
      <c r="A111" s="72" t="str">
        <f>'MAX Originals'!A93</f>
        <v>LabVIEW Run-Time 2014 SP1 f1</v>
      </c>
      <c r="B111" s="72" t="s">
        <v>136</v>
      </c>
      <c r="C111" s="73" t="str">
        <f>'MAX Originals'!C93</f>
        <v>LabVIEW Runtime 2014 SP1 f3</v>
      </c>
      <c r="D111" s="73" t="s">
        <v>136</v>
      </c>
      <c r="E111" s="74" t="str">
        <f>'MAX Originals'!E93</f>
        <v>LabVIEW Runtime 2014 SP1 f11</v>
      </c>
      <c r="F111" s="74" t="s">
        <v>136</v>
      </c>
      <c r="G111" s="75" t="str">
        <f>'MAX Originals'!G93</f>
        <v>Runtime Support 2019</v>
      </c>
      <c r="H111" s="75" t="str">
        <f>'MAX Originals'!H93</f>
        <v>19.0.0</v>
      </c>
      <c r="I111" s="54" t="str">
        <f>'MAX Originals'!I94</f>
        <v>Runtime Support 2019</v>
      </c>
      <c r="J111" s="54" t="str">
        <f>'MAX Originals'!J94</f>
        <v>19.0.0</v>
      </c>
      <c r="K111" s="66" t="str">
        <f>'MAX Originals'!K94</f>
        <v>Runtime Support 2019</v>
      </c>
      <c r="L111" s="66" t="str">
        <f>'MAX Originals'!L94</f>
        <v>19.0.0</v>
      </c>
      <c r="M111" s="90" t="str">
        <f>'MAX Originals'!M94</f>
        <v>Runtime Support 2019</v>
      </c>
      <c r="N111" s="90" t="str">
        <f>'MAX Originals'!N94</f>
        <v>19.0.0</v>
      </c>
      <c r="O111" s="135" t="str">
        <f>'MAX Originals'!O95</f>
        <v>Runtime Support 2019</v>
      </c>
      <c r="P111" s="135" t="str">
        <f>'MAX Originals'!P95</f>
        <v>19.0.0</v>
      </c>
    </row>
    <row r="112" spans="1:16" x14ac:dyDescent="0.25">
      <c r="A112" s="72" t="s">
        <v>445</v>
      </c>
      <c r="B112" s="72" t="s">
        <v>136</v>
      </c>
      <c r="C112" s="73" t="s">
        <v>445</v>
      </c>
      <c r="D112" s="73" t="s">
        <v>136</v>
      </c>
      <c r="E112" s="74" t="s">
        <v>445</v>
      </c>
      <c r="F112" s="74" t="s">
        <v>136</v>
      </c>
      <c r="G112" s="75" t="str">
        <f>'MAX Originals'!G109</f>
        <v>LabVIEW Runtime 2018 SP1 f3</v>
      </c>
      <c r="H112" s="75" t="str">
        <f>'MAX Originals'!H109</f>
        <v>18.0.1</v>
      </c>
      <c r="I112" s="54" t="str">
        <f>'MAX Originals'!I112</f>
        <v>LabVIEW Runtime 2018 SP1 f3</v>
      </c>
      <c r="J112" s="54" t="str">
        <f>'MAX Originals'!J112</f>
        <v>18.0.1</v>
      </c>
      <c r="K112" s="66" t="str">
        <f>'MAX Originals'!K112</f>
        <v>LabVIEW Runtime 2018 SP1 f3</v>
      </c>
      <c r="L112" s="66" t="str">
        <f>'MAX Originals'!L112</f>
        <v>18.0.1</v>
      </c>
      <c r="M112" s="90" t="str">
        <f>'MAX Originals'!M112</f>
        <v>LabVIEW Runtime 2018 SP1 f3</v>
      </c>
      <c r="N112" s="90" t="str">
        <f>'MAX Originals'!N112</f>
        <v>18.0.1</v>
      </c>
      <c r="O112" s="135" t="str">
        <f>'MAX Originals'!O113</f>
        <v>LabVIEW Runtime 2018 SP1 f3</v>
      </c>
      <c r="P112" s="135" t="str">
        <f>'MAX Originals'!P113</f>
        <v>18.0.1</v>
      </c>
    </row>
    <row r="113" spans="1:1022 1025:2046 2049:3070 3073:4094 4097:5118 5121:6142 6145:7166 7169:8190 8193:9214 9217:10238 10241:11262 11265:12286 12289:13310 13313:14334 14337:15358 15361:16382" x14ac:dyDescent="0.25">
      <c r="A113" s="72" t="s">
        <v>446</v>
      </c>
      <c r="B113" s="72" t="s">
        <v>136</v>
      </c>
      <c r="C113" s="73" t="s">
        <v>446</v>
      </c>
      <c r="D113" s="73" t="s">
        <v>136</v>
      </c>
      <c r="E113" s="74" t="s">
        <v>446</v>
      </c>
      <c r="F113" s="74" t="s">
        <v>136</v>
      </c>
      <c r="G113" s="75" t="str">
        <f>'MAX Originals'!G110</f>
        <v>LabVIEW Runtime 2019</v>
      </c>
      <c r="H113" s="75" t="str">
        <f>'MAX Originals'!H110</f>
        <v>19.0.0</v>
      </c>
      <c r="I113" s="54" t="str">
        <f>'MAX Originals'!I113</f>
        <v>LabVIEW Runtime 2019</v>
      </c>
      <c r="J113" s="54" t="str">
        <f>'MAX Originals'!J113</f>
        <v>19.0.0</v>
      </c>
      <c r="K113" s="66" t="str">
        <f>'MAX Originals'!K113</f>
        <v>LabVIEW Runtime 2019</v>
      </c>
      <c r="L113" s="66" t="str">
        <f>'MAX Originals'!L113</f>
        <v>19.0.0</v>
      </c>
      <c r="M113" s="90" t="str">
        <f>'MAX Originals'!M113</f>
        <v>LabVIEW Runtime 2019</v>
      </c>
      <c r="N113" s="90" t="str">
        <f>'MAX Originals'!N113</f>
        <v>19.0.0</v>
      </c>
      <c r="O113" s="135" t="str">
        <f>'MAX Originals'!O114</f>
        <v>LabVIEW Runtime 2019 SP1 f3</v>
      </c>
      <c r="P113" s="135" t="str">
        <f>'MAX Originals'!P114</f>
        <v>19.0.1</v>
      </c>
    </row>
    <row r="114" spans="1:1022 1025:2046 2049:3070 3073:4094 4097:5118 5121:6142 6145:7166 7169:8190 8193:9214 9217:10238 10241:11262 11265:12286 12289:13310 13313:14334 14337:15358 15361:16382" x14ac:dyDescent="0.25">
      <c r="A114" s="72" t="s">
        <v>483</v>
      </c>
      <c r="B114" s="72" t="s">
        <v>136</v>
      </c>
      <c r="C114" s="73" t="s">
        <v>483</v>
      </c>
      <c r="D114" s="73" t="s">
        <v>136</v>
      </c>
      <c r="E114" s="74" t="s">
        <v>483</v>
      </c>
      <c r="F114" s="74" t="s">
        <v>136</v>
      </c>
      <c r="G114" s="75" t="s">
        <v>483</v>
      </c>
      <c r="H114" s="75" t="s">
        <v>136</v>
      </c>
      <c r="I114" s="54" t="str">
        <f>'MAX Originals'!I110</f>
        <v>LabVIEW Runtime 2016 f5</v>
      </c>
      <c r="J114" s="54" t="str">
        <f>'MAX Originals'!J110</f>
        <v>16.0.0</v>
      </c>
      <c r="K114" s="66" t="str">
        <f>'MAX Originals'!K110</f>
        <v>LabVIEW Runtime 2016 f5</v>
      </c>
      <c r="L114" s="66" t="str">
        <f>'MAX Originals'!L110</f>
        <v>16.0.0</v>
      </c>
      <c r="M114" s="90" t="str">
        <f>'MAX Originals'!M110</f>
        <v>LabVIEW Runtime 2016 f5</v>
      </c>
      <c r="N114" s="90" t="str">
        <f>'MAX Originals'!N110</f>
        <v>16.0.0</v>
      </c>
      <c r="O114" s="135" t="str">
        <f>'MAX Originals'!O111</f>
        <v>LabVIEW Runtime 2016 f5</v>
      </c>
      <c r="P114" s="135" t="str">
        <f>'MAX Originals'!P111</f>
        <v>16.0.0</v>
      </c>
    </row>
    <row r="115" spans="1:1022 1025:2046 2049:3070 3073:4094 4097:5118 5121:6142 6145:7166 7169:8190 8193:9214 9217:10238 10241:11262 11265:12286 12289:13310 13313:14334 14337:15358 15361:16382" x14ac:dyDescent="0.25">
      <c r="A115" s="72" t="s">
        <v>484</v>
      </c>
      <c r="B115" s="72" t="s">
        <v>136</v>
      </c>
      <c r="C115" s="73" t="s">
        <v>484</v>
      </c>
      <c r="D115" s="73" t="s">
        <v>136</v>
      </c>
      <c r="E115" s="74" t="s">
        <v>484</v>
      </c>
      <c r="F115" s="74" t="s">
        <v>136</v>
      </c>
      <c r="G115" s="75" t="s">
        <v>484</v>
      </c>
      <c r="H115" s="75" t="s">
        <v>136</v>
      </c>
      <c r="I115" s="54" t="str">
        <f>'MAX Originals'!I111</f>
        <v>LabVIEW Runtime 2017 SP1 f2</v>
      </c>
      <c r="J115" s="54" t="str">
        <f>'MAX Originals'!J111</f>
        <v>17.0.1</v>
      </c>
      <c r="K115" s="66" t="str">
        <f>'MAX Originals'!K111</f>
        <v>LabVIEW Runtime 2017 SP1 f2</v>
      </c>
      <c r="L115" s="66" t="str">
        <f>'MAX Originals'!L111</f>
        <v>17.0.1</v>
      </c>
      <c r="M115" s="90" t="str">
        <f>'MAX Originals'!M111</f>
        <v>LabVIEW Runtime 2017 SP1 f3</v>
      </c>
      <c r="N115" s="90" t="str">
        <f>'MAX Originals'!N111</f>
        <v>17.0.1</v>
      </c>
      <c r="O115" s="135" t="str">
        <f>'MAX Originals'!O112</f>
        <v>LabVIEW Runtime 2017 SP1 f3</v>
      </c>
      <c r="P115" s="135" t="str">
        <f>'MAX Originals'!P112</f>
        <v>17.0.1</v>
      </c>
    </row>
    <row r="116" spans="1:1022 1025:2046 2049:3070 3073:4094 4097:5118 5121:6142 6145:7166 7169:8190 8193:9214 9217:10238 10241:11262 11265:12286 12289:13310 13313:14334 14337:15358 15361:16382" x14ac:dyDescent="0.25">
      <c r="A116" s="72" t="s">
        <v>56</v>
      </c>
      <c r="B116" s="72" t="s">
        <v>136</v>
      </c>
      <c r="C116" s="73" t="s">
        <v>56</v>
      </c>
      <c r="D116" s="73" t="s">
        <v>136</v>
      </c>
      <c r="E116" s="74" t="s">
        <v>56</v>
      </c>
      <c r="F116" s="74" t="s">
        <v>136</v>
      </c>
      <c r="G116" s="75" t="s">
        <v>56</v>
      </c>
      <c r="H116" s="75" t="s">
        <v>136</v>
      </c>
      <c r="I116" s="54" t="str">
        <f>'MAX Originals'!I68</f>
        <v>NI-Sync</v>
      </c>
      <c r="J116" s="54" t="str">
        <f>'MAX Originals'!J68</f>
        <v>18.1.0f0</v>
      </c>
      <c r="K116" s="66" t="str">
        <f>'MAX Originals'!K68</f>
        <v>NI-Sync</v>
      </c>
      <c r="L116" s="66" t="str">
        <f>'MAX Originals'!L68</f>
        <v>18.1.0f0</v>
      </c>
      <c r="M116" s="90" t="str">
        <f>'MAX Originals'!M68</f>
        <v>NI-Sync</v>
      </c>
      <c r="N116" s="90" t="str">
        <f>'MAX Originals'!N68</f>
        <v>18.1.0f0</v>
      </c>
      <c r="O116" s="136" t="str">
        <f>'MAX Originals'!O69</f>
        <v>NI-Sync</v>
      </c>
      <c r="P116" s="136" t="str">
        <f>'MAX Originals'!P69</f>
        <v>18.1.0f0</v>
      </c>
    </row>
    <row r="117" spans="1:1022 1025:2046 2049:3070 3073:4094 4097:5118 5121:6142 6145:7166 7169:8190 8193:9214 9217:10238 10241:11262 11265:12286 12289:13310 13313:14334 14337:15358 15361:16382" s="146" customFormat="1" x14ac:dyDescent="0.25">
      <c r="A117" s="72" t="str">
        <f>'MAX Originals'!A4</f>
        <v>CompactRIO</v>
      </c>
      <c r="B117" s="72" t="s">
        <v>136</v>
      </c>
      <c r="C117" s="73" t="str">
        <f>'MAX Originals'!C4</f>
        <v>CompactRIO</v>
      </c>
      <c r="D117" s="73" t="s">
        <v>136</v>
      </c>
      <c r="E117" s="74" t="str">
        <f>'MAX Originals'!E4</f>
        <v>CompactRIO</v>
      </c>
      <c r="F117" s="74" t="s">
        <v>136</v>
      </c>
      <c r="G117" s="75" t="str">
        <f>'MAX Originals'!G4</f>
        <v>CompactRIO</v>
      </c>
      <c r="H117" s="75" t="s">
        <v>136</v>
      </c>
      <c r="I117" s="54" t="str">
        <f>'MAX Originals'!I4</f>
        <v>CompactRIO</v>
      </c>
      <c r="J117" s="54" t="s">
        <v>136</v>
      </c>
      <c r="K117" s="66" t="str">
        <f>'MAX Originals'!K4</f>
        <v>CompactRIO</v>
      </c>
      <c r="L117" s="66" t="s">
        <v>136</v>
      </c>
      <c r="M117" s="90" t="str">
        <f>'MAX Originals'!M4</f>
        <v>CompactRIO</v>
      </c>
      <c r="N117" s="90" t="s">
        <v>136</v>
      </c>
      <c r="O117" s="136" t="str">
        <f>'MAX Originals'!O4</f>
        <v>NI-CAN</v>
      </c>
      <c r="P117" s="136" t="str">
        <f>'MAX Originals'!P4</f>
        <v>15.0.0f0</v>
      </c>
      <c r="Q117" s="144"/>
      <c r="R117" s="144"/>
      <c r="S117" s="144"/>
      <c r="T117" s="144"/>
      <c r="U117" s="144"/>
      <c r="V117" s="144"/>
      <c r="W117" s="144"/>
      <c r="X117" s="144"/>
      <c r="Y117" s="145"/>
      <c r="Z117" s="145"/>
      <c r="AA117" s="145"/>
      <c r="AB117" s="145"/>
      <c r="AC117" s="145"/>
      <c r="AD117" s="145"/>
      <c r="AG117" s="144"/>
      <c r="AH117" s="144"/>
      <c r="AI117" s="144"/>
      <c r="AJ117" s="144"/>
      <c r="AK117" s="144"/>
      <c r="AL117" s="144"/>
      <c r="AM117" s="144"/>
      <c r="AN117" s="144"/>
      <c r="AO117" s="145"/>
      <c r="AP117" s="145"/>
      <c r="AQ117" s="145"/>
      <c r="AR117" s="145"/>
      <c r="AS117" s="145"/>
      <c r="AT117" s="145"/>
      <c r="AW117" s="144"/>
      <c r="AX117" s="144"/>
      <c r="AY117" s="144"/>
      <c r="AZ117" s="144"/>
      <c r="BA117" s="144"/>
      <c r="BB117" s="144"/>
      <c r="BC117" s="144"/>
      <c r="BD117" s="144"/>
      <c r="BE117" s="145"/>
      <c r="BF117" s="145"/>
      <c r="BG117" s="145"/>
      <c r="BH117" s="145"/>
      <c r="BI117" s="145"/>
      <c r="BJ117" s="145"/>
      <c r="BM117" s="144"/>
      <c r="BN117" s="144"/>
      <c r="BO117" s="144"/>
      <c r="BP117" s="144"/>
      <c r="BQ117" s="144"/>
      <c r="BR117" s="144"/>
      <c r="BS117" s="144"/>
      <c r="BT117" s="144"/>
      <c r="BU117" s="145"/>
      <c r="BV117" s="145"/>
      <c r="BW117" s="145"/>
      <c r="BX117" s="145"/>
      <c r="BY117" s="145"/>
      <c r="BZ117" s="145"/>
      <c r="CC117" s="144"/>
      <c r="CD117" s="144"/>
      <c r="CE117" s="144"/>
      <c r="CF117" s="144"/>
      <c r="CG117" s="144"/>
      <c r="CH117" s="144"/>
      <c r="CI117" s="144"/>
      <c r="CJ117" s="144"/>
      <c r="CK117" s="145"/>
      <c r="CL117" s="145"/>
      <c r="CM117" s="145"/>
      <c r="CN117" s="145"/>
      <c r="CO117" s="145"/>
      <c r="CP117" s="145"/>
      <c r="CS117" s="144"/>
      <c r="CT117" s="144"/>
      <c r="CU117" s="144"/>
      <c r="CV117" s="144"/>
      <c r="CW117" s="144"/>
      <c r="CX117" s="144"/>
      <c r="CY117" s="144"/>
      <c r="CZ117" s="144"/>
      <c r="DA117" s="145"/>
      <c r="DB117" s="145"/>
      <c r="DC117" s="145"/>
      <c r="DD117" s="145"/>
      <c r="DE117" s="145"/>
      <c r="DF117" s="145"/>
      <c r="DI117" s="144"/>
      <c r="DJ117" s="144"/>
      <c r="DK117" s="144"/>
      <c r="DL117" s="144"/>
      <c r="DM117" s="144"/>
      <c r="DN117" s="144"/>
      <c r="DO117" s="144"/>
      <c r="DP117" s="144"/>
      <c r="DQ117" s="145"/>
      <c r="DR117" s="145"/>
      <c r="DS117" s="145"/>
      <c r="DT117" s="145"/>
      <c r="DU117" s="145"/>
      <c r="DV117" s="145"/>
      <c r="DY117" s="144"/>
      <c r="DZ117" s="144"/>
      <c r="EA117" s="144"/>
      <c r="EB117" s="144"/>
      <c r="EC117" s="144"/>
      <c r="ED117" s="144"/>
      <c r="EE117" s="144"/>
      <c r="EF117" s="144"/>
      <c r="EG117" s="145"/>
      <c r="EH117" s="145"/>
      <c r="EI117" s="145"/>
      <c r="EJ117" s="145"/>
      <c r="EK117" s="145"/>
      <c r="EL117" s="145"/>
      <c r="EO117" s="144"/>
      <c r="EP117" s="144"/>
      <c r="EQ117" s="144"/>
      <c r="ER117" s="144"/>
      <c r="ES117" s="144"/>
      <c r="ET117" s="144"/>
      <c r="EU117" s="144"/>
      <c r="EV117" s="144"/>
      <c r="EW117" s="145"/>
      <c r="EX117" s="145"/>
      <c r="EY117" s="145"/>
      <c r="EZ117" s="145"/>
      <c r="FA117" s="145"/>
      <c r="FB117" s="145"/>
      <c r="FE117" s="144"/>
      <c r="FF117" s="144"/>
      <c r="FG117" s="144"/>
      <c r="FH117" s="144"/>
      <c r="FI117" s="144"/>
      <c r="FJ117" s="144"/>
      <c r="FK117" s="144"/>
      <c r="FL117" s="144"/>
      <c r="FM117" s="145"/>
      <c r="FN117" s="145"/>
      <c r="FO117" s="145"/>
      <c r="FP117" s="145"/>
      <c r="FQ117" s="145"/>
      <c r="FR117" s="145"/>
      <c r="FU117" s="144"/>
      <c r="FV117" s="144"/>
      <c r="FW117" s="144"/>
      <c r="FX117" s="144"/>
      <c r="FY117" s="144"/>
      <c r="FZ117" s="144"/>
      <c r="GA117" s="144"/>
      <c r="GB117" s="144"/>
      <c r="GC117" s="145"/>
      <c r="GD117" s="145"/>
      <c r="GE117" s="145"/>
      <c r="GF117" s="145"/>
      <c r="GG117" s="145"/>
      <c r="GH117" s="145"/>
      <c r="GK117" s="144"/>
      <c r="GL117" s="144"/>
      <c r="GM117" s="144"/>
      <c r="GN117" s="144"/>
      <c r="GO117" s="144"/>
      <c r="GP117" s="144"/>
      <c r="GQ117" s="144"/>
      <c r="GR117" s="144"/>
      <c r="GS117" s="145"/>
      <c r="GT117" s="145"/>
      <c r="GU117" s="145"/>
      <c r="GV117" s="145"/>
      <c r="GW117" s="145"/>
      <c r="GX117" s="145"/>
      <c r="HA117" s="144"/>
      <c r="HB117" s="144"/>
      <c r="HC117" s="144"/>
      <c r="HD117" s="144"/>
      <c r="HE117" s="144"/>
      <c r="HF117" s="144"/>
      <c r="HG117" s="144"/>
      <c r="HH117" s="144"/>
      <c r="HI117" s="145"/>
      <c r="HJ117" s="145"/>
      <c r="HK117" s="145"/>
      <c r="HL117" s="145"/>
      <c r="HM117" s="145"/>
      <c r="HN117" s="145"/>
      <c r="HQ117" s="144"/>
      <c r="HR117" s="144"/>
      <c r="HS117" s="144"/>
      <c r="HT117" s="144"/>
      <c r="HU117" s="144"/>
      <c r="HV117" s="144"/>
      <c r="HW117" s="144"/>
      <c r="HX117" s="144"/>
      <c r="HY117" s="145"/>
      <c r="HZ117" s="145"/>
      <c r="IA117" s="145"/>
      <c r="IB117" s="145"/>
      <c r="IC117" s="145"/>
      <c r="ID117" s="145"/>
      <c r="IG117" s="144"/>
      <c r="IH117" s="144"/>
      <c r="II117" s="144"/>
      <c r="IJ117" s="144"/>
      <c r="IK117" s="144"/>
      <c r="IL117" s="144"/>
      <c r="IM117" s="144"/>
      <c r="IN117" s="144"/>
      <c r="IO117" s="145"/>
      <c r="IP117" s="145"/>
      <c r="IQ117" s="145"/>
      <c r="IR117" s="145"/>
      <c r="IS117" s="145"/>
      <c r="IT117" s="145"/>
      <c r="IW117" s="144"/>
      <c r="IX117" s="144"/>
      <c r="IY117" s="144"/>
      <c r="IZ117" s="144"/>
      <c r="JA117" s="144"/>
      <c r="JB117" s="144"/>
      <c r="JC117" s="144"/>
      <c r="JD117" s="144"/>
      <c r="JE117" s="145"/>
      <c r="JF117" s="145"/>
      <c r="JG117" s="145"/>
      <c r="JH117" s="145"/>
      <c r="JI117" s="145"/>
      <c r="JJ117" s="145"/>
      <c r="JM117" s="144"/>
      <c r="JN117" s="144"/>
      <c r="JO117" s="144"/>
      <c r="JP117" s="144"/>
      <c r="JQ117" s="144"/>
      <c r="JR117" s="144"/>
      <c r="JS117" s="144"/>
      <c r="JT117" s="144"/>
      <c r="JU117" s="145"/>
      <c r="JV117" s="145"/>
      <c r="JW117" s="145"/>
      <c r="JX117" s="145"/>
      <c r="JY117" s="145"/>
      <c r="JZ117" s="145"/>
      <c r="KC117" s="144"/>
      <c r="KD117" s="144"/>
      <c r="KE117" s="144"/>
      <c r="KF117" s="144"/>
      <c r="KG117" s="144"/>
      <c r="KH117" s="144"/>
      <c r="KI117" s="144"/>
      <c r="KJ117" s="144"/>
      <c r="KK117" s="145"/>
      <c r="KL117" s="145"/>
      <c r="KM117" s="145"/>
      <c r="KN117" s="145"/>
      <c r="KO117" s="145"/>
      <c r="KP117" s="145"/>
      <c r="KS117" s="144"/>
      <c r="KT117" s="144"/>
      <c r="KU117" s="144"/>
      <c r="KV117" s="144"/>
      <c r="KW117" s="144"/>
      <c r="KX117" s="144"/>
      <c r="KY117" s="144"/>
      <c r="KZ117" s="144"/>
      <c r="LA117" s="145"/>
      <c r="LB117" s="145"/>
      <c r="LC117" s="145"/>
      <c r="LD117" s="145"/>
      <c r="LE117" s="145"/>
      <c r="LF117" s="145"/>
      <c r="LI117" s="144"/>
      <c r="LJ117" s="144"/>
      <c r="LK117" s="144"/>
      <c r="LL117" s="144"/>
      <c r="LM117" s="144"/>
      <c r="LN117" s="144"/>
      <c r="LO117" s="144"/>
      <c r="LP117" s="144"/>
      <c r="LQ117" s="145"/>
      <c r="LR117" s="145"/>
      <c r="LS117" s="145"/>
      <c r="LT117" s="145"/>
      <c r="LU117" s="145"/>
      <c r="LV117" s="145"/>
      <c r="LY117" s="144"/>
      <c r="LZ117" s="144"/>
      <c r="MA117" s="144"/>
      <c r="MB117" s="144"/>
      <c r="MC117" s="144"/>
      <c r="MD117" s="144"/>
      <c r="ME117" s="144"/>
      <c r="MF117" s="144"/>
      <c r="MG117" s="145"/>
      <c r="MH117" s="145"/>
      <c r="MI117" s="145"/>
      <c r="MJ117" s="145"/>
      <c r="MK117" s="145"/>
      <c r="ML117" s="145"/>
      <c r="MO117" s="144"/>
      <c r="MP117" s="144"/>
      <c r="MQ117" s="144"/>
      <c r="MR117" s="144"/>
      <c r="MS117" s="144"/>
      <c r="MT117" s="144"/>
      <c r="MU117" s="144"/>
      <c r="MV117" s="144"/>
      <c r="MW117" s="145"/>
      <c r="MX117" s="145"/>
      <c r="MY117" s="145"/>
      <c r="MZ117" s="145"/>
      <c r="NA117" s="145"/>
      <c r="NB117" s="145"/>
      <c r="NE117" s="144"/>
      <c r="NF117" s="144"/>
      <c r="NG117" s="144"/>
      <c r="NH117" s="144"/>
      <c r="NI117" s="144"/>
      <c r="NJ117" s="144"/>
      <c r="NK117" s="144"/>
      <c r="NL117" s="144"/>
      <c r="NM117" s="145"/>
      <c r="NN117" s="145"/>
      <c r="NO117" s="145"/>
      <c r="NP117" s="145"/>
      <c r="NQ117" s="145"/>
      <c r="NR117" s="145"/>
      <c r="NU117" s="144"/>
      <c r="NV117" s="144"/>
      <c r="NW117" s="144"/>
      <c r="NX117" s="144"/>
      <c r="NY117" s="144"/>
      <c r="NZ117" s="144"/>
      <c r="OA117" s="144"/>
      <c r="OB117" s="144"/>
      <c r="OC117" s="145"/>
      <c r="OD117" s="145"/>
      <c r="OE117" s="145"/>
      <c r="OF117" s="145"/>
      <c r="OG117" s="145"/>
      <c r="OH117" s="145"/>
      <c r="OK117" s="144"/>
      <c r="OL117" s="144"/>
      <c r="OM117" s="144"/>
      <c r="ON117" s="144"/>
      <c r="OO117" s="144"/>
      <c r="OP117" s="144"/>
      <c r="OQ117" s="144"/>
      <c r="OR117" s="144"/>
      <c r="OS117" s="145"/>
      <c r="OT117" s="145"/>
      <c r="OU117" s="145"/>
      <c r="OV117" s="145"/>
      <c r="OW117" s="145"/>
      <c r="OX117" s="145"/>
      <c r="PA117" s="144"/>
      <c r="PB117" s="144"/>
      <c r="PC117" s="144"/>
      <c r="PD117" s="144"/>
      <c r="PE117" s="144"/>
      <c r="PF117" s="144"/>
      <c r="PG117" s="144"/>
      <c r="PH117" s="144"/>
      <c r="PI117" s="145"/>
      <c r="PJ117" s="145"/>
      <c r="PK117" s="145"/>
      <c r="PL117" s="145"/>
      <c r="PM117" s="145"/>
      <c r="PN117" s="145"/>
      <c r="PQ117" s="144"/>
      <c r="PR117" s="144"/>
      <c r="PS117" s="144"/>
      <c r="PT117" s="144"/>
      <c r="PU117" s="144"/>
      <c r="PV117" s="144"/>
      <c r="PW117" s="144"/>
      <c r="PX117" s="144"/>
      <c r="PY117" s="145"/>
      <c r="PZ117" s="145"/>
      <c r="QA117" s="145"/>
      <c r="QB117" s="145"/>
      <c r="QC117" s="145"/>
      <c r="QD117" s="145"/>
      <c r="QG117" s="144"/>
      <c r="QH117" s="144"/>
      <c r="QI117" s="144"/>
      <c r="QJ117" s="144"/>
      <c r="QK117" s="144"/>
      <c r="QL117" s="144"/>
      <c r="QM117" s="144"/>
      <c r="QN117" s="144"/>
      <c r="QO117" s="145"/>
      <c r="QP117" s="145"/>
      <c r="QQ117" s="145"/>
      <c r="QR117" s="145"/>
      <c r="QS117" s="145"/>
      <c r="QT117" s="145"/>
      <c r="QW117" s="144"/>
      <c r="QX117" s="144"/>
      <c r="QY117" s="144"/>
      <c r="QZ117" s="144"/>
      <c r="RA117" s="144"/>
      <c r="RB117" s="144"/>
      <c r="RC117" s="144"/>
      <c r="RD117" s="144"/>
      <c r="RE117" s="145"/>
      <c r="RF117" s="145"/>
      <c r="RG117" s="145"/>
      <c r="RH117" s="145"/>
      <c r="RI117" s="145"/>
      <c r="RJ117" s="145"/>
      <c r="RM117" s="144"/>
      <c r="RN117" s="144"/>
      <c r="RO117" s="144"/>
      <c r="RP117" s="144"/>
      <c r="RQ117" s="144"/>
      <c r="RR117" s="144"/>
      <c r="RS117" s="144"/>
      <c r="RT117" s="144"/>
      <c r="RU117" s="145"/>
      <c r="RV117" s="145"/>
      <c r="RW117" s="145"/>
      <c r="RX117" s="145"/>
      <c r="RY117" s="145"/>
      <c r="RZ117" s="145"/>
      <c r="SC117" s="144"/>
      <c r="SD117" s="144"/>
      <c r="SE117" s="144"/>
      <c r="SF117" s="144"/>
      <c r="SG117" s="144"/>
      <c r="SH117" s="144"/>
      <c r="SI117" s="144"/>
      <c r="SJ117" s="144"/>
      <c r="SK117" s="145"/>
      <c r="SL117" s="145"/>
      <c r="SM117" s="145"/>
      <c r="SN117" s="145"/>
      <c r="SO117" s="145"/>
      <c r="SP117" s="145"/>
      <c r="SS117" s="144"/>
      <c r="ST117" s="144"/>
      <c r="SU117" s="144"/>
      <c r="SV117" s="144"/>
      <c r="SW117" s="144"/>
      <c r="SX117" s="144"/>
      <c r="SY117" s="144"/>
      <c r="SZ117" s="144"/>
      <c r="TA117" s="145"/>
      <c r="TB117" s="145"/>
      <c r="TC117" s="145"/>
      <c r="TD117" s="145"/>
      <c r="TE117" s="145"/>
      <c r="TF117" s="145"/>
      <c r="TI117" s="144"/>
      <c r="TJ117" s="144"/>
      <c r="TK117" s="144"/>
      <c r="TL117" s="144"/>
      <c r="TM117" s="144"/>
      <c r="TN117" s="144"/>
      <c r="TO117" s="144"/>
      <c r="TP117" s="144"/>
      <c r="TQ117" s="145"/>
      <c r="TR117" s="145"/>
      <c r="TS117" s="145"/>
      <c r="TT117" s="145"/>
      <c r="TU117" s="145"/>
      <c r="TV117" s="145"/>
      <c r="TY117" s="144"/>
      <c r="TZ117" s="144"/>
      <c r="UA117" s="144"/>
      <c r="UB117" s="144"/>
      <c r="UC117" s="144"/>
      <c r="UD117" s="144"/>
      <c r="UE117" s="144"/>
      <c r="UF117" s="144"/>
      <c r="UG117" s="145"/>
      <c r="UH117" s="145"/>
      <c r="UI117" s="145"/>
      <c r="UJ117" s="145"/>
      <c r="UK117" s="145"/>
      <c r="UL117" s="145"/>
      <c r="UO117" s="144"/>
      <c r="UP117" s="144"/>
      <c r="UQ117" s="144"/>
      <c r="UR117" s="144"/>
      <c r="US117" s="144"/>
      <c r="UT117" s="144"/>
      <c r="UU117" s="144"/>
      <c r="UV117" s="144"/>
      <c r="UW117" s="145"/>
      <c r="UX117" s="145"/>
      <c r="UY117" s="145"/>
      <c r="UZ117" s="145"/>
      <c r="VA117" s="145"/>
      <c r="VB117" s="145"/>
      <c r="VE117" s="144"/>
      <c r="VF117" s="144"/>
      <c r="VG117" s="144"/>
      <c r="VH117" s="144"/>
      <c r="VI117" s="144"/>
      <c r="VJ117" s="144"/>
      <c r="VK117" s="144"/>
      <c r="VL117" s="144"/>
      <c r="VM117" s="145"/>
      <c r="VN117" s="145"/>
      <c r="VO117" s="145"/>
      <c r="VP117" s="145"/>
      <c r="VQ117" s="145"/>
      <c r="VR117" s="145"/>
      <c r="VU117" s="144"/>
      <c r="VV117" s="144"/>
      <c r="VW117" s="144"/>
      <c r="VX117" s="144"/>
      <c r="VY117" s="144"/>
      <c r="VZ117" s="144"/>
      <c r="WA117" s="144"/>
      <c r="WB117" s="144"/>
      <c r="WC117" s="145"/>
      <c r="WD117" s="145"/>
      <c r="WE117" s="145"/>
      <c r="WF117" s="145"/>
      <c r="WG117" s="145"/>
      <c r="WH117" s="145"/>
      <c r="WK117" s="144"/>
      <c r="WL117" s="144"/>
      <c r="WM117" s="144"/>
      <c r="WN117" s="144"/>
      <c r="WO117" s="144"/>
      <c r="WP117" s="144"/>
      <c r="WQ117" s="144"/>
      <c r="WR117" s="144"/>
      <c r="WS117" s="145"/>
      <c r="WT117" s="145"/>
      <c r="WU117" s="145"/>
      <c r="WV117" s="145"/>
      <c r="WW117" s="145"/>
      <c r="WX117" s="145"/>
      <c r="XA117" s="144"/>
      <c r="XB117" s="144"/>
      <c r="XC117" s="144"/>
      <c r="XD117" s="144"/>
      <c r="XE117" s="144"/>
      <c r="XF117" s="144"/>
      <c r="XG117" s="144"/>
      <c r="XH117" s="144"/>
      <c r="XI117" s="145"/>
      <c r="XJ117" s="145"/>
      <c r="XK117" s="145"/>
      <c r="XL117" s="145"/>
      <c r="XM117" s="145"/>
      <c r="XN117" s="145"/>
      <c r="XQ117" s="144"/>
      <c r="XR117" s="144"/>
      <c r="XS117" s="144"/>
      <c r="XT117" s="144"/>
      <c r="XU117" s="144"/>
      <c r="XV117" s="144"/>
      <c r="XW117" s="144"/>
      <c r="XX117" s="144"/>
      <c r="XY117" s="145"/>
      <c r="XZ117" s="145"/>
      <c r="YA117" s="145"/>
      <c r="YB117" s="145"/>
      <c r="YC117" s="145"/>
      <c r="YD117" s="145"/>
      <c r="YG117" s="144"/>
      <c r="YH117" s="144"/>
      <c r="YI117" s="144"/>
      <c r="YJ117" s="144"/>
      <c r="YK117" s="144"/>
      <c r="YL117" s="144"/>
      <c r="YM117" s="144"/>
      <c r="YN117" s="144"/>
      <c r="YO117" s="145"/>
      <c r="YP117" s="145"/>
      <c r="YQ117" s="145"/>
      <c r="YR117" s="145"/>
      <c r="YS117" s="145"/>
      <c r="YT117" s="145"/>
      <c r="YW117" s="144"/>
      <c r="YX117" s="144"/>
      <c r="YY117" s="144"/>
      <c r="YZ117" s="144"/>
      <c r="ZA117" s="144"/>
      <c r="ZB117" s="144"/>
      <c r="ZC117" s="144"/>
      <c r="ZD117" s="144"/>
      <c r="ZE117" s="145"/>
      <c r="ZF117" s="145"/>
      <c r="ZG117" s="145"/>
      <c r="ZH117" s="145"/>
      <c r="ZI117" s="145"/>
      <c r="ZJ117" s="145"/>
      <c r="ZM117" s="144"/>
      <c r="ZN117" s="144"/>
      <c r="ZO117" s="144"/>
      <c r="ZP117" s="144"/>
      <c r="ZQ117" s="144"/>
      <c r="ZR117" s="144"/>
      <c r="ZS117" s="144"/>
      <c r="ZT117" s="144"/>
      <c r="ZU117" s="145"/>
      <c r="ZV117" s="145"/>
      <c r="ZW117" s="145"/>
      <c r="ZX117" s="145"/>
      <c r="ZY117" s="145"/>
      <c r="ZZ117" s="145"/>
      <c r="AAC117" s="144"/>
      <c r="AAD117" s="144"/>
      <c r="AAE117" s="144"/>
      <c r="AAF117" s="144"/>
      <c r="AAG117" s="144"/>
      <c r="AAH117" s="144"/>
      <c r="AAI117" s="144"/>
      <c r="AAJ117" s="144"/>
      <c r="AAK117" s="145"/>
      <c r="AAL117" s="145"/>
      <c r="AAM117" s="145"/>
      <c r="AAN117" s="145"/>
      <c r="AAO117" s="145"/>
      <c r="AAP117" s="145"/>
      <c r="AAS117" s="144"/>
      <c r="AAT117" s="144"/>
      <c r="AAU117" s="144"/>
      <c r="AAV117" s="144"/>
      <c r="AAW117" s="144"/>
      <c r="AAX117" s="144"/>
      <c r="AAY117" s="144"/>
      <c r="AAZ117" s="144"/>
      <c r="ABA117" s="145"/>
      <c r="ABB117" s="145"/>
      <c r="ABC117" s="145"/>
      <c r="ABD117" s="145"/>
      <c r="ABE117" s="145"/>
      <c r="ABF117" s="145"/>
      <c r="ABI117" s="144"/>
      <c r="ABJ117" s="144"/>
      <c r="ABK117" s="144"/>
      <c r="ABL117" s="144"/>
      <c r="ABM117" s="144"/>
      <c r="ABN117" s="144"/>
      <c r="ABO117" s="144"/>
      <c r="ABP117" s="144"/>
      <c r="ABQ117" s="145"/>
      <c r="ABR117" s="145"/>
      <c r="ABS117" s="145"/>
      <c r="ABT117" s="145"/>
      <c r="ABU117" s="145"/>
      <c r="ABV117" s="145"/>
      <c r="ABY117" s="144"/>
      <c r="ABZ117" s="144"/>
      <c r="ACA117" s="144"/>
      <c r="ACB117" s="144"/>
      <c r="ACC117" s="144"/>
      <c r="ACD117" s="144"/>
      <c r="ACE117" s="144"/>
      <c r="ACF117" s="144"/>
      <c r="ACG117" s="145"/>
      <c r="ACH117" s="145"/>
      <c r="ACI117" s="145"/>
      <c r="ACJ117" s="145"/>
      <c r="ACK117" s="145"/>
      <c r="ACL117" s="145"/>
      <c r="ACO117" s="144"/>
      <c r="ACP117" s="144"/>
      <c r="ACQ117" s="144"/>
      <c r="ACR117" s="144"/>
      <c r="ACS117" s="144"/>
      <c r="ACT117" s="144"/>
      <c r="ACU117" s="144"/>
      <c r="ACV117" s="144"/>
      <c r="ACW117" s="145"/>
      <c r="ACX117" s="145"/>
      <c r="ACY117" s="145"/>
      <c r="ACZ117" s="145"/>
      <c r="ADA117" s="145"/>
      <c r="ADB117" s="145"/>
      <c r="ADE117" s="144"/>
      <c r="ADF117" s="144"/>
      <c r="ADG117" s="144"/>
      <c r="ADH117" s="144"/>
      <c r="ADI117" s="144"/>
      <c r="ADJ117" s="144"/>
      <c r="ADK117" s="144"/>
      <c r="ADL117" s="144"/>
      <c r="ADM117" s="145"/>
      <c r="ADN117" s="145"/>
      <c r="ADO117" s="145"/>
      <c r="ADP117" s="145"/>
      <c r="ADQ117" s="145"/>
      <c r="ADR117" s="145"/>
      <c r="ADU117" s="144"/>
      <c r="ADV117" s="144"/>
      <c r="ADW117" s="144"/>
      <c r="ADX117" s="144"/>
      <c r="ADY117" s="144"/>
      <c r="ADZ117" s="144"/>
      <c r="AEA117" s="144"/>
      <c r="AEB117" s="144"/>
      <c r="AEC117" s="145"/>
      <c r="AED117" s="145"/>
      <c r="AEE117" s="145"/>
      <c r="AEF117" s="145"/>
      <c r="AEG117" s="145"/>
      <c r="AEH117" s="145"/>
      <c r="AEK117" s="144"/>
      <c r="AEL117" s="144"/>
      <c r="AEM117" s="144"/>
      <c r="AEN117" s="144"/>
      <c r="AEO117" s="144"/>
      <c r="AEP117" s="144"/>
      <c r="AEQ117" s="144"/>
      <c r="AER117" s="144"/>
      <c r="AES117" s="145"/>
      <c r="AET117" s="145"/>
      <c r="AEU117" s="145"/>
      <c r="AEV117" s="145"/>
      <c r="AEW117" s="145"/>
      <c r="AEX117" s="145"/>
      <c r="AFA117" s="144"/>
      <c r="AFB117" s="144"/>
      <c r="AFC117" s="144"/>
      <c r="AFD117" s="144"/>
      <c r="AFE117" s="144"/>
      <c r="AFF117" s="144"/>
      <c r="AFG117" s="144"/>
      <c r="AFH117" s="144"/>
      <c r="AFI117" s="145"/>
      <c r="AFJ117" s="145"/>
      <c r="AFK117" s="145"/>
      <c r="AFL117" s="145"/>
      <c r="AFM117" s="145"/>
      <c r="AFN117" s="145"/>
      <c r="AFQ117" s="144"/>
      <c r="AFR117" s="144"/>
      <c r="AFS117" s="144"/>
      <c r="AFT117" s="144"/>
      <c r="AFU117" s="144"/>
      <c r="AFV117" s="144"/>
      <c r="AFW117" s="144"/>
      <c r="AFX117" s="144"/>
      <c r="AFY117" s="145"/>
      <c r="AFZ117" s="145"/>
      <c r="AGA117" s="145"/>
      <c r="AGB117" s="145"/>
      <c r="AGC117" s="145"/>
      <c r="AGD117" s="145"/>
      <c r="AGG117" s="144"/>
      <c r="AGH117" s="144"/>
      <c r="AGI117" s="144"/>
      <c r="AGJ117" s="144"/>
      <c r="AGK117" s="144"/>
      <c r="AGL117" s="144"/>
      <c r="AGM117" s="144"/>
      <c r="AGN117" s="144"/>
      <c r="AGO117" s="145"/>
      <c r="AGP117" s="145"/>
      <c r="AGQ117" s="145"/>
      <c r="AGR117" s="145"/>
      <c r="AGS117" s="145"/>
      <c r="AGT117" s="145"/>
      <c r="AGW117" s="144"/>
      <c r="AGX117" s="144"/>
      <c r="AGY117" s="144"/>
      <c r="AGZ117" s="144"/>
      <c r="AHA117" s="144"/>
      <c r="AHB117" s="144"/>
      <c r="AHC117" s="144"/>
      <c r="AHD117" s="144"/>
      <c r="AHE117" s="145"/>
      <c r="AHF117" s="145"/>
      <c r="AHG117" s="145"/>
      <c r="AHH117" s="145"/>
      <c r="AHI117" s="145"/>
      <c r="AHJ117" s="145"/>
      <c r="AHM117" s="144"/>
      <c r="AHN117" s="144"/>
      <c r="AHO117" s="144"/>
      <c r="AHP117" s="144"/>
      <c r="AHQ117" s="144"/>
      <c r="AHR117" s="144"/>
      <c r="AHS117" s="144"/>
      <c r="AHT117" s="144"/>
      <c r="AHU117" s="145"/>
      <c r="AHV117" s="145"/>
      <c r="AHW117" s="145"/>
      <c r="AHX117" s="145"/>
      <c r="AHY117" s="145"/>
      <c r="AHZ117" s="145"/>
      <c r="AIC117" s="144"/>
      <c r="AID117" s="144"/>
      <c r="AIE117" s="144"/>
      <c r="AIF117" s="144"/>
      <c r="AIG117" s="144"/>
      <c r="AIH117" s="144"/>
      <c r="AII117" s="144"/>
      <c r="AIJ117" s="144"/>
      <c r="AIK117" s="145"/>
      <c r="AIL117" s="145"/>
      <c r="AIM117" s="145"/>
      <c r="AIN117" s="145"/>
      <c r="AIO117" s="145"/>
      <c r="AIP117" s="145"/>
      <c r="AIS117" s="144"/>
      <c r="AIT117" s="144"/>
      <c r="AIU117" s="144"/>
      <c r="AIV117" s="144"/>
      <c r="AIW117" s="144"/>
      <c r="AIX117" s="144"/>
      <c r="AIY117" s="144"/>
      <c r="AIZ117" s="144"/>
      <c r="AJA117" s="145"/>
      <c r="AJB117" s="145"/>
      <c r="AJC117" s="145"/>
      <c r="AJD117" s="145"/>
      <c r="AJE117" s="145"/>
      <c r="AJF117" s="145"/>
      <c r="AJI117" s="144"/>
      <c r="AJJ117" s="144"/>
      <c r="AJK117" s="144"/>
      <c r="AJL117" s="144"/>
      <c r="AJM117" s="144"/>
      <c r="AJN117" s="144"/>
      <c r="AJO117" s="144"/>
      <c r="AJP117" s="144"/>
      <c r="AJQ117" s="145"/>
      <c r="AJR117" s="145"/>
      <c r="AJS117" s="145"/>
      <c r="AJT117" s="145"/>
      <c r="AJU117" s="145"/>
      <c r="AJV117" s="145"/>
      <c r="AJY117" s="144"/>
      <c r="AJZ117" s="144"/>
      <c r="AKA117" s="144"/>
      <c r="AKB117" s="144"/>
      <c r="AKC117" s="144"/>
      <c r="AKD117" s="144"/>
      <c r="AKE117" s="144"/>
      <c r="AKF117" s="144"/>
      <c r="AKG117" s="145"/>
      <c r="AKH117" s="145"/>
      <c r="AKI117" s="145"/>
      <c r="AKJ117" s="145"/>
      <c r="AKK117" s="145"/>
      <c r="AKL117" s="145"/>
      <c r="AKO117" s="144"/>
      <c r="AKP117" s="144"/>
      <c r="AKQ117" s="144"/>
      <c r="AKR117" s="144"/>
      <c r="AKS117" s="144"/>
      <c r="AKT117" s="144"/>
      <c r="AKU117" s="144"/>
      <c r="AKV117" s="144"/>
      <c r="AKW117" s="145"/>
      <c r="AKX117" s="145"/>
      <c r="AKY117" s="145"/>
      <c r="AKZ117" s="145"/>
      <c r="ALA117" s="145"/>
      <c r="ALB117" s="145"/>
      <c r="ALE117" s="144"/>
      <c r="ALF117" s="144"/>
      <c r="ALG117" s="144"/>
      <c r="ALH117" s="144"/>
      <c r="ALI117" s="144"/>
      <c r="ALJ117" s="144"/>
      <c r="ALK117" s="144"/>
      <c r="ALL117" s="144"/>
      <c r="ALM117" s="145"/>
      <c r="ALN117" s="145"/>
      <c r="ALO117" s="145"/>
      <c r="ALP117" s="145"/>
      <c r="ALQ117" s="145"/>
      <c r="ALR117" s="145"/>
      <c r="ALU117" s="144"/>
      <c r="ALV117" s="144"/>
      <c r="ALW117" s="144"/>
      <c r="ALX117" s="144"/>
      <c r="ALY117" s="144"/>
      <c r="ALZ117" s="144"/>
      <c r="AMA117" s="144"/>
      <c r="AMB117" s="144"/>
      <c r="AMC117" s="145"/>
      <c r="AMD117" s="145"/>
      <c r="AME117" s="145"/>
      <c r="AMF117" s="145"/>
      <c r="AMG117" s="145"/>
      <c r="AMH117" s="145"/>
      <c r="AMK117" s="144"/>
      <c r="AML117" s="144"/>
      <c r="AMM117" s="144"/>
      <c r="AMN117" s="144"/>
      <c r="AMO117" s="144"/>
      <c r="AMP117" s="144"/>
      <c r="AMQ117" s="144"/>
      <c r="AMR117" s="144"/>
      <c r="AMS117" s="145"/>
      <c r="AMT117" s="145"/>
      <c r="AMU117" s="145"/>
      <c r="AMV117" s="145"/>
      <c r="AMW117" s="145"/>
      <c r="AMX117" s="145"/>
      <c r="ANA117" s="144"/>
      <c r="ANB117" s="144"/>
      <c r="ANC117" s="144"/>
      <c r="AND117" s="144"/>
      <c r="ANE117" s="144"/>
      <c r="ANF117" s="144"/>
      <c r="ANG117" s="144"/>
      <c r="ANH117" s="144"/>
      <c r="ANI117" s="145"/>
      <c r="ANJ117" s="145"/>
      <c r="ANK117" s="145"/>
      <c r="ANL117" s="145"/>
      <c r="ANM117" s="145"/>
      <c r="ANN117" s="145"/>
      <c r="ANQ117" s="144"/>
      <c r="ANR117" s="144"/>
      <c r="ANS117" s="144"/>
      <c r="ANT117" s="144"/>
      <c r="ANU117" s="144"/>
      <c r="ANV117" s="144"/>
      <c r="ANW117" s="144"/>
      <c r="ANX117" s="144"/>
      <c r="ANY117" s="145"/>
      <c r="ANZ117" s="145"/>
      <c r="AOA117" s="145"/>
      <c r="AOB117" s="145"/>
      <c r="AOC117" s="145"/>
      <c r="AOD117" s="145"/>
      <c r="AOG117" s="144"/>
      <c r="AOH117" s="144"/>
      <c r="AOI117" s="144"/>
      <c r="AOJ117" s="144"/>
      <c r="AOK117" s="144"/>
      <c r="AOL117" s="144"/>
      <c r="AOM117" s="144"/>
      <c r="AON117" s="144"/>
      <c r="AOO117" s="145"/>
      <c r="AOP117" s="145"/>
      <c r="AOQ117" s="145"/>
      <c r="AOR117" s="145"/>
      <c r="AOS117" s="145"/>
      <c r="AOT117" s="145"/>
      <c r="AOW117" s="144"/>
      <c r="AOX117" s="144"/>
      <c r="AOY117" s="144"/>
      <c r="AOZ117" s="144"/>
      <c r="APA117" s="144"/>
      <c r="APB117" s="144"/>
      <c r="APC117" s="144"/>
      <c r="APD117" s="144"/>
      <c r="APE117" s="145"/>
      <c r="APF117" s="145"/>
      <c r="APG117" s="145"/>
      <c r="APH117" s="145"/>
      <c r="API117" s="145"/>
      <c r="APJ117" s="145"/>
      <c r="APM117" s="144"/>
      <c r="APN117" s="144"/>
      <c r="APO117" s="144"/>
      <c r="APP117" s="144"/>
      <c r="APQ117" s="144"/>
      <c r="APR117" s="144"/>
      <c r="APS117" s="144"/>
      <c r="APT117" s="144"/>
      <c r="APU117" s="145"/>
      <c r="APV117" s="145"/>
      <c r="APW117" s="145"/>
      <c r="APX117" s="145"/>
      <c r="APY117" s="145"/>
      <c r="APZ117" s="145"/>
      <c r="AQC117" s="144"/>
      <c r="AQD117" s="144"/>
      <c r="AQE117" s="144"/>
      <c r="AQF117" s="144"/>
      <c r="AQG117" s="144"/>
      <c r="AQH117" s="144"/>
      <c r="AQI117" s="144"/>
      <c r="AQJ117" s="144"/>
      <c r="AQK117" s="145"/>
      <c r="AQL117" s="145"/>
      <c r="AQM117" s="145"/>
      <c r="AQN117" s="145"/>
      <c r="AQO117" s="145"/>
      <c r="AQP117" s="145"/>
      <c r="AQS117" s="144"/>
      <c r="AQT117" s="144"/>
      <c r="AQU117" s="144"/>
      <c r="AQV117" s="144"/>
      <c r="AQW117" s="144"/>
      <c r="AQX117" s="144"/>
      <c r="AQY117" s="144"/>
      <c r="AQZ117" s="144"/>
      <c r="ARA117" s="145"/>
      <c r="ARB117" s="145"/>
      <c r="ARC117" s="145"/>
      <c r="ARD117" s="145"/>
      <c r="ARE117" s="145"/>
      <c r="ARF117" s="145"/>
      <c r="ARI117" s="144"/>
      <c r="ARJ117" s="144"/>
      <c r="ARK117" s="144"/>
      <c r="ARL117" s="144"/>
      <c r="ARM117" s="144"/>
      <c r="ARN117" s="144"/>
      <c r="ARO117" s="144"/>
      <c r="ARP117" s="144"/>
      <c r="ARQ117" s="145"/>
      <c r="ARR117" s="145"/>
      <c r="ARS117" s="145"/>
      <c r="ART117" s="145"/>
      <c r="ARU117" s="145"/>
      <c r="ARV117" s="145"/>
      <c r="ARY117" s="144"/>
      <c r="ARZ117" s="144"/>
      <c r="ASA117" s="144"/>
      <c r="ASB117" s="144"/>
      <c r="ASC117" s="144"/>
      <c r="ASD117" s="144"/>
      <c r="ASE117" s="144"/>
      <c r="ASF117" s="144"/>
      <c r="ASG117" s="145"/>
      <c r="ASH117" s="145"/>
      <c r="ASI117" s="145"/>
      <c r="ASJ117" s="145"/>
      <c r="ASK117" s="145"/>
      <c r="ASL117" s="145"/>
      <c r="ASO117" s="144"/>
      <c r="ASP117" s="144"/>
      <c r="ASQ117" s="144"/>
      <c r="ASR117" s="144"/>
      <c r="ASS117" s="144"/>
      <c r="AST117" s="144"/>
      <c r="ASU117" s="144"/>
      <c r="ASV117" s="144"/>
      <c r="ASW117" s="145"/>
      <c r="ASX117" s="145"/>
      <c r="ASY117" s="145"/>
      <c r="ASZ117" s="145"/>
      <c r="ATA117" s="145"/>
      <c r="ATB117" s="145"/>
      <c r="ATE117" s="144"/>
      <c r="ATF117" s="144"/>
      <c r="ATG117" s="144"/>
      <c r="ATH117" s="144"/>
      <c r="ATI117" s="144"/>
      <c r="ATJ117" s="144"/>
      <c r="ATK117" s="144"/>
      <c r="ATL117" s="144"/>
      <c r="ATM117" s="145"/>
      <c r="ATN117" s="145"/>
      <c r="ATO117" s="145"/>
      <c r="ATP117" s="145"/>
      <c r="ATQ117" s="145"/>
      <c r="ATR117" s="145"/>
      <c r="ATU117" s="144"/>
      <c r="ATV117" s="144"/>
      <c r="ATW117" s="144"/>
      <c r="ATX117" s="144"/>
      <c r="ATY117" s="144"/>
      <c r="ATZ117" s="144"/>
      <c r="AUA117" s="144"/>
      <c r="AUB117" s="144"/>
      <c r="AUC117" s="145"/>
      <c r="AUD117" s="145"/>
      <c r="AUE117" s="145"/>
      <c r="AUF117" s="145"/>
      <c r="AUG117" s="145"/>
      <c r="AUH117" s="145"/>
      <c r="AUK117" s="144"/>
      <c r="AUL117" s="144"/>
      <c r="AUM117" s="144"/>
      <c r="AUN117" s="144"/>
      <c r="AUO117" s="144"/>
      <c r="AUP117" s="144"/>
      <c r="AUQ117" s="144"/>
      <c r="AUR117" s="144"/>
      <c r="AUS117" s="145"/>
      <c r="AUT117" s="145"/>
      <c r="AUU117" s="145"/>
      <c r="AUV117" s="145"/>
      <c r="AUW117" s="145"/>
      <c r="AUX117" s="145"/>
      <c r="AVA117" s="144"/>
      <c r="AVB117" s="144"/>
      <c r="AVC117" s="144"/>
      <c r="AVD117" s="144"/>
      <c r="AVE117" s="144"/>
      <c r="AVF117" s="144"/>
      <c r="AVG117" s="144"/>
      <c r="AVH117" s="144"/>
      <c r="AVI117" s="145"/>
      <c r="AVJ117" s="145"/>
      <c r="AVK117" s="145"/>
      <c r="AVL117" s="145"/>
      <c r="AVM117" s="145"/>
      <c r="AVN117" s="145"/>
      <c r="AVQ117" s="144"/>
      <c r="AVR117" s="144"/>
      <c r="AVS117" s="144"/>
      <c r="AVT117" s="144"/>
      <c r="AVU117" s="144"/>
      <c r="AVV117" s="144"/>
      <c r="AVW117" s="144"/>
      <c r="AVX117" s="144"/>
      <c r="AVY117" s="145"/>
      <c r="AVZ117" s="145"/>
      <c r="AWA117" s="145"/>
      <c r="AWB117" s="145"/>
      <c r="AWC117" s="145"/>
      <c r="AWD117" s="145"/>
      <c r="AWG117" s="144"/>
      <c r="AWH117" s="144"/>
      <c r="AWI117" s="144"/>
      <c r="AWJ117" s="144"/>
      <c r="AWK117" s="144"/>
      <c r="AWL117" s="144"/>
      <c r="AWM117" s="144"/>
      <c r="AWN117" s="144"/>
      <c r="AWO117" s="145"/>
      <c r="AWP117" s="145"/>
      <c r="AWQ117" s="145"/>
      <c r="AWR117" s="145"/>
      <c r="AWS117" s="145"/>
      <c r="AWT117" s="145"/>
      <c r="AWW117" s="144"/>
      <c r="AWX117" s="144"/>
      <c r="AWY117" s="144"/>
      <c r="AWZ117" s="144"/>
      <c r="AXA117" s="144"/>
      <c r="AXB117" s="144"/>
      <c r="AXC117" s="144"/>
      <c r="AXD117" s="144"/>
      <c r="AXE117" s="145"/>
      <c r="AXF117" s="145"/>
      <c r="AXG117" s="145"/>
      <c r="AXH117" s="145"/>
      <c r="AXI117" s="145"/>
      <c r="AXJ117" s="145"/>
      <c r="AXM117" s="144"/>
      <c r="AXN117" s="144"/>
      <c r="AXO117" s="144"/>
      <c r="AXP117" s="144"/>
      <c r="AXQ117" s="144"/>
      <c r="AXR117" s="144"/>
      <c r="AXS117" s="144"/>
      <c r="AXT117" s="144"/>
      <c r="AXU117" s="145"/>
      <c r="AXV117" s="145"/>
      <c r="AXW117" s="145"/>
      <c r="AXX117" s="145"/>
      <c r="AXY117" s="145"/>
      <c r="AXZ117" s="145"/>
      <c r="AYC117" s="144"/>
      <c r="AYD117" s="144"/>
      <c r="AYE117" s="144"/>
      <c r="AYF117" s="144"/>
      <c r="AYG117" s="144"/>
      <c r="AYH117" s="144"/>
      <c r="AYI117" s="144"/>
      <c r="AYJ117" s="144"/>
      <c r="AYK117" s="145"/>
      <c r="AYL117" s="145"/>
      <c r="AYM117" s="145"/>
      <c r="AYN117" s="145"/>
      <c r="AYO117" s="145"/>
      <c r="AYP117" s="145"/>
      <c r="AYS117" s="144"/>
      <c r="AYT117" s="144"/>
      <c r="AYU117" s="144"/>
      <c r="AYV117" s="144"/>
      <c r="AYW117" s="144"/>
      <c r="AYX117" s="144"/>
      <c r="AYY117" s="144"/>
      <c r="AYZ117" s="144"/>
      <c r="AZA117" s="145"/>
      <c r="AZB117" s="145"/>
      <c r="AZC117" s="145"/>
      <c r="AZD117" s="145"/>
      <c r="AZE117" s="145"/>
      <c r="AZF117" s="145"/>
      <c r="AZI117" s="144"/>
      <c r="AZJ117" s="144"/>
      <c r="AZK117" s="144"/>
      <c r="AZL117" s="144"/>
      <c r="AZM117" s="144"/>
      <c r="AZN117" s="144"/>
      <c r="AZO117" s="144"/>
      <c r="AZP117" s="144"/>
      <c r="AZQ117" s="145"/>
      <c r="AZR117" s="145"/>
      <c r="AZS117" s="145"/>
      <c r="AZT117" s="145"/>
      <c r="AZU117" s="145"/>
      <c r="AZV117" s="145"/>
      <c r="AZY117" s="144"/>
      <c r="AZZ117" s="144"/>
      <c r="BAA117" s="144"/>
      <c r="BAB117" s="144"/>
      <c r="BAC117" s="144"/>
      <c r="BAD117" s="144"/>
      <c r="BAE117" s="144"/>
      <c r="BAF117" s="144"/>
      <c r="BAG117" s="145"/>
      <c r="BAH117" s="145"/>
      <c r="BAI117" s="145"/>
      <c r="BAJ117" s="145"/>
      <c r="BAK117" s="145"/>
      <c r="BAL117" s="145"/>
      <c r="BAO117" s="144"/>
      <c r="BAP117" s="144"/>
      <c r="BAQ117" s="144"/>
      <c r="BAR117" s="144"/>
      <c r="BAS117" s="144"/>
      <c r="BAT117" s="144"/>
      <c r="BAU117" s="144"/>
      <c r="BAV117" s="144"/>
      <c r="BAW117" s="145"/>
      <c r="BAX117" s="145"/>
      <c r="BAY117" s="145"/>
      <c r="BAZ117" s="145"/>
      <c r="BBA117" s="145"/>
      <c r="BBB117" s="145"/>
      <c r="BBE117" s="144"/>
      <c r="BBF117" s="144"/>
      <c r="BBG117" s="144"/>
      <c r="BBH117" s="144"/>
      <c r="BBI117" s="144"/>
      <c r="BBJ117" s="144"/>
      <c r="BBK117" s="144"/>
      <c r="BBL117" s="144"/>
      <c r="BBM117" s="145"/>
      <c r="BBN117" s="145"/>
      <c r="BBO117" s="145"/>
      <c r="BBP117" s="145"/>
      <c r="BBQ117" s="145"/>
      <c r="BBR117" s="145"/>
      <c r="BBU117" s="144"/>
      <c r="BBV117" s="144"/>
      <c r="BBW117" s="144"/>
      <c r="BBX117" s="144"/>
      <c r="BBY117" s="144"/>
      <c r="BBZ117" s="144"/>
      <c r="BCA117" s="144"/>
      <c r="BCB117" s="144"/>
      <c r="BCC117" s="145"/>
      <c r="BCD117" s="145"/>
      <c r="BCE117" s="145"/>
      <c r="BCF117" s="145"/>
      <c r="BCG117" s="145"/>
      <c r="BCH117" s="145"/>
      <c r="BCK117" s="144"/>
      <c r="BCL117" s="144"/>
      <c r="BCM117" s="144"/>
      <c r="BCN117" s="144"/>
      <c r="BCO117" s="144"/>
      <c r="BCP117" s="144"/>
      <c r="BCQ117" s="144"/>
      <c r="BCR117" s="144"/>
      <c r="BCS117" s="145"/>
      <c r="BCT117" s="145"/>
      <c r="BCU117" s="145"/>
      <c r="BCV117" s="145"/>
      <c r="BCW117" s="145"/>
      <c r="BCX117" s="145"/>
      <c r="BDA117" s="144"/>
      <c r="BDB117" s="144"/>
      <c r="BDC117" s="144"/>
      <c r="BDD117" s="144"/>
      <c r="BDE117" s="144"/>
      <c r="BDF117" s="144"/>
      <c r="BDG117" s="144"/>
      <c r="BDH117" s="144"/>
      <c r="BDI117" s="145"/>
      <c r="BDJ117" s="145"/>
      <c r="BDK117" s="145"/>
      <c r="BDL117" s="145"/>
      <c r="BDM117" s="145"/>
      <c r="BDN117" s="145"/>
      <c r="BDQ117" s="144"/>
      <c r="BDR117" s="144"/>
      <c r="BDS117" s="144"/>
      <c r="BDT117" s="144"/>
      <c r="BDU117" s="144"/>
      <c r="BDV117" s="144"/>
      <c r="BDW117" s="144"/>
      <c r="BDX117" s="144"/>
      <c r="BDY117" s="145"/>
      <c r="BDZ117" s="145"/>
      <c r="BEA117" s="145"/>
      <c r="BEB117" s="145"/>
      <c r="BEC117" s="145"/>
      <c r="BED117" s="145"/>
      <c r="BEG117" s="144"/>
      <c r="BEH117" s="144"/>
      <c r="BEI117" s="144"/>
      <c r="BEJ117" s="144"/>
      <c r="BEK117" s="144"/>
      <c r="BEL117" s="144"/>
      <c r="BEM117" s="144"/>
      <c r="BEN117" s="144"/>
      <c r="BEO117" s="145"/>
      <c r="BEP117" s="145"/>
      <c r="BEQ117" s="145"/>
      <c r="BER117" s="145"/>
      <c r="BES117" s="145"/>
      <c r="BET117" s="145"/>
      <c r="BEW117" s="144"/>
      <c r="BEX117" s="144"/>
      <c r="BEY117" s="144"/>
      <c r="BEZ117" s="144"/>
      <c r="BFA117" s="144"/>
      <c r="BFB117" s="144"/>
      <c r="BFC117" s="144"/>
      <c r="BFD117" s="144"/>
      <c r="BFE117" s="145"/>
      <c r="BFF117" s="145"/>
      <c r="BFG117" s="145"/>
      <c r="BFH117" s="145"/>
      <c r="BFI117" s="145"/>
      <c r="BFJ117" s="145"/>
      <c r="BFM117" s="144"/>
      <c r="BFN117" s="144"/>
      <c r="BFO117" s="144"/>
      <c r="BFP117" s="144"/>
      <c r="BFQ117" s="144"/>
      <c r="BFR117" s="144"/>
      <c r="BFS117" s="144"/>
      <c r="BFT117" s="144"/>
      <c r="BFU117" s="145"/>
      <c r="BFV117" s="145"/>
      <c r="BFW117" s="145"/>
      <c r="BFX117" s="145"/>
      <c r="BFY117" s="145"/>
      <c r="BFZ117" s="145"/>
      <c r="BGC117" s="144"/>
      <c r="BGD117" s="144"/>
      <c r="BGE117" s="144"/>
      <c r="BGF117" s="144"/>
      <c r="BGG117" s="144"/>
      <c r="BGH117" s="144"/>
      <c r="BGI117" s="144"/>
      <c r="BGJ117" s="144"/>
      <c r="BGK117" s="145"/>
      <c r="BGL117" s="145"/>
      <c r="BGM117" s="145"/>
      <c r="BGN117" s="145"/>
      <c r="BGO117" s="145"/>
      <c r="BGP117" s="145"/>
      <c r="BGS117" s="144"/>
      <c r="BGT117" s="144"/>
      <c r="BGU117" s="144"/>
      <c r="BGV117" s="144"/>
      <c r="BGW117" s="144"/>
      <c r="BGX117" s="144"/>
      <c r="BGY117" s="144"/>
      <c r="BGZ117" s="144"/>
      <c r="BHA117" s="145"/>
      <c r="BHB117" s="145"/>
      <c r="BHC117" s="145"/>
      <c r="BHD117" s="145"/>
      <c r="BHE117" s="145"/>
      <c r="BHF117" s="145"/>
      <c r="BHI117" s="144"/>
      <c r="BHJ117" s="144"/>
      <c r="BHK117" s="144"/>
      <c r="BHL117" s="144"/>
      <c r="BHM117" s="144"/>
      <c r="BHN117" s="144"/>
      <c r="BHO117" s="144"/>
      <c r="BHP117" s="144"/>
      <c r="BHQ117" s="145"/>
      <c r="BHR117" s="145"/>
      <c r="BHS117" s="145"/>
      <c r="BHT117" s="145"/>
      <c r="BHU117" s="145"/>
      <c r="BHV117" s="145"/>
      <c r="BHY117" s="144"/>
      <c r="BHZ117" s="144"/>
      <c r="BIA117" s="144"/>
      <c r="BIB117" s="144"/>
      <c r="BIC117" s="144"/>
      <c r="BID117" s="144"/>
      <c r="BIE117" s="144"/>
      <c r="BIF117" s="144"/>
      <c r="BIG117" s="145"/>
      <c r="BIH117" s="145"/>
      <c r="BII117" s="145"/>
      <c r="BIJ117" s="145"/>
      <c r="BIK117" s="145"/>
      <c r="BIL117" s="145"/>
      <c r="BIO117" s="144"/>
      <c r="BIP117" s="144"/>
      <c r="BIQ117" s="144"/>
      <c r="BIR117" s="144"/>
      <c r="BIS117" s="144"/>
      <c r="BIT117" s="144"/>
      <c r="BIU117" s="144"/>
      <c r="BIV117" s="144"/>
      <c r="BIW117" s="145"/>
      <c r="BIX117" s="145"/>
      <c r="BIY117" s="145"/>
      <c r="BIZ117" s="145"/>
      <c r="BJA117" s="145"/>
      <c r="BJB117" s="145"/>
      <c r="BJE117" s="144"/>
      <c r="BJF117" s="144"/>
      <c r="BJG117" s="144"/>
      <c r="BJH117" s="144"/>
      <c r="BJI117" s="144"/>
      <c r="BJJ117" s="144"/>
      <c r="BJK117" s="144"/>
      <c r="BJL117" s="144"/>
      <c r="BJM117" s="145"/>
      <c r="BJN117" s="145"/>
      <c r="BJO117" s="145"/>
      <c r="BJP117" s="145"/>
      <c r="BJQ117" s="145"/>
      <c r="BJR117" s="145"/>
      <c r="BJU117" s="144"/>
      <c r="BJV117" s="144"/>
      <c r="BJW117" s="144"/>
      <c r="BJX117" s="144"/>
      <c r="BJY117" s="144"/>
      <c r="BJZ117" s="144"/>
      <c r="BKA117" s="144"/>
      <c r="BKB117" s="144"/>
      <c r="BKC117" s="145"/>
      <c r="BKD117" s="145"/>
      <c r="BKE117" s="145"/>
      <c r="BKF117" s="145"/>
      <c r="BKG117" s="145"/>
      <c r="BKH117" s="145"/>
      <c r="BKK117" s="144"/>
      <c r="BKL117" s="144"/>
      <c r="BKM117" s="144"/>
      <c r="BKN117" s="144"/>
      <c r="BKO117" s="144"/>
      <c r="BKP117" s="144"/>
      <c r="BKQ117" s="144"/>
      <c r="BKR117" s="144"/>
      <c r="BKS117" s="145"/>
      <c r="BKT117" s="145"/>
      <c r="BKU117" s="145"/>
      <c r="BKV117" s="145"/>
      <c r="BKW117" s="145"/>
      <c r="BKX117" s="145"/>
      <c r="BLA117" s="144"/>
      <c r="BLB117" s="144"/>
      <c r="BLC117" s="144"/>
      <c r="BLD117" s="144"/>
      <c r="BLE117" s="144"/>
      <c r="BLF117" s="144"/>
      <c r="BLG117" s="144"/>
      <c r="BLH117" s="144"/>
      <c r="BLI117" s="145"/>
      <c r="BLJ117" s="145"/>
      <c r="BLK117" s="145"/>
      <c r="BLL117" s="145"/>
      <c r="BLM117" s="145"/>
      <c r="BLN117" s="145"/>
      <c r="BLQ117" s="144"/>
      <c r="BLR117" s="144"/>
      <c r="BLS117" s="144"/>
      <c r="BLT117" s="144"/>
      <c r="BLU117" s="144"/>
      <c r="BLV117" s="144"/>
      <c r="BLW117" s="144"/>
      <c r="BLX117" s="144"/>
      <c r="BLY117" s="145"/>
      <c r="BLZ117" s="145"/>
      <c r="BMA117" s="145"/>
      <c r="BMB117" s="145"/>
      <c r="BMC117" s="145"/>
      <c r="BMD117" s="145"/>
      <c r="BMG117" s="144"/>
      <c r="BMH117" s="144"/>
      <c r="BMI117" s="144"/>
      <c r="BMJ117" s="144"/>
      <c r="BMK117" s="144"/>
      <c r="BML117" s="144"/>
      <c r="BMM117" s="144"/>
      <c r="BMN117" s="144"/>
      <c r="BMO117" s="145"/>
      <c r="BMP117" s="145"/>
      <c r="BMQ117" s="145"/>
      <c r="BMR117" s="145"/>
      <c r="BMS117" s="145"/>
      <c r="BMT117" s="145"/>
      <c r="BMW117" s="144"/>
      <c r="BMX117" s="144"/>
      <c r="BMY117" s="144"/>
      <c r="BMZ117" s="144"/>
      <c r="BNA117" s="144"/>
      <c r="BNB117" s="144"/>
      <c r="BNC117" s="144"/>
      <c r="BND117" s="144"/>
      <c r="BNE117" s="145"/>
      <c r="BNF117" s="145"/>
      <c r="BNG117" s="145"/>
      <c r="BNH117" s="145"/>
      <c r="BNI117" s="145"/>
      <c r="BNJ117" s="145"/>
      <c r="BNM117" s="144"/>
      <c r="BNN117" s="144"/>
      <c r="BNO117" s="144"/>
      <c r="BNP117" s="144"/>
      <c r="BNQ117" s="144"/>
      <c r="BNR117" s="144"/>
      <c r="BNS117" s="144"/>
      <c r="BNT117" s="144"/>
      <c r="BNU117" s="145"/>
      <c r="BNV117" s="145"/>
      <c r="BNW117" s="145"/>
      <c r="BNX117" s="145"/>
      <c r="BNY117" s="145"/>
      <c r="BNZ117" s="145"/>
      <c r="BOC117" s="144"/>
      <c r="BOD117" s="144"/>
      <c r="BOE117" s="144"/>
      <c r="BOF117" s="144"/>
      <c r="BOG117" s="144"/>
      <c r="BOH117" s="144"/>
      <c r="BOI117" s="144"/>
      <c r="BOJ117" s="144"/>
      <c r="BOK117" s="145"/>
      <c r="BOL117" s="145"/>
      <c r="BOM117" s="145"/>
      <c r="BON117" s="145"/>
      <c r="BOO117" s="145"/>
      <c r="BOP117" s="145"/>
      <c r="BOS117" s="144"/>
      <c r="BOT117" s="144"/>
      <c r="BOU117" s="144"/>
      <c r="BOV117" s="144"/>
      <c r="BOW117" s="144"/>
      <c r="BOX117" s="144"/>
      <c r="BOY117" s="144"/>
      <c r="BOZ117" s="144"/>
      <c r="BPA117" s="145"/>
      <c r="BPB117" s="145"/>
      <c r="BPC117" s="145"/>
      <c r="BPD117" s="145"/>
      <c r="BPE117" s="145"/>
      <c r="BPF117" s="145"/>
      <c r="BPI117" s="144"/>
      <c r="BPJ117" s="144"/>
      <c r="BPK117" s="144"/>
      <c r="BPL117" s="144"/>
      <c r="BPM117" s="144"/>
      <c r="BPN117" s="144"/>
      <c r="BPO117" s="144"/>
      <c r="BPP117" s="144"/>
      <c r="BPQ117" s="145"/>
      <c r="BPR117" s="145"/>
      <c r="BPS117" s="145"/>
      <c r="BPT117" s="145"/>
      <c r="BPU117" s="145"/>
      <c r="BPV117" s="145"/>
      <c r="BPY117" s="144"/>
      <c r="BPZ117" s="144"/>
      <c r="BQA117" s="144"/>
      <c r="BQB117" s="144"/>
      <c r="BQC117" s="144"/>
      <c r="BQD117" s="144"/>
      <c r="BQE117" s="144"/>
      <c r="BQF117" s="144"/>
      <c r="BQG117" s="145"/>
      <c r="BQH117" s="145"/>
      <c r="BQI117" s="145"/>
      <c r="BQJ117" s="145"/>
      <c r="BQK117" s="145"/>
      <c r="BQL117" s="145"/>
      <c r="BQO117" s="144"/>
      <c r="BQP117" s="144"/>
      <c r="BQQ117" s="144"/>
      <c r="BQR117" s="144"/>
      <c r="BQS117" s="144"/>
      <c r="BQT117" s="144"/>
      <c r="BQU117" s="144"/>
      <c r="BQV117" s="144"/>
      <c r="BQW117" s="145"/>
      <c r="BQX117" s="145"/>
      <c r="BQY117" s="145"/>
      <c r="BQZ117" s="145"/>
      <c r="BRA117" s="145"/>
      <c r="BRB117" s="145"/>
      <c r="BRE117" s="144"/>
      <c r="BRF117" s="144"/>
      <c r="BRG117" s="144"/>
      <c r="BRH117" s="144"/>
      <c r="BRI117" s="144"/>
      <c r="BRJ117" s="144"/>
      <c r="BRK117" s="144"/>
      <c r="BRL117" s="144"/>
      <c r="BRM117" s="145"/>
      <c r="BRN117" s="145"/>
      <c r="BRO117" s="145"/>
      <c r="BRP117" s="145"/>
      <c r="BRQ117" s="145"/>
      <c r="BRR117" s="145"/>
      <c r="BRU117" s="144"/>
      <c r="BRV117" s="144"/>
      <c r="BRW117" s="144"/>
      <c r="BRX117" s="144"/>
      <c r="BRY117" s="144"/>
      <c r="BRZ117" s="144"/>
      <c r="BSA117" s="144"/>
      <c r="BSB117" s="144"/>
      <c r="BSC117" s="145"/>
      <c r="BSD117" s="145"/>
      <c r="BSE117" s="145"/>
      <c r="BSF117" s="145"/>
      <c r="BSG117" s="145"/>
      <c r="BSH117" s="145"/>
      <c r="BSK117" s="144"/>
      <c r="BSL117" s="144"/>
      <c r="BSM117" s="144"/>
      <c r="BSN117" s="144"/>
      <c r="BSO117" s="144"/>
      <c r="BSP117" s="144"/>
      <c r="BSQ117" s="144"/>
      <c r="BSR117" s="144"/>
      <c r="BSS117" s="145"/>
      <c r="BST117" s="145"/>
      <c r="BSU117" s="145"/>
      <c r="BSV117" s="145"/>
      <c r="BSW117" s="145"/>
      <c r="BSX117" s="145"/>
      <c r="BTA117" s="144"/>
      <c r="BTB117" s="144"/>
      <c r="BTC117" s="144"/>
      <c r="BTD117" s="144"/>
      <c r="BTE117" s="144"/>
      <c r="BTF117" s="144"/>
      <c r="BTG117" s="144"/>
      <c r="BTH117" s="144"/>
      <c r="BTI117" s="145"/>
      <c r="BTJ117" s="145"/>
      <c r="BTK117" s="145"/>
      <c r="BTL117" s="145"/>
      <c r="BTM117" s="145"/>
      <c r="BTN117" s="145"/>
      <c r="BTQ117" s="144"/>
      <c r="BTR117" s="144"/>
      <c r="BTS117" s="144"/>
      <c r="BTT117" s="144"/>
      <c r="BTU117" s="144"/>
      <c r="BTV117" s="144"/>
      <c r="BTW117" s="144"/>
      <c r="BTX117" s="144"/>
      <c r="BTY117" s="145"/>
      <c r="BTZ117" s="145"/>
      <c r="BUA117" s="145"/>
      <c r="BUB117" s="145"/>
      <c r="BUC117" s="145"/>
      <c r="BUD117" s="145"/>
      <c r="BUG117" s="144"/>
      <c r="BUH117" s="144"/>
      <c r="BUI117" s="144"/>
      <c r="BUJ117" s="144"/>
      <c r="BUK117" s="144"/>
      <c r="BUL117" s="144"/>
      <c r="BUM117" s="144"/>
      <c r="BUN117" s="144"/>
      <c r="BUO117" s="145"/>
      <c r="BUP117" s="145"/>
      <c r="BUQ117" s="145"/>
      <c r="BUR117" s="145"/>
      <c r="BUS117" s="145"/>
      <c r="BUT117" s="145"/>
      <c r="BUW117" s="144"/>
      <c r="BUX117" s="144"/>
      <c r="BUY117" s="144"/>
      <c r="BUZ117" s="144"/>
      <c r="BVA117" s="144"/>
      <c r="BVB117" s="144"/>
      <c r="BVC117" s="144"/>
      <c r="BVD117" s="144"/>
      <c r="BVE117" s="145"/>
      <c r="BVF117" s="145"/>
      <c r="BVG117" s="145"/>
      <c r="BVH117" s="145"/>
      <c r="BVI117" s="145"/>
      <c r="BVJ117" s="145"/>
      <c r="BVM117" s="144"/>
      <c r="BVN117" s="144"/>
      <c r="BVO117" s="144"/>
      <c r="BVP117" s="144"/>
      <c r="BVQ117" s="144"/>
      <c r="BVR117" s="144"/>
      <c r="BVS117" s="144"/>
      <c r="BVT117" s="144"/>
      <c r="BVU117" s="145"/>
      <c r="BVV117" s="145"/>
      <c r="BVW117" s="145"/>
      <c r="BVX117" s="145"/>
      <c r="BVY117" s="145"/>
      <c r="BVZ117" s="145"/>
      <c r="BWC117" s="144"/>
      <c r="BWD117" s="144"/>
      <c r="BWE117" s="144"/>
      <c r="BWF117" s="144"/>
      <c r="BWG117" s="144"/>
      <c r="BWH117" s="144"/>
      <c r="BWI117" s="144"/>
      <c r="BWJ117" s="144"/>
      <c r="BWK117" s="145"/>
      <c r="BWL117" s="145"/>
      <c r="BWM117" s="145"/>
      <c r="BWN117" s="145"/>
      <c r="BWO117" s="145"/>
      <c r="BWP117" s="145"/>
      <c r="BWS117" s="144"/>
      <c r="BWT117" s="144"/>
      <c r="BWU117" s="144"/>
      <c r="BWV117" s="144"/>
      <c r="BWW117" s="144"/>
      <c r="BWX117" s="144"/>
      <c r="BWY117" s="144"/>
      <c r="BWZ117" s="144"/>
      <c r="BXA117" s="145"/>
      <c r="BXB117" s="145"/>
      <c r="BXC117" s="145"/>
      <c r="BXD117" s="145"/>
      <c r="BXE117" s="145"/>
      <c r="BXF117" s="145"/>
      <c r="BXI117" s="144"/>
      <c r="BXJ117" s="144"/>
      <c r="BXK117" s="144"/>
      <c r="BXL117" s="144"/>
      <c r="BXM117" s="144"/>
      <c r="BXN117" s="144"/>
      <c r="BXO117" s="144"/>
      <c r="BXP117" s="144"/>
      <c r="BXQ117" s="145"/>
      <c r="BXR117" s="145"/>
      <c r="BXS117" s="145"/>
      <c r="BXT117" s="145"/>
      <c r="BXU117" s="145"/>
      <c r="BXV117" s="145"/>
      <c r="BXY117" s="144"/>
      <c r="BXZ117" s="144"/>
      <c r="BYA117" s="144"/>
      <c r="BYB117" s="144"/>
      <c r="BYC117" s="144"/>
      <c r="BYD117" s="144"/>
      <c r="BYE117" s="144"/>
      <c r="BYF117" s="144"/>
      <c r="BYG117" s="145"/>
      <c r="BYH117" s="145"/>
      <c r="BYI117" s="145"/>
      <c r="BYJ117" s="145"/>
      <c r="BYK117" s="145"/>
      <c r="BYL117" s="145"/>
      <c r="BYO117" s="144"/>
      <c r="BYP117" s="144"/>
      <c r="BYQ117" s="144"/>
      <c r="BYR117" s="144"/>
      <c r="BYS117" s="144"/>
      <c r="BYT117" s="144"/>
      <c r="BYU117" s="144"/>
      <c r="BYV117" s="144"/>
      <c r="BYW117" s="145"/>
      <c r="BYX117" s="145"/>
      <c r="BYY117" s="145"/>
      <c r="BYZ117" s="145"/>
      <c r="BZA117" s="145"/>
      <c r="BZB117" s="145"/>
      <c r="BZE117" s="144"/>
      <c r="BZF117" s="144"/>
      <c r="BZG117" s="144"/>
      <c r="BZH117" s="144"/>
      <c r="BZI117" s="144"/>
      <c r="BZJ117" s="144"/>
      <c r="BZK117" s="144"/>
      <c r="BZL117" s="144"/>
      <c r="BZM117" s="145"/>
      <c r="BZN117" s="145"/>
      <c r="BZO117" s="145"/>
      <c r="BZP117" s="145"/>
      <c r="BZQ117" s="145"/>
      <c r="BZR117" s="145"/>
      <c r="BZU117" s="144"/>
      <c r="BZV117" s="144"/>
      <c r="BZW117" s="144"/>
      <c r="BZX117" s="144"/>
      <c r="BZY117" s="144"/>
      <c r="BZZ117" s="144"/>
      <c r="CAA117" s="144"/>
      <c r="CAB117" s="144"/>
      <c r="CAC117" s="145"/>
      <c r="CAD117" s="145"/>
      <c r="CAE117" s="145"/>
      <c r="CAF117" s="145"/>
      <c r="CAG117" s="145"/>
      <c r="CAH117" s="145"/>
      <c r="CAK117" s="144"/>
      <c r="CAL117" s="144"/>
      <c r="CAM117" s="144"/>
      <c r="CAN117" s="144"/>
      <c r="CAO117" s="144"/>
      <c r="CAP117" s="144"/>
      <c r="CAQ117" s="144"/>
      <c r="CAR117" s="144"/>
      <c r="CAS117" s="145"/>
      <c r="CAT117" s="145"/>
      <c r="CAU117" s="145"/>
      <c r="CAV117" s="145"/>
      <c r="CAW117" s="145"/>
      <c r="CAX117" s="145"/>
      <c r="CBA117" s="144"/>
      <c r="CBB117" s="144"/>
      <c r="CBC117" s="144"/>
      <c r="CBD117" s="144"/>
      <c r="CBE117" s="144"/>
      <c r="CBF117" s="144"/>
      <c r="CBG117" s="144"/>
      <c r="CBH117" s="144"/>
      <c r="CBI117" s="145"/>
      <c r="CBJ117" s="145"/>
      <c r="CBK117" s="145"/>
      <c r="CBL117" s="145"/>
      <c r="CBM117" s="145"/>
      <c r="CBN117" s="145"/>
      <c r="CBQ117" s="144"/>
      <c r="CBR117" s="144"/>
      <c r="CBS117" s="144"/>
      <c r="CBT117" s="144"/>
      <c r="CBU117" s="144"/>
      <c r="CBV117" s="144"/>
      <c r="CBW117" s="144"/>
      <c r="CBX117" s="144"/>
      <c r="CBY117" s="145"/>
      <c r="CBZ117" s="145"/>
      <c r="CCA117" s="145"/>
      <c r="CCB117" s="145"/>
      <c r="CCC117" s="145"/>
      <c r="CCD117" s="145"/>
      <c r="CCG117" s="144"/>
      <c r="CCH117" s="144"/>
      <c r="CCI117" s="144"/>
      <c r="CCJ117" s="144"/>
      <c r="CCK117" s="144"/>
      <c r="CCL117" s="144"/>
      <c r="CCM117" s="144"/>
      <c r="CCN117" s="144"/>
      <c r="CCO117" s="145"/>
      <c r="CCP117" s="145"/>
      <c r="CCQ117" s="145"/>
      <c r="CCR117" s="145"/>
      <c r="CCS117" s="145"/>
      <c r="CCT117" s="145"/>
      <c r="CCW117" s="144"/>
      <c r="CCX117" s="144"/>
      <c r="CCY117" s="144"/>
      <c r="CCZ117" s="144"/>
      <c r="CDA117" s="144"/>
      <c r="CDB117" s="144"/>
      <c r="CDC117" s="144"/>
      <c r="CDD117" s="144"/>
      <c r="CDE117" s="145"/>
      <c r="CDF117" s="145"/>
      <c r="CDG117" s="145"/>
      <c r="CDH117" s="145"/>
      <c r="CDI117" s="145"/>
      <c r="CDJ117" s="145"/>
      <c r="CDM117" s="144"/>
      <c r="CDN117" s="144"/>
      <c r="CDO117" s="144"/>
      <c r="CDP117" s="144"/>
      <c r="CDQ117" s="144"/>
      <c r="CDR117" s="144"/>
      <c r="CDS117" s="144"/>
      <c r="CDT117" s="144"/>
      <c r="CDU117" s="145"/>
      <c r="CDV117" s="145"/>
      <c r="CDW117" s="145"/>
      <c r="CDX117" s="145"/>
      <c r="CDY117" s="145"/>
      <c r="CDZ117" s="145"/>
      <c r="CEC117" s="144"/>
      <c r="CED117" s="144"/>
      <c r="CEE117" s="144"/>
      <c r="CEF117" s="144"/>
      <c r="CEG117" s="144"/>
      <c r="CEH117" s="144"/>
      <c r="CEI117" s="144"/>
      <c r="CEJ117" s="144"/>
      <c r="CEK117" s="145"/>
      <c r="CEL117" s="145"/>
      <c r="CEM117" s="145"/>
      <c r="CEN117" s="145"/>
      <c r="CEO117" s="145"/>
      <c r="CEP117" s="145"/>
      <c r="CES117" s="144"/>
      <c r="CET117" s="144"/>
      <c r="CEU117" s="144"/>
      <c r="CEV117" s="144"/>
      <c r="CEW117" s="144"/>
      <c r="CEX117" s="144"/>
      <c r="CEY117" s="144"/>
      <c r="CEZ117" s="144"/>
      <c r="CFA117" s="145"/>
      <c r="CFB117" s="145"/>
      <c r="CFC117" s="145"/>
      <c r="CFD117" s="145"/>
      <c r="CFE117" s="145"/>
      <c r="CFF117" s="145"/>
      <c r="CFI117" s="144"/>
      <c r="CFJ117" s="144"/>
      <c r="CFK117" s="144"/>
      <c r="CFL117" s="144"/>
      <c r="CFM117" s="144"/>
      <c r="CFN117" s="144"/>
      <c r="CFO117" s="144"/>
      <c r="CFP117" s="144"/>
      <c r="CFQ117" s="145"/>
      <c r="CFR117" s="145"/>
      <c r="CFS117" s="145"/>
      <c r="CFT117" s="145"/>
      <c r="CFU117" s="145"/>
      <c r="CFV117" s="145"/>
      <c r="CFY117" s="144"/>
      <c r="CFZ117" s="144"/>
      <c r="CGA117" s="144"/>
      <c r="CGB117" s="144"/>
      <c r="CGC117" s="144"/>
      <c r="CGD117" s="144"/>
      <c r="CGE117" s="144"/>
      <c r="CGF117" s="144"/>
      <c r="CGG117" s="145"/>
      <c r="CGH117" s="145"/>
      <c r="CGI117" s="145"/>
      <c r="CGJ117" s="145"/>
      <c r="CGK117" s="145"/>
      <c r="CGL117" s="145"/>
      <c r="CGO117" s="144"/>
      <c r="CGP117" s="144"/>
      <c r="CGQ117" s="144"/>
      <c r="CGR117" s="144"/>
      <c r="CGS117" s="144"/>
      <c r="CGT117" s="144"/>
      <c r="CGU117" s="144"/>
      <c r="CGV117" s="144"/>
      <c r="CGW117" s="145"/>
      <c r="CGX117" s="145"/>
      <c r="CGY117" s="145"/>
      <c r="CGZ117" s="145"/>
      <c r="CHA117" s="145"/>
      <c r="CHB117" s="145"/>
      <c r="CHE117" s="144"/>
      <c r="CHF117" s="144"/>
      <c r="CHG117" s="144"/>
      <c r="CHH117" s="144"/>
      <c r="CHI117" s="144"/>
      <c r="CHJ117" s="144"/>
      <c r="CHK117" s="144"/>
      <c r="CHL117" s="144"/>
      <c r="CHM117" s="145"/>
      <c r="CHN117" s="145"/>
      <c r="CHO117" s="145"/>
      <c r="CHP117" s="145"/>
      <c r="CHQ117" s="145"/>
      <c r="CHR117" s="145"/>
      <c r="CHU117" s="144"/>
      <c r="CHV117" s="144"/>
      <c r="CHW117" s="144"/>
      <c r="CHX117" s="144"/>
      <c r="CHY117" s="144"/>
      <c r="CHZ117" s="144"/>
      <c r="CIA117" s="144"/>
      <c r="CIB117" s="144"/>
      <c r="CIC117" s="145"/>
      <c r="CID117" s="145"/>
      <c r="CIE117" s="145"/>
      <c r="CIF117" s="145"/>
      <c r="CIG117" s="145"/>
      <c r="CIH117" s="145"/>
      <c r="CIK117" s="144"/>
      <c r="CIL117" s="144"/>
      <c r="CIM117" s="144"/>
      <c r="CIN117" s="144"/>
      <c r="CIO117" s="144"/>
      <c r="CIP117" s="144"/>
      <c r="CIQ117" s="144"/>
      <c r="CIR117" s="144"/>
      <c r="CIS117" s="145"/>
      <c r="CIT117" s="145"/>
      <c r="CIU117" s="145"/>
      <c r="CIV117" s="145"/>
      <c r="CIW117" s="145"/>
      <c r="CIX117" s="145"/>
      <c r="CJA117" s="144"/>
      <c r="CJB117" s="144"/>
      <c r="CJC117" s="144"/>
      <c r="CJD117" s="144"/>
      <c r="CJE117" s="144"/>
      <c r="CJF117" s="144"/>
      <c r="CJG117" s="144"/>
      <c r="CJH117" s="144"/>
      <c r="CJI117" s="145"/>
      <c r="CJJ117" s="145"/>
      <c r="CJK117" s="145"/>
      <c r="CJL117" s="145"/>
      <c r="CJM117" s="145"/>
      <c r="CJN117" s="145"/>
      <c r="CJQ117" s="144"/>
      <c r="CJR117" s="144"/>
      <c r="CJS117" s="144"/>
      <c r="CJT117" s="144"/>
      <c r="CJU117" s="144"/>
      <c r="CJV117" s="144"/>
      <c r="CJW117" s="144"/>
      <c r="CJX117" s="144"/>
      <c r="CJY117" s="145"/>
      <c r="CJZ117" s="145"/>
      <c r="CKA117" s="145"/>
      <c r="CKB117" s="145"/>
      <c r="CKC117" s="145"/>
      <c r="CKD117" s="145"/>
      <c r="CKG117" s="144"/>
      <c r="CKH117" s="144"/>
      <c r="CKI117" s="144"/>
      <c r="CKJ117" s="144"/>
      <c r="CKK117" s="144"/>
      <c r="CKL117" s="144"/>
      <c r="CKM117" s="144"/>
      <c r="CKN117" s="144"/>
      <c r="CKO117" s="145"/>
      <c r="CKP117" s="145"/>
      <c r="CKQ117" s="145"/>
      <c r="CKR117" s="145"/>
      <c r="CKS117" s="145"/>
      <c r="CKT117" s="145"/>
      <c r="CKW117" s="144"/>
      <c r="CKX117" s="144"/>
      <c r="CKY117" s="144"/>
      <c r="CKZ117" s="144"/>
      <c r="CLA117" s="144"/>
      <c r="CLB117" s="144"/>
      <c r="CLC117" s="144"/>
      <c r="CLD117" s="144"/>
      <c r="CLE117" s="145"/>
      <c r="CLF117" s="145"/>
      <c r="CLG117" s="145"/>
      <c r="CLH117" s="145"/>
      <c r="CLI117" s="145"/>
      <c r="CLJ117" s="145"/>
      <c r="CLM117" s="144"/>
      <c r="CLN117" s="144"/>
      <c r="CLO117" s="144"/>
      <c r="CLP117" s="144"/>
      <c r="CLQ117" s="144"/>
      <c r="CLR117" s="144"/>
      <c r="CLS117" s="144"/>
      <c r="CLT117" s="144"/>
      <c r="CLU117" s="145"/>
      <c r="CLV117" s="145"/>
      <c r="CLW117" s="145"/>
      <c r="CLX117" s="145"/>
      <c r="CLY117" s="145"/>
      <c r="CLZ117" s="145"/>
      <c r="CMC117" s="144"/>
      <c r="CMD117" s="144"/>
      <c r="CME117" s="144"/>
      <c r="CMF117" s="144"/>
      <c r="CMG117" s="144"/>
      <c r="CMH117" s="144"/>
      <c r="CMI117" s="144"/>
      <c r="CMJ117" s="144"/>
      <c r="CMK117" s="145"/>
      <c r="CML117" s="145"/>
      <c r="CMM117" s="145"/>
      <c r="CMN117" s="145"/>
      <c r="CMO117" s="145"/>
      <c r="CMP117" s="145"/>
      <c r="CMS117" s="144"/>
      <c r="CMT117" s="144"/>
      <c r="CMU117" s="144"/>
      <c r="CMV117" s="144"/>
      <c r="CMW117" s="144"/>
      <c r="CMX117" s="144"/>
      <c r="CMY117" s="144"/>
      <c r="CMZ117" s="144"/>
      <c r="CNA117" s="145"/>
      <c r="CNB117" s="145"/>
      <c r="CNC117" s="145"/>
      <c r="CND117" s="145"/>
      <c r="CNE117" s="145"/>
      <c r="CNF117" s="145"/>
      <c r="CNI117" s="144"/>
      <c r="CNJ117" s="144"/>
      <c r="CNK117" s="144"/>
      <c r="CNL117" s="144"/>
      <c r="CNM117" s="144"/>
      <c r="CNN117" s="144"/>
      <c r="CNO117" s="144"/>
      <c r="CNP117" s="144"/>
      <c r="CNQ117" s="145"/>
      <c r="CNR117" s="145"/>
      <c r="CNS117" s="145"/>
      <c r="CNT117" s="145"/>
      <c r="CNU117" s="145"/>
      <c r="CNV117" s="145"/>
      <c r="CNY117" s="144"/>
      <c r="CNZ117" s="144"/>
      <c r="COA117" s="144"/>
      <c r="COB117" s="144"/>
      <c r="COC117" s="144"/>
      <c r="COD117" s="144"/>
      <c r="COE117" s="144"/>
      <c r="COF117" s="144"/>
      <c r="COG117" s="145"/>
      <c r="COH117" s="145"/>
      <c r="COI117" s="145"/>
      <c r="COJ117" s="145"/>
      <c r="COK117" s="145"/>
      <c r="COL117" s="145"/>
      <c r="COO117" s="144"/>
      <c r="COP117" s="144"/>
      <c r="COQ117" s="144"/>
      <c r="COR117" s="144"/>
      <c r="COS117" s="144"/>
      <c r="COT117" s="144"/>
      <c r="COU117" s="144"/>
      <c r="COV117" s="144"/>
      <c r="COW117" s="145"/>
      <c r="COX117" s="145"/>
      <c r="COY117" s="145"/>
      <c r="COZ117" s="145"/>
      <c r="CPA117" s="145"/>
      <c r="CPB117" s="145"/>
      <c r="CPE117" s="144"/>
      <c r="CPF117" s="144"/>
      <c r="CPG117" s="144"/>
      <c r="CPH117" s="144"/>
      <c r="CPI117" s="144"/>
      <c r="CPJ117" s="144"/>
      <c r="CPK117" s="144"/>
      <c r="CPL117" s="144"/>
      <c r="CPM117" s="145"/>
      <c r="CPN117" s="145"/>
      <c r="CPO117" s="145"/>
      <c r="CPP117" s="145"/>
      <c r="CPQ117" s="145"/>
      <c r="CPR117" s="145"/>
      <c r="CPU117" s="144"/>
      <c r="CPV117" s="144"/>
      <c r="CPW117" s="144"/>
      <c r="CPX117" s="144"/>
      <c r="CPY117" s="144"/>
      <c r="CPZ117" s="144"/>
      <c r="CQA117" s="144"/>
      <c r="CQB117" s="144"/>
      <c r="CQC117" s="145"/>
      <c r="CQD117" s="145"/>
      <c r="CQE117" s="145"/>
      <c r="CQF117" s="145"/>
      <c r="CQG117" s="145"/>
      <c r="CQH117" s="145"/>
      <c r="CQK117" s="144"/>
      <c r="CQL117" s="144"/>
      <c r="CQM117" s="144"/>
      <c r="CQN117" s="144"/>
      <c r="CQO117" s="144"/>
      <c r="CQP117" s="144"/>
      <c r="CQQ117" s="144"/>
      <c r="CQR117" s="144"/>
      <c r="CQS117" s="145"/>
      <c r="CQT117" s="145"/>
      <c r="CQU117" s="145"/>
      <c r="CQV117" s="145"/>
      <c r="CQW117" s="145"/>
      <c r="CQX117" s="145"/>
      <c r="CRA117" s="144"/>
      <c r="CRB117" s="144"/>
      <c r="CRC117" s="144"/>
      <c r="CRD117" s="144"/>
      <c r="CRE117" s="144"/>
      <c r="CRF117" s="144"/>
      <c r="CRG117" s="144"/>
      <c r="CRH117" s="144"/>
      <c r="CRI117" s="145"/>
      <c r="CRJ117" s="145"/>
      <c r="CRK117" s="145"/>
      <c r="CRL117" s="145"/>
      <c r="CRM117" s="145"/>
      <c r="CRN117" s="145"/>
      <c r="CRQ117" s="144"/>
      <c r="CRR117" s="144"/>
      <c r="CRS117" s="144"/>
      <c r="CRT117" s="144"/>
      <c r="CRU117" s="144"/>
      <c r="CRV117" s="144"/>
      <c r="CRW117" s="144"/>
      <c r="CRX117" s="144"/>
      <c r="CRY117" s="145"/>
      <c r="CRZ117" s="145"/>
      <c r="CSA117" s="145"/>
      <c r="CSB117" s="145"/>
      <c r="CSC117" s="145"/>
      <c r="CSD117" s="145"/>
      <c r="CSG117" s="144"/>
      <c r="CSH117" s="144"/>
      <c r="CSI117" s="144"/>
      <c r="CSJ117" s="144"/>
      <c r="CSK117" s="144"/>
      <c r="CSL117" s="144"/>
      <c r="CSM117" s="144"/>
      <c r="CSN117" s="144"/>
      <c r="CSO117" s="145"/>
      <c r="CSP117" s="145"/>
      <c r="CSQ117" s="145"/>
      <c r="CSR117" s="145"/>
      <c r="CSS117" s="145"/>
      <c r="CST117" s="145"/>
      <c r="CSW117" s="144"/>
      <c r="CSX117" s="144"/>
      <c r="CSY117" s="144"/>
      <c r="CSZ117" s="144"/>
      <c r="CTA117" s="144"/>
      <c r="CTB117" s="144"/>
      <c r="CTC117" s="144"/>
      <c r="CTD117" s="144"/>
      <c r="CTE117" s="145"/>
      <c r="CTF117" s="145"/>
      <c r="CTG117" s="145"/>
      <c r="CTH117" s="145"/>
      <c r="CTI117" s="145"/>
      <c r="CTJ117" s="145"/>
      <c r="CTM117" s="144"/>
      <c r="CTN117" s="144"/>
      <c r="CTO117" s="144"/>
      <c r="CTP117" s="144"/>
      <c r="CTQ117" s="144"/>
      <c r="CTR117" s="144"/>
      <c r="CTS117" s="144"/>
      <c r="CTT117" s="144"/>
      <c r="CTU117" s="145"/>
      <c r="CTV117" s="145"/>
      <c r="CTW117" s="145"/>
      <c r="CTX117" s="145"/>
      <c r="CTY117" s="145"/>
      <c r="CTZ117" s="145"/>
      <c r="CUC117" s="144"/>
      <c r="CUD117" s="144"/>
      <c r="CUE117" s="144"/>
      <c r="CUF117" s="144"/>
      <c r="CUG117" s="144"/>
      <c r="CUH117" s="144"/>
      <c r="CUI117" s="144"/>
      <c r="CUJ117" s="144"/>
      <c r="CUK117" s="145"/>
      <c r="CUL117" s="145"/>
      <c r="CUM117" s="145"/>
      <c r="CUN117" s="145"/>
      <c r="CUO117" s="145"/>
      <c r="CUP117" s="145"/>
      <c r="CUS117" s="144"/>
      <c r="CUT117" s="144"/>
      <c r="CUU117" s="144"/>
      <c r="CUV117" s="144"/>
      <c r="CUW117" s="144"/>
      <c r="CUX117" s="144"/>
      <c r="CUY117" s="144"/>
      <c r="CUZ117" s="144"/>
      <c r="CVA117" s="145"/>
      <c r="CVB117" s="145"/>
      <c r="CVC117" s="145"/>
      <c r="CVD117" s="145"/>
      <c r="CVE117" s="145"/>
      <c r="CVF117" s="145"/>
      <c r="CVI117" s="144"/>
      <c r="CVJ117" s="144"/>
      <c r="CVK117" s="144"/>
      <c r="CVL117" s="144"/>
      <c r="CVM117" s="144"/>
      <c r="CVN117" s="144"/>
      <c r="CVO117" s="144"/>
      <c r="CVP117" s="144"/>
      <c r="CVQ117" s="145"/>
      <c r="CVR117" s="145"/>
      <c r="CVS117" s="145"/>
      <c r="CVT117" s="145"/>
      <c r="CVU117" s="145"/>
      <c r="CVV117" s="145"/>
      <c r="CVY117" s="144"/>
      <c r="CVZ117" s="144"/>
      <c r="CWA117" s="144"/>
      <c r="CWB117" s="144"/>
      <c r="CWC117" s="144"/>
      <c r="CWD117" s="144"/>
      <c r="CWE117" s="144"/>
      <c r="CWF117" s="144"/>
      <c r="CWG117" s="145"/>
      <c r="CWH117" s="145"/>
      <c r="CWI117" s="145"/>
      <c r="CWJ117" s="145"/>
      <c r="CWK117" s="145"/>
      <c r="CWL117" s="145"/>
      <c r="CWO117" s="144"/>
      <c r="CWP117" s="144"/>
      <c r="CWQ117" s="144"/>
      <c r="CWR117" s="144"/>
      <c r="CWS117" s="144"/>
      <c r="CWT117" s="144"/>
      <c r="CWU117" s="144"/>
      <c r="CWV117" s="144"/>
      <c r="CWW117" s="145"/>
      <c r="CWX117" s="145"/>
      <c r="CWY117" s="145"/>
      <c r="CWZ117" s="145"/>
      <c r="CXA117" s="145"/>
      <c r="CXB117" s="145"/>
      <c r="CXE117" s="144"/>
      <c r="CXF117" s="144"/>
      <c r="CXG117" s="144"/>
      <c r="CXH117" s="144"/>
      <c r="CXI117" s="144"/>
      <c r="CXJ117" s="144"/>
      <c r="CXK117" s="144"/>
      <c r="CXL117" s="144"/>
      <c r="CXM117" s="145"/>
      <c r="CXN117" s="145"/>
      <c r="CXO117" s="145"/>
      <c r="CXP117" s="145"/>
      <c r="CXQ117" s="145"/>
      <c r="CXR117" s="145"/>
      <c r="CXU117" s="144"/>
      <c r="CXV117" s="144"/>
      <c r="CXW117" s="144"/>
      <c r="CXX117" s="144"/>
      <c r="CXY117" s="144"/>
      <c r="CXZ117" s="144"/>
      <c r="CYA117" s="144"/>
      <c r="CYB117" s="144"/>
      <c r="CYC117" s="145"/>
      <c r="CYD117" s="145"/>
      <c r="CYE117" s="145"/>
      <c r="CYF117" s="145"/>
      <c r="CYG117" s="145"/>
      <c r="CYH117" s="145"/>
      <c r="CYK117" s="144"/>
      <c r="CYL117" s="144"/>
      <c r="CYM117" s="144"/>
      <c r="CYN117" s="144"/>
      <c r="CYO117" s="144"/>
      <c r="CYP117" s="144"/>
      <c r="CYQ117" s="144"/>
      <c r="CYR117" s="144"/>
      <c r="CYS117" s="145"/>
      <c r="CYT117" s="145"/>
      <c r="CYU117" s="145"/>
      <c r="CYV117" s="145"/>
      <c r="CYW117" s="145"/>
      <c r="CYX117" s="145"/>
      <c r="CZA117" s="144"/>
      <c r="CZB117" s="144"/>
      <c r="CZC117" s="144"/>
      <c r="CZD117" s="144"/>
      <c r="CZE117" s="144"/>
      <c r="CZF117" s="144"/>
      <c r="CZG117" s="144"/>
      <c r="CZH117" s="144"/>
      <c r="CZI117" s="145"/>
      <c r="CZJ117" s="145"/>
      <c r="CZK117" s="145"/>
      <c r="CZL117" s="145"/>
      <c r="CZM117" s="145"/>
      <c r="CZN117" s="145"/>
      <c r="CZQ117" s="144"/>
      <c r="CZR117" s="144"/>
      <c r="CZS117" s="144"/>
      <c r="CZT117" s="144"/>
      <c r="CZU117" s="144"/>
      <c r="CZV117" s="144"/>
      <c r="CZW117" s="144"/>
      <c r="CZX117" s="144"/>
      <c r="CZY117" s="145"/>
      <c r="CZZ117" s="145"/>
      <c r="DAA117" s="145"/>
      <c r="DAB117" s="145"/>
      <c r="DAC117" s="145"/>
      <c r="DAD117" s="145"/>
      <c r="DAG117" s="144"/>
      <c r="DAH117" s="144"/>
      <c r="DAI117" s="144"/>
      <c r="DAJ117" s="144"/>
      <c r="DAK117" s="144"/>
      <c r="DAL117" s="144"/>
      <c r="DAM117" s="144"/>
      <c r="DAN117" s="144"/>
      <c r="DAO117" s="145"/>
      <c r="DAP117" s="145"/>
      <c r="DAQ117" s="145"/>
      <c r="DAR117" s="145"/>
      <c r="DAS117" s="145"/>
      <c r="DAT117" s="145"/>
      <c r="DAW117" s="144"/>
      <c r="DAX117" s="144"/>
      <c r="DAY117" s="144"/>
      <c r="DAZ117" s="144"/>
      <c r="DBA117" s="144"/>
      <c r="DBB117" s="144"/>
      <c r="DBC117" s="144"/>
      <c r="DBD117" s="144"/>
      <c r="DBE117" s="145"/>
      <c r="DBF117" s="145"/>
      <c r="DBG117" s="145"/>
      <c r="DBH117" s="145"/>
      <c r="DBI117" s="145"/>
      <c r="DBJ117" s="145"/>
      <c r="DBM117" s="144"/>
      <c r="DBN117" s="144"/>
      <c r="DBO117" s="144"/>
      <c r="DBP117" s="144"/>
      <c r="DBQ117" s="144"/>
      <c r="DBR117" s="144"/>
      <c r="DBS117" s="144"/>
      <c r="DBT117" s="144"/>
      <c r="DBU117" s="145"/>
      <c r="DBV117" s="145"/>
      <c r="DBW117" s="145"/>
      <c r="DBX117" s="145"/>
      <c r="DBY117" s="145"/>
      <c r="DBZ117" s="145"/>
      <c r="DCC117" s="144"/>
      <c r="DCD117" s="144"/>
      <c r="DCE117" s="144"/>
      <c r="DCF117" s="144"/>
      <c r="DCG117" s="144"/>
      <c r="DCH117" s="144"/>
      <c r="DCI117" s="144"/>
      <c r="DCJ117" s="144"/>
      <c r="DCK117" s="145"/>
      <c r="DCL117" s="145"/>
      <c r="DCM117" s="145"/>
      <c r="DCN117" s="145"/>
      <c r="DCO117" s="145"/>
      <c r="DCP117" s="145"/>
      <c r="DCS117" s="144"/>
      <c r="DCT117" s="144"/>
      <c r="DCU117" s="144"/>
      <c r="DCV117" s="144"/>
      <c r="DCW117" s="144"/>
      <c r="DCX117" s="144"/>
      <c r="DCY117" s="144"/>
      <c r="DCZ117" s="144"/>
      <c r="DDA117" s="145"/>
      <c r="DDB117" s="145"/>
      <c r="DDC117" s="145"/>
      <c r="DDD117" s="145"/>
      <c r="DDE117" s="145"/>
      <c r="DDF117" s="145"/>
      <c r="DDI117" s="144"/>
      <c r="DDJ117" s="144"/>
      <c r="DDK117" s="144"/>
      <c r="DDL117" s="144"/>
      <c r="DDM117" s="144"/>
      <c r="DDN117" s="144"/>
      <c r="DDO117" s="144"/>
      <c r="DDP117" s="144"/>
      <c r="DDQ117" s="145"/>
      <c r="DDR117" s="145"/>
      <c r="DDS117" s="145"/>
      <c r="DDT117" s="145"/>
      <c r="DDU117" s="145"/>
      <c r="DDV117" s="145"/>
      <c r="DDY117" s="144"/>
      <c r="DDZ117" s="144"/>
      <c r="DEA117" s="144"/>
      <c r="DEB117" s="144"/>
      <c r="DEC117" s="144"/>
      <c r="DED117" s="144"/>
      <c r="DEE117" s="144"/>
      <c r="DEF117" s="144"/>
      <c r="DEG117" s="145"/>
      <c r="DEH117" s="145"/>
      <c r="DEI117" s="145"/>
      <c r="DEJ117" s="145"/>
      <c r="DEK117" s="145"/>
      <c r="DEL117" s="145"/>
      <c r="DEO117" s="144"/>
      <c r="DEP117" s="144"/>
      <c r="DEQ117" s="144"/>
      <c r="DER117" s="144"/>
      <c r="DES117" s="144"/>
      <c r="DET117" s="144"/>
      <c r="DEU117" s="144"/>
      <c r="DEV117" s="144"/>
      <c r="DEW117" s="145"/>
      <c r="DEX117" s="145"/>
      <c r="DEY117" s="145"/>
      <c r="DEZ117" s="145"/>
      <c r="DFA117" s="145"/>
      <c r="DFB117" s="145"/>
      <c r="DFE117" s="144"/>
      <c r="DFF117" s="144"/>
      <c r="DFG117" s="144"/>
      <c r="DFH117" s="144"/>
      <c r="DFI117" s="144"/>
      <c r="DFJ117" s="144"/>
      <c r="DFK117" s="144"/>
      <c r="DFL117" s="144"/>
      <c r="DFM117" s="145"/>
      <c r="DFN117" s="145"/>
      <c r="DFO117" s="145"/>
      <c r="DFP117" s="145"/>
      <c r="DFQ117" s="145"/>
      <c r="DFR117" s="145"/>
      <c r="DFU117" s="144"/>
      <c r="DFV117" s="144"/>
      <c r="DFW117" s="144"/>
      <c r="DFX117" s="144"/>
      <c r="DFY117" s="144"/>
      <c r="DFZ117" s="144"/>
      <c r="DGA117" s="144"/>
      <c r="DGB117" s="144"/>
      <c r="DGC117" s="145"/>
      <c r="DGD117" s="145"/>
      <c r="DGE117" s="145"/>
      <c r="DGF117" s="145"/>
      <c r="DGG117" s="145"/>
      <c r="DGH117" s="145"/>
      <c r="DGK117" s="144"/>
      <c r="DGL117" s="144"/>
      <c r="DGM117" s="144"/>
      <c r="DGN117" s="144"/>
      <c r="DGO117" s="144"/>
      <c r="DGP117" s="144"/>
      <c r="DGQ117" s="144"/>
      <c r="DGR117" s="144"/>
      <c r="DGS117" s="145"/>
      <c r="DGT117" s="145"/>
      <c r="DGU117" s="145"/>
      <c r="DGV117" s="145"/>
      <c r="DGW117" s="145"/>
      <c r="DGX117" s="145"/>
      <c r="DHA117" s="144"/>
      <c r="DHB117" s="144"/>
      <c r="DHC117" s="144"/>
      <c r="DHD117" s="144"/>
      <c r="DHE117" s="144"/>
      <c r="DHF117" s="144"/>
      <c r="DHG117" s="144"/>
      <c r="DHH117" s="144"/>
      <c r="DHI117" s="145"/>
      <c r="DHJ117" s="145"/>
      <c r="DHK117" s="145"/>
      <c r="DHL117" s="145"/>
      <c r="DHM117" s="145"/>
      <c r="DHN117" s="145"/>
      <c r="DHQ117" s="144"/>
      <c r="DHR117" s="144"/>
      <c r="DHS117" s="144"/>
      <c r="DHT117" s="144"/>
      <c r="DHU117" s="144"/>
      <c r="DHV117" s="144"/>
      <c r="DHW117" s="144"/>
      <c r="DHX117" s="144"/>
      <c r="DHY117" s="145"/>
      <c r="DHZ117" s="145"/>
      <c r="DIA117" s="145"/>
      <c r="DIB117" s="145"/>
      <c r="DIC117" s="145"/>
      <c r="DID117" s="145"/>
      <c r="DIG117" s="144"/>
      <c r="DIH117" s="144"/>
      <c r="DII117" s="144"/>
      <c r="DIJ117" s="144"/>
      <c r="DIK117" s="144"/>
      <c r="DIL117" s="144"/>
      <c r="DIM117" s="144"/>
      <c r="DIN117" s="144"/>
      <c r="DIO117" s="145"/>
      <c r="DIP117" s="145"/>
      <c r="DIQ117" s="145"/>
      <c r="DIR117" s="145"/>
      <c r="DIS117" s="145"/>
      <c r="DIT117" s="145"/>
      <c r="DIW117" s="144"/>
      <c r="DIX117" s="144"/>
      <c r="DIY117" s="144"/>
      <c r="DIZ117" s="144"/>
      <c r="DJA117" s="144"/>
      <c r="DJB117" s="144"/>
      <c r="DJC117" s="144"/>
      <c r="DJD117" s="144"/>
      <c r="DJE117" s="145"/>
      <c r="DJF117" s="145"/>
      <c r="DJG117" s="145"/>
      <c r="DJH117" s="145"/>
      <c r="DJI117" s="145"/>
      <c r="DJJ117" s="145"/>
      <c r="DJM117" s="144"/>
      <c r="DJN117" s="144"/>
      <c r="DJO117" s="144"/>
      <c r="DJP117" s="144"/>
      <c r="DJQ117" s="144"/>
      <c r="DJR117" s="144"/>
      <c r="DJS117" s="144"/>
      <c r="DJT117" s="144"/>
      <c r="DJU117" s="145"/>
      <c r="DJV117" s="145"/>
      <c r="DJW117" s="145"/>
      <c r="DJX117" s="145"/>
      <c r="DJY117" s="145"/>
      <c r="DJZ117" s="145"/>
      <c r="DKC117" s="144"/>
      <c r="DKD117" s="144"/>
      <c r="DKE117" s="144"/>
      <c r="DKF117" s="144"/>
      <c r="DKG117" s="144"/>
      <c r="DKH117" s="144"/>
      <c r="DKI117" s="144"/>
      <c r="DKJ117" s="144"/>
      <c r="DKK117" s="145"/>
      <c r="DKL117" s="145"/>
      <c r="DKM117" s="145"/>
      <c r="DKN117" s="145"/>
      <c r="DKO117" s="145"/>
      <c r="DKP117" s="145"/>
      <c r="DKS117" s="144"/>
      <c r="DKT117" s="144"/>
      <c r="DKU117" s="144"/>
      <c r="DKV117" s="144"/>
      <c r="DKW117" s="144"/>
      <c r="DKX117" s="144"/>
      <c r="DKY117" s="144"/>
      <c r="DKZ117" s="144"/>
      <c r="DLA117" s="145"/>
      <c r="DLB117" s="145"/>
      <c r="DLC117" s="145"/>
      <c r="DLD117" s="145"/>
      <c r="DLE117" s="145"/>
      <c r="DLF117" s="145"/>
      <c r="DLI117" s="144"/>
      <c r="DLJ117" s="144"/>
      <c r="DLK117" s="144"/>
      <c r="DLL117" s="144"/>
      <c r="DLM117" s="144"/>
      <c r="DLN117" s="144"/>
      <c r="DLO117" s="144"/>
      <c r="DLP117" s="144"/>
      <c r="DLQ117" s="145"/>
      <c r="DLR117" s="145"/>
      <c r="DLS117" s="145"/>
      <c r="DLT117" s="145"/>
      <c r="DLU117" s="145"/>
      <c r="DLV117" s="145"/>
      <c r="DLY117" s="144"/>
      <c r="DLZ117" s="144"/>
      <c r="DMA117" s="144"/>
      <c r="DMB117" s="144"/>
      <c r="DMC117" s="144"/>
      <c r="DMD117" s="144"/>
      <c r="DME117" s="144"/>
      <c r="DMF117" s="144"/>
      <c r="DMG117" s="145"/>
      <c r="DMH117" s="145"/>
      <c r="DMI117" s="145"/>
      <c r="DMJ117" s="145"/>
      <c r="DMK117" s="145"/>
      <c r="DML117" s="145"/>
      <c r="DMO117" s="144"/>
      <c r="DMP117" s="144"/>
      <c r="DMQ117" s="144"/>
      <c r="DMR117" s="144"/>
      <c r="DMS117" s="144"/>
      <c r="DMT117" s="144"/>
      <c r="DMU117" s="144"/>
      <c r="DMV117" s="144"/>
      <c r="DMW117" s="145"/>
      <c r="DMX117" s="145"/>
      <c r="DMY117" s="145"/>
      <c r="DMZ117" s="145"/>
      <c r="DNA117" s="145"/>
      <c r="DNB117" s="145"/>
      <c r="DNE117" s="144"/>
      <c r="DNF117" s="144"/>
      <c r="DNG117" s="144"/>
      <c r="DNH117" s="144"/>
      <c r="DNI117" s="144"/>
      <c r="DNJ117" s="144"/>
      <c r="DNK117" s="144"/>
      <c r="DNL117" s="144"/>
      <c r="DNM117" s="145"/>
      <c r="DNN117" s="145"/>
      <c r="DNO117" s="145"/>
      <c r="DNP117" s="145"/>
      <c r="DNQ117" s="145"/>
      <c r="DNR117" s="145"/>
      <c r="DNU117" s="144"/>
      <c r="DNV117" s="144"/>
      <c r="DNW117" s="144"/>
      <c r="DNX117" s="144"/>
      <c r="DNY117" s="144"/>
      <c r="DNZ117" s="144"/>
      <c r="DOA117" s="144"/>
      <c r="DOB117" s="144"/>
      <c r="DOC117" s="145"/>
      <c r="DOD117" s="145"/>
      <c r="DOE117" s="145"/>
      <c r="DOF117" s="145"/>
      <c r="DOG117" s="145"/>
      <c r="DOH117" s="145"/>
      <c r="DOK117" s="144"/>
      <c r="DOL117" s="144"/>
      <c r="DOM117" s="144"/>
      <c r="DON117" s="144"/>
      <c r="DOO117" s="144"/>
      <c r="DOP117" s="144"/>
      <c r="DOQ117" s="144"/>
      <c r="DOR117" s="144"/>
      <c r="DOS117" s="145"/>
      <c r="DOT117" s="145"/>
      <c r="DOU117" s="145"/>
      <c r="DOV117" s="145"/>
      <c r="DOW117" s="145"/>
      <c r="DOX117" s="145"/>
      <c r="DPA117" s="144"/>
      <c r="DPB117" s="144"/>
      <c r="DPC117" s="144"/>
      <c r="DPD117" s="144"/>
      <c r="DPE117" s="144"/>
      <c r="DPF117" s="144"/>
      <c r="DPG117" s="144"/>
      <c r="DPH117" s="144"/>
      <c r="DPI117" s="145"/>
      <c r="DPJ117" s="145"/>
      <c r="DPK117" s="145"/>
      <c r="DPL117" s="145"/>
      <c r="DPM117" s="145"/>
      <c r="DPN117" s="145"/>
      <c r="DPQ117" s="144"/>
      <c r="DPR117" s="144"/>
      <c r="DPS117" s="144"/>
      <c r="DPT117" s="144"/>
      <c r="DPU117" s="144"/>
      <c r="DPV117" s="144"/>
      <c r="DPW117" s="144"/>
      <c r="DPX117" s="144"/>
      <c r="DPY117" s="145"/>
      <c r="DPZ117" s="145"/>
      <c r="DQA117" s="145"/>
      <c r="DQB117" s="145"/>
      <c r="DQC117" s="145"/>
      <c r="DQD117" s="145"/>
      <c r="DQG117" s="144"/>
      <c r="DQH117" s="144"/>
      <c r="DQI117" s="144"/>
      <c r="DQJ117" s="144"/>
      <c r="DQK117" s="144"/>
      <c r="DQL117" s="144"/>
      <c r="DQM117" s="144"/>
      <c r="DQN117" s="144"/>
      <c r="DQO117" s="145"/>
      <c r="DQP117" s="145"/>
      <c r="DQQ117" s="145"/>
      <c r="DQR117" s="145"/>
      <c r="DQS117" s="145"/>
      <c r="DQT117" s="145"/>
      <c r="DQW117" s="144"/>
      <c r="DQX117" s="144"/>
      <c r="DQY117" s="144"/>
      <c r="DQZ117" s="144"/>
      <c r="DRA117" s="144"/>
      <c r="DRB117" s="144"/>
      <c r="DRC117" s="144"/>
      <c r="DRD117" s="144"/>
      <c r="DRE117" s="145"/>
      <c r="DRF117" s="145"/>
      <c r="DRG117" s="145"/>
      <c r="DRH117" s="145"/>
      <c r="DRI117" s="145"/>
      <c r="DRJ117" s="145"/>
      <c r="DRM117" s="144"/>
      <c r="DRN117" s="144"/>
      <c r="DRO117" s="144"/>
      <c r="DRP117" s="144"/>
      <c r="DRQ117" s="144"/>
      <c r="DRR117" s="144"/>
      <c r="DRS117" s="144"/>
      <c r="DRT117" s="144"/>
      <c r="DRU117" s="145"/>
      <c r="DRV117" s="145"/>
      <c r="DRW117" s="145"/>
      <c r="DRX117" s="145"/>
      <c r="DRY117" s="145"/>
      <c r="DRZ117" s="145"/>
      <c r="DSC117" s="144"/>
      <c r="DSD117" s="144"/>
      <c r="DSE117" s="144"/>
      <c r="DSF117" s="144"/>
      <c r="DSG117" s="144"/>
      <c r="DSH117" s="144"/>
      <c r="DSI117" s="144"/>
      <c r="DSJ117" s="144"/>
      <c r="DSK117" s="145"/>
      <c r="DSL117" s="145"/>
      <c r="DSM117" s="145"/>
      <c r="DSN117" s="145"/>
      <c r="DSO117" s="145"/>
      <c r="DSP117" s="145"/>
      <c r="DSS117" s="144"/>
      <c r="DST117" s="144"/>
      <c r="DSU117" s="144"/>
      <c r="DSV117" s="144"/>
      <c r="DSW117" s="144"/>
      <c r="DSX117" s="144"/>
      <c r="DSY117" s="144"/>
      <c r="DSZ117" s="144"/>
      <c r="DTA117" s="145"/>
      <c r="DTB117" s="145"/>
      <c r="DTC117" s="145"/>
      <c r="DTD117" s="145"/>
      <c r="DTE117" s="145"/>
      <c r="DTF117" s="145"/>
      <c r="DTI117" s="144"/>
      <c r="DTJ117" s="144"/>
      <c r="DTK117" s="144"/>
      <c r="DTL117" s="144"/>
      <c r="DTM117" s="144"/>
      <c r="DTN117" s="144"/>
      <c r="DTO117" s="144"/>
      <c r="DTP117" s="144"/>
      <c r="DTQ117" s="145"/>
      <c r="DTR117" s="145"/>
      <c r="DTS117" s="145"/>
      <c r="DTT117" s="145"/>
      <c r="DTU117" s="145"/>
      <c r="DTV117" s="145"/>
      <c r="DTY117" s="144"/>
      <c r="DTZ117" s="144"/>
      <c r="DUA117" s="144"/>
      <c r="DUB117" s="144"/>
      <c r="DUC117" s="144"/>
      <c r="DUD117" s="144"/>
      <c r="DUE117" s="144"/>
      <c r="DUF117" s="144"/>
      <c r="DUG117" s="145"/>
      <c r="DUH117" s="145"/>
      <c r="DUI117" s="145"/>
      <c r="DUJ117" s="145"/>
      <c r="DUK117" s="145"/>
      <c r="DUL117" s="145"/>
      <c r="DUO117" s="144"/>
      <c r="DUP117" s="144"/>
      <c r="DUQ117" s="144"/>
      <c r="DUR117" s="144"/>
      <c r="DUS117" s="144"/>
      <c r="DUT117" s="144"/>
      <c r="DUU117" s="144"/>
      <c r="DUV117" s="144"/>
      <c r="DUW117" s="145"/>
      <c r="DUX117" s="145"/>
      <c r="DUY117" s="145"/>
      <c r="DUZ117" s="145"/>
      <c r="DVA117" s="145"/>
      <c r="DVB117" s="145"/>
      <c r="DVE117" s="144"/>
      <c r="DVF117" s="144"/>
      <c r="DVG117" s="144"/>
      <c r="DVH117" s="144"/>
      <c r="DVI117" s="144"/>
      <c r="DVJ117" s="144"/>
      <c r="DVK117" s="144"/>
      <c r="DVL117" s="144"/>
      <c r="DVM117" s="145"/>
      <c r="DVN117" s="145"/>
      <c r="DVO117" s="145"/>
      <c r="DVP117" s="145"/>
      <c r="DVQ117" s="145"/>
      <c r="DVR117" s="145"/>
      <c r="DVU117" s="144"/>
      <c r="DVV117" s="144"/>
      <c r="DVW117" s="144"/>
      <c r="DVX117" s="144"/>
      <c r="DVY117" s="144"/>
      <c r="DVZ117" s="144"/>
      <c r="DWA117" s="144"/>
      <c r="DWB117" s="144"/>
      <c r="DWC117" s="145"/>
      <c r="DWD117" s="145"/>
      <c r="DWE117" s="145"/>
      <c r="DWF117" s="145"/>
      <c r="DWG117" s="145"/>
      <c r="DWH117" s="145"/>
      <c r="DWK117" s="144"/>
      <c r="DWL117" s="144"/>
      <c r="DWM117" s="144"/>
      <c r="DWN117" s="144"/>
      <c r="DWO117" s="144"/>
      <c r="DWP117" s="144"/>
      <c r="DWQ117" s="144"/>
      <c r="DWR117" s="144"/>
      <c r="DWS117" s="145"/>
      <c r="DWT117" s="145"/>
      <c r="DWU117" s="145"/>
      <c r="DWV117" s="145"/>
      <c r="DWW117" s="145"/>
      <c r="DWX117" s="145"/>
      <c r="DXA117" s="144"/>
      <c r="DXB117" s="144"/>
      <c r="DXC117" s="144"/>
      <c r="DXD117" s="144"/>
      <c r="DXE117" s="144"/>
      <c r="DXF117" s="144"/>
      <c r="DXG117" s="144"/>
      <c r="DXH117" s="144"/>
      <c r="DXI117" s="145"/>
      <c r="DXJ117" s="145"/>
      <c r="DXK117" s="145"/>
      <c r="DXL117" s="145"/>
      <c r="DXM117" s="145"/>
      <c r="DXN117" s="145"/>
      <c r="DXQ117" s="144"/>
      <c r="DXR117" s="144"/>
      <c r="DXS117" s="144"/>
      <c r="DXT117" s="144"/>
      <c r="DXU117" s="144"/>
      <c r="DXV117" s="144"/>
      <c r="DXW117" s="144"/>
      <c r="DXX117" s="144"/>
      <c r="DXY117" s="145"/>
      <c r="DXZ117" s="145"/>
      <c r="DYA117" s="145"/>
      <c r="DYB117" s="145"/>
      <c r="DYC117" s="145"/>
      <c r="DYD117" s="145"/>
      <c r="DYG117" s="144"/>
      <c r="DYH117" s="144"/>
      <c r="DYI117" s="144"/>
      <c r="DYJ117" s="144"/>
      <c r="DYK117" s="144"/>
      <c r="DYL117" s="144"/>
      <c r="DYM117" s="144"/>
      <c r="DYN117" s="144"/>
      <c r="DYO117" s="145"/>
      <c r="DYP117" s="145"/>
      <c r="DYQ117" s="145"/>
      <c r="DYR117" s="145"/>
      <c r="DYS117" s="145"/>
      <c r="DYT117" s="145"/>
      <c r="DYW117" s="144"/>
      <c r="DYX117" s="144"/>
      <c r="DYY117" s="144"/>
      <c r="DYZ117" s="144"/>
      <c r="DZA117" s="144"/>
      <c r="DZB117" s="144"/>
      <c r="DZC117" s="144"/>
      <c r="DZD117" s="144"/>
      <c r="DZE117" s="145"/>
      <c r="DZF117" s="145"/>
      <c r="DZG117" s="145"/>
      <c r="DZH117" s="145"/>
      <c r="DZI117" s="145"/>
      <c r="DZJ117" s="145"/>
      <c r="DZM117" s="144"/>
      <c r="DZN117" s="144"/>
      <c r="DZO117" s="144"/>
      <c r="DZP117" s="144"/>
      <c r="DZQ117" s="144"/>
      <c r="DZR117" s="144"/>
      <c r="DZS117" s="144"/>
      <c r="DZT117" s="144"/>
      <c r="DZU117" s="145"/>
      <c r="DZV117" s="145"/>
      <c r="DZW117" s="145"/>
      <c r="DZX117" s="145"/>
      <c r="DZY117" s="145"/>
      <c r="DZZ117" s="145"/>
      <c r="EAC117" s="144"/>
      <c r="EAD117" s="144"/>
      <c r="EAE117" s="144"/>
      <c r="EAF117" s="144"/>
      <c r="EAG117" s="144"/>
      <c r="EAH117" s="144"/>
      <c r="EAI117" s="144"/>
      <c r="EAJ117" s="144"/>
      <c r="EAK117" s="145"/>
      <c r="EAL117" s="145"/>
      <c r="EAM117" s="145"/>
      <c r="EAN117" s="145"/>
      <c r="EAO117" s="145"/>
      <c r="EAP117" s="145"/>
      <c r="EAS117" s="144"/>
      <c r="EAT117" s="144"/>
      <c r="EAU117" s="144"/>
      <c r="EAV117" s="144"/>
      <c r="EAW117" s="144"/>
      <c r="EAX117" s="144"/>
      <c r="EAY117" s="144"/>
      <c r="EAZ117" s="144"/>
      <c r="EBA117" s="145"/>
      <c r="EBB117" s="145"/>
      <c r="EBC117" s="145"/>
      <c r="EBD117" s="145"/>
      <c r="EBE117" s="145"/>
      <c r="EBF117" s="145"/>
      <c r="EBI117" s="144"/>
      <c r="EBJ117" s="144"/>
      <c r="EBK117" s="144"/>
      <c r="EBL117" s="144"/>
      <c r="EBM117" s="144"/>
      <c r="EBN117" s="144"/>
      <c r="EBO117" s="144"/>
      <c r="EBP117" s="144"/>
      <c r="EBQ117" s="145"/>
      <c r="EBR117" s="145"/>
      <c r="EBS117" s="145"/>
      <c r="EBT117" s="145"/>
      <c r="EBU117" s="145"/>
      <c r="EBV117" s="145"/>
      <c r="EBY117" s="144"/>
      <c r="EBZ117" s="144"/>
      <c r="ECA117" s="144"/>
      <c r="ECB117" s="144"/>
      <c r="ECC117" s="144"/>
      <c r="ECD117" s="144"/>
      <c r="ECE117" s="144"/>
      <c r="ECF117" s="144"/>
      <c r="ECG117" s="145"/>
      <c r="ECH117" s="145"/>
      <c r="ECI117" s="145"/>
      <c r="ECJ117" s="145"/>
      <c r="ECK117" s="145"/>
      <c r="ECL117" s="145"/>
      <c r="ECO117" s="144"/>
      <c r="ECP117" s="144"/>
      <c r="ECQ117" s="144"/>
      <c r="ECR117" s="144"/>
      <c r="ECS117" s="144"/>
      <c r="ECT117" s="144"/>
      <c r="ECU117" s="144"/>
      <c r="ECV117" s="144"/>
      <c r="ECW117" s="145"/>
      <c r="ECX117" s="145"/>
      <c r="ECY117" s="145"/>
      <c r="ECZ117" s="145"/>
      <c r="EDA117" s="145"/>
      <c r="EDB117" s="145"/>
      <c r="EDE117" s="144"/>
      <c r="EDF117" s="144"/>
      <c r="EDG117" s="144"/>
      <c r="EDH117" s="144"/>
      <c r="EDI117" s="144"/>
      <c r="EDJ117" s="144"/>
      <c r="EDK117" s="144"/>
      <c r="EDL117" s="144"/>
      <c r="EDM117" s="145"/>
      <c r="EDN117" s="145"/>
      <c r="EDO117" s="145"/>
      <c r="EDP117" s="145"/>
      <c r="EDQ117" s="145"/>
      <c r="EDR117" s="145"/>
      <c r="EDU117" s="144"/>
      <c r="EDV117" s="144"/>
      <c r="EDW117" s="144"/>
      <c r="EDX117" s="144"/>
      <c r="EDY117" s="144"/>
      <c r="EDZ117" s="144"/>
      <c r="EEA117" s="144"/>
      <c r="EEB117" s="144"/>
      <c r="EEC117" s="145"/>
      <c r="EED117" s="145"/>
      <c r="EEE117" s="145"/>
      <c r="EEF117" s="145"/>
      <c r="EEG117" s="145"/>
      <c r="EEH117" s="145"/>
      <c r="EEK117" s="144"/>
      <c r="EEL117" s="144"/>
      <c r="EEM117" s="144"/>
      <c r="EEN117" s="144"/>
      <c r="EEO117" s="144"/>
      <c r="EEP117" s="144"/>
      <c r="EEQ117" s="144"/>
      <c r="EER117" s="144"/>
      <c r="EES117" s="145"/>
      <c r="EET117" s="145"/>
      <c r="EEU117" s="145"/>
      <c r="EEV117" s="145"/>
      <c r="EEW117" s="145"/>
      <c r="EEX117" s="145"/>
      <c r="EFA117" s="144"/>
      <c r="EFB117" s="144"/>
      <c r="EFC117" s="144"/>
      <c r="EFD117" s="144"/>
      <c r="EFE117" s="144"/>
      <c r="EFF117" s="144"/>
      <c r="EFG117" s="144"/>
      <c r="EFH117" s="144"/>
      <c r="EFI117" s="145"/>
      <c r="EFJ117" s="145"/>
      <c r="EFK117" s="145"/>
      <c r="EFL117" s="145"/>
      <c r="EFM117" s="145"/>
      <c r="EFN117" s="145"/>
      <c r="EFQ117" s="144"/>
      <c r="EFR117" s="144"/>
      <c r="EFS117" s="144"/>
      <c r="EFT117" s="144"/>
      <c r="EFU117" s="144"/>
      <c r="EFV117" s="144"/>
      <c r="EFW117" s="144"/>
      <c r="EFX117" s="144"/>
      <c r="EFY117" s="145"/>
      <c r="EFZ117" s="145"/>
      <c r="EGA117" s="145"/>
      <c r="EGB117" s="145"/>
      <c r="EGC117" s="145"/>
      <c r="EGD117" s="145"/>
      <c r="EGG117" s="144"/>
      <c r="EGH117" s="144"/>
      <c r="EGI117" s="144"/>
      <c r="EGJ117" s="144"/>
      <c r="EGK117" s="144"/>
      <c r="EGL117" s="144"/>
      <c r="EGM117" s="144"/>
      <c r="EGN117" s="144"/>
      <c r="EGO117" s="145"/>
      <c r="EGP117" s="145"/>
      <c r="EGQ117" s="145"/>
      <c r="EGR117" s="145"/>
      <c r="EGS117" s="145"/>
      <c r="EGT117" s="145"/>
      <c r="EGW117" s="144"/>
      <c r="EGX117" s="144"/>
      <c r="EGY117" s="144"/>
      <c r="EGZ117" s="144"/>
      <c r="EHA117" s="144"/>
      <c r="EHB117" s="144"/>
      <c r="EHC117" s="144"/>
      <c r="EHD117" s="144"/>
      <c r="EHE117" s="145"/>
      <c r="EHF117" s="145"/>
      <c r="EHG117" s="145"/>
      <c r="EHH117" s="145"/>
      <c r="EHI117" s="145"/>
      <c r="EHJ117" s="145"/>
      <c r="EHM117" s="144"/>
      <c r="EHN117" s="144"/>
      <c r="EHO117" s="144"/>
      <c r="EHP117" s="144"/>
      <c r="EHQ117" s="144"/>
      <c r="EHR117" s="144"/>
      <c r="EHS117" s="144"/>
      <c r="EHT117" s="144"/>
      <c r="EHU117" s="145"/>
      <c r="EHV117" s="145"/>
      <c r="EHW117" s="145"/>
      <c r="EHX117" s="145"/>
      <c r="EHY117" s="145"/>
      <c r="EHZ117" s="145"/>
      <c r="EIC117" s="144"/>
      <c r="EID117" s="144"/>
      <c r="EIE117" s="144"/>
      <c r="EIF117" s="144"/>
      <c r="EIG117" s="144"/>
      <c r="EIH117" s="144"/>
      <c r="EII117" s="144"/>
      <c r="EIJ117" s="144"/>
      <c r="EIK117" s="145"/>
      <c r="EIL117" s="145"/>
      <c r="EIM117" s="145"/>
      <c r="EIN117" s="145"/>
      <c r="EIO117" s="145"/>
      <c r="EIP117" s="145"/>
      <c r="EIS117" s="144"/>
      <c r="EIT117" s="144"/>
      <c r="EIU117" s="144"/>
      <c r="EIV117" s="144"/>
      <c r="EIW117" s="144"/>
      <c r="EIX117" s="144"/>
      <c r="EIY117" s="144"/>
      <c r="EIZ117" s="144"/>
      <c r="EJA117" s="145"/>
      <c r="EJB117" s="145"/>
      <c r="EJC117" s="145"/>
      <c r="EJD117" s="145"/>
      <c r="EJE117" s="145"/>
      <c r="EJF117" s="145"/>
      <c r="EJI117" s="144"/>
      <c r="EJJ117" s="144"/>
      <c r="EJK117" s="144"/>
      <c r="EJL117" s="144"/>
      <c r="EJM117" s="144"/>
      <c r="EJN117" s="144"/>
      <c r="EJO117" s="144"/>
      <c r="EJP117" s="144"/>
      <c r="EJQ117" s="145"/>
      <c r="EJR117" s="145"/>
      <c r="EJS117" s="145"/>
      <c r="EJT117" s="145"/>
      <c r="EJU117" s="145"/>
      <c r="EJV117" s="145"/>
      <c r="EJY117" s="144"/>
      <c r="EJZ117" s="144"/>
      <c r="EKA117" s="144"/>
      <c r="EKB117" s="144"/>
      <c r="EKC117" s="144"/>
      <c r="EKD117" s="144"/>
      <c r="EKE117" s="144"/>
      <c r="EKF117" s="144"/>
      <c r="EKG117" s="145"/>
      <c r="EKH117" s="145"/>
      <c r="EKI117" s="145"/>
      <c r="EKJ117" s="145"/>
      <c r="EKK117" s="145"/>
      <c r="EKL117" s="145"/>
      <c r="EKO117" s="144"/>
      <c r="EKP117" s="144"/>
      <c r="EKQ117" s="144"/>
      <c r="EKR117" s="144"/>
      <c r="EKS117" s="144"/>
      <c r="EKT117" s="144"/>
      <c r="EKU117" s="144"/>
      <c r="EKV117" s="144"/>
      <c r="EKW117" s="145"/>
      <c r="EKX117" s="145"/>
      <c r="EKY117" s="145"/>
      <c r="EKZ117" s="145"/>
      <c r="ELA117" s="145"/>
      <c r="ELB117" s="145"/>
      <c r="ELE117" s="144"/>
      <c r="ELF117" s="144"/>
      <c r="ELG117" s="144"/>
      <c r="ELH117" s="144"/>
      <c r="ELI117" s="144"/>
      <c r="ELJ117" s="144"/>
      <c r="ELK117" s="144"/>
      <c r="ELL117" s="144"/>
      <c r="ELM117" s="145"/>
      <c r="ELN117" s="145"/>
      <c r="ELO117" s="145"/>
      <c r="ELP117" s="145"/>
      <c r="ELQ117" s="145"/>
      <c r="ELR117" s="145"/>
      <c r="ELU117" s="144"/>
      <c r="ELV117" s="144"/>
      <c r="ELW117" s="144"/>
      <c r="ELX117" s="144"/>
      <c r="ELY117" s="144"/>
      <c r="ELZ117" s="144"/>
      <c r="EMA117" s="144"/>
      <c r="EMB117" s="144"/>
      <c r="EMC117" s="145"/>
      <c r="EMD117" s="145"/>
      <c r="EME117" s="145"/>
      <c r="EMF117" s="145"/>
      <c r="EMG117" s="145"/>
      <c r="EMH117" s="145"/>
      <c r="EMK117" s="144"/>
      <c r="EML117" s="144"/>
      <c r="EMM117" s="144"/>
      <c r="EMN117" s="144"/>
      <c r="EMO117" s="144"/>
      <c r="EMP117" s="144"/>
      <c r="EMQ117" s="144"/>
      <c r="EMR117" s="144"/>
      <c r="EMS117" s="145"/>
      <c r="EMT117" s="145"/>
      <c r="EMU117" s="145"/>
      <c r="EMV117" s="145"/>
      <c r="EMW117" s="145"/>
      <c r="EMX117" s="145"/>
      <c r="ENA117" s="144"/>
      <c r="ENB117" s="144"/>
      <c r="ENC117" s="144"/>
      <c r="END117" s="144"/>
      <c r="ENE117" s="144"/>
      <c r="ENF117" s="144"/>
      <c r="ENG117" s="144"/>
      <c r="ENH117" s="144"/>
      <c r="ENI117" s="145"/>
      <c r="ENJ117" s="145"/>
      <c r="ENK117" s="145"/>
      <c r="ENL117" s="145"/>
      <c r="ENM117" s="145"/>
      <c r="ENN117" s="145"/>
      <c r="ENQ117" s="144"/>
      <c r="ENR117" s="144"/>
      <c r="ENS117" s="144"/>
      <c r="ENT117" s="144"/>
      <c r="ENU117" s="144"/>
      <c r="ENV117" s="144"/>
      <c r="ENW117" s="144"/>
      <c r="ENX117" s="144"/>
      <c r="ENY117" s="145"/>
      <c r="ENZ117" s="145"/>
      <c r="EOA117" s="145"/>
      <c r="EOB117" s="145"/>
      <c r="EOC117" s="145"/>
      <c r="EOD117" s="145"/>
      <c r="EOG117" s="144"/>
      <c r="EOH117" s="144"/>
      <c r="EOI117" s="144"/>
      <c r="EOJ117" s="144"/>
      <c r="EOK117" s="144"/>
      <c r="EOL117" s="144"/>
      <c r="EOM117" s="144"/>
      <c r="EON117" s="144"/>
      <c r="EOO117" s="145"/>
      <c r="EOP117" s="145"/>
      <c r="EOQ117" s="145"/>
      <c r="EOR117" s="145"/>
      <c r="EOS117" s="145"/>
      <c r="EOT117" s="145"/>
      <c r="EOW117" s="144"/>
      <c r="EOX117" s="144"/>
      <c r="EOY117" s="144"/>
      <c r="EOZ117" s="144"/>
      <c r="EPA117" s="144"/>
      <c r="EPB117" s="144"/>
      <c r="EPC117" s="144"/>
      <c r="EPD117" s="144"/>
      <c r="EPE117" s="145"/>
      <c r="EPF117" s="145"/>
      <c r="EPG117" s="145"/>
      <c r="EPH117" s="145"/>
      <c r="EPI117" s="145"/>
      <c r="EPJ117" s="145"/>
      <c r="EPM117" s="144"/>
      <c r="EPN117" s="144"/>
      <c r="EPO117" s="144"/>
      <c r="EPP117" s="144"/>
      <c r="EPQ117" s="144"/>
      <c r="EPR117" s="144"/>
      <c r="EPS117" s="144"/>
      <c r="EPT117" s="144"/>
      <c r="EPU117" s="145"/>
      <c r="EPV117" s="145"/>
      <c r="EPW117" s="145"/>
      <c r="EPX117" s="145"/>
      <c r="EPY117" s="145"/>
      <c r="EPZ117" s="145"/>
      <c r="EQC117" s="144"/>
      <c r="EQD117" s="144"/>
      <c r="EQE117" s="144"/>
      <c r="EQF117" s="144"/>
      <c r="EQG117" s="144"/>
      <c r="EQH117" s="144"/>
      <c r="EQI117" s="144"/>
      <c r="EQJ117" s="144"/>
      <c r="EQK117" s="145"/>
      <c r="EQL117" s="145"/>
      <c r="EQM117" s="145"/>
      <c r="EQN117" s="145"/>
      <c r="EQO117" s="145"/>
      <c r="EQP117" s="145"/>
      <c r="EQS117" s="144"/>
      <c r="EQT117" s="144"/>
      <c r="EQU117" s="144"/>
      <c r="EQV117" s="144"/>
      <c r="EQW117" s="144"/>
      <c r="EQX117" s="144"/>
      <c r="EQY117" s="144"/>
      <c r="EQZ117" s="144"/>
      <c r="ERA117" s="145"/>
      <c r="ERB117" s="145"/>
      <c r="ERC117" s="145"/>
      <c r="ERD117" s="145"/>
      <c r="ERE117" s="145"/>
      <c r="ERF117" s="145"/>
      <c r="ERI117" s="144"/>
      <c r="ERJ117" s="144"/>
      <c r="ERK117" s="144"/>
      <c r="ERL117" s="144"/>
      <c r="ERM117" s="144"/>
      <c r="ERN117" s="144"/>
      <c r="ERO117" s="144"/>
      <c r="ERP117" s="144"/>
      <c r="ERQ117" s="145"/>
      <c r="ERR117" s="145"/>
      <c r="ERS117" s="145"/>
      <c r="ERT117" s="145"/>
      <c r="ERU117" s="145"/>
      <c r="ERV117" s="145"/>
      <c r="ERY117" s="144"/>
      <c r="ERZ117" s="144"/>
      <c r="ESA117" s="144"/>
      <c r="ESB117" s="144"/>
      <c r="ESC117" s="144"/>
      <c r="ESD117" s="144"/>
      <c r="ESE117" s="144"/>
      <c r="ESF117" s="144"/>
      <c r="ESG117" s="145"/>
      <c r="ESH117" s="145"/>
      <c r="ESI117" s="145"/>
      <c r="ESJ117" s="145"/>
      <c r="ESK117" s="145"/>
      <c r="ESL117" s="145"/>
      <c r="ESO117" s="144"/>
      <c r="ESP117" s="144"/>
      <c r="ESQ117" s="144"/>
      <c r="ESR117" s="144"/>
      <c r="ESS117" s="144"/>
      <c r="EST117" s="144"/>
      <c r="ESU117" s="144"/>
      <c r="ESV117" s="144"/>
      <c r="ESW117" s="145"/>
      <c r="ESX117" s="145"/>
      <c r="ESY117" s="145"/>
      <c r="ESZ117" s="145"/>
      <c r="ETA117" s="145"/>
      <c r="ETB117" s="145"/>
      <c r="ETE117" s="144"/>
      <c r="ETF117" s="144"/>
      <c r="ETG117" s="144"/>
      <c r="ETH117" s="144"/>
      <c r="ETI117" s="144"/>
      <c r="ETJ117" s="144"/>
      <c r="ETK117" s="144"/>
      <c r="ETL117" s="144"/>
      <c r="ETM117" s="145"/>
      <c r="ETN117" s="145"/>
      <c r="ETO117" s="145"/>
      <c r="ETP117" s="145"/>
      <c r="ETQ117" s="145"/>
      <c r="ETR117" s="145"/>
      <c r="ETU117" s="144"/>
      <c r="ETV117" s="144"/>
      <c r="ETW117" s="144"/>
      <c r="ETX117" s="144"/>
      <c r="ETY117" s="144"/>
      <c r="ETZ117" s="144"/>
      <c r="EUA117" s="144"/>
      <c r="EUB117" s="144"/>
      <c r="EUC117" s="145"/>
      <c r="EUD117" s="145"/>
      <c r="EUE117" s="145"/>
      <c r="EUF117" s="145"/>
      <c r="EUG117" s="145"/>
      <c r="EUH117" s="145"/>
      <c r="EUK117" s="144"/>
      <c r="EUL117" s="144"/>
      <c r="EUM117" s="144"/>
      <c r="EUN117" s="144"/>
      <c r="EUO117" s="144"/>
      <c r="EUP117" s="144"/>
      <c r="EUQ117" s="144"/>
      <c r="EUR117" s="144"/>
      <c r="EUS117" s="145"/>
      <c r="EUT117" s="145"/>
      <c r="EUU117" s="145"/>
      <c r="EUV117" s="145"/>
      <c r="EUW117" s="145"/>
      <c r="EUX117" s="145"/>
      <c r="EVA117" s="144"/>
      <c r="EVB117" s="144"/>
      <c r="EVC117" s="144"/>
      <c r="EVD117" s="144"/>
      <c r="EVE117" s="144"/>
      <c r="EVF117" s="144"/>
      <c r="EVG117" s="144"/>
      <c r="EVH117" s="144"/>
      <c r="EVI117" s="145"/>
      <c r="EVJ117" s="145"/>
      <c r="EVK117" s="145"/>
      <c r="EVL117" s="145"/>
      <c r="EVM117" s="145"/>
      <c r="EVN117" s="145"/>
      <c r="EVQ117" s="144"/>
      <c r="EVR117" s="144"/>
      <c r="EVS117" s="144"/>
      <c r="EVT117" s="144"/>
      <c r="EVU117" s="144"/>
      <c r="EVV117" s="144"/>
      <c r="EVW117" s="144"/>
      <c r="EVX117" s="144"/>
      <c r="EVY117" s="145"/>
      <c r="EVZ117" s="145"/>
      <c r="EWA117" s="145"/>
      <c r="EWB117" s="145"/>
      <c r="EWC117" s="145"/>
      <c r="EWD117" s="145"/>
      <c r="EWG117" s="144"/>
      <c r="EWH117" s="144"/>
      <c r="EWI117" s="144"/>
      <c r="EWJ117" s="144"/>
      <c r="EWK117" s="144"/>
      <c r="EWL117" s="144"/>
      <c r="EWM117" s="144"/>
      <c r="EWN117" s="144"/>
      <c r="EWO117" s="145"/>
      <c r="EWP117" s="145"/>
      <c r="EWQ117" s="145"/>
      <c r="EWR117" s="145"/>
      <c r="EWS117" s="145"/>
      <c r="EWT117" s="145"/>
      <c r="EWW117" s="144"/>
      <c r="EWX117" s="144"/>
      <c r="EWY117" s="144"/>
      <c r="EWZ117" s="144"/>
      <c r="EXA117" s="144"/>
      <c r="EXB117" s="144"/>
      <c r="EXC117" s="144"/>
      <c r="EXD117" s="144"/>
      <c r="EXE117" s="145"/>
      <c r="EXF117" s="145"/>
      <c r="EXG117" s="145"/>
      <c r="EXH117" s="145"/>
      <c r="EXI117" s="145"/>
      <c r="EXJ117" s="145"/>
      <c r="EXM117" s="144"/>
      <c r="EXN117" s="144"/>
      <c r="EXO117" s="144"/>
      <c r="EXP117" s="144"/>
      <c r="EXQ117" s="144"/>
      <c r="EXR117" s="144"/>
      <c r="EXS117" s="144"/>
      <c r="EXT117" s="144"/>
      <c r="EXU117" s="145"/>
      <c r="EXV117" s="145"/>
      <c r="EXW117" s="145"/>
      <c r="EXX117" s="145"/>
      <c r="EXY117" s="145"/>
      <c r="EXZ117" s="145"/>
      <c r="EYC117" s="144"/>
      <c r="EYD117" s="144"/>
      <c r="EYE117" s="144"/>
      <c r="EYF117" s="144"/>
      <c r="EYG117" s="144"/>
      <c r="EYH117" s="144"/>
      <c r="EYI117" s="144"/>
      <c r="EYJ117" s="144"/>
      <c r="EYK117" s="145"/>
      <c r="EYL117" s="145"/>
      <c r="EYM117" s="145"/>
      <c r="EYN117" s="145"/>
      <c r="EYO117" s="145"/>
      <c r="EYP117" s="145"/>
      <c r="EYS117" s="144"/>
      <c r="EYT117" s="144"/>
      <c r="EYU117" s="144"/>
      <c r="EYV117" s="144"/>
      <c r="EYW117" s="144"/>
      <c r="EYX117" s="144"/>
      <c r="EYY117" s="144"/>
      <c r="EYZ117" s="144"/>
      <c r="EZA117" s="145"/>
      <c r="EZB117" s="145"/>
      <c r="EZC117" s="145"/>
      <c r="EZD117" s="145"/>
      <c r="EZE117" s="145"/>
      <c r="EZF117" s="145"/>
      <c r="EZI117" s="144"/>
      <c r="EZJ117" s="144"/>
      <c r="EZK117" s="144"/>
      <c r="EZL117" s="144"/>
      <c r="EZM117" s="144"/>
      <c r="EZN117" s="144"/>
      <c r="EZO117" s="144"/>
      <c r="EZP117" s="144"/>
      <c r="EZQ117" s="145"/>
      <c r="EZR117" s="145"/>
      <c r="EZS117" s="145"/>
      <c r="EZT117" s="145"/>
      <c r="EZU117" s="145"/>
      <c r="EZV117" s="145"/>
      <c r="EZY117" s="144"/>
      <c r="EZZ117" s="144"/>
      <c r="FAA117" s="144"/>
      <c r="FAB117" s="144"/>
      <c r="FAC117" s="144"/>
      <c r="FAD117" s="144"/>
      <c r="FAE117" s="144"/>
      <c r="FAF117" s="144"/>
      <c r="FAG117" s="145"/>
      <c r="FAH117" s="145"/>
      <c r="FAI117" s="145"/>
      <c r="FAJ117" s="145"/>
      <c r="FAK117" s="145"/>
      <c r="FAL117" s="145"/>
      <c r="FAO117" s="144"/>
      <c r="FAP117" s="144"/>
      <c r="FAQ117" s="144"/>
      <c r="FAR117" s="144"/>
      <c r="FAS117" s="144"/>
      <c r="FAT117" s="144"/>
      <c r="FAU117" s="144"/>
      <c r="FAV117" s="144"/>
      <c r="FAW117" s="145"/>
      <c r="FAX117" s="145"/>
      <c r="FAY117" s="145"/>
      <c r="FAZ117" s="145"/>
      <c r="FBA117" s="145"/>
      <c r="FBB117" s="145"/>
      <c r="FBE117" s="144"/>
      <c r="FBF117" s="144"/>
      <c r="FBG117" s="144"/>
      <c r="FBH117" s="144"/>
      <c r="FBI117" s="144"/>
      <c r="FBJ117" s="144"/>
      <c r="FBK117" s="144"/>
      <c r="FBL117" s="144"/>
      <c r="FBM117" s="145"/>
      <c r="FBN117" s="145"/>
      <c r="FBO117" s="145"/>
      <c r="FBP117" s="145"/>
      <c r="FBQ117" s="145"/>
      <c r="FBR117" s="145"/>
      <c r="FBU117" s="144"/>
      <c r="FBV117" s="144"/>
      <c r="FBW117" s="144"/>
      <c r="FBX117" s="144"/>
      <c r="FBY117" s="144"/>
      <c r="FBZ117" s="144"/>
      <c r="FCA117" s="144"/>
      <c r="FCB117" s="144"/>
      <c r="FCC117" s="145"/>
      <c r="FCD117" s="145"/>
      <c r="FCE117" s="145"/>
      <c r="FCF117" s="145"/>
      <c r="FCG117" s="145"/>
      <c r="FCH117" s="145"/>
      <c r="FCK117" s="144"/>
      <c r="FCL117" s="144"/>
      <c r="FCM117" s="144"/>
      <c r="FCN117" s="144"/>
      <c r="FCO117" s="144"/>
      <c r="FCP117" s="144"/>
      <c r="FCQ117" s="144"/>
      <c r="FCR117" s="144"/>
      <c r="FCS117" s="145"/>
      <c r="FCT117" s="145"/>
      <c r="FCU117" s="145"/>
      <c r="FCV117" s="145"/>
      <c r="FCW117" s="145"/>
      <c r="FCX117" s="145"/>
      <c r="FDA117" s="144"/>
      <c r="FDB117" s="144"/>
      <c r="FDC117" s="144"/>
      <c r="FDD117" s="144"/>
      <c r="FDE117" s="144"/>
      <c r="FDF117" s="144"/>
      <c r="FDG117" s="144"/>
      <c r="FDH117" s="144"/>
      <c r="FDI117" s="145"/>
      <c r="FDJ117" s="145"/>
      <c r="FDK117" s="145"/>
      <c r="FDL117" s="145"/>
      <c r="FDM117" s="145"/>
      <c r="FDN117" s="145"/>
      <c r="FDQ117" s="144"/>
      <c r="FDR117" s="144"/>
      <c r="FDS117" s="144"/>
      <c r="FDT117" s="144"/>
      <c r="FDU117" s="144"/>
      <c r="FDV117" s="144"/>
      <c r="FDW117" s="144"/>
      <c r="FDX117" s="144"/>
      <c r="FDY117" s="145"/>
      <c r="FDZ117" s="145"/>
      <c r="FEA117" s="145"/>
      <c r="FEB117" s="145"/>
      <c r="FEC117" s="145"/>
      <c r="FED117" s="145"/>
      <c r="FEG117" s="144"/>
      <c r="FEH117" s="144"/>
      <c r="FEI117" s="144"/>
      <c r="FEJ117" s="144"/>
      <c r="FEK117" s="144"/>
      <c r="FEL117" s="144"/>
      <c r="FEM117" s="144"/>
      <c r="FEN117" s="144"/>
      <c r="FEO117" s="145"/>
      <c r="FEP117" s="145"/>
      <c r="FEQ117" s="145"/>
      <c r="FER117" s="145"/>
      <c r="FES117" s="145"/>
      <c r="FET117" s="145"/>
      <c r="FEW117" s="144"/>
      <c r="FEX117" s="144"/>
      <c r="FEY117" s="144"/>
      <c r="FEZ117" s="144"/>
      <c r="FFA117" s="144"/>
      <c r="FFB117" s="144"/>
      <c r="FFC117" s="144"/>
      <c r="FFD117" s="144"/>
      <c r="FFE117" s="145"/>
      <c r="FFF117" s="145"/>
      <c r="FFG117" s="145"/>
      <c r="FFH117" s="145"/>
      <c r="FFI117" s="145"/>
      <c r="FFJ117" s="145"/>
      <c r="FFM117" s="144"/>
      <c r="FFN117" s="144"/>
      <c r="FFO117" s="144"/>
      <c r="FFP117" s="144"/>
      <c r="FFQ117" s="144"/>
      <c r="FFR117" s="144"/>
      <c r="FFS117" s="144"/>
      <c r="FFT117" s="144"/>
      <c r="FFU117" s="145"/>
      <c r="FFV117" s="145"/>
      <c r="FFW117" s="145"/>
      <c r="FFX117" s="145"/>
      <c r="FFY117" s="145"/>
      <c r="FFZ117" s="145"/>
      <c r="FGC117" s="144"/>
      <c r="FGD117" s="144"/>
      <c r="FGE117" s="144"/>
      <c r="FGF117" s="144"/>
      <c r="FGG117" s="144"/>
      <c r="FGH117" s="144"/>
      <c r="FGI117" s="144"/>
      <c r="FGJ117" s="144"/>
      <c r="FGK117" s="145"/>
      <c r="FGL117" s="145"/>
      <c r="FGM117" s="145"/>
      <c r="FGN117" s="145"/>
      <c r="FGO117" s="145"/>
      <c r="FGP117" s="145"/>
      <c r="FGS117" s="144"/>
      <c r="FGT117" s="144"/>
      <c r="FGU117" s="144"/>
      <c r="FGV117" s="144"/>
      <c r="FGW117" s="144"/>
      <c r="FGX117" s="144"/>
      <c r="FGY117" s="144"/>
      <c r="FGZ117" s="144"/>
      <c r="FHA117" s="145"/>
      <c r="FHB117" s="145"/>
      <c r="FHC117" s="145"/>
      <c r="FHD117" s="145"/>
      <c r="FHE117" s="145"/>
      <c r="FHF117" s="145"/>
      <c r="FHI117" s="144"/>
      <c r="FHJ117" s="144"/>
      <c r="FHK117" s="144"/>
      <c r="FHL117" s="144"/>
      <c r="FHM117" s="144"/>
      <c r="FHN117" s="144"/>
      <c r="FHO117" s="144"/>
      <c r="FHP117" s="144"/>
      <c r="FHQ117" s="145"/>
      <c r="FHR117" s="145"/>
      <c r="FHS117" s="145"/>
      <c r="FHT117" s="145"/>
      <c r="FHU117" s="145"/>
      <c r="FHV117" s="145"/>
      <c r="FHY117" s="144"/>
      <c r="FHZ117" s="144"/>
      <c r="FIA117" s="144"/>
      <c r="FIB117" s="144"/>
      <c r="FIC117" s="144"/>
      <c r="FID117" s="144"/>
      <c r="FIE117" s="144"/>
      <c r="FIF117" s="144"/>
      <c r="FIG117" s="145"/>
      <c r="FIH117" s="145"/>
      <c r="FII117" s="145"/>
      <c r="FIJ117" s="145"/>
      <c r="FIK117" s="145"/>
      <c r="FIL117" s="145"/>
      <c r="FIO117" s="144"/>
      <c r="FIP117" s="144"/>
      <c r="FIQ117" s="144"/>
      <c r="FIR117" s="144"/>
      <c r="FIS117" s="144"/>
      <c r="FIT117" s="144"/>
      <c r="FIU117" s="144"/>
      <c r="FIV117" s="144"/>
      <c r="FIW117" s="145"/>
      <c r="FIX117" s="145"/>
      <c r="FIY117" s="145"/>
      <c r="FIZ117" s="145"/>
      <c r="FJA117" s="145"/>
      <c r="FJB117" s="145"/>
      <c r="FJE117" s="144"/>
      <c r="FJF117" s="144"/>
      <c r="FJG117" s="144"/>
      <c r="FJH117" s="144"/>
      <c r="FJI117" s="144"/>
      <c r="FJJ117" s="144"/>
      <c r="FJK117" s="144"/>
      <c r="FJL117" s="144"/>
      <c r="FJM117" s="145"/>
      <c r="FJN117" s="145"/>
      <c r="FJO117" s="145"/>
      <c r="FJP117" s="145"/>
      <c r="FJQ117" s="145"/>
      <c r="FJR117" s="145"/>
      <c r="FJU117" s="144"/>
      <c r="FJV117" s="144"/>
      <c r="FJW117" s="144"/>
      <c r="FJX117" s="144"/>
      <c r="FJY117" s="144"/>
      <c r="FJZ117" s="144"/>
      <c r="FKA117" s="144"/>
      <c r="FKB117" s="144"/>
      <c r="FKC117" s="145"/>
      <c r="FKD117" s="145"/>
      <c r="FKE117" s="145"/>
      <c r="FKF117" s="145"/>
      <c r="FKG117" s="145"/>
      <c r="FKH117" s="145"/>
      <c r="FKK117" s="144"/>
      <c r="FKL117" s="144"/>
      <c r="FKM117" s="144"/>
      <c r="FKN117" s="144"/>
      <c r="FKO117" s="144"/>
      <c r="FKP117" s="144"/>
      <c r="FKQ117" s="144"/>
      <c r="FKR117" s="144"/>
      <c r="FKS117" s="145"/>
      <c r="FKT117" s="145"/>
      <c r="FKU117" s="145"/>
      <c r="FKV117" s="145"/>
      <c r="FKW117" s="145"/>
      <c r="FKX117" s="145"/>
      <c r="FLA117" s="144"/>
      <c r="FLB117" s="144"/>
      <c r="FLC117" s="144"/>
      <c r="FLD117" s="144"/>
      <c r="FLE117" s="144"/>
      <c r="FLF117" s="144"/>
      <c r="FLG117" s="144"/>
      <c r="FLH117" s="144"/>
      <c r="FLI117" s="145"/>
      <c r="FLJ117" s="145"/>
      <c r="FLK117" s="145"/>
      <c r="FLL117" s="145"/>
      <c r="FLM117" s="145"/>
      <c r="FLN117" s="145"/>
      <c r="FLQ117" s="144"/>
      <c r="FLR117" s="144"/>
      <c r="FLS117" s="144"/>
      <c r="FLT117" s="144"/>
      <c r="FLU117" s="144"/>
      <c r="FLV117" s="144"/>
      <c r="FLW117" s="144"/>
      <c r="FLX117" s="144"/>
      <c r="FLY117" s="145"/>
      <c r="FLZ117" s="145"/>
      <c r="FMA117" s="145"/>
      <c r="FMB117" s="145"/>
      <c r="FMC117" s="145"/>
      <c r="FMD117" s="145"/>
      <c r="FMG117" s="144"/>
      <c r="FMH117" s="144"/>
      <c r="FMI117" s="144"/>
      <c r="FMJ117" s="144"/>
      <c r="FMK117" s="144"/>
      <c r="FML117" s="144"/>
      <c r="FMM117" s="144"/>
      <c r="FMN117" s="144"/>
      <c r="FMO117" s="145"/>
      <c r="FMP117" s="145"/>
      <c r="FMQ117" s="145"/>
      <c r="FMR117" s="145"/>
      <c r="FMS117" s="145"/>
      <c r="FMT117" s="145"/>
      <c r="FMW117" s="144"/>
      <c r="FMX117" s="144"/>
      <c r="FMY117" s="144"/>
      <c r="FMZ117" s="144"/>
      <c r="FNA117" s="144"/>
      <c r="FNB117" s="144"/>
      <c r="FNC117" s="144"/>
      <c r="FND117" s="144"/>
      <c r="FNE117" s="145"/>
      <c r="FNF117" s="145"/>
      <c r="FNG117" s="145"/>
      <c r="FNH117" s="145"/>
      <c r="FNI117" s="145"/>
      <c r="FNJ117" s="145"/>
      <c r="FNM117" s="144"/>
      <c r="FNN117" s="144"/>
      <c r="FNO117" s="144"/>
      <c r="FNP117" s="144"/>
      <c r="FNQ117" s="144"/>
      <c r="FNR117" s="144"/>
      <c r="FNS117" s="144"/>
      <c r="FNT117" s="144"/>
      <c r="FNU117" s="145"/>
      <c r="FNV117" s="145"/>
      <c r="FNW117" s="145"/>
      <c r="FNX117" s="145"/>
      <c r="FNY117" s="145"/>
      <c r="FNZ117" s="145"/>
      <c r="FOC117" s="144"/>
      <c r="FOD117" s="144"/>
      <c r="FOE117" s="144"/>
      <c r="FOF117" s="144"/>
      <c r="FOG117" s="144"/>
      <c r="FOH117" s="144"/>
      <c r="FOI117" s="144"/>
      <c r="FOJ117" s="144"/>
      <c r="FOK117" s="145"/>
      <c r="FOL117" s="145"/>
      <c r="FOM117" s="145"/>
      <c r="FON117" s="145"/>
      <c r="FOO117" s="145"/>
      <c r="FOP117" s="145"/>
      <c r="FOS117" s="144"/>
      <c r="FOT117" s="144"/>
      <c r="FOU117" s="144"/>
      <c r="FOV117" s="144"/>
      <c r="FOW117" s="144"/>
      <c r="FOX117" s="144"/>
      <c r="FOY117" s="144"/>
      <c r="FOZ117" s="144"/>
      <c r="FPA117" s="145"/>
      <c r="FPB117" s="145"/>
      <c r="FPC117" s="145"/>
      <c r="FPD117" s="145"/>
      <c r="FPE117" s="145"/>
      <c r="FPF117" s="145"/>
      <c r="FPI117" s="144"/>
      <c r="FPJ117" s="144"/>
      <c r="FPK117" s="144"/>
      <c r="FPL117" s="144"/>
      <c r="FPM117" s="144"/>
      <c r="FPN117" s="144"/>
      <c r="FPO117" s="144"/>
      <c r="FPP117" s="144"/>
      <c r="FPQ117" s="145"/>
      <c r="FPR117" s="145"/>
      <c r="FPS117" s="145"/>
      <c r="FPT117" s="145"/>
      <c r="FPU117" s="145"/>
      <c r="FPV117" s="145"/>
      <c r="FPY117" s="144"/>
      <c r="FPZ117" s="144"/>
      <c r="FQA117" s="144"/>
      <c r="FQB117" s="144"/>
      <c r="FQC117" s="144"/>
      <c r="FQD117" s="144"/>
      <c r="FQE117" s="144"/>
      <c r="FQF117" s="144"/>
      <c r="FQG117" s="145"/>
      <c r="FQH117" s="145"/>
      <c r="FQI117" s="145"/>
      <c r="FQJ117" s="145"/>
      <c r="FQK117" s="145"/>
      <c r="FQL117" s="145"/>
      <c r="FQO117" s="144"/>
      <c r="FQP117" s="144"/>
      <c r="FQQ117" s="144"/>
      <c r="FQR117" s="144"/>
      <c r="FQS117" s="144"/>
      <c r="FQT117" s="144"/>
      <c r="FQU117" s="144"/>
      <c r="FQV117" s="144"/>
      <c r="FQW117" s="145"/>
      <c r="FQX117" s="145"/>
      <c r="FQY117" s="145"/>
      <c r="FQZ117" s="145"/>
      <c r="FRA117" s="145"/>
      <c r="FRB117" s="145"/>
      <c r="FRE117" s="144"/>
      <c r="FRF117" s="144"/>
      <c r="FRG117" s="144"/>
      <c r="FRH117" s="144"/>
      <c r="FRI117" s="144"/>
      <c r="FRJ117" s="144"/>
      <c r="FRK117" s="144"/>
      <c r="FRL117" s="144"/>
      <c r="FRM117" s="145"/>
      <c r="FRN117" s="145"/>
      <c r="FRO117" s="145"/>
      <c r="FRP117" s="145"/>
      <c r="FRQ117" s="145"/>
      <c r="FRR117" s="145"/>
      <c r="FRU117" s="144"/>
      <c r="FRV117" s="144"/>
      <c r="FRW117" s="144"/>
      <c r="FRX117" s="144"/>
      <c r="FRY117" s="144"/>
      <c r="FRZ117" s="144"/>
      <c r="FSA117" s="144"/>
      <c r="FSB117" s="144"/>
      <c r="FSC117" s="145"/>
      <c r="FSD117" s="145"/>
      <c r="FSE117" s="145"/>
      <c r="FSF117" s="145"/>
      <c r="FSG117" s="145"/>
      <c r="FSH117" s="145"/>
      <c r="FSK117" s="144"/>
      <c r="FSL117" s="144"/>
      <c r="FSM117" s="144"/>
      <c r="FSN117" s="144"/>
      <c r="FSO117" s="144"/>
      <c r="FSP117" s="144"/>
      <c r="FSQ117" s="144"/>
      <c r="FSR117" s="144"/>
      <c r="FSS117" s="145"/>
      <c r="FST117" s="145"/>
      <c r="FSU117" s="145"/>
      <c r="FSV117" s="145"/>
      <c r="FSW117" s="145"/>
      <c r="FSX117" s="145"/>
      <c r="FTA117" s="144"/>
      <c r="FTB117" s="144"/>
      <c r="FTC117" s="144"/>
      <c r="FTD117" s="144"/>
      <c r="FTE117" s="144"/>
      <c r="FTF117" s="144"/>
      <c r="FTG117" s="144"/>
      <c r="FTH117" s="144"/>
      <c r="FTI117" s="145"/>
      <c r="FTJ117" s="145"/>
      <c r="FTK117" s="145"/>
      <c r="FTL117" s="145"/>
      <c r="FTM117" s="145"/>
      <c r="FTN117" s="145"/>
      <c r="FTQ117" s="144"/>
      <c r="FTR117" s="144"/>
      <c r="FTS117" s="144"/>
      <c r="FTT117" s="144"/>
      <c r="FTU117" s="144"/>
      <c r="FTV117" s="144"/>
      <c r="FTW117" s="144"/>
      <c r="FTX117" s="144"/>
      <c r="FTY117" s="145"/>
      <c r="FTZ117" s="145"/>
      <c r="FUA117" s="145"/>
      <c r="FUB117" s="145"/>
      <c r="FUC117" s="145"/>
      <c r="FUD117" s="145"/>
      <c r="FUG117" s="144"/>
      <c r="FUH117" s="144"/>
      <c r="FUI117" s="144"/>
      <c r="FUJ117" s="144"/>
      <c r="FUK117" s="144"/>
      <c r="FUL117" s="144"/>
      <c r="FUM117" s="144"/>
      <c r="FUN117" s="144"/>
      <c r="FUO117" s="145"/>
      <c r="FUP117" s="145"/>
      <c r="FUQ117" s="145"/>
      <c r="FUR117" s="145"/>
      <c r="FUS117" s="145"/>
      <c r="FUT117" s="145"/>
      <c r="FUW117" s="144"/>
      <c r="FUX117" s="144"/>
      <c r="FUY117" s="144"/>
      <c r="FUZ117" s="144"/>
      <c r="FVA117" s="144"/>
      <c r="FVB117" s="144"/>
      <c r="FVC117" s="144"/>
      <c r="FVD117" s="144"/>
      <c r="FVE117" s="145"/>
      <c r="FVF117" s="145"/>
      <c r="FVG117" s="145"/>
      <c r="FVH117" s="145"/>
      <c r="FVI117" s="145"/>
      <c r="FVJ117" s="145"/>
      <c r="FVM117" s="144"/>
      <c r="FVN117" s="144"/>
      <c r="FVO117" s="144"/>
      <c r="FVP117" s="144"/>
      <c r="FVQ117" s="144"/>
      <c r="FVR117" s="144"/>
      <c r="FVS117" s="144"/>
      <c r="FVT117" s="144"/>
      <c r="FVU117" s="145"/>
      <c r="FVV117" s="145"/>
      <c r="FVW117" s="145"/>
      <c r="FVX117" s="145"/>
      <c r="FVY117" s="145"/>
      <c r="FVZ117" s="145"/>
      <c r="FWC117" s="144"/>
      <c r="FWD117" s="144"/>
      <c r="FWE117" s="144"/>
      <c r="FWF117" s="144"/>
      <c r="FWG117" s="144"/>
      <c r="FWH117" s="144"/>
      <c r="FWI117" s="144"/>
      <c r="FWJ117" s="144"/>
      <c r="FWK117" s="145"/>
      <c r="FWL117" s="145"/>
      <c r="FWM117" s="145"/>
      <c r="FWN117" s="145"/>
      <c r="FWO117" s="145"/>
      <c r="FWP117" s="145"/>
      <c r="FWS117" s="144"/>
      <c r="FWT117" s="144"/>
      <c r="FWU117" s="144"/>
      <c r="FWV117" s="144"/>
      <c r="FWW117" s="144"/>
      <c r="FWX117" s="144"/>
      <c r="FWY117" s="144"/>
      <c r="FWZ117" s="144"/>
      <c r="FXA117" s="145"/>
      <c r="FXB117" s="145"/>
      <c r="FXC117" s="145"/>
      <c r="FXD117" s="145"/>
      <c r="FXE117" s="145"/>
      <c r="FXF117" s="145"/>
      <c r="FXI117" s="144"/>
      <c r="FXJ117" s="144"/>
      <c r="FXK117" s="144"/>
      <c r="FXL117" s="144"/>
      <c r="FXM117" s="144"/>
      <c r="FXN117" s="144"/>
      <c r="FXO117" s="144"/>
      <c r="FXP117" s="144"/>
      <c r="FXQ117" s="145"/>
      <c r="FXR117" s="145"/>
      <c r="FXS117" s="145"/>
      <c r="FXT117" s="145"/>
      <c r="FXU117" s="145"/>
      <c r="FXV117" s="145"/>
      <c r="FXY117" s="144"/>
      <c r="FXZ117" s="144"/>
      <c r="FYA117" s="144"/>
      <c r="FYB117" s="144"/>
      <c r="FYC117" s="144"/>
      <c r="FYD117" s="144"/>
      <c r="FYE117" s="144"/>
      <c r="FYF117" s="144"/>
      <c r="FYG117" s="145"/>
      <c r="FYH117" s="145"/>
      <c r="FYI117" s="145"/>
      <c r="FYJ117" s="145"/>
      <c r="FYK117" s="145"/>
      <c r="FYL117" s="145"/>
      <c r="FYO117" s="144"/>
      <c r="FYP117" s="144"/>
      <c r="FYQ117" s="144"/>
      <c r="FYR117" s="144"/>
      <c r="FYS117" s="144"/>
      <c r="FYT117" s="144"/>
      <c r="FYU117" s="144"/>
      <c r="FYV117" s="144"/>
      <c r="FYW117" s="145"/>
      <c r="FYX117" s="145"/>
      <c r="FYY117" s="145"/>
      <c r="FYZ117" s="145"/>
      <c r="FZA117" s="145"/>
      <c r="FZB117" s="145"/>
      <c r="FZE117" s="144"/>
      <c r="FZF117" s="144"/>
      <c r="FZG117" s="144"/>
      <c r="FZH117" s="144"/>
      <c r="FZI117" s="144"/>
      <c r="FZJ117" s="144"/>
      <c r="FZK117" s="144"/>
      <c r="FZL117" s="144"/>
      <c r="FZM117" s="145"/>
      <c r="FZN117" s="145"/>
      <c r="FZO117" s="145"/>
      <c r="FZP117" s="145"/>
      <c r="FZQ117" s="145"/>
      <c r="FZR117" s="145"/>
      <c r="FZU117" s="144"/>
      <c r="FZV117" s="144"/>
      <c r="FZW117" s="144"/>
      <c r="FZX117" s="144"/>
      <c r="FZY117" s="144"/>
      <c r="FZZ117" s="144"/>
      <c r="GAA117" s="144"/>
      <c r="GAB117" s="144"/>
      <c r="GAC117" s="145"/>
      <c r="GAD117" s="145"/>
      <c r="GAE117" s="145"/>
      <c r="GAF117" s="145"/>
      <c r="GAG117" s="145"/>
      <c r="GAH117" s="145"/>
      <c r="GAK117" s="144"/>
      <c r="GAL117" s="144"/>
      <c r="GAM117" s="144"/>
      <c r="GAN117" s="144"/>
      <c r="GAO117" s="144"/>
      <c r="GAP117" s="144"/>
      <c r="GAQ117" s="144"/>
      <c r="GAR117" s="144"/>
      <c r="GAS117" s="145"/>
      <c r="GAT117" s="145"/>
      <c r="GAU117" s="145"/>
      <c r="GAV117" s="145"/>
      <c r="GAW117" s="145"/>
      <c r="GAX117" s="145"/>
      <c r="GBA117" s="144"/>
      <c r="GBB117" s="144"/>
      <c r="GBC117" s="144"/>
      <c r="GBD117" s="144"/>
      <c r="GBE117" s="144"/>
      <c r="GBF117" s="144"/>
      <c r="GBG117" s="144"/>
      <c r="GBH117" s="144"/>
      <c r="GBI117" s="145"/>
      <c r="GBJ117" s="145"/>
      <c r="GBK117" s="145"/>
      <c r="GBL117" s="145"/>
      <c r="GBM117" s="145"/>
      <c r="GBN117" s="145"/>
      <c r="GBQ117" s="144"/>
      <c r="GBR117" s="144"/>
      <c r="GBS117" s="144"/>
      <c r="GBT117" s="144"/>
      <c r="GBU117" s="144"/>
      <c r="GBV117" s="144"/>
      <c r="GBW117" s="144"/>
      <c r="GBX117" s="144"/>
      <c r="GBY117" s="145"/>
      <c r="GBZ117" s="145"/>
      <c r="GCA117" s="145"/>
      <c r="GCB117" s="145"/>
      <c r="GCC117" s="145"/>
      <c r="GCD117" s="145"/>
      <c r="GCG117" s="144"/>
      <c r="GCH117" s="144"/>
      <c r="GCI117" s="144"/>
      <c r="GCJ117" s="144"/>
      <c r="GCK117" s="144"/>
      <c r="GCL117" s="144"/>
      <c r="GCM117" s="144"/>
      <c r="GCN117" s="144"/>
      <c r="GCO117" s="145"/>
      <c r="GCP117" s="145"/>
      <c r="GCQ117" s="145"/>
      <c r="GCR117" s="145"/>
      <c r="GCS117" s="145"/>
      <c r="GCT117" s="145"/>
      <c r="GCW117" s="144"/>
      <c r="GCX117" s="144"/>
      <c r="GCY117" s="144"/>
      <c r="GCZ117" s="144"/>
      <c r="GDA117" s="144"/>
      <c r="GDB117" s="144"/>
      <c r="GDC117" s="144"/>
      <c r="GDD117" s="144"/>
      <c r="GDE117" s="145"/>
      <c r="GDF117" s="145"/>
      <c r="GDG117" s="145"/>
      <c r="GDH117" s="145"/>
      <c r="GDI117" s="145"/>
      <c r="GDJ117" s="145"/>
      <c r="GDM117" s="144"/>
      <c r="GDN117" s="144"/>
      <c r="GDO117" s="144"/>
      <c r="GDP117" s="144"/>
      <c r="GDQ117" s="144"/>
      <c r="GDR117" s="144"/>
      <c r="GDS117" s="144"/>
      <c r="GDT117" s="144"/>
      <c r="GDU117" s="145"/>
      <c r="GDV117" s="145"/>
      <c r="GDW117" s="145"/>
      <c r="GDX117" s="145"/>
      <c r="GDY117" s="145"/>
      <c r="GDZ117" s="145"/>
      <c r="GEC117" s="144"/>
      <c r="GED117" s="144"/>
      <c r="GEE117" s="144"/>
      <c r="GEF117" s="144"/>
      <c r="GEG117" s="144"/>
      <c r="GEH117" s="144"/>
      <c r="GEI117" s="144"/>
      <c r="GEJ117" s="144"/>
      <c r="GEK117" s="145"/>
      <c r="GEL117" s="145"/>
      <c r="GEM117" s="145"/>
      <c r="GEN117" s="145"/>
      <c r="GEO117" s="145"/>
      <c r="GEP117" s="145"/>
      <c r="GES117" s="144"/>
      <c r="GET117" s="144"/>
      <c r="GEU117" s="144"/>
      <c r="GEV117" s="144"/>
      <c r="GEW117" s="144"/>
      <c r="GEX117" s="144"/>
      <c r="GEY117" s="144"/>
      <c r="GEZ117" s="144"/>
      <c r="GFA117" s="145"/>
      <c r="GFB117" s="145"/>
      <c r="GFC117" s="145"/>
      <c r="GFD117" s="145"/>
      <c r="GFE117" s="145"/>
      <c r="GFF117" s="145"/>
      <c r="GFI117" s="144"/>
      <c r="GFJ117" s="144"/>
      <c r="GFK117" s="144"/>
      <c r="GFL117" s="144"/>
      <c r="GFM117" s="144"/>
      <c r="GFN117" s="144"/>
      <c r="GFO117" s="144"/>
      <c r="GFP117" s="144"/>
      <c r="GFQ117" s="145"/>
      <c r="GFR117" s="145"/>
      <c r="GFS117" s="145"/>
      <c r="GFT117" s="145"/>
      <c r="GFU117" s="145"/>
      <c r="GFV117" s="145"/>
      <c r="GFY117" s="144"/>
      <c r="GFZ117" s="144"/>
      <c r="GGA117" s="144"/>
      <c r="GGB117" s="144"/>
      <c r="GGC117" s="144"/>
      <c r="GGD117" s="144"/>
      <c r="GGE117" s="144"/>
      <c r="GGF117" s="144"/>
      <c r="GGG117" s="145"/>
      <c r="GGH117" s="145"/>
      <c r="GGI117" s="145"/>
      <c r="GGJ117" s="145"/>
      <c r="GGK117" s="145"/>
      <c r="GGL117" s="145"/>
      <c r="GGO117" s="144"/>
      <c r="GGP117" s="144"/>
      <c r="GGQ117" s="144"/>
      <c r="GGR117" s="144"/>
      <c r="GGS117" s="144"/>
      <c r="GGT117" s="144"/>
      <c r="GGU117" s="144"/>
      <c r="GGV117" s="144"/>
      <c r="GGW117" s="145"/>
      <c r="GGX117" s="145"/>
      <c r="GGY117" s="145"/>
      <c r="GGZ117" s="145"/>
      <c r="GHA117" s="145"/>
      <c r="GHB117" s="145"/>
      <c r="GHE117" s="144"/>
      <c r="GHF117" s="144"/>
      <c r="GHG117" s="144"/>
      <c r="GHH117" s="144"/>
      <c r="GHI117" s="144"/>
      <c r="GHJ117" s="144"/>
      <c r="GHK117" s="144"/>
      <c r="GHL117" s="144"/>
      <c r="GHM117" s="145"/>
      <c r="GHN117" s="145"/>
      <c r="GHO117" s="145"/>
      <c r="GHP117" s="145"/>
      <c r="GHQ117" s="145"/>
      <c r="GHR117" s="145"/>
      <c r="GHU117" s="144"/>
      <c r="GHV117" s="144"/>
      <c r="GHW117" s="144"/>
      <c r="GHX117" s="144"/>
      <c r="GHY117" s="144"/>
      <c r="GHZ117" s="144"/>
      <c r="GIA117" s="144"/>
      <c r="GIB117" s="144"/>
      <c r="GIC117" s="145"/>
      <c r="GID117" s="145"/>
      <c r="GIE117" s="145"/>
      <c r="GIF117" s="145"/>
      <c r="GIG117" s="145"/>
      <c r="GIH117" s="145"/>
      <c r="GIK117" s="144"/>
      <c r="GIL117" s="144"/>
      <c r="GIM117" s="144"/>
      <c r="GIN117" s="144"/>
      <c r="GIO117" s="144"/>
      <c r="GIP117" s="144"/>
      <c r="GIQ117" s="144"/>
      <c r="GIR117" s="144"/>
      <c r="GIS117" s="145"/>
      <c r="GIT117" s="145"/>
      <c r="GIU117" s="145"/>
      <c r="GIV117" s="145"/>
      <c r="GIW117" s="145"/>
      <c r="GIX117" s="145"/>
      <c r="GJA117" s="144"/>
      <c r="GJB117" s="144"/>
      <c r="GJC117" s="144"/>
      <c r="GJD117" s="144"/>
      <c r="GJE117" s="144"/>
      <c r="GJF117" s="144"/>
      <c r="GJG117" s="144"/>
      <c r="GJH117" s="144"/>
      <c r="GJI117" s="145"/>
      <c r="GJJ117" s="145"/>
      <c r="GJK117" s="145"/>
      <c r="GJL117" s="145"/>
      <c r="GJM117" s="145"/>
      <c r="GJN117" s="145"/>
      <c r="GJQ117" s="144"/>
      <c r="GJR117" s="144"/>
      <c r="GJS117" s="144"/>
      <c r="GJT117" s="144"/>
      <c r="GJU117" s="144"/>
      <c r="GJV117" s="144"/>
      <c r="GJW117" s="144"/>
      <c r="GJX117" s="144"/>
      <c r="GJY117" s="145"/>
      <c r="GJZ117" s="145"/>
      <c r="GKA117" s="145"/>
      <c r="GKB117" s="145"/>
      <c r="GKC117" s="145"/>
      <c r="GKD117" s="145"/>
      <c r="GKG117" s="144"/>
      <c r="GKH117" s="144"/>
      <c r="GKI117" s="144"/>
      <c r="GKJ117" s="144"/>
      <c r="GKK117" s="144"/>
      <c r="GKL117" s="144"/>
      <c r="GKM117" s="144"/>
      <c r="GKN117" s="144"/>
      <c r="GKO117" s="145"/>
      <c r="GKP117" s="145"/>
      <c r="GKQ117" s="145"/>
      <c r="GKR117" s="145"/>
      <c r="GKS117" s="145"/>
      <c r="GKT117" s="145"/>
      <c r="GKW117" s="144"/>
      <c r="GKX117" s="144"/>
      <c r="GKY117" s="144"/>
      <c r="GKZ117" s="144"/>
      <c r="GLA117" s="144"/>
      <c r="GLB117" s="144"/>
      <c r="GLC117" s="144"/>
      <c r="GLD117" s="144"/>
      <c r="GLE117" s="145"/>
      <c r="GLF117" s="145"/>
      <c r="GLG117" s="145"/>
      <c r="GLH117" s="145"/>
      <c r="GLI117" s="145"/>
      <c r="GLJ117" s="145"/>
      <c r="GLM117" s="144"/>
      <c r="GLN117" s="144"/>
      <c r="GLO117" s="144"/>
      <c r="GLP117" s="144"/>
      <c r="GLQ117" s="144"/>
      <c r="GLR117" s="144"/>
      <c r="GLS117" s="144"/>
      <c r="GLT117" s="144"/>
      <c r="GLU117" s="145"/>
      <c r="GLV117" s="145"/>
      <c r="GLW117" s="145"/>
      <c r="GLX117" s="145"/>
      <c r="GLY117" s="145"/>
      <c r="GLZ117" s="145"/>
      <c r="GMC117" s="144"/>
      <c r="GMD117" s="144"/>
      <c r="GME117" s="144"/>
      <c r="GMF117" s="144"/>
      <c r="GMG117" s="144"/>
      <c r="GMH117" s="144"/>
      <c r="GMI117" s="144"/>
      <c r="GMJ117" s="144"/>
      <c r="GMK117" s="145"/>
      <c r="GML117" s="145"/>
      <c r="GMM117" s="145"/>
      <c r="GMN117" s="145"/>
      <c r="GMO117" s="145"/>
      <c r="GMP117" s="145"/>
      <c r="GMS117" s="144"/>
      <c r="GMT117" s="144"/>
      <c r="GMU117" s="144"/>
      <c r="GMV117" s="144"/>
      <c r="GMW117" s="144"/>
      <c r="GMX117" s="144"/>
      <c r="GMY117" s="144"/>
      <c r="GMZ117" s="144"/>
      <c r="GNA117" s="145"/>
      <c r="GNB117" s="145"/>
      <c r="GNC117" s="145"/>
      <c r="GND117" s="145"/>
      <c r="GNE117" s="145"/>
      <c r="GNF117" s="145"/>
      <c r="GNI117" s="144"/>
      <c r="GNJ117" s="144"/>
      <c r="GNK117" s="144"/>
      <c r="GNL117" s="144"/>
      <c r="GNM117" s="144"/>
      <c r="GNN117" s="144"/>
      <c r="GNO117" s="144"/>
      <c r="GNP117" s="144"/>
      <c r="GNQ117" s="145"/>
      <c r="GNR117" s="145"/>
      <c r="GNS117" s="145"/>
      <c r="GNT117" s="145"/>
      <c r="GNU117" s="145"/>
      <c r="GNV117" s="145"/>
      <c r="GNY117" s="144"/>
      <c r="GNZ117" s="144"/>
      <c r="GOA117" s="144"/>
      <c r="GOB117" s="144"/>
      <c r="GOC117" s="144"/>
      <c r="GOD117" s="144"/>
      <c r="GOE117" s="144"/>
      <c r="GOF117" s="144"/>
      <c r="GOG117" s="145"/>
      <c r="GOH117" s="145"/>
      <c r="GOI117" s="145"/>
      <c r="GOJ117" s="145"/>
      <c r="GOK117" s="145"/>
      <c r="GOL117" s="145"/>
      <c r="GOO117" s="144"/>
      <c r="GOP117" s="144"/>
      <c r="GOQ117" s="144"/>
      <c r="GOR117" s="144"/>
      <c r="GOS117" s="144"/>
      <c r="GOT117" s="144"/>
      <c r="GOU117" s="144"/>
      <c r="GOV117" s="144"/>
      <c r="GOW117" s="145"/>
      <c r="GOX117" s="145"/>
      <c r="GOY117" s="145"/>
      <c r="GOZ117" s="145"/>
      <c r="GPA117" s="145"/>
      <c r="GPB117" s="145"/>
      <c r="GPE117" s="144"/>
      <c r="GPF117" s="144"/>
      <c r="GPG117" s="144"/>
      <c r="GPH117" s="144"/>
      <c r="GPI117" s="144"/>
      <c r="GPJ117" s="144"/>
      <c r="GPK117" s="144"/>
      <c r="GPL117" s="144"/>
      <c r="GPM117" s="145"/>
      <c r="GPN117" s="145"/>
      <c r="GPO117" s="145"/>
      <c r="GPP117" s="145"/>
      <c r="GPQ117" s="145"/>
      <c r="GPR117" s="145"/>
      <c r="GPU117" s="144"/>
      <c r="GPV117" s="144"/>
      <c r="GPW117" s="144"/>
      <c r="GPX117" s="144"/>
      <c r="GPY117" s="144"/>
      <c r="GPZ117" s="144"/>
      <c r="GQA117" s="144"/>
      <c r="GQB117" s="144"/>
      <c r="GQC117" s="145"/>
      <c r="GQD117" s="145"/>
      <c r="GQE117" s="145"/>
      <c r="GQF117" s="145"/>
      <c r="GQG117" s="145"/>
      <c r="GQH117" s="145"/>
      <c r="GQK117" s="144"/>
      <c r="GQL117" s="144"/>
      <c r="GQM117" s="144"/>
      <c r="GQN117" s="144"/>
      <c r="GQO117" s="144"/>
      <c r="GQP117" s="144"/>
      <c r="GQQ117" s="144"/>
      <c r="GQR117" s="144"/>
      <c r="GQS117" s="145"/>
      <c r="GQT117" s="145"/>
      <c r="GQU117" s="145"/>
      <c r="GQV117" s="145"/>
      <c r="GQW117" s="145"/>
      <c r="GQX117" s="145"/>
      <c r="GRA117" s="144"/>
      <c r="GRB117" s="144"/>
      <c r="GRC117" s="144"/>
      <c r="GRD117" s="144"/>
      <c r="GRE117" s="144"/>
      <c r="GRF117" s="144"/>
      <c r="GRG117" s="144"/>
      <c r="GRH117" s="144"/>
      <c r="GRI117" s="145"/>
      <c r="GRJ117" s="145"/>
      <c r="GRK117" s="145"/>
      <c r="GRL117" s="145"/>
      <c r="GRM117" s="145"/>
      <c r="GRN117" s="145"/>
      <c r="GRQ117" s="144"/>
      <c r="GRR117" s="144"/>
      <c r="GRS117" s="144"/>
      <c r="GRT117" s="144"/>
      <c r="GRU117" s="144"/>
      <c r="GRV117" s="144"/>
      <c r="GRW117" s="144"/>
      <c r="GRX117" s="144"/>
      <c r="GRY117" s="145"/>
      <c r="GRZ117" s="145"/>
      <c r="GSA117" s="145"/>
      <c r="GSB117" s="145"/>
      <c r="GSC117" s="145"/>
      <c r="GSD117" s="145"/>
      <c r="GSG117" s="144"/>
      <c r="GSH117" s="144"/>
      <c r="GSI117" s="144"/>
      <c r="GSJ117" s="144"/>
      <c r="GSK117" s="144"/>
      <c r="GSL117" s="144"/>
      <c r="GSM117" s="144"/>
      <c r="GSN117" s="144"/>
      <c r="GSO117" s="145"/>
      <c r="GSP117" s="145"/>
      <c r="GSQ117" s="145"/>
      <c r="GSR117" s="145"/>
      <c r="GSS117" s="145"/>
      <c r="GST117" s="145"/>
      <c r="GSW117" s="144"/>
      <c r="GSX117" s="144"/>
      <c r="GSY117" s="144"/>
      <c r="GSZ117" s="144"/>
      <c r="GTA117" s="144"/>
      <c r="GTB117" s="144"/>
      <c r="GTC117" s="144"/>
      <c r="GTD117" s="144"/>
      <c r="GTE117" s="145"/>
      <c r="GTF117" s="145"/>
      <c r="GTG117" s="145"/>
      <c r="GTH117" s="145"/>
      <c r="GTI117" s="145"/>
      <c r="GTJ117" s="145"/>
      <c r="GTM117" s="144"/>
      <c r="GTN117" s="144"/>
      <c r="GTO117" s="144"/>
      <c r="GTP117" s="144"/>
      <c r="GTQ117" s="144"/>
      <c r="GTR117" s="144"/>
      <c r="GTS117" s="144"/>
      <c r="GTT117" s="144"/>
      <c r="GTU117" s="145"/>
      <c r="GTV117" s="145"/>
      <c r="GTW117" s="145"/>
      <c r="GTX117" s="145"/>
      <c r="GTY117" s="145"/>
      <c r="GTZ117" s="145"/>
      <c r="GUC117" s="144"/>
      <c r="GUD117" s="144"/>
      <c r="GUE117" s="144"/>
      <c r="GUF117" s="144"/>
      <c r="GUG117" s="144"/>
      <c r="GUH117" s="144"/>
      <c r="GUI117" s="144"/>
      <c r="GUJ117" s="144"/>
      <c r="GUK117" s="145"/>
      <c r="GUL117" s="145"/>
      <c r="GUM117" s="145"/>
      <c r="GUN117" s="145"/>
      <c r="GUO117" s="145"/>
      <c r="GUP117" s="145"/>
      <c r="GUS117" s="144"/>
      <c r="GUT117" s="144"/>
      <c r="GUU117" s="144"/>
      <c r="GUV117" s="144"/>
      <c r="GUW117" s="144"/>
      <c r="GUX117" s="144"/>
      <c r="GUY117" s="144"/>
      <c r="GUZ117" s="144"/>
      <c r="GVA117" s="145"/>
      <c r="GVB117" s="145"/>
      <c r="GVC117" s="145"/>
      <c r="GVD117" s="145"/>
      <c r="GVE117" s="145"/>
      <c r="GVF117" s="145"/>
      <c r="GVI117" s="144"/>
      <c r="GVJ117" s="144"/>
      <c r="GVK117" s="144"/>
      <c r="GVL117" s="144"/>
      <c r="GVM117" s="144"/>
      <c r="GVN117" s="144"/>
      <c r="GVO117" s="144"/>
      <c r="GVP117" s="144"/>
      <c r="GVQ117" s="145"/>
      <c r="GVR117" s="145"/>
      <c r="GVS117" s="145"/>
      <c r="GVT117" s="145"/>
      <c r="GVU117" s="145"/>
      <c r="GVV117" s="145"/>
      <c r="GVY117" s="144"/>
      <c r="GVZ117" s="144"/>
      <c r="GWA117" s="144"/>
      <c r="GWB117" s="144"/>
      <c r="GWC117" s="144"/>
      <c r="GWD117" s="144"/>
      <c r="GWE117" s="144"/>
      <c r="GWF117" s="144"/>
      <c r="GWG117" s="145"/>
      <c r="GWH117" s="145"/>
      <c r="GWI117" s="145"/>
      <c r="GWJ117" s="145"/>
      <c r="GWK117" s="145"/>
      <c r="GWL117" s="145"/>
      <c r="GWO117" s="144"/>
      <c r="GWP117" s="144"/>
      <c r="GWQ117" s="144"/>
      <c r="GWR117" s="144"/>
      <c r="GWS117" s="144"/>
      <c r="GWT117" s="144"/>
      <c r="GWU117" s="144"/>
      <c r="GWV117" s="144"/>
      <c r="GWW117" s="145"/>
      <c r="GWX117" s="145"/>
      <c r="GWY117" s="145"/>
      <c r="GWZ117" s="145"/>
      <c r="GXA117" s="145"/>
      <c r="GXB117" s="145"/>
      <c r="GXE117" s="144"/>
      <c r="GXF117" s="144"/>
      <c r="GXG117" s="144"/>
      <c r="GXH117" s="144"/>
      <c r="GXI117" s="144"/>
      <c r="GXJ117" s="144"/>
      <c r="GXK117" s="144"/>
      <c r="GXL117" s="144"/>
      <c r="GXM117" s="145"/>
      <c r="GXN117" s="145"/>
      <c r="GXO117" s="145"/>
      <c r="GXP117" s="145"/>
      <c r="GXQ117" s="145"/>
      <c r="GXR117" s="145"/>
      <c r="GXU117" s="144"/>
      <c r="GXV117" s="144"/>
      <c r="GXW117" s="144"/>
      <c r="GXX117" s="144"/>
      <c r="GXY117" s="144"/>
      <c r="GXZ117" s="144"/>
      <c r="GYA117" s="144"/>
      <c r="GYB117" s="144"/>
      <c r="GYC117" s="145"/>
      <c r="GYD117" s="145"/>
      <c r="GYE117" s="145"/>
      <c r="GYF117" s="145"/>
      <c r="GYG117" s="145"/>
      <c r="GYH117" s="145"/>
      <c r="GYK117" s="144"/>
      <c r="GYL117" s="144"/>
      <c r="GYM117" s="144"/>
      <c r="GYN117" s="144"/>
      <c r="GYO117" s="144"/>
      <c r="GYP117" s="144"/>
      <c r="GYQ117" s="144"/>
      <c r="GYR117" s="144"/>
      <c r="GYS117" s="145"/>
      <c r="GYT117" s="145"/>
      <c r="GYU117" s="145"/>
      <c r="GYV117" s="145"/>
      <c r="GYW117" s="145"/>
      <c r="GYX117" s="145"/>
      <c r="GZA117" s="144"/>
      <c r="GZB117" s="144"/>
      <c r="GZC117" s="144"/>
      <c r="GZD117" s="144"/>
      <c r="GZE117" s="144"/>
      <c r="GZF117" s="144"/>
      <c r="GZG117" s="144"/>
      <c r="GZH117" s="144"/>
      <c r="GZI117" s="145"/>
      <c r="GZJ117" s="145"/>
      <c r="GZK117" s="145"/>
      <c r="GZL117" s="145"/>
      <c r="GZM117" s="145"/>
      <c r="GZN117" s="145"/>
      <c r="GZQ117" s="144"/>
      <c r="GZR117" s="144"/>
      <c r="GZS117" s="144"/>
      <c r="GZT117" s="144"/>
      <c r="GZU117" s="144"/>
      <c r="GZV117" s="144"/>
      <c r="GZW117" s="144"/>
      <c r="GZX117" s="144"/>
      <c r="GZY117" s="145"/>
      <c r="GZZ117" s="145"/>
      <c r="HAA117" s="145"/>
      <c r="HAB117" s="145"/>
      <c r="HAC117" s="145"/>
      <c r="HAD117" s="145"/>
      <c r="HAG117" s="144"/>
      <c r="HAH117" s="144"/>
      <c r="HAI117" s="144"/>
      <c r="HAJ117" s="144"/>
      <c r="HAK117" s="144"/>
      <c r="HAL117" s="144"/>
      <c r="HAM117" s="144"/>
      <c r="HAN117" s="144"/>
      <c r="HAO117" s="145"/>
      <c r="HAP117" s="145"/>
      <c r="HAQ117" s="145"/>
      <c r="HAR117" s="145"/>
      <c r="HAS117" s="145"/>
      <c r="HAT117" s="145"/>
      <c r="HAW117" s="144"/>
      <c r="HAX117" s="144"/>
      <c r="HAY117" s="144"/>
      <c r="HAZ117" s="144"/>
      <c r="HBA117" s="144"/>
      <c r="HBB117" s="144"/>
      <c r="HBC117" s="144"/>
      <c r="HBD117" s="144"/>
      <c r="HBE117" s="145"/>
      <c r="HBF117" s="145"/>
      <c r="HBG117" s="145"/>
      <c r="HBH117" s="145"/>
      <c r="HBI117" s="145"/>
      <c r="HBJ117" s="145"/>
      <c r="HBM117" s="144"/>
      <c r="HBN117" s="144"/>
      <c r="HBO117" s="144"/>
      <c r="HBP117" s="144"/>
      <c r="HBQ117" s="144"/>
      <c r="HBR117" s="144"/>
      <c r="HBS117" s="144"/>
      <c r="HBT117" s="144"/>
      <c r="HBU117" s="145"/>
      <c r="HBV117" s="145"/>
      <c r="HBW117" s="145"/>
      <c r="HBX117" s="145"/>
      <c r="HBY117" s="145"/>
      <c r="HBZ117" s="145"/>
      <c r="HCC117" s="144"/>
      <c r="HCD117" s="144"/>
      <c r="HCE117" s="144"/>
      <c r="HCF117" s="144"/>
      <c r="HCG117" s="144"/>
      <c r="HCH117" s="144"/>
      <c r="HCI117" s="144"/>
      <c r="HCJ117" s="144"/>
      <c r="HCK117" s="145"/>
      <c r="HCL117" s="145"/>
      <c r="HCM117" s="145"/>
      <c r="HCN117" s="145"/>
      <c r="HCO117" s="145"/>
      <c r="HCP117" s="145"/>
      <c r="HCS117" s="144"/>
      <c r="HCT117" s="144"/>
      <c r="HCU117" s="144"/>
      <c r="HCV117" s="144"/>
      <c r="HCW117" s="144"/>
      <c r="HCX117" s="144"/>
      <c r="HCY117" s="144"/>
      <c r="HCZ117" s="144"/>
      <c r="HDA117" s="145"/>
      <c r="HDB117" s="145"/>
      <c r="HDC117" s="145"/>
      <c r="HDD117" s="145"/>
      <c r="HDE117" s="145"/>
      <c r="HDF117" s="145"/>
      <c r="HDI117" s="144"/>
      <c r="HDJ117" s="144"/>
      <c r="HDK117" s="144"/>
      <c r="HDL117" s="144"/>
      <c r="HDM117" s="144"/>
      <c r="HDN117" s="144"/>
      <c r="HDO117" s="144"/>
      <c r="HDP117" s="144"/>
      <c r="HDQ117" s="145"/>
      <c r="HDR117" s="145"/>
      <c r="HDS117" s="145"/>
      <c r="HDT117" s="145"/>
      <c r="HDU117" s="145"/>
      <c r="HDV117" s="145"/>
      <c r="HDY117" s="144"/>
      <c r="HDZ117" s="144"/>
      <c r="HEA117" s="144"/>
      <c r="HEB117" s="144"/>
      <c r="HEC117" s="144"/>
      <c r="HED117" s="144"/>
      <c r="HEE117" s="144"/>
      <c r="HEF117" s="144"/>
      <c r="HEG117" s="145"/>
      <c r="HEH117" s="145"/>
      <c r="HEI117" s="145"/>
      <c r="HEJ117" s="145"/>
      <c r="HEK117" s="145"/>
      <c r="HEL117" s="145"/>
      <c r="HEO117" s="144"/>
      <c r="HEP117" s="144"/>
      <c r="HEQ117" s="144"/>
      <c r="HER117" s="144"/>
      <c r="HES117" s="144"/>
      <c r="HET117" s="144"/>
      <c r="HEU117" s="144"/>
      <c r="HEV117" s="144"/>
      <c r="HEW117" s="145"/>
      <c r="HEX117" s="145"/>
      <c r="HEY117" s="145"/>
      <c r="HEZ117" s="145"/>
      <c r="HFA117" s="145"/>
      <c r="HFB117" s="145"/>
      <c r="HFE117" s="144"/>
      <c r="HFF117" s="144"/>
      <c r="HFG117" s="144"/>
      <c r="HFH117" s="144"/>
      <c r="HFI117" s="144"/>
      <c r="HFJ117" s="144"/>
      <c r="HFK117" s="144"/>
      <c r="HFL117" s="144"/>
      <c r="HFM117" s="145"/>
      <c r="HFN117" s="145"/>
      <c r="HFO117" s="145"/>
      <c r="HFP117" s="145"/>
      <c r="HFQ117" s="145"/>
      <c r="HFR117" s="145"/>
      <c r="HFU117" s="144"/>
      <c r="HFV117" s="144"/>
      <c r="HFW117" s="144"/>
      <c r="HFX117" s="144"/>
      <c r="HFY117" s="144"/>
      <c r="HFZ117" s="144"/>
      <c r="HGA117" s="144"/>
      <c r="HGB117" s="144"/>
      <c r="HGC117" s="145"/>
      <c r="HGD117" s="145"/>
      <c r="HGE117" s="145"/>
      <c r="HGF117" s="145"/>
      <c r="HGG117" s="145"/>
      <c r="HGH117" s="145"/>
      <c r="HGK117" s="144"/>
      <c r="HGL117" s="144"/>
      <c r="HGM117" s="144"/>
      <c r="HGN117" s="144"/>
      <c r="HGO117" s="144"/>
      <c r="HGP117" s="144"/>
      <c r="HGQ117" s="144"/>
      <c r="HGR117" s="144"/>
      <c r="HGS117" s="145"/>
      <c r="HGT117" s="145"/>
      <c r="HGU117" s="145"/>
      <c r="HGV117" s="145"/>
      <c r="HGW117" s="145"/>
      <c r="HGX117" s="145"/>
      <c r="HHA117" s="144"/>
      <c r="HHB117" s="144"/>
      <c r="HHC117" s="144"/>
      <c r="HHD117" s="144"/>
      <c r="HHE117" s="144"/>
      <c r="HHF117" s="144"/>
      <c r="HHG117" s="144"/>
      <c r="HHH117" s="144"/>
      <c r="HHI117" s="145"/>
      <c r="HHJ117" s="145"/>
      <c r="HHK117" s="145"/>
      <c r="HHL117" s="145"/>
      <c r="HHM117" s="145"/>
      <c r="HHN117" s="145"/>
      <c r="HHQ117" s="144"/>
      <c r="HHR117" s="144"/>
      <c r="HHS117" s="144"/>
      <c r="HHT117" s="144"/>
      <c r="HHU117" s="144"/>
      <c r="HHV117" s="144"/>
      <c r="HHW117" s="144"/>
      <c r="HHX117" s="144"/>
      <c r="HHY117" s="145"/>
      <c r="HHZ117" s="145"/>
      <c r="HIA117" s="145"/>
      <c r="HIB117" s="145"/>
      <c r="HIC117" s="145"/>
      <c r="HID117" s="145"/>
      <c r="HIG117" s="144"/>
      <c r="HIH117" s="144"/>
      <c r="HII117" s="144"/>
      <c r="HIJ117" s="144"/>
      <c r="HIK117" s="144"/>
      <c r="HIL117" s="144"/>
      <c r="HIM117" s="144"/>
      <c r="HIN117" s="144"/>
      <c r="HIO117" s="145"/>
      <c r="HIP117" s="145"/>
      <c r="HIQ117" s="145"/>
      <c r="HIR117" s="145"/>
      <c r="HIS117" s="145"/>
      <c r="HIT117" s="145"/>
      <c r="HIW117" s="144"/>
      <c r="HIX117" s="144"/>
      <c r="HIY117" s="144"/>
      <c r="HIZ117" s="144"/>
      <c r="HJA117" s="144"/>
      <c r="HJB117" s="144"/>
      <c r="HJC117" s="144"/>
      <c r="HJD117" s="144"/>
      <c r="HJE117" s="145"/>
      <c r="HJF117" s="145"/>
      <c r="HJG117" s="145"/>
      <c r="HJH117" s="145"/>
      <c r="HJI117" s="145"/>
      <c r="HJJ117" s="145"/>
      <c r="HJM117" s="144"/>
      <c r="HJN117" s="144"/>
      <c r="HJO117" s="144"/>
      <c r="HJP117" s="144"/>
      <c r="HJQ117" s="144"/>
      <c r="HJR117" s="144"/>
      <c r="HJS117" s="144"/>
      <c r="HJT117" s="144"/>
      <c r="HJU117" s="145"/>
      <c r="HJV117" s="145"/>
      <c r="HJW117" s="145"/>
      <c r="HJX117" s="145"/>
      <c r="HJY117" s="145"/>
      <c r="HJZ117" s="145"/>
      <c r="HKC117" s="144"/>
      <c r="HKD117" s="144"/>
      <c r="HKE117" s="144"/>
      <c r="HKF117" s="144"/>
      <c r="HKG117" s="144"/>
      <c r="HKH117" s="144"/>
      <c r="HKI117" s="144"/>
      <c r="HKJ117" s="144"/>
      <c r="HKK117" s="145"/>
      <c r="HKL117" s="145"/>
      <c r="HKM117" s="145"/>
      <c r="HKN117" s="145"/>
      <c r="HKO117" s="145"/>
      <c r="HKP117" s="145"/>
      <c r="HKS117" s="144"/>
      <c r="HKT117" s="144"/>
      <c r="HKU117" s="144"/>
      <c r="HKV117" s="144"/>
      <c r="HKW117" s="144"/>
      <c r="HKX117" s="144"/>
      <c r="HKY117" s="144"/>
      <c r="HKZ117" s="144"/>
      <c r="HLA117" s="145"/>
      <c r="HLB117" s="145"/>
      <c r="HLC117" s="145"/>
      <c r="HLD117" s="145"/>
      <c r="HLE117" s="145"/>
      <c r="HLF117" s="145"/>
      <c r="HLI117" s="144"/>
      <c r="HLJ117" s="144"/>
      <c r="HLK117" s="144"/>
      <c r="HLL117" s="144"/>
      <c r="HLM117" s="144"/>
      <c r="HLN117" s="144"/>
      <c r="HLO117" s="144"/>
      <c r="HLP117" s="144"/>
      <c r="HLQ117" s="145"/>
      <c r="HLR117" s="145"/>
      <c r="HLS117" s="145"/>
      <c r="HLT117" s="145"/>
      <c r="HLU117" s="145"/>
      <c r="HLV117" s="145"/>
      <c r="HLY117" s="144"/>
      <c r="HLZ117" s="144"/>
      <c r="HMA117" s="144"/>
      <c r="HMB117" s="144"/>
      <c r="HMC117" s="144"/>
      <c r="HMD117" s="144"/>
      <c r="HME117" s="144"/>
      <c r="HMF117" s="144"/>
      <c r="HMG117" s="145"/>
      <c r="HMH117" s="145"/>
      <c r="HMI117" s="145"/>
      <c r="HMJ117" s="145"/>
      <c r="HMK117" s="145"/>
      <c r="HML117" s="145"/>
      <c r="HMO117" s="144"/>
      <c r="HMP117" s="144"/>
      <c r="HMQ117" s="144"/>
      <c r="HMR117" s="144"/>
      <c r="HMS117" s="144"/>
      <c r="HMT117" s="144"/>
      <c r="HMU117" s="144"/>
      <c r="HMV117" s="144"/>
      <c r="HMW117" s="145"/>
      <c r="HMX117" s="145"/>
      <c r="HMY117" s="145"/>
      <c r="HMZ117" s="145"/>
      <c r="HNA117" s="145"/>
      <c r="HNB117" s="145"/>
      <c r="HNE117" s="144"/>
      <c r="HNF117" s="144"/>
      <c r="HNG117" s="144"/>
      <c r="HNH117" s="144"/>
      <c r="HNI117" s="144"/>
      <c r="HNJ117" s="144"/>
      <c r="HNK117" s="144"/>
      <c r="HNL117" s="144"/>
      <c r="HNM117" s="145"/>
      <c r="HNN117" s="145"/>
      <c r="HNO117" s="145"/>
      <c r="HNP117" s="145"/>
      <c r="HNQ117" s="145"/>
      <c r="HNR117" s="145"/>
      <c r="HNU117" s="144"/>
      <c r="HNV117" s="144"/>
      <c r="HNW117" s="144"/>
      <c r="HNX117" s="144"/>
      <c r="HNY117" s="144"/>
      <c r="HNZ117" s="144"/>
      <c r="HOA117" s="144"/>
      <c r="HOB117" s="144"/>
      <c r="HOC117" s="145"/>
      <c r="HOD117" s="145"/>
      <c r="HOE117" s="145"/>
      <c r="HOF117" s="145"/>
      <c r="HOG117" s="145"/>
      <c r="HOH117" s="145"/>
      <c r="HOK117" s="144"/>
      <c r="HOL117" s="144"/>
      <c r="HOM117" s="144"/>
      <c r="HON117" s="144"/>
      <c r="HOO117" s="144"/>
      <c r="HOP117" s="144"/>
      <c r="HOQ117" s="144"/>
      <c r="HOR117" s="144"/>
      <c r="HOS117" s="145"/>
      <c r="HOT117" s="145"/>
      <c r="HOU117" s="145"/>
      <c r="HOV117" s="145"/>
      <c r="HOW117" s="145"/>
      <c r="HOX117" s="145"/>
      <c r="HPA117" s="144"/>
      <c r="HPB117" s="144"/>
      <c r="HPC117" s="144"/>
      <c r="HPD117" s="144"/>
      <c r="HPE117" s="144"/>
      <c r="HPF117" s="144"/>
      <c r="HPG117" s="144"/>
      <c r="HPH117" s="144"/>
      <c r="HPI117" s="145"/>
      <c r="HPJ117" s="145"/>
      <c r="HPK117" s="145"/>
      <c r="HPL117" s="145"/>
      <c r="HPM117" s="145"/>
      <c r="HPN117" s="145"/>
      <c r="HPQ117" s="144"/>
      <c r="HPR117" s="144"/>
      <c r="HPS117" s="144"/>
      <c r="HPT117" s="144"/>
      <c r="HPU117" s="144"/>
      <c r="HPV117" s="144"/>
      <c r="HPW117" s="144"/>
      <c r="HPX117" s="144"/>
      <c r="HPY117" s="145"/>
      <c r="HPZ117" s="145"/>
      <c r="HQA117" s="145"/>
      <c r="HQB117" s="145"/>
      <c r="HQC117" s="145"/>
      <c r="HQD117" s="145"/>
      <c r="HQG117" s="144"/>
      <c r="HQH117" s="144"/>
      <c r="HQI117" s="144"/>
      <c r="HQJ117" s="144"/>
      <c r="HQK117" s="144"/>
      <c r="HQL117" s="144"/>
      <c r="HQM117" s="144"/>
      <c r="HQN117" s="144"/>
      <c r="HQO117" s="145"/>
      <c r="HQP117" s="145"/>
      <c r="HQQ117" s="145"/>
      <c r="HQR117" s="145"/>
      <c r="HQS117" s="145"/>
      <c r="HQT117" s="145"/>
      <c r="HQW117" s="144"/>
      <c r="HQX117" s="144"/>
      <c r="HQY117" s="144"/>
      <c r="HQZ117" s="144"/>
      <c r="HRA117" s="144"/>
      <c r="HRB117" s="144"/>
      <c r="HRC117" s="144"/>
      <c r="HRD117" s="144"/>
      <c r="HRE117" s="145"/>
      <c r="HRF117" s="145"/>
      <c r="HRG117" s="145"/>
      <c r="HRH117" s="145"/>
      <c r="HRI117" s="145"/>
      <c r="HRJ117" s="145"/>
      <c r="HRM117" s="144"/>
      <c r="HRN117" s="144"/>
      <c r="HRO117" s="144"/>
      <c r="HRP117" s="144"/>
      <c r="HRQ117" s="144"/>
      <c r="HRR117" s="144"/>
      <c r="HRS117" s="144"/>
      <c r="HRT117" s="144"/>
      <c r="HRU117" s="145"/>
      <c r="HRV117" s="145"/>
      <c r="HRW117" s="145"/>
      <c r="HRX117" s="145"/>
      <c r="HRY117" s="145"/>
      <c r="HRZ117" s="145"/>
      <c r="HSC117" s="144"/>
      <c r="HSD117" s="144"/>
      <c r="HSE117" s="144"/>
      <c r="HSF117" s="144"/>
      <c r="HSG117" s="144"/>
      <c r="HSH117" s="144"/>
      <c r="HSI117" s="144"/>
      <c r="HSJ117" s="144"/>
      <c r="HSK117" s="145"/>
      <c r="HSL117" s="145"/>
      <c r="HSM117" s="145"/>
      <c r="HSN117" s="145"/>
      <c r="HSO117" s="145"/>
      <c r="HSP117" s="145"/>
      <c r="HSS117" s="144"/>
      <c r="HST117" s="144"/>
      <c r="HSU117" s="144"/>
      <c r="HSV117" s="144"/>
      <c r="HSW117" s="144"/>
      <c r="HSX117" s="144"/>
      <c r="HSY117" s="144"/>
      <c r="HSZ117" s="144"/>
      <c r="HTA117" s="145"/>
      <c r="HTB117" s="145"/>
      <c r="HTC117" s="145"/>
      <c r="HTD117" s="145"/>
      <c r="HTE117" s="145"/>
      <c r="HTF117" s="145"/>
      <c r="HTI117" s="144"/>
      <c r="HTJ117" s="144"/>
      <c r="HTK117" s="144"/>
      <c r="HTL117" s="144"/>
      <c r="HTM117" s="144"/>
      <c r="HTN117" s="144"/>
      <c r="HTO117" s="144"/>
      <c r="HTP117" s="144"/>
      <c r="HTQ117" s="145"/>
      <c r="HTR117" s="145"/>
      <c r="HTS117" s="145"/>
      <c r="HTT117" s="145"/>
      <c r="HTU117" s="145"/>
      <c r="HTV117" s="145"/>
      <c r="HTY117" s="144"/>
      <c r="HTZ117" s="144"/>
      <c r="HUA117" s="144"/>
      <c r="HUB117" s="144"/>
      <c r="HUC117" s="144"/>
      <c r="HUD117" s="144"/>
      <c r="HUE117" s="144"/>
      <c r="HUF117" s="144"/>
      <c r="HUG117" s="145"/>
      <c r="HUH117" s="145"/>
      <c r="HUI117" s="145"/>
      <c r="HUJ117" s="145"/>
      <c r="HUK117" s="145"/>
      <c r="HUL117" s="145"/>
      <c r="HUO117" s="144"/>
      <c r="HUP117" s="144"/>
      <c r="HUQ117" s="144"/>
      <c r="HUR117" s="144"/>
      <c r="HUS117" s="144"/>
      <c r="HUT117" s="144"/>
      <c r="HUU117" s="144"/>
      <c r="HUV117" s="144"/>
      <c r="HUW117" s="145"/>
      <c r="HUX117" s="145"/>
      <c r="HUY117" s="145"/>
      <c r="HUZ117" s="145"/>
      <c r="HVA117" s="145"/>
      <c r="HVB117" s="145"/>
      <c r="HVE117" s="144"/>
      <c r="HVF117" s="144"/>
      <c r="HVG117" s="144"/>
      <c r="HVH117" s="144"/>
      <c r="HVI117" s="144"/>
      <c r="HVJ117" s="144"/>
      <c r="HVK117" s="144"/>
      <c r="HVL117" s="144"/>
      <c r="HVM117" s="145"/>
      <c r="HVN117" s="145"/>
      <c r="HVO117" s="145"/>
      <c r="HVP117" s="145"/>
      <c r="HVQ117" s="145"/>
      <c r="HVR117" s="145"/>
      <c r="HVU117" s="144"/>
      <c r="HVV117" s="144"/>
      <c r="HVW117" s="144"/>
      <c r="HVX117" s="144"/>
      <c r="HVY117" s="144"/>
      <c r="HVZ117" s="144"/>
      <c r="HWA117" s="144"/>
      <c r="HWB117" s="144"/>
      <c r="HWC117" s="145"/>
      <c r="HWD117" s="145"/>
      <c r="HWE117" s="145"/>
      <c r="HWF117" s="145"/>
      <c r="HWG117" s="145"/>
      <c r="HWH117" s="145"/>
      <c r="HWK117" s="144"/>
      <c r="HWL117" s="144"/>
      <c r="HWM117" s="144"/>
      <c r="HWN117" s="144"/>
      <c r="HWO117" s="144"/>
      <c r="HWP117" s="144"/>
      <c r="HWQ117" s="144"/>
      <c r="HWR117" s="144"/>
      <c r="HWS117" s="145"/>
      <c r="HWT117" s="145"/>
      <c r="HWU117" s="145"/>
      <c r="HWV117" s="145"/>
      <c r="HWW117" s="145"/>
      <c r="HWX117" s="145"/>
      <c r="HXA117" s="144"/>
      <c r="HXB117" s="144"/>
      <c r="HXC117" s="144"/>
      <c r="HXD117" s="144"/>
      <c r="HXE117" s="144"/>
      <c r="HXF117" s="144"/>
      <c r="HXG117" s="144"/>
      <c r="HXH117" s="144"/>
      <c r="HXI117" s="145"/>
      <c r="HXJ117" s="145"/>
      <c r="HXK117" s="145"/>
      <c r="HXL117" s="145"/>
      <c r="HXM117" s="145"/>
      <c r="HXN117" s="145"/>
      <c r="HXQ117" s="144"/>
      <c r="HXR117" s="144"/>
      <c r="HXS117" s="144"/>
      <c r="HXT117" s="144"/>
      <c r="HXU117" s="144"/>
      <c r="HXV117" s="144"/>
      <c r="HXW117" s="144"/>
      <c r="HXX117" s="144"/>
      <c r="HXY117" s="145"/>
      <c r="HXZ117" s="145"/>
      <c r="HYA117" s="145"/>
      <c r="HYB117" s="145"/>
      <c r="HYC117" s="145"/>
      <c r="HYD117" s="145"/>
      <c r="HYG117" s="144"/>
      <c r="HYH117" s="144"/>
      <c r="HYI117" s="144"/>
      <c r="HYJ117" s="144"/>
      <c r="HYK117" s="144"/>
      <c r="HYL117" s="144"/>
      <c r="HYM117" s="144"/>
      <c r="HYN117" s="144"/>
      <c r="HYO117" s="145"/>
      <c r="HYP117" s="145"/>
      <c r="HYQ117" s="145"/>
      <c r="HYR117" s="145"/>
      <c r="HYS117" s="145"/>
      <c r="HYT117" s="145"/>
      <c r="HYW117" s="144"/>
      <c r="HYX117" s="144"/>
      <c r="HYY117" s="144"/>
      <c r="HYZ117" s="144"/>
      <c r="HZA117" s="144"/>
      <c r="HZB117" s="144"/>
      <c r="HZC117" s="144"/>
      <c r="HZD117" s="144"/>
      <c r="HZE117" s="145"/>
      <c r="HZF117" s="145"/>
      <c r="HZG117" s="145"/>
      <c r="HZH117" s="145"/>
      <c r="HZI117" s="145"/>
      <c r="HZJ117" s="145"/>
      <c r="HZM117" s="144"/>
      <c r="HZN117" s="144"/>
      <c r="HZO117" s="144"/>
      <c r="HZP117" s="144"/>
      <c r="HZQ117" s="144"/>
      <c r="HZR117" s="144"/>
      <c r="HZS117" s="144"/>
      <c r="HZT117" s="144"/>
      <c r="HZU117" s="145"/>
      <c r="HZV117" s="145"/>
      <c r="HZW117" s="145"/>
      <c r="HZX117" s="145"/>
      <c r="HZY117" s="145"/>
      <c r="HZZ117" s="145"/>
      <c r="IAC117" s="144"/>
      <c r="IAD117" s="144"/>
      <c r="IAE117" s="144"/>
      <c r="IAF117" s="144"/>
      <c r="IAG117" s="144"/>
      <c r="IAH117" s="144"/>
      <c r="IAI117" s="144"/>
      <c r="IAJ117" s="144"/>
      <c r="IAK117" s="145"/>
      <c r="IAL117" s="145"/>
      <c r="IAM117" s="145"/>
      <c r="IAN117" s="145"/>
      <c r="IAO117" s="145"/>
      <c r="IAP117" s="145"/>
      <c r="IAS117" s="144"/>
      <c r="IAT117" s="144"/>
      <c r="IAU117" s="144"/>
      <c r="IAV117" s="144"/>
      <c r="IAW117" s="144"/>
      <c r="IAX117" s="144"/>
      <c r="IAY117" s="144"/>
      <c r="IAZ117" s="144"/>
      <c r="IBA117" s="145"/>
      <c r="IBB117" s="145"/>
      <c r="IBC117" s="145"/>
      <c r="IBD117" s="145"/>
      <c r="IBE117" s="145"/>
      <c r="IBF117" s="145"/>
      <c r="IBI117" s="144"/>
      <c r="IBJ117" s="144"/>
      <c r="IBK117" s="144"/>
      <c r="IBL117" s="144"/>
      <c r="IBM117" s="144"/>
      <c r="IBN117" s="144"/>
      <c r="IBO117" s="144"/>
      <c r="IBP117" s="144"/>
      <c r="IBQ117" s="145"/>
      <c r="IBR117" s="145"/>
      <c r="IBS117" s="145"/>
      <c r="IBT117" s="145"/>
      <c r="IBU117" s="145"/>
      <c r="IBV117" s="145"/>
      <c r="IBY117" s="144"/>
      <c r="IBZ117" s="144"/>
      <c r="ICA117" s="144"/>
      <c r="ICB117" s="144"/>
      <c r="ICC117" s="144"/>
      <c r="ICD117" s="144"/>
      <c r="ICE117" s="144"/>
      <c r="ICF117" s="144"/>
      <c r="ICG117" s="145"/>
      <c r="ICH117" s="145"/>
      <c r="ICI117" s="145"/>
      <c r="ICJ117" s="145"/>
      <c r="ICK117" s="145"/>
      <c r="ICL117" s="145"/>
      <c r="ICO117" s="144"/>
      <c r="ICP117" s="144"/>
      <c r="ICQ117" s="144"/>
      <c r="ICR117" s="144"/>
      <c r="ICS117" s="144"/>
      <c r="ICT117" s="144"/>
      <c r="ICU117" s="144"/>
      <c r="ICV117" s="144"/>
      <c r="ICW117" s="145"/>
      <c r="ICX117" s="145"/>
      <c r="ICY117" s="145"/>
      <c r="ICZ117" s="145"/>
      <c r="IDA117" s="145"/>
      <c r="IDB117" s="145"/>
      <c r="IDE117" s="144"/>
      <c r="IDF117" s="144"/>
      <c r="IDG117" s="144"/>
      <c r="IDH117" s="144"/>
      <c r="IDI117" s="144"/>
      <c r="IDJ117" s="144"/>
      <c r="IDK117" s="144"/>
      <c r="IDL117" s="144"/>
      <c r="IDM117" s="145"/>
      <c r="IDN117" s="145"/>
      <c r="IDO117" s="145"/>
      <c r="IDP117" s="145"/>
      <c r="IDQ117" s="145"/>
      <c r="IDR117" s="145"/>
      <c r="IDU117" s="144"/>
      <c r="IDV117" s="144"/>
      <c r="IDW117" s="144"/>
      <c r="IDX117" s="144"/>
      <c r="IDY117" s="144"/>
      <c r="IDZ117" s="144"/>
      <c r="IEA117" s="144"/>
      <c r="IEB117" s="144"/>
      <c r="IEC117" s="145"/>
      <c r="IED117" s="145"/>
      <c r="IEE117" s="145"/>
      <c r="IEF117" s="145"/>
      <c r="IEG117" s="145"/>
      <c r="IEH117" s="145"/>
      <c r="IEK117" s="144"/>
      <c r="IEL117" s="144"/>
      <c r="IEM117" s="144"/>
      <c r="IEN117" s="144"/>
      <c r="IEO117" s="144"/>
      <c r="IEP117" s="144"/>
      <c r="IEQ117" s="144"/>
      <c r="IER117" s="144"/>
      <c r="IES117" s="145"/>
      <c r="IET117" s="145"/>
      <c r="IEU117" s="145"/>
      <c r="IEV117" s="145"/>
      <c r="IEW117" s="145"/>
      <c r="IEX117" s="145"/>
      <c r="IFA117" s="144"/>
      <c r="IFB117" s="144"/>
      <c r="IFC117" s="144"/>
      <c r="IFD117" s="144"/>
      <c r="IFE117" s="144"/>
      <c r="IFF117" s="144"/>
      <c r="IFG117" s="144"/>
      <c r="IFH117" s="144"/>
      <c r="IFI117" s="145"/>
      <c r="IFJ117" s="145"/>
      <c r="IFK117" s="145"/>
      <c r="IFL117" s="145"/>
      <c r="IFM117" s="145"/>
      <c r="IFN117" s="145"/>
      <c r="IFQ117" s="144"/>
      <c r="IFR117" s="144"/>
      <c r="IFS117" s="144"/>
      <c r="IFT117" s="144"/>
      <c r="IFU117" s="144"/>
      <c r="IFV117" s="144"/>
      <c r="IFW117" s="144"/>
      <c r="IFX117" s="144"/>
      <c r="IFY117" s="145"/>
      <c r="IFZ117" s="145"/>
      <c r="IGA117" s="145"/>
      <c r="IGB117" s="145"/>
      <c r="IGC117" s="145"/>
      <c r="IGD117" s="145"/>
      <c r="IGG117" s="144"/>
      <c r="IGH117" s="144"/>
      <c r="IGI117" s="144"/>
      <c r="IGJ117" s="144"/>
      <c r="IGK117" s="144"/>
      <c r="IGL117" s="144"/>
      <c r="IGM117" s="144"/>
      <c r="IGN117" s="144"/>
      <c r="IGO117" s="145"/>
      <c r="IGP117" s="145"/>
      <c r="IGQ117" s="145"/>
      <c r="IGR117" s="145"/>
      <c r="IGS117" s="145"/>
      <c r="IGT117" s="145"/>
      <c r="IGW117" s="144"/>
      <c r="IGX117" s="144"/>
      <c r="IGY117" s="144"/>
      <c r="IGZ117" s="144"/>
      <c r="IHA117" s="144"/>
      <c r="IHB117" s="144"/>
      <c r="IHC117" s="144"/>
      <c r="IHD117" s="144"/>
      <c r="IHE117" s="145"/>
      <c r="IHF117" s="145"/>
      <c r="IHG117" s="145"/>
      <c r="IHH117" s="145"/>
      <c r="IHI117" s="145"/>
      <c r="IHJ117" s="145"/>
      <c r="IHM117" s="144"/>
      <c r="IHN117" s="144"/>
      <c r="IHO117" s="144"/>
      <c r="IHP117" s="144"/>
      <c r="IHQ117" s="144"/>
      <c r="IHR117" s="144"/>
      <c r="IHS117" s="144"/>
      <c r="IHT117" s="144"/>
      <c r="IHU117" s="145"/>
      <c r="IHV117" s="145"/>
      <c r="IHW117" s="145"/>
      <c r="IHX117" s="145"/>
      <c r="IHY117" s="145"/>
      <c r="IHZ117" s="145"/>
      <c r="IIC117" s="144"/>
      <c r="IID117" s="144"/>
      <c r="IIE117" s="144"/>
      <c r="IIF117" s="144"/>
      <c r="IIG117" s="144"/>
      <c r="IIH117" s="144"/>
      <c r="III117" s="144"/>
      <c r="IIJ117" s="144"/>
      <c r="IIK117" s="145"/>
      <c r="IIL117" s="145"/>
      <c r="IIM117" s="145"/>
      <c r="IIN117" s="145"/>
      <c r="IIO117" s="145"/>
      <c r="IIP117" s="145"/>
      <c r="IIS117" s="144"/>
      <c r="IIT117" s="144"/>
      <c r="IIU117" s="144"/>
      <c r="IIV117" s="144"/>
      <c r="IIW117" s="144"/>
      <c r="IIX117" s="144"/>
      <c r="IIY117" s="144"/>
      <c r="IIZ117" s="144"/>
      <c r="IJA117" s="145"/>
      <c r="IJB117" s="145"/>
      <c r="IJC117" s="145"/>
      <c r="IJD117" s="145"/>
      <c r="IJE117" s="145"/>
      <c r="IJF117" s="145"/>
      <c r="IJI117" s="144"/>
      <c r="IJJ117" s="144"/>
      <c r="IJK117" s="144"/>
      <c r="IJL117" s="144"/>
      <c r="IJM117" s="144"/>
      <c r="IJN117" s="144"/>
      <c r="IJO117" s="144"/>
      <c r="IJP117" s="144"/>
      <c r="IJQ117" s="145"/>
      <c r="IJR117" s="145"/>
      <c r="IJS117" s="145"/>
      <c r="IJT117" s="145"/>
      <c r="IJU117" s="145"/>
      <c r="IJV117" s="145"/>
      <c r="IJY117" s="144"/>
      <c r="IJZ117" s="144"/>
      <c r="IKA117" s="144"/>
      <c r="IKB117" s="144"/>
      <c r="IKC117" s="144"/>
      <c r="IKD117" s="144"/>
      <c r="IKE117" s="144"/>
      <c r="IKF117" s="144"/>
      <c r="IKG117" s="145"/>
      <c r="IKH117" s="145"/>
      <c r="IKI117" s="145"/>
      <c r="IKJ117" s="145"/>
      <c r="IKK117" s="145"/>
      <c r="IKL117" s="145"/>
      <c r="IKO117" s="144"/>
      <c r="IKP117" s="144"/>
      <c r="IKQ117" s="144"/>
      <c r="IKR117" s="144"/>
      <c r="IKS117" s="144"/>
      <c r="IKT117" s="144"/>
      <c r="IKU117" s="144"/>
      <c r="IKV117" s="144"/>
      <c r="IKW117" s="145"/>
      <c r="IKX117" s="145"/>
      <c r="IKY117" s="145"/>
      <c r="IKZ117" s="145"/>
      <c r="ILA117" s="145"/>
      <c r="ILB117" s="145"/>
      <c r="ILE117" s="144"/>
      <c r="ILF117" s="144"/>
      <c r="ILG117" s="144"/>
      <c r="ILH117" s="144"/>
      <c r="ILI117" s="144"/>
      <c r="ILJ117" s="144"/>
      <c r="ILK117" s="144"/>
      <c r="ILL117" s="144"/>
      <c r="ILM117" s="145"/>
      <c r="ILN117" s="145"/>
      <c r="ILO117" s="145"/>
      <c r="ILP117" s="145"/>
      <c r="ILQ117" s="145"/>
      <c r="ILR117" s="145"/>
      <c r="ILU117" s="144"/>
      <c r="ILV117" s="144"/>
      <c r="ILW117" s="144"/>
      <c r="ILX117" s="144"/>
      <c r="ILY117" s="144"/>
      <c r="ILZ117" s="144"/>
      <c r="IMA117" s="144"/>
      <c r="IMB117" s="144"/>
      <c r="IMC117" s="145"/>
      <c r="IMD117" s="145"/>
      <c r="IME117" s="145"/>
      <c r="IMF117" s="145"/>
      <c r="IMG117" s="145"/>
      <c r="IMH117" s="145"/>
      <c r="IMK117" s="144"/>
      <c r="IML117" s="144"/>
      <c r="IMM117" s="144"/>
      <c r="IMN117" s="144"/>
      <c r="IMO117" s="144"/>
      <c r="IMP117" s="144"/>
      <c r="IMQ117" s="144"/>
      <c r="IMR117" s="144"/>
      <c r="IMS117" s="145"/>
      <c r="IMT117" s="145"/>
      <c r="IMU117" s="145"/>
      <c r="IMV117" s="145"/>
      <c r="IMW117" s="145"/>
      <c r="IMX117" s="145"/>
      <c r="INA117" s="144"/>
      <c r="INB117" s="144"/>
      <c r="INC117" s="144"/>
      <c r="IND117" s="144"/>
      <c r="INE117" s="144"/>
      <c r="INF117" s="144"/>
      <c r="ING117" s="144"/>
      <c r="INH117" s="144"/>
      <c r="INI117" s="145"/>
      <c r="INJ117" s="145"/>
      <c r="INK117" s="145"/>
      <c r="INL117" s="145"/>
      <c r="INM117" s="145"/>
      <c r="INN117" s="145"/>
      <c r="INQ117" s="144"/>
      <c r="INR117" s="144"/>
      <c r="INS117" s="144"/>
      <c r="INT117" s="144"/>
      <c r="INU117" s="144"/>
      <c r="INV117" s="144"/>
      <c r="INW117" s="144"/>
      <c r="INX117" s="144"/>
      <c r="INY117" s="145"/>
      <c r="INZ117" s="145"/>
      <c r="IOA117" s="145"/>
      <c r="IOB117" s="145"/>
      <c r="IOC117" s="145"/>
      <c r="IOD117" s="145"/>
      <c r="IOG117" s="144"/>
      <c r="IOH117" s="144"/>
      <c r="IOI117" s="144"/>
      <c r="IOJ117" s="144"/>
      <c r="IOK117" s="144"/>
      <c r="IOL117" s="144"/>
      <c r="IOM117" s="144"/>
      <c r="ION117" s="144"/>
      <c r="IOO117" s="145"/>
      <c r="IOP117" s="145"/>
      <c r="IOQ117" s="145"/>
      <c r="IOR117" s="145"/>
      <c r="IOS117" s="145"/>
      <c r="IOT117" s="145"/>
      <c r="IOW117" s="144"/>
      <c r="IOX117" s="144"/>
      <c r="IOY117" s="144"/>
      <c r="IOZ117" s="144"/>
      <c r="IPA117" s="144"/>
      <c r="IPB117" s="144"/>
      <c r="IPC117" s="144"/>
      <c r="IPD117" s="144"/>
      <c r="IPE117" s="145"/>
      <c r="IPF117" s="145"/>
      <c r="IPG117" s="145"/>
      <c r="IPH117" s="145"/>
      <c r="IPI117" s="145"/>
      <c r="IPJ117" s="145"/>
      <c r="IPM117" s="144"/>
      <c r="IPN117" s="144"/>
      <c r="IPO117" s="144"/>
      <c r="IPP117" s="144"/>
      <c r="IPQ117" s="144"/>
      <c r="IPR117" s="144"/>
      <c r="IPS117" s="144"/>
      <c r="IPT117" s="144"/>
      <c r="IPU117" s="145"/>
      <c r="IPV117" s="145"/>
      <c r="IPW117" s="145"/>
      <c r="IPX117" s="145"/>
      <c r="IPY117" s="145"/>
      <c r="IPZ117" s="145"/>
      <c r="IQC117" s="144"/>
      <c r="IQD117" s="144"/>
      <c r="IQE117" s="144"/>
      <c r="IQF117" s="144"/>
      <c r="IQG117" s="144"/>
      <c r="IQH117" s="144"/>
      <c r="IQI117" s="144"/>
      <c r="IQJ117" s="144"/>
      <c r="IQK117" s="145"/>
      <c r="IQL117" s="145"/>
      <c r="IQM117" s="145"/>
      <c r="IQN117" s="145"/>
      <c r="IQO117" s="145"/>
      <c r="IQP117" s="145"/>
      <c r="IQS117" s="144"/>
      <c r="IQT117" s="144"/>
      <c r="IQU117" s="144"/>
      <c r="IQV117" s="144"/>
      <c r="IQW117" s="144"/>
      <c r="IQX117" s="144"/>
      <c r="IQY117" s="144"/>
      <c r="IQZ117" s="144"/>
      <c r="IRA117" s="145"/>
      <c r="IRB117" s="145"/>
      <c r="IRC117" s="145"/>
      <c r="IRD117" s="145"/>
      <c r="IRE117" s="145"/>
      <c r="IRF117" s="145"/>
      <c r="IRI117" s="144"/>
      <c r="IRJ117" s="144"/>
      <c r="IRK117" s="144"/>
      <c r="IRL117" s="144"/>
      <c r="IRM117" s="144"/>
      <c r="IRN117" s="144"/>
      <c r="IRO117" s="144"/>
      <c r="IRP117" s="144"/>
      <c r="IRQ117" s="145"/>
      <c r="IRR117" s="145"/>
      <c r="IRS117" s="145"/>
      <c r="IRT117" s="145"/>
      <c r="IRU117" s="145"/>
      <c r="IRV117" s="145"/>
      <c r="IRY117" s="144"/>
      <c r="IRZ117" s="144"/>
      <c r="ISA117" s="144"/>
      <c r="ISB117" s="144"/>
      <c r="ISC117" s="144"/>
      <c r="ISD117" s="144"/>
      <c r="ISE117" s="144"/>
      <c r="ISF117" s="144"/>
      <c r="ISG117" s="145"/>
      <c r="ISH117" s="145"/>
      <c r="ISI117" s="145"/>
      <c r="ISJ117" s="145"/>
      <c r="ISK117" s="145"/>
      <c r="ISL117" s="145"/>
      <c r="ISO117" s="144"/>
      <c r="ISP117" s="144"/>
      <c r="ISQ117" s="144"/>
      <c r="ISR117" s="144"/>
      <c r="ISS117" s="144"/>
      <c r="IST117" s="144"/>
      <c r="ISU117" s="144"/>
      <c r="ISV117" s="144"/>
      <c r="ISW117" s="145"/>
      <c r="ISX117" s="145"/>
      <c r="ISY117" s="145"/>
      <c r="ISZ117" s="145"/>
      <c r="ITA117" s="145"/>
      <c r="ITB117" s="145"/>
      <c r="ITE117" s="144"/>
      <c r="ITF117" s="144"/>
      <c r="ITG117" s="144"/>
      <c r="ITH117" s="144"/>
      <c r="ITI117" s="144"/>
      <c r="ITJ117" s="144"/>
      <c r="ITK117" s="144"/>
      <c r="ITL117" s="144"/>
      <c r="ITM117" s="145"/>
      <c r="ITN117" s="145"/>
      <c r="ITO117" s="145"/>
      <c r="ITP117" s="145"/>
      <c r="ITQ117" s="145"/>
      <c r="ITR117" s="145"/>
      <c r="ITU117" s="144"/>
      <c r="ITV117" s="144"/>
      <c r="ITW117" s="144"/>
      <c r="ITX117" s="144"/>
      <c r="ITY117" s="144"/>
      <c r="ITZ117" s="144"/>
      <c r="IUA117" s="144"/>
      <c r="IUB117" s="144"/>
      <c r="IUC117" s="145"/>
      <c r="IUD117" s="145"/>
      <c r="IUE117" s="145"/>
      <c r="IUF117" s="145"/>
      <c r="IUG117" s="145"/>
      <c r="IUH117" s="145"/>
      <c r="IUK117" s="144"/>
      <c r="IUL117" s="144"/>
      <c r="IUM117" s="144"/>
      <c r="IUN117" s="144"/>
      <c r="IUO117" s="144"/>
      <c r="IUP117" s="144"/>
      <c r="IUQ117" s="144"/>
      <c r="IUR117" s="144"/>
      <c r="IUS117" s="145"/>
      <c r="IUT117" s="145"/>
      <c r="IUU117" s="145"/>
      <c r="IUV117" s="145"/>
      <c r="IUW117" s="145"/>
      <c r="IUX117" s="145"/>
      <c r="IVA117" s="144"/>
      <c r="IVB117" s="144"/>
      <c r="IVC117" s="144"/>
      <c r="IVD117" s="144"/>
      <c r="IVE117" s="144"/>
      <c r="IVF117" s="144"/>
      <c r="IVG117" s="144"/>
      <c r="IVH117" s="144"/>
      <c r="IVI117" s="145"/>
      <c r="IVJ117" s="145"/>
      <c r="IVK117" s="145"/>
      <c r="IVL117" s="145"/>
      <c r="IVM117" s="145"/>
      <c r="IVN117" s="145"/>
      <c r="IVQ117" s="144"/>
      <c r="IVR117" s="144"/>
      <c r="IVS117" s="144"/>
      <c r="IVT117" s="144"/>
      <c r="IVU117" s="144"/>
      <c r="IVV117" s="144"/>
      <c r="IVW117" s="144"/>
      <c r="IVX117" s="144"/>
      <c r="IVY117" s="145"/>
      <c r="IVZ117" s="145"/>
      <c r="IWA117" s="145"/>
      <c r="IWB117" s="145"/>
      <c r="IWC117" s="145"/>
      <c r="IWD117" s="145"/>
      <c r="IWG117" s="144"/>
      <c r="IWH117" s="144"/>
      <c r="IWI117" s="144"/>
      <c r="IWJ117" s="144"/>
      <c r="IWK117" s="144"/>
      <c r="IWL117" s="144"/>
      <c r="IWM117" s="144"/>
      <c r="IWN117" s="144"/>
      <c r="IWO117" s="145"/>
      <c r="IWP117" s="145"/>
      <c r="IWQ117" s="145"/>
      <c r="IWR117" s="145"/>
      <c r="IWS117" s="145"/>
      <c r="IWT117" s="145"/>
      <c r="IWW117" s="144"/>
      <c r="IWX117" s="144"/>
      <c r="IWY117" s="144"/>
      <c r="IWZ117" s="144"/>
      <c r="IXA117" s="144"/>
      <c r="IXB117" s="144"/>
      <c r="IXC117" s="144"/>
      <c r="IXD117" s="144"/>
      <c r="IXE117" s="145"/>
      <c r="IXF117" s="145"/>
      <c r="IXG117" s="145"/>
      <c r="IXH117" s="145"/>
      <c r="IXI117" s="145"/>
      <c r="IXJ117" s="145"/>
      <c r="IXM117" s="144"/>
      <c r="IXN117" s="144"/>
      <c r="IXO117" s="144"/>
      <c r="IXP117" s="144"/>
      <c r="IXQ117" s="144"/>
      <c r="IXR117" s="144"/>
      <c r="IXS117" s="144"/>
      <c r="IXT117" s="144"/>
      <c r="IXU117" s="145"/>
      <c r="IXV117" s="145"/>
      <c r="IXW117" s="145"/>
      <c r="IXX117" s="145"/>
      <c r="IXY117" s="145"/>
      <c r="IXZ117" s="145"/>
      <c r="IYC117" s="144"/>
      <c r="IYD117" s="144"/>
      <c r="IYE117" s="144"/>
      <c r="IYF117" s="144"/>
      <c r="IYG117" s="144"/>
      <c r="IYH117" s="144"/>
      <c r="IYI117" s="144"/>
      <c r="IYJ117" s="144"/>
      <c r="IYK117" s="145"/>
      <c r="IYL117" s="145"/>
      <c r="IYM117" s="145"/>
      <c r="IYN117" s="145"/>
      <c r="IYO117" s="145"/>
      <c r="IYP117" s="145"/>
      <c r="IYS117" s="144"/>
      <c r="IYT117" s="144"/>
      <c r="IYU117" s="144"/>
      <c r="IYV117" s="144"/>
      <c r="IYW117" s="144"/>
      <c r="IYX117" s="144"/>
      <c r="IYY117" s="144"/>
      <c r="IYZ117" s="144"/>
      <c r="IZA117" s="145"/>
      <c r="IZB117" s="145"/>
      <c r="IZC117" s="145"/>
      <c r="IZD117" s="145"/>
      <c r="IZE117" s="145"/>
      <c r="IZF117" s="145"/>
      <c r="IZI117" s="144"/>
      <c r="IZJ117" s="144"/>
      <c r="IZK117" s="144"/>
      <c r="IZL117" s="144"/>
      <c r="IZM117" s="144"/>
      <c r="IZN117" s="144"/>
      <c r="IZO117" s="144"/>
      <c r="IZP117" s="144"/>
      <c r="IZQ117" s="145"/>
      <c r="IZR117" s="145"/>
      <c r="IZS117" s="145"/>
      <c r="IZT117" s="145"/>
      <c r="IZU117" s="145"/>
      <c r="IZV117" s="145"/>
      <c r="IZY117" s="144"/>
      <c r="IZZ117" s="144"/>
      <c r="JAA117" s="144"/>
      <c r="JAB117" s="144"/>
      <c r="JAC117" s="144"/>
      <c r="JAD117" s="144"/>
      <c r="JAE117" s="144"/>
      <c r="JAF117" s="144"/>
      <c r="JAG117" s="145"/>
      <c r="JAH117" s="145"/>
      <c r="JAI117" s="145"/>
      <c r="JAJ117" s="145"/>
      <c r="JAK117" s="145"/>
      <c r="JAL117" s="145"/>
      <c r="JAO117" s="144"/>
      <c r="JAP117" s="144"/>
      <c r="JAQ117" s="144"/>
      <c r="JAR117" s="144"/>
      <c r="JAS117" s="144"/>
      <c r="JAT117" s="144"/>
      <c r="JAU117" s="144"/>
      <c r="JAV117" s="144"/>
      <c r="JAW117" s="145"/>
      <c r="JAX117" s="145"/>
      <c r="JAY117" s="145"/>
      <c r="JAZ117" s="145"/>
      <c r="JBA117" s="145"/>
      <c r="JBB117" s="145"/>
      <c r="JBE117" s="144"/>
      <c r="JBF117" s="144"/>
      <c r="JBG117" s="144"/>
      <c r="JBH117" s="144"/>
      <c r="JBI117" s="144"/>
      <c r="JBJ117" s="144"/>
      <c r="JBK117" s="144"/>
      <c r="JBL117" s="144"/>
      <c r="JBM117" s="145"/>
      <c r="JBN117" s="145"/>
      <c r="JBO117" s="145"/>
      <c r="JBP117" s="145"/>
      <c r="JBQ117" s="145"/>
      <c r="JBR117" s="145"/>
      <c r="JBU117" s="144"/>
      <c r="JBV117" s="144"/>
      <c r="JBW117" s="144"/>
      <c r="JBX117" s="144"/>
      <c r="JBY117" s="144"/>
      <c r="JBZ117" s="144"/>
      <c r="JCA117" s="144"/>
      <c r="JCB117" s="144"/>
      <c r="JCC117" s="145"/>
      <c r="JCD117" s="145"/>
      <c r="JCE117" s="145"/>
      <c r="JCF117" s="145"/>
      <c r="JCG117" s="145"/>
      <c r="JCH117" s="145"/>
      <c r="JCK117" s="144"/>
      <c r="JCL117" s="144"/>
      <c r="JCM117" s="144"/>
      <c r="JCN117" s="144"/>
      <c r="JCO117" s="144"/>
      <c r="JCP117" s="144"/>
      <c r="JCQ117" s="144"/>
      <c r="JCR117" s="144"/>
      <c r="JCS117" s="145"/>
      <c r="JCT117" s="145"/>
      <c r="JCU117" s="145"/>
      <c r="JCV117" s="145"/>
      <c r="JCW117" s="145"/>
      <c r="JCX117" s="145"/>
      <c r="JDA117" s="144"/>
      <c r="JDB117" s="144"/>
      <c r="JDC117" s="144"/>
      <c r="JDD117" s="144"/>
      <c r="JDE117" s="144"/>
      <c r="JDF117" s="144"/>
      <c r="JDG117" s="144"/>
      <c r="JDH117" s="144"/>
      <c r="JDI117" s="145"/>
      <c r="JDJ117" s="145"/>
      <c r="JDK117" s="145"/>
      <c r="JDL117" s="145"/>
      <c r="JDM117" s="145"/>
      <c r="JDN117" s="145"/>
      <c r="JDQ117" s="144"/>
      <c r="JDR117" s="144"/>
      <c r="JDS117" s="144"/>
      <c r="JDT117" s="144"/>
      <c r="JDU117" s="144"/>
      <c r="JDV117" s="144"/>
      <c r="JDW117" s="144"/>
      <c r="JDX117" s="144"/>
      <c r="JDY117" s="145"/>
      <c r="JDZ117" s="145"/>
      <c r="JEA117" s="145"/>
      <c r="JEB117" s="145"/>
      <c r="JEC117" s="145"/>
      <c r="JED117" s="145"/>
      <c r="JEG117" s="144"/>
      <c r="JEH117" s="144"/>
      <c r="JEI117" s="144"/>
      <c r="JEJ117" s="144"/>
      <c r="JEK117" s="144"/>
      <c r="JEL117" s="144"/>
      <c r="JEM117" s="144"/>
      <c r="JEN117" s="144"/>
      <c r="JEO117" s="145"/>
      <c r="JEP117" s="145"/>
      <c r="JEQ117" s="145"/>
      <c r="JER117" s="145"/>
      <c r="JES117" s="145"/>
      <c r="JET117" s="145"/>
      <c r="JEW117" s="144"/>
      <c r="JEX117" s="144"/>
      <c r="JEY117" s="144"/>
      <c r="JEZ117" s="144"/>
      <c r="JFA117" s="144"/>
      <c r="JFB117" s="144"/>
      <c r="JFC117" s="144"/>
      <c r="JFD117" s="144"/>
      <c r="JFE117" s="145"/>
      <c r="JFF117" s="145"/>
      <c r="JFG117" s="145"/>
      <c r="JFH117" s="145"/>
      <c r="JFI117" s="145"/>
      <c r="JFJ117" s="145"/>
      <c r="JFM117" s="144"/>
      <c r="JFN117" s="144"/>
      <c r="JFO117" s="144"/>
      <c r="JFP117" s="144"/>
      <c r="JFQ117" s="144"/>
      <c r="JFR117" s="144"/>
      <c r="JFS117" s="144"/>
      <c r="JFT117" s="144"/>
      <c r="JFU117" s="145"/>
      <c r="JFV117" s="145"/>
      <c r="JFW117" s="145"/>
      <c r="JFX117" s="145"/>
      <c r="JFY117" s="145"/>
      <c r="JFZ117" s="145"/>
      <c r="JGC117" s="144"/>
      <c r="JGD117" s="144"/>
      <c r="JGE117" s="144"/>
      <c r="JGF117" s="144"/>
      <c r="JGG117" s="144"/>
      <c r="JGH117" s="144"/>
      <c r="JGI117" s="144"/>
      <c r="JGJ117" s="144"/>
      <c r="JGK117" s="145"/>
      <c r="JGL117" s="145"/>
      <c r="JGM117" s="145"/>
      <c r="JGN117" s="145"/>
      <c r="JGO117" s="145"/>
      <c r="JGP117" s="145"/>
      <c r="JGS117" s="144"/>
      <c r="JGT117" s="144"/>
      <c r="JGU117" s="144"/>
      <c r="JGV117" s="144"/>
      <c r="JGW117" s="144"/>
      <c r="JGX117" s="144"/>
      <c r="JGY117" s="144"/>
      <c r="JGZ117" s="144"/>
      <c r="JHA117" s="145"/>
      <c r="JHB117" s="145"/>
      <c r="JHC117" s="145"/>
      <c r="JHD117" s="145"/>
      <c r="JHE117" s="145"/>
      <c r="JHF117" s="145"/>
      <c r="JHI117" s="144"/>
      <c r="JHJ117" s="144"/>
      <c r="JHK117" s="144"/>
      <c r="JHL117" s="144"/>
      <c r="JHM117" s="144"/>
      <c r="JHN117" s="144"/>
      <c r="JHO117" s="144"/>
      <c r="JHP117" s="144"/>
      <c r="JHQ117" s="145"/>
      <c r="JHR117" s="145"/>
      <c r="JHS117" s="145"/>
      <c r="JHT117" s="145"/>
      <c r="JHU117" s="145"/>
      <c r="JHV117" s="145"/>
      <c r="JHY117" s="144"/>
      <c r="JHZ117" s="144"/>
      <c r="JIA117" s="144"/>
      <c r="JIB117" s="144"/>
      <c r="JIC117" s="144"/>
      <c r="JID117" s="144"/>
      <c r="JIE117" s="144"/>
      <c r="JIF117" s="144"/>
      <c r="JIG117" s="145"/>
      <c r="JIH117" s="145"/>
      <c r="JII117" s="145"/>
      <c r="JIJ117" s="145"/>
      <c r="JIK117" s="145"/>
      <c r="JIL117" s="145"/>
      <c r="JIO117" s="144"/>
      <c r="JIP117" s="144"/>
      <c r="JIQ117" s="144"/>
      <c r="JIR117" s="144"/>
      <c r="JIS117" s="144"/>
      <c r="JIT117" s="144"/>
      <c r="JIU117" s="144"/>
      <c r="JIV117" s="144"/>
      <c r="JIW117" s="145"/>
      <c r="JIX117" s="145"/>
      <c r="JIY117" s="145"/>
      <c r="JIZ117" s="145"/>
      <c r="JJA117" s="145"/>
      <c r="JJB117" s="145"/>
      <c r="JJE117" s="144"/>
      <c r="JJF117" s="144"/>
      <c r="JJG117" s="144"/>
      <c r="JJH117" s="144"/>
      <c r="JJI117" s="144"/>
      <c r="JJJ117" s="144"/>
      <c r="JJK117" s="144"/>
      <c r="JJL117" s="144"/>
      <c r="JJM117" s="145"/>
      <c r="JJN117" s="145"/>
      <c r="JJO117" s="145"/>
      <c r="JJP117" s="145"/>
      <c r="JJQ117" s="145"/>
      <c r="JJR117" s="145"/>
      <c r="JJU117" s="144"/>
      <c r="JJV117" s="144"/>
      <c r="JJW117" s="144"/>
      <c r="JJX117" s="144"/>
      <c r="JJY117" s="144"/>
      <c r="JJZ117" s="144"/>
      <c r="JKA117" s="144"/>
      <c r="JKB117" s="144"/>
      <c r="JKC117" s="145"/>
      <c r="JKD117" s="145"/>
      <c r="JKE117" s="145"/>
      <c r="JKF117" s="145"/>
      <c r="JKG117" s="145"/>
      <c r="JKH117" s="145"/>
      <c r="JKK117" s="144"/>
      <c r="JKL117" s="144"/>
      <c r="JKM117" s="144"/>
      <c r="JKN117" s="144"/>
      <c r="JKO117" s="144"/>
      <c r="JKP117" s="144"/>
      <c r="JKQ117" s="144"/>
      <c r="JKR117" s="144"/>
      <c r="JKS117" s="145"/>
      <c r="JKT117" s="145"/>
      <c r="JKU117" s="145"/>
      <c r="JKV117" s="145"/>
      <c r="JKW117" s="145"/>
      <c r="JKX117" s="145"/>
      <c r="JLA117" s="144"/>
      <c r="JLB117" s="144"/>
      <c r="JLC117" s="144"/>
      <c r="JLD117" s="144"/>
      <c r="JLE117" s="144"/>
      <c r="JLF117" s="144"/>
      <c r="JLG117" s="144"/>
      <c r="JLH117" s="144"/>
      <c r="JLI117" s="145"/>
      <c r="JLJ117" s="145"/>
      <c r="JLK117" s="145"/>
      <c r="JLL117" s="145"/>
      <c r="JLM117" s="145"/>
      <c r="JLN117" s="145"/>
      <c r="JLQ117" s="144"/>
      <c r="JLR117" s="144"/>
      <c r="JLS117" s="144"/>
      <c r="JLT117" s="144"/>
      <c r="JLU117" s="144"/>
      <c r="JLV117" s="144"/>
      <c r="JLW117" s="144"/>
      <c r="JLX117" s="144"/>
      <c r="JLY117" s="145"/>
      <c r="JLZ117" s="145"/>
      <c r="JMA117" s="145"/>
      <c r="JMB117" s="145"/>
      <c r="JMC117" s="145"/>
      <c r="JMD117" s="145"/>
      <c r="JMG117" s="144"/>
      <c r="JMH117" s="144"/>
      <c r="JMI117" s="144"/>
      <c r="JMJ117" s="144"/>
      <c r="JMK117" s="144"/>
      <c r="JML117" s="144"/>
      <c r="JMM117" s="144"/>
      <c r="JMN117" s="144"/>
      <c r="JMO117" s="145"/>
      <c r="JMP117" s="145"/>
      <c r="JMQ117" s="145"/>
      <c r="JMR117" s="145"/>
      <c r="JMS117" s="145"/>
      <c r="JMT117" s="145"/>
      <c r="JMW117" s="144"/>
      <c r="JMX117" s="144"/>
      <c r="JMY117" s="144"/>
      <c r="JMZ117" s="144"/>
      <c r="JNA117" s="144"/>
      <c r="JNB117" s="144"/>
      <c r="JNC117" s="144"/>
      <c r="JND117" s="144"/>
      <c r="JNE117" s="145"/>
      <c r="JNF117" s="145"/>
      <c r="JNG117" s="145"/>
      <c r="JNH117" s="145"/>
      <c r="JNI117" s="145"/>
      <c r="JNJ117" s="145"/>
      <c r="JNM117" s="144"/>
      <c r="JNN117" s="144"/>
      <c r="JNO117" s="144"/>
      <c r="JNP117" s="144"/>
      <c r="JNQ117" s="144"/>
      <c r="JNR117" s="144"/>
      <c r="JNS117" s="144"/>
      <c r="JNT117" s="144"/>
      <c r="JNU117" s="145"/>
      <c r="JNV117" s="145"/>
      <c r="JNW117" s="145"/>
      <c r="JNX117" s="145"/>
      <c r="JNY117" s="145"/>
      <c r="JNZ117" s="145"/>
      <c r="JOC117" s="144"/>
      <c r="JOD117" s="144"/>
      <c r="JOE117" s="144"/>
      <c r="JOF117" s="144"/>
      <c r="JOG117" s="144"/>
      <c r="JOH117" s="144"/>
      <c r="JOI117" s="144"/>
      <c r="JOJ117" s="144"/>
      <c r="JOK117" s="145"/>
      <c r="JOL117" s="145"/>
      <c r="JOM117" s="145"/>
      <c r="JON117" s="145"/>
      <c r="JOO117" s="145"/>
      <c r="JOP117" s="145"/>
      <c r="JOS117" s="144"/>
      <c r="JOT117" s="144"/>
      <c r="JOU117" s="144"/>
      <c r="JOV117" s="144"/>
      <c r="JOW117" s="144"/>
      <c r="JOX117" s="144"/>
      <c r="JOY117" s="144"/>
      <c r="JOZ117" s="144"/>
      <c r="JPA117" s="145"/>
      <c r="JPB117" s="145"/>
      <c r="JPC117" s="145"/>
      <c r="JPD117" s="145"/>
      <c r="JPE117" s="145"/>
      <c r="JPF117" s="145"/>
      <c r="JPI117" s="144"/>
      <c r="JPJ117" s="144"/>
      <c r="JPK117" s="144"/>
      <c r="JPL117" s="144"/>
      <c r="JPM117" s="144"/>
      <c r="JPN117" s="144"/>
      <c r="JPO117" s="144"/>
      <c r="JPP117" s="144"/>
      <c r="JPQ117" s="145"/>
      <c r="JPR117" s="145"/>
      <c r="JPS117" s="145"/>
      <c r="JPT117" s="145"/>
      <c r="JPU117" s="145"/>
      <c r="JPV117" s="145"/>
      <c r="JPY117" s="144"/>
      <c r="JPZ117" s="144"/>
      <c r="JQA117" s="144"/>
      <c r="JQB117" s="144"/>
      <c r="JQC117" s="144"/>
      <c r="JQD117" s="144"/>
      <c r="JQE117" s="144"/>
      <c r="JQF117" s="144"/>
      <c r="JQG117" s="145"/>
      <c r="JQH117" s="145"/>
      <c r="JQI117" s="145"/>
      <c r="JQJ117" s="145"/>
      <c r="JQK117" s="145"/>
      <c r="JQL117" s="145"/>
      <c r="JQO117" s="144"/>
      <c r="JQP117" s="144"/>
      <c r="JQQ117" s="144"/>
      <c r="JQR117" s="144"/>
      <c r="JQS117" s="144"/>
      <c r="JQT117" s="144"/>
      <c r="JQU117" s="144"/>
      <c r="JQV117" s="144"/>
      <c r="JQW117" s="145"/>
      <c r="JQX117" s="145"/>
      <c r="JQY117" s="145"/>
      <c r="JQZ117" s="145"/>
      <c r="JRA117" s="145"/>
      <c r="JRB117" s="145"/>
      <c r="JRE117" s="144"/>
      <c r="JRF117" s="144"/>
      <c r="JRG117" s="144"/>
      <c r="JRH117" s="144"/>
      <c r="JRI117" s="144"/>
      <c r="JRJ117" s="144"/>
      <c r="JRK117" s="144"/>
      <c r="JRL117" s="144"/>
      <c r="JRM117" s="145"/>
      <c r="JRN117" s="145"/>
      <c r="JRO117" s="145"/>
      <c r="JRP117" s="145"/>
      <c r="JRQ117" s="145"/>
      <c r="JRR117" s="145"/>
      <c r="JRU117" s="144"/>
      <c r="JRV117" s="144"/>
      <c r="JRW117" s="144"/>
      <c r="JRX117" s="144"/>
      <c r="JRY117" s="144"/>
      <c r="JRZ117" s="144"/>
      <c r="JSA117" s="144"/>
      <c r="JSB117" s="144"/>
      <c r="JSC117" s="145"/>
      <c r="JSD117" s="145"/>
      <c r="JSE117" s="145"/>
      <c r="JSF117" s="145"/>
      <c r="JSG117" s="145"/>
      <c r="JSH117" s="145"/>
      <c r="JSK117" s="144"/>
      <c r="JSL117" s="144"/>
      <c r="JSM117" s="144"/>
      <c r="JSN117" s="144"/>
      <c r="JSO117" s="144"/>
      <c r="JSP117" s="144"/>
      <c r="JSQ117" s="144"/>
      <c r="JSR117" s="144"/>
      <c r="JSS117" s="145"/>
      <c r="JST117" s="145"/>
      <c r="JSU117" s="145"/>
      <c r="JSV117" s="145"/>
      <c r="JSW117" s="145"/>
      <c r="JSX117" s="145"/>
      <c r="JTA117" s="144"/>
      <c r="JTB117" s="144"/>
      <c r="JTC117" s="144"/>
      <c r="JTD117" s="144"/>
      <c r="JTE117" s="144"/>
      <c r="JTF117" s="144"/>
      <c r="JTG117" s="144"/>
      <c r="JTH117" s="144"/>
      <c r="JTI117" s="145"/>
      <c r="JTJ117" s="145"/>
      <c r="JTK117" s="145"/>
      <c r="JTL117" s="145"/>
      <c r="JTM117" s="145"/>
      <c r="JTN117" s="145"/>
      <c r="JTQ117" s="144"/>
      <c r="JTR117" s="144"/>
      <c r="JTS117" s="144"/>
      <c r="JTT117" s="144"/>
      <c r="JTU117" s="144"/>
      <c r="JTV117" s="144"/>
      <c r="JTW117" s="144"/>
      <c r="JTX117" s="144"/>
      <c r="JTY117" s="145"/>
      <c r="JTZ117" s="145"/>
      <c r="JUA117" s="145"/>
      <c r="JUB117" s="145"/>
      <c r="JUC117" s="145"/>
      <c r="JUD117" s="145"/>
      <c r="JUG117" s="144"/>
      <c r="JUH117" s="144"/>
      <c r="JUI117" s="144"/>
      <c r="JUJ117" s="144"/>
      <c r="JUK117" s="144"/>
      <c r="JUL117" s="144"/>
      <c r="JUM117" s="144"/>
      <c r="JUN117" s="144"/>
      <c r="JUO117" s="145"/>
      <c r="JUP117" s="145"/>
      <c r="JUQ117" s="145"/>
      <c r="JUR117" s="145"/>
      <c r="JUS117" s="145"/>
      <c r="JUT117" s="145"/>
      <c r="JUW117" s="144"/>
      <c r="JUX117" s="144"/>
      <c r="JUY117" s="144"/>
      <c r="JUZ117" s="144"/>
      <c r="JVA117" s="144"/>
      <c r="JVB117" s="144"/>
      <c r="JVC117" s="144"/>
      <c r="JVD117" s="144"/>
      <c r="JVE117" s="145"/>
      <c r="JVF117" s="145"/>
      <c r="JVG117" s="145"/>
      <c r="JVH117" s="145"/>
      <c r="JVI117" s="145"/>
      <c r="JVJ117" s="145"/>
      <c r="JVM117" s="144"/>
      <c r="JVN117" s="144"/>
      <c r="JVO117" s="144"/>
      <c r="JVP117" s="144"/>
      <c r="JVQ117" s="144"/>
      <c r="JVR117" s="144"/>
      <c r="JVS117" s="144"/>
      <c r="JVT117" s="144"/>
      <c r="JVU117" s="145"/>
      <c r="JVV117" s="145"/>
      <c r="JVW117" s="145"/>
      <c r="JVX117" s="145"/>
      <c r="JVY117" s="145"/>
      <c r="JVZ117" s="145"/>
      <c r="JWC117" s="144"/>
      <c r="JWD117" s="144"/>
      <c r="JWE117" s="144"/>
      <c r="JWF117" s="144"/>
      <c r="JWG117" s="144"/>
      <c r="JWH117" s="144"/>
      <c r="JWI117" s="144"/>
      <c r="JWJ117" s="144"/>
      <c r="JWK117" s="145"/>
      <c r="JWL117" s="145"/>
      <c r="JWM117" s="145"/>
      <c r="JWN117" s="145"/>
      <c r="JWO117" s="145"/>
      <c r="JWP117" s="145"/>
      <c r="JWS117" s="144"/>
      <c r="JWT117" s="144"/>
      <c r="JWU117" s="144"/>
      <c r="JWV117" s="144"/>
      <c r="JWW117" s="144"/>
      <c r="JWX117" s="144"/>
      <c r="JWY117" s="144"/>
      <c r="JWZ117" s="144"/>
      <c r="JXA117" s="145"/>
      <c r="JXB117" s="145"/>
      <c r="JXC117" s="145"/>
      <c r="JXD117" s="145"/>
      <c r="JXE117" s="145"/>
      <c r="JXF117" s="145"/>
      <c r="JXI117" s="144"/>
      <c r="JXJ117" s="144"/>
      <c r="JXK117" s="144"/>
      <c r="JXL117" s="144"/>
      <c r="JXM117" s="144"/>
      <c r="JXN117" s="144"/>
      <c r="JXO117" s="144"/>
      <c r="JXP117" s="144"/>
      <c r="JXQ117" s="145"/>
      <c r="JXR117" s="145"/>
      <c r="JXS117" s="145"/>
      <c r="JXT117" s="145"/>
      <c r="JXU117" s="145"/>
      <c r="JXV117" s="145"/>
      <c r="JXY117" s="144"/>
      <c r="JXZ117" s="144"/>
      <c r="JYA117" s="144"/>
      <c r="JYB117" s="144"/>
      <c r="JYC117" s="144"/>
      <c r="JYD117" s="144"/>
      <c r="JYE117" s="144"/>
      <c r="JYF117" s="144"/>
      <c r="JYG117" s="145"/>
      <c r="JYH117" s="145"/>
      <c r="JYI117" s="145"/>
      <c r="JYJ117" s="145"/>
      <c r="JYK117" s="145"/>
      <c r="JYL117" s="145"/>
      <c r="JYO117" s="144"/>
      <c r="JYP117" s="144"/>
      <c r="JYQ117" s="144"/>
      <c r="JYR117" s="144"/>
      <c r="JYS117" s="144"/>
      <c r="JYT117" s="144"/>
      <c r="JYU117" s="144"/>
      <c r="JYV117" s="144"/>
      <c r="JYW117" s="145"/>
      <c r="JYX117" s="145"/>
      <c r="JYY117" s="145"/>
      <c r="JYZ117" s="145"/>
      <c r="JZA117" s="145"/>
      <c r="JZB117" s="145"/>
      <c r="JZE117" s="144"/>
      <c r="JZF117" s="144"/>
      <c r="JZG117" s="144"/>
      <c r="JZH117" s="144"/>
      <c r="JZI117" s="144"/>
      <c r="JZJ117" s="144"/>
      <c r="JZK117" s="144"/>
      <c r="JZL117" s="144"/>
      <c r="JZM117" s="145"/>
      <c r="JZN117" s="145"/>
      <c r="JZO117" s="145"/>
      <c r="JZP117" s="145"/>
      <c r="JZQ117" s="145"/>
      <c r="JZR117" s="145"/>
      <c r="JZU117" s="144"/>
      <c r="JZV117" s="144"/>
      <c r="JZW117" s="144"/>
      <c r="JZX117" s="144"/>
      <c r="JZY117" s="144"/>
      <c r="JZZ117" s="144"/>
      <c r="KAA117" s="144"/>
      <c r="KAB117" s="144"/>
      <c r="KAC117" s="145"/>
      <c r="KAD117" s="145"/>
      <c r="KAE117" s="145"/>
      <c r="KAF117" s="145"/>
      <c r="KAG117" s="145"/>
      <c r="KAH117" s="145"/>
      <c r="KAK117" s="144"/>
      <c r="KAL117" s="144"/>
      <c r="KAM117" s="144"/>
      <c r="KAN117" s="144"/>
      <c r="KAO117" s="144"/>
      <c r="KAP117" s="144"/>
      <c r="KAQ117" s="144"/>
      <c r="KAR117" s="144"/>
      <c r="KAS117" s="145"/>
      <c r="KAT117" s="145"/>
      <c r="KAU117" s="145"/>
      <c r="KAV117" s="145"/>
      <c r="KAW117" s="145"/>
      <c r="KAX117" s="145"/>
      <c r="KBA117" s="144"/>
      <c r="KBB117" s="144"/>
      <c r="KBC117" s="144"/>
      <c r="KBD117" s="144"/>
      <c r="KBE117" s="144"/>
      <c r="KBF117" s="144"/>
      <c r="KBG117" s="144"/>
      <c r="KBH117" s="144"/>
      <c r="KBI117" s="145"/>
      <c r="KBJ117" s="145"/>
      <c r="KBK117" s="145"/>
      <c r="KBL117" s="145"/>
      <c r="KBM117" s="145"/>
      <c r="KBN117" s="145"/>
      <c r="KBQ117" s="144"/>
      <c r="KBR117" s="144"/>
      <c r="KBS117" s="144"/>
      <c r="KBT117" s="144"/>
      <c r="KBU117" s="144"/>
      <c r="KBV117" s="144"/>
      <c r="KBW117" s="144"/>
      <c r="KBX117" s="144"/>
      <c r="KBY117" s="145"/>
      <c r="KBZ117" s="145"/>
      <c r="KCA117" s="145"/>
      <c r="KCB117" s="145"/>
      <c r="KCC117" s="145"/>
      <c r="KCD117" s="145"/>
      <c r="KCG117" s="144"/>
      <c r="KCH117" s="144"/>
      <c r="KCI117" s="144"/>
      <c r="KCJ117" s="144"/>
      <c r="KCK117" s="144"/>
      <c r="KCL117" s="144"/>
      <c r="KCM117" s="144"/>
      <c r="KCN117" s="144"/>
      <c r="KCO117" s="145"/>
      <c r="KCP117" s="145"/>
      <c r="KCQ117" s="145"/>
      <c r="KCR117" s="145"/>
      <c r="KCS117" s="145"/>
      <c r="KCT117" s="145"/>
      <c r="KCW117" s="144"/>
      <c r="KCX117" s="144"/>
      <c r="KCY117" s="144"/>
      <c r="KCZ117" s="144"/>
      <c r="KDA117" s="144"/>
      <c r="KDB117" s="144"/>
      <c r="KDC117" s="144"/>
      <c r="KDD117" s="144"/>
      <c r="KDE117" s="145"/>
      <c r="KDF117" s="145"/>
      <c r="KDG117" s="145"/>
      <c r="KDH117" s="145"/>
      <c r="KDI117" s="145"/>
      <c r="KDJ117" s="145"/>
      <c r="KDM117" s="144"/>
      <c r="KDN117" s="144"/>
      <c r="KDO117" s="144"/>
      <c r="KDP117" s="144"/>
      <c r="KDQ117" s="144"/>
      <c r="KDR117" s="144"/>
      <c r="KDS117" s="144"/>
      <c r="KDT117" s="144"/>
      <c r="KDU117" s="145"/>
      <c r="KDV117" s="145"/>
      <c r="KDW117" s="145"/>
      <c r="KDX117" s="145"/>
      <c r="KDY117" s="145"/>
      <c r="KDZ117" s="145"/>
      <c r="KEC117" s="144"/>
      <c r="KED117" s="144"/>
      <c r="KEE117" s="144"/>
      <c r="KEF117" s="144"/>
      <c r="KEG117" s="144"/>
      <c r="KEH117" s="144"/>
      <c r="KEI117" s="144"/>
      <c r="KEJ117" s="144"/>
      <c r="KEK117" s="145"/>
      <c r="KEL117" s="145"/>
      <c r="KEM117" s="145"/>
      <c r="KEN117" s="145"/>
      <c r="KEO117" s="145"/>
      <c r="KEP117" s="145"/>
      <c r="KES117" s="144"/>
      <c r="KET117" s="144"/>
      <c r="KEU117" s="144"/>
      <c r="KEV117" s="144"/>
      <c r="KEW117" s="144"/>
      <c r="KEX117" s="144"/>
      <c r="KEY117" s="144"/>
      <c r="KEZ117" s="144"/>
      <c r="KFA117" s="145"/>
      <c r="KFB117" s="145"/>
      <c r="KFC117" s="145"/>
      <c r="KFD117" s="145"/>
      <c r="KFE117" s="145"/>
      <c r="KFF117" s="145"/>
      <c r="KFI117" s="144"/>
      <c r="KFJ117" s="144"/>
      <c r="KFK117" s="144"/>
      <c r="KFL117" s="144"/>
      <c r="KFM117" s="144"/>
      <c r="KFN117" s="144"/>
      <c r="KFO117" s="144"/>
      <c r="KFP117" s="144"/>
      <c r="KFQ117" s="145"/>
      <c r="KFR117" s="145"/>
      <c r="KFS117" s="145"/>
      <c r="KFT117" s="145"/>
      <c r="KFU117" s="145"/>
      <c r="KFV117" s="145"/>
      <c r="KFY117" s="144"/>
      <c r="KFZ117" s="144"/>
      <c r="KGA117" s="144"/>
      <c r="KGB117" s="144"/>
      <c r="KGC117" s="144"/>
      <c r="KGD117" s="144"/>
      <c r="KGE117" s="144"/>
      <c r="KGF117" s="144"/>
      <c r="KGG117" s="145"/>
      <c r="KGH117" s="145"/>
      <c r="KGI117" s="145"/>
      <c r="KGJ117" s="145"/>
      <c r="KGK117" s="145"/>
      <c r="KGL117" s="145"/>
      <c r="KGO117" s="144"/>
      <c r="KGP117" s="144"/>
      <c r="KGQ117" s="144"/>
      <c r="KGR117" s="144"/>
      <c r="KGS117" s="144"/>
      <c r="KGT117" s="144"/>
      <c r="KGU117" s="144"/>
      <c r="KGV117" s="144"/>
      <c r="KGW117" s="145"/>
      <c r="KGX117" s="145"/>
      <c r="KGY117" s="145"/>
      <c r="KGZ117" s="145"/>
      <c r="KHA117" s="145"/>
      <c r="KHB117" s="145"/>
      <c r="KHE117" s="144"/>
      <c r="KHF117" s="144"/>
      <c r="KHG117" s="144"/>
      <c r="KHH117" s="144"/>
      <c r="KHI117" s="144"/>
      <c r="KHJ117" s="144"/>
      <c r="KHK117" s="144"/>
      <c r="KHL117" s="144"/>
      <c r="KHM117" s="145"/>
      <c r="KHN117" s="145"/>
      <c r="KHO117" s="145"/>
      <c r="KHP117" s="145"/>
      <c r="KHQ117" s="145"/>
      <c r="KHR117" s="145"/>
      <c r="KHU117" s="144"/>
      <c r="KHV117" s="144"/>
      <c r="KHW117" s="144"/>
      <c r="KHX117" s="144"/>
      <c r="KHY117" s="144"/>
      <c r="KHZ117" s="144"/>
      <c r="KIA117" s="144"/>
      <c r="KIB117" s="144"/>
      <c r="KIC117" s="145"/>
      <c r="KID117" s="145"/>
      <c r="KIE117" s="145"/>
      <c r="KIF117" s="145"/>
      <c r="KIG117" s="145"/>
      <c r="KIH117" s="145"/>
      <c r="KIK117" s="144"/>
      <c r="KIL117" s="144"/>
      <c r="KIM117" s="144"/>
      <c r="KIN117" s="144"/>
      <c r="KIO117" s="144"/>
      <c r="KIP117" s="144"/>
      <c r="KIQ117" s="144"/>
      <c r="KIR117" s="144"/>
      <c r="KIS117" s="145"/>
      <c r="KIT117" s="145"/>
      <c r="KIU117" s="145"/>
      <c r="KIV117" s="145"/>
      <c r="KIW117" s="145"/>
      <c r="KIX117" s="145"/>
      <c r="KJA117" s="144"/>
      <c r="KJB117" s="144"/>
      <c r="KJC117" s="144"/>
      <c r="KJD117" s="144"/>
      <c r="KJE117" s="144"/>
      <c r="KJF117" s="144"/>
      <c r="KJG117" s="144"/>
      <c r="KJH117" s="144"/>
      <c r="KJI117" s="145"/>
      <c r="KJJ117" s="145"/>
      <c r="KJK117" s="145"/>
      <c r="KJL117" s="145"/>
      <c r="KJM117" s="145"/>
      <c r="KJN117" s="145"/>
      <c r="KJQ117" s="144"/>
      <c r="KJR117" s="144"/>
      <c r="KJS117" s="144"/>
      <c r="KJT117" s="144"/>
      <c r="KJU117" s="144"/>
      <c r="KJV117" s="144"/>
      <c r="KJW117" s="144"/>
      <c r="KJX117" s="144"/>
      <c r="KJY117" s="145"/>
      <c r="KJZ117" s="145"/>
      <c r="KKA117" s="145"/>
      <c r="KKB117" s="145"/>
      <c r="KKC117" s="145"/>
      <c r="KKD117" s="145"/>
      <c r="KKG117" s="144"/>
      <c r="KKH117" s="144"/>
      <c r="KKI117" s="144"/>
      <c r="KKJ117" s="144"/>
      <c r="KKK117" s="144"/>
      <c r="KKL117" s="144"/>
      <c r="KKM117" s="144"/>
      <c r="KKN117" s="144"/>
      <c r="KKO117" s="145"/>
      <c r="KKP117" s="145"/>
      <c r="KKQ117" s="145"/>
      <c r="KKR117" s="145"/>
      <c r="KKS117" s="145"/>
      <c r="KKT117" s="145"/>
      <c r="KKW117" s="144"/>
      <c r="KKX117" s="144"/>
      <c r="KKY117" s="144"/>
      <c r="KKZ117" s="144"/>
      <c r="KLA117" s="144"/>
      <c r="KLB117" s="144"/>
      <c r="KLC117" s="144"/>
      <c r="KLD117" s="144"/>
      <c r="KLE117" s="145"/>
      <c r="KLF117" s="145"/>
      <c r="KLG117" s="145"/>
      <c r="KLH117" s="145"/>
      <c r="KLI117" s="145"/>
      <c r="KLJ117" s="145"/>
      <c r="KLM117" s="144"/>
      <c r="KLN117" s="144"/>
      <c r="KLO117" s="144"/>
      <c r="KLP117" s="144"/>
      <c r="KLQ117" s="144"/>
      <c r="KLR117" s="144"/>
      <c r="KLS117" s="144"/>
      <c r="KLT117" s="144"/>
      <c r="KLU117" s="145"/>
      <c r="KLV117" s="145"/>
      <c r="KLW117" s="145"/>
      <c r="KLX117" s="145"/>
      <c r="KLY117" s="145"/>
      <c r="KLZ117" s="145"/>
      <c r="KMC117" s="144"/>
      <c r="KMD117" s="144"/>
      <c r="KME117" s="144"/>
      <c r="KMF117" s="144"/>
      <c r="KMG117" s="144"/>
      <c r="KMH117" s="144"/>
      <c r="KMI117" s="144"/>
      <c r="KMJ117" s="144"/>
      <c r="KMK117" s="145"/>
      <c r="KML117" s="145"/>
      <c r="KMM117" s="145"/>
      <c r="KMN117" s="145"/>
      <c r="KMO117" s="145"/>
      <c r="KMP117" s="145"/>
      <c r="KMS117" s="144"/>
      <c r="KMT117" s="144"/>
      <c r="KMU117" s="144"/>
      <c r="KMV117" s="144"/>
      <c r="KMW117" s="144"/>
      <c r="KMX117" s="144"/>
      <c r="KMY117" s="144"/>
      <c r="KMZ117" s="144"/>
      <c r="KNA117" s="145"/>
      <c r="KNB117" s="145"/>
      <c r="KNC117" s="145"/>
      <c r="KND117" s="145"/>
      <c r="KNE117" s="145"/>
      <c r="KNF117" s="145"/>
      <c r="KNI117" s="144"/>
      <c r="KNJ117" s="144"/>
      <c r="KNK117" s="144"/>
      <c r="KNL117" s="144"/>
      <c r="KNM117" s="144"/>
      <c r="KNN117" s="144"/>
      <c r="KNO117" s="144"/>
      <c r="KNP117" s="144"/>
      <c r="KNQ117" s="145"/>
      <c r="KNR117" s="145"/>
      <c r="KNS117" s="145"/>
      <c r="KNT117" s="145"/>
      <c r="KNU117" s="145"/>
      <c r="KNV117" s="145"/>
      <c r="KNY117" s="144"/>
      <c r="KNZ117" s="144"/>
      <c r="KOA117" s="144"/>
      <c r="KOB117" s="144"/>
      <c r="KOC117" s="144"/>
      <c r="KOD117" s="144"/>
      <c r="KOE117" s="144"/>
      <c r="KOF117" s="144"/>
      <c r="KOG117" s="145"/>
      <c r="KOH117" s="145"/>
      <c r="KOI117" s="145"/>
      <c r="KOJ117" s="145"/>
      <c r="KOK117" s="145"/>
      <c r="KOL117" s="145"/>
      <c r="KOO117" s="144"/>
      <c r="KOP117" s="144"/>
      <c r="KOQ117" s="144"/>
      <c r="KOR117" s="144"/>
      <c r="KOS117" s="144"/>
      <c r="KOT117" s="144"/>
      <c r="KOU117" s="144"/>
      <c r="KOV117" s="144"/>
      <c r="KOW117" s="145"/>
      <c r="KOX117" s="145"/>
      <c r="KOY117" s="145"/>
      <c r="KOZ117" s="145"/>
      <c r="KPA117" s="145"/>
      <c r="KPB117" s="145"/>
      <c r="KPE117" s="144"/>
      <c r="KPF117" s="144"/>
      <c r="KPG117" s="144"/>
      <c r="KPH117" s="144"/>
      <c r="KPI117" s="144"/>
      <c r="KPJ117" s="144"/>
      <c r="KPK117" s="144"/>
      <c r="KPL117" s="144"/>
      <c r="KPM117" s="145"/>
      <c r="KPN117" s="145"/>
      <c r="KPO117" s="145"/>
      <c r="KPP117" s="145"/>
      <c r="KPQ117" s="145"/>
      <c r="KPR117" s="145"/>
      <c r="KPU117" s="144"/>
      <c r="KPV117" s="144"/>
      <c r="KPW117" s="144"/>
      <c r="KPX117" s="144"/>
      <c r="KPY117" s="144"/>
      <c r="KPZ117" s="144"/>
      <c r="KQA117" s="144"/>
      <c r="KQB117" s="144"/>
      <c r="KQC117" s="145"/>
      <c r="KQD117" s="145"/>
      <c r="KQE117" s="145"/>
      <c r="KQF117" s="145"/>
      <c r="KQG117" s="145"/>
      <c r="KQH117" s="145"/>
      <c r="KQK117" s="144"/>
      <c r="KQL117" s="144"/>
      <c r="KQM117" s="144"/>
      <c r="KQN117" s="144"/>
      <c r="KQO117" s="144"/>
      <c r="KQP117" s="144"/>
      <c r="KQQ117" s="144"/>
      <c r="KQR117" s="144"/>
      <c r="KQS117" s="145"/>
      <c r="KQT117" s="145"/>
      <c r="KQU117" s="145"/>
      <c r="KQV117" s="145"/>
      <c r="KQW117" s="145"/>
      <c r="KQX117" s="145"/>
      <c r="KRA117" s="144"/>
      <c r="KRB117" s="144"/>
      <c r="KRC117" s="144"/>
      <c r="KRD117" s="144"/>
      <c r="KRE117" s="144"/>
      <c r="KRF117" s="144"/>
      <c r="KRG117" s="144"/>
      <c r="KRH117" s="144"/>
      <c r="KRI117" s="145"/>
      <c r="KRJ117" s="145"/>
      <c r="KRK117" s="145"/>
      <c r="KRL117" s="145"/>
      <c r="KRM117" s="145"/>
      <c r="KRN117" s="145"/>
      <c r="KRQ117" s="144"/>
      <c r="KRR117" s="144"/>
      <c r="KRS117" s="144"/>
      <c r="KRT117" s="144"/>
      <c r="KRU117" s="144"/>
      <c r="KRV117" s="144"/>
      <c r="KRW117" s="144"/>
      <c r="KRX117" s="144"/>
      <c r="KRY117" s="145"/>
      <c r="KRZ117" s="145"/>
      <c r="KSA117" s="145"/>
      <c r="KSB117" s="145"/>
      <c r="KSC117" s="145"/>
      <c r="KSD117" s="145"/>
      <c r="KSG117" s="144"/>
      <c r="KSH117" s="144"/>
      <c r="KSI117" s="144"/>
      <c r="KSJ117" s="144"/>
      <c r="KSK117" s="144"/>
      <c r="KSL117" s="144"/>
      <c r="KSM117" s="144"/>
      <c r="KSN117" s="144"/>
      <c r="KSO117" s="145"/>
      <c r="KSP117" s="145"/>
      <c r="KSQ117" s="145"/>
      <c r="KSR117" s="145"/>
      <c r="KSS117" s="145"/>
      <c r="KST117" s="145"/>
      <c r="KSW117" s="144"/>
      <c r="KSX117" s="144"/>
      <c r="KSY117" s="144"/>
      <c r="KSZ117" s="144"/>
      <c r="KTA117" s="144"/>
      <c r="KTB117" s="144"/>
      <c r="KTC117" s="144"/>
      <c r="KTD117" s="144"/>
      <c r="KTE117" s="145"/>
      <c r="KTF117" s="145"/>
      <c r="KTG117" s="145"/>
      <c r="KTH117" s="145"/>
      <c r="KTI117" s="145"/>
      <c r="KTJ117" s="145"/>
      <c r="KTM117" s="144"/>
      <c r="KTN117" s="144"/>
      <c r="KTO117" s="144"/>
      <c r="KTP117" s="144"/>
      <c r="KTQ117" s="144"/>
      <c r="KTR117" s="144"/>
      <c r="KTS117" s="144"/>
      <c r="KTT117" s="144"/>
      <c r="KTU117" s="145"/>
      <c r="KTV117" s="145"/>
      <c r="KTW117" s="145"/>
      <c r="KTX117" s="145"/>
      <c r="KTY117" s="145"/>
      <c r="KTZ117" s="145"/>
      <c r="KUC117" s="144"/>
      <c r="KUD117" s="144"/>
      <c r="KUE117" s="144"/>
      <c r="KUF117" s="144"/>
      <c r="KUG117" s="144"/>
      <c r="KUH117" s="144"/>
      <c r="KUI117" s="144"/>
      <c r="KUJ117" s="144"/>
      <c r="KUK117" s="145"/>
      <c r="KUL117" s="145"/>
      <c r="KUM117" s="145"/>
      <c r="KUN117" s="145"/>
      <c r="KUO117" s="145"/>
      <c r="KUP117" s="145"/>
      <c r="KUS117" s="144"/>
      <c r="KUT117" s="144"/>
      <c r="KUU117" s="144"/>
      <c r="KUV117" s="144"/>
      <c r="KUW117" s="144"/>
      <c r="KUX117" s="144"/>
      <c r="KUY117" s="144"/>
      <c r="KUZ117" s="144"/>
      <c r="KVA117" s="145"/>
      <c r="KVB117" s="145"/>
      <c r="KVC117" s="145"/>
      <c r="KVD117" s="145"/>
      <c r="KVE117" s="145"/>
      <c r="KVF117" s="145"/>
      <c r="KVI117" s="144"/>
      <c r="KVJ117" s="144"/>
      <c r="KVK117" s="144"/>
      <c r="KVL117" s="144"/>
      <c r="KVM117" s="144"/>
      <c r="KVN117" s="144"/>
      <c r="KVO117" s="144"/>
      <c r="KVP117" s="144"/>
      <c r="KVQ117" s="145"/>
      <c r="KVR117" s="145"/>
      <c r="KVS117" s="145"/>
      <c r="KVT117" s="145"/>
      <c r="KVU117" s="145"/>
      <c r="KVV117" s="145"/>
      <c r="KVY117" s="144"/>
      <c r="KVZ117" s="144"/>
      <c r="KWA117" s="144"/>
      <c r="KWB117" s="144"/>
      <c r="KWC117" s="144"/>
      <c r="KWD117" s="144"/>
      <c r="KWE117" s="144"/>
      <c r="KWF117" s="144"/>
      <c r="KWG117" s="145"/>
      <c r="KWH117" s="145"/>
      <c r="KWI117" s="145"/>
      <c r="KWJ117" s="145"/>
      <c r="KWK117" s="145"/>
      <c r="KWL117" s="145"/>
      <c r="KWO117" s="144"/>
      <c r="KWP117" s="144"/>
      <c r="KWQ117" s="144"/>
      <c r="KWR117" s="144"/>
      <c r="KWS117" s="144"/>
      <c r="KWT117" s="144"/>
      <c r="KWU117" s="144"/>
      <c r="KWV117" s="144"/>
      <c r="KWW117" s="145"/>
      <c r="KWX117" s="145"/>
      <c r="KWY117" s="145"/>
      <c r="KWZ117" s="145"/>
      <c r="KXA117" s="145"/>
      <c r="KXB117" s="145"/>
      <c r="KXE117" s="144"/>
      <c r="KXF117" s="144"/>
      <c r="KXG117" s="144"/>
      <c r="KXH117" s="144"/>
      <c r="KXI117" s="144"/>
      <c r="KXJ117" s="144"/>
      <c r="KXK117" s="144"/>
      <c r="KXL117" s="144"/>
      <c r="KXM117" s="145"/>
      <c r="KXN117" s="145"/>
      <c r="KXO117" s="145"/>
      <c r="KXP117" s="145"/>
      <c r="KXQ117" s="145"/>
      <c r="KXR117" s="145"/>
      <c r="KXU117" s="144"/>
      <c r="KXV117" s="144"/>
      <c r="KXW117" s="144"/>
      <c r="KXX117" s="144"/>
      <c r="KXY117" s="144"/>
      <c r="KXZ117" s="144"/>
      <c r="KYA117" s="144"/>
      <c r="KYB117" s="144"/>
      <c r="KYC117" s="145"/>
      <c r="KYD117" s="145"/>
      <c r="KYE117" s="145"/>
      <c r="KYF117" s="145"/>
      <c r="KYG117" s="145"/>
      <c r="KYH117" s="145"/>
      <c r="KYK117" s="144"/>
      <c r="KYL117" s="144"/>
      <c r="KYM117" s="144"/>
      <c r="KYN117" s="144"/>
      <c r="KYO117" s="144"/>
      <c r="KYP117" s="144"/>
      <c r="KYQ117" s="144"/>
      <c r="KYR117" s="144"/>
      <c r="KYS117" s="145"/>
      <c r="KYT117" s="145"/>
      <c r="KYU117" s="145"/>
      <c r="KYV117" s="145"/>
      <c r="KYW117" s="145"/>
      <c r="KYX117" s="145"/>
      <c r="KZA117" s="144"/>
      <c r="KZB117" s="144"/>
      <c r="KZC117" s="144"/>
      <c r="KZD117" s="144"/>
      <c r="KZE117" s="144"/>
      <c r="KZF117" s="144"/>
      <c r="KZG117" s="144"/>
      <c r="KZH117" s="144"/>
      <c r="KZI117" s="145"/>
      <c r="KZJ117" s="145"/>
      <c r="KZK117" s="145"/>
      <c r="KZL117" s="145"/>
      <c r="KZM117" s="145"/>
      <c r="KZN117" s="145"/>
      <c r="KZQ117" s="144"/>
      <c r="KZR117" s="144"/>
      <c r="KZS117" s="144"/>
      <c r="KZT117" s="144"/>
      <c r="KZU117" s="144"/>
      <c r="KZV117" s="144"/>
      <c r="KZW117" s="144"/>
      <c r="KZX117" s="144"/>
      <c r="KZY117" s="145"/>
      <c r="KZZ117" s="145"/>
      <c r="LAA117" s="145"/>
      <c r="LAB117" s="145"/>
      <c r="LAC117" s="145"/>
      <c r="LAD117" s="145"/>
      <c r="LAG117" s="144"/>
      <c r="LAH117" s="144"/>
      <c r="LAI117" s="144"/>
      <c r="LAJ117" s="144"/>
      <c r="LAK117" s="144"/>
      <c r="LAL117" s="144"/>
      <c r="LAM117" s="144"/>
      <c r="LAN117" s="144"/>
      <c r="LAO117" s="145"/>
      <c r="LAP117" s="145"/>
      <c r="LAQ117" s="145"/>
      <c r="LAR117" s="145"/>
      <c r="LAS117" s="145"/>
      <c r="LAT117" s="145"/>
      <c r="LAW117" s="144"/>
      <c r="LAX117" s="144"/>
      <c r="LAY117" s="144"/>
      <c r="LAZ117" s="144"/>
      <c r="LBA117" s="144"/>
      <c r="LBB117" s="144"/>
      <c r="LBC117" s="144"/>
      <c r="LBD117" s="144"/>
      <c r="LBE117" s="145"/>
      <c r="LBF117" s="145"/>
      <c r="LBG117" s="145"/>
      <c r="LBH117" s="145"/>
      <c r="LBI117" s="145"/>
      <c r="LBJ117" s="145"/>
      <c r="LBM117" s="144"/>
      <c r="LBN117" s="144"/>
      <c r="LBO117" s="144"/>
      <c r="LBP117" s="144"/>
      <c r="LBQ117" s="144"/>
      <c r="LBR117" s="144"/>
      <c r="LBS117" s="144"/>
      <c r="LBT117" s="144"/>
      <c r="LBU117" s="145"/>
      <c r="LBV117" s="145"/>
      <c r="LBW117" s="145"/>
      <c r="LBX117" s="145"/>
      <c r="LBY117" s="145"/>
      <c r="LBZ117" s="145"/>
      <c r="LCC117" s="144"/>
      <c r="LCD117" s="144"/>
      <c r="LCE117" s="144"/>
      <c r="LCF117" s="144"/>
      <c r="LCG117" s="144"/>
      <c r="LCH117" s="144"/>
      <c r="LCI117" s="144"/>
      <c r="LCJ117" s="144"/>
      <c r="LCK117" s="145"/>
      <c r="LCL117" s="145"/>
      <c r="LCM117" s="145"/>
      <c r="LCN117" s="145"/>
      <c r="LCO117" s="145"/>
      <c r="LCP117" s="145"/>
      <c r="LCS117" s="144"/>
      <c r="LCT117" s="144"/>
      <c r="LCU117" s="144"/>
      <c r="LCV117" s="144"/>
      <c r="LCW117" s="144"/>
      <c r="LCX117" s="144"/>
      <c r="LCY117" s="144"/>
      <c r="LCZ117" s="144"/>
      <c r="LDA117" s="145"/>
      <c r="LDB117" s="145"/>
      <c r="LDC117" s="145"/>
      <c r="LDD117" s="145"/>
      <c r="LDE117" s="145"/>
      <c r="LDF117" s="145"/>
      <c r="LDI117" s="144"/>
      <c r="LDJ117" s="144"/>
      <c r="LDK117" s="144"/>
      <c r="LDL117" s="144"/>
      <c r="LDM117" s="144"/>
      <c r="LDN117" s="144"/>
      <c r="LDO117" s="144"/>
      <c r="LDP117" s="144"/>
      <c r="LDQ117" s="145"/>
      <c r="LDR117" s="145"/>
      <c r="LDS117" s="145"/>
      <c r="LDT117" s="145"/>
      <c r="LDU117" s="145"/>
      <c r="LDV117" s="145"/>
      <c r="LDY117" s="144"/>
      <c r="LDZ117" s="144"/>
      <c r="LEA117" s="144"/>
      <c r="LEB117" s="144"/>
      <c r="LEC117" s="144"/>
      <c r="LED117" s="144"/>
      <c r="LEE117" s="144"/>
      <c r="LEF117" s="144"/>
      <c r="LEG117" s="145"/>
      <c r="LEH117" s="145"/>
      <c r="LEI117" s="145"/>
      <c r="LEJ117" s="145"/>
      <c r="LEK117" s="145"/>
      <c r="LEL117" s="145"/>
      <c r="LEO117" s="144"/>
      <c r="LEP117" s="144"/>
      <c r="LEQ117" s="144"/>
      <c r="LER117" s="144"/>
      <c r="LES117" s="144"/>
      <c r="LET117" s="144"/>
      <c r="LEU117" s="144"/>
      <c r="LEV117" s="144"/>
      <c r="LEW117" s="145"/>
      <c r="LEX117" s="145"/>
      <c r="LEY117" s="145"/>
      <c r="LEZ117" s="145"/>
      <c r="LFA117" s="145"/>
      <c r="LFB117" s="145"/>
      <c r="LFE117" s="144"/>
      <c r="LFF117" s="144"/>
      <c r="LFG117" s="144"/>
      <c r="LFH117" s="144"/>
      <c r="LFI117" s="144"/>
      <c r="LFJ117" s="144"/>
      <c r="LFK117" s="144"/>
      <c r="LFL117" s="144"/>
      <c r="LFM117" s="145"/>
      <c r="LFN117" s="145"/>
      <c r="LFO117" s="145"/>
      <c r="LFP117" s="145"/>
      <c r="LFQ117" s="145"/>
      <c r="LFR117" s="145"/>
      <c r="LFU117" s="144"/>
      <c r="LFV117" s="144"/>
      <c r="LFW117" s="144"/>
      <c r="LFX117" s="144"/>
      <c r="LFY117" s="144"/>
      <c r="LFZ117" s="144"/>
      <c r="LGA117" s="144"/>
      <c r="LGB117" s="144"/>
      <c r="LGC117" s="145"/>
      <c r="LGD117" s="145"/>
      <c r="LGE117" s="145"/>
      <c r="LGF117" s="145"/>
      <c r="LGG117" s="145"/>
      <c r="LGH117" s="145"/>
      <c r="LGK117" s="144"/>
      <c r="LGL117" s="144"/>
      <c r="LGM117" s="144"/>
      <c r="LGN117" s="144"/>
      <c r="LGO117" s="144"/>
      <c r="LGP117" s="144"/>
      <c r="LGQ117" s="144"/>
      <c r="LGR117" s="144"/>
      <c r="LGS117" s="145"/>
      <c r="LGT117" s="145"/>
      <c r="LGU117" s="145"/>
      <c r="LGV117" s="145"/>
      <c r="LGW117" s="145"/>
      <c r="LGX117" s="145"/>
      <c r="LHA117" s="144"/>
      <c r="LHB117" s="144"/>
      <c r="LHC117" s="144"/>
      <c r="LHD117" s="144"/>
      <c r="LHE117" s="144"/>
      <c r="LHF117" s="144"/>
      <c r="LHG117" s="144"/>
      <c r="LHH117" s="144"/>
      <c r="LHI117" s="145"/>
      <c r="LHJ117" s="145"/>
      <c r="LHK117" s="145"/>
      <c r="LHL117" s="145"/>
      <c r="LHM117" s="145"/>
      <c r="LHN117" s="145"/>
      <c r="LHQ117" s="144"/>
      <c r="LHR117" s="144"/>
      <c r="LHS117" s="144"/>
      <c r="LHT117" s="144"/>
      <c r="LHU117" s="144"/>
      <c r="LHV117" s="144"/>
      <c r="LHW117" s="144"/>
      <c r="LHX117" s="144"/>
      <c r="LHY117" s="145"/>
      <c r="LHZ117" s="145"/>
      <c r="LIA117" s="145"/>
      <c r="LIB117" s="145"/>
      <c r="LIC117" s="145"/>
      <c r="LID117" s="145"/>
      <c r="LIG117" s="144"/>
      <c r="LIH117" s="144"/>
      <c r="LII117" s="144"/>
      <c r="LIJ117" s="144"/>
      <c r="LIK117" s="144"/>
      <c r="LIL117" s="144"/>
      <c r="LIM117" s="144"/>
      <c r="LIN117" s="144"/>
      <c r="LIO117" s="145"/>
      <c r="LIP117" s="145"/>
      <c r="LIQ117" s="145"/>
      <c r="LIR117" s="145"/>
      <c r="LIS117" s="145"/>
      <c r="LIT117" s="145"/>
      <c r="LIW117" s="144"/>
      <c r="LIX117" s="144"/>
      <c r="LIY117" s="144"/>
      <c r="LIZ117" s="144"/>
      <c r="LJA117" s="144"/>
      <c r="LJB117" s="144"/>
      <c r="LJC117" s="144"/>
      <c r="LJD117" s="144"/>
      <c r="LJE117" s="145"/>
      <c r="LJF117" s="145"/>
      <c r="LJG117" s="145"/>
      <c r="LJH117" s="145"/>
      <c r="LJI117" s="145"/>
      <c r="LJJ117" s="145"/>
      <c r="LJM117" s="144"/>
      <c r="LJN117" s="144"/>
      <c r="LJO117" s="144"/>
      <c r="LJP117" s="144"/>
      <c r="LJQ117" s="144"/>
      <c r="LJR117" s="144"/>
      <c r="LJS117" s="144"/>
      <c r="LJT117" s="144"/>
      <c r="LJU117" s="145"/>
      <c r="LJV117" s="145"/>
      <c r="LJW117" s="145"/>
      <c r="LJX117" s="145"/>
      <c r="LJY117" s="145"/>
      <c r="LJZ117" s="145"/>
      <c r="LKC117" s="144"/>
      <c r="LKD117" s="144"/>
      <c r="LKE117" s="144"/>
      <c r="LKF117" s="144"/>
      <c r="LKG117" s="144"/>
      <c r="LKH117" s="144"/>
      <c r="LKI117" s="144"/>
      <c r="LKJ117" s="144"/>
      <c r="LKK117" s="145"/>
      <c r="LKL117" s="145"/>
      <c r="LKM117" s="145"/>
      <c r="LKN117" s="145"/>
      <c r="LKO117" s="145"/>
      <c r="LKP117" s="145"/>
      <c r="LKS117" s="144"/>
      <c r="LKT117" s="144"/>
      <c r="LKU117" s="144"/>
      <c r="LKV117" s="144"/>
      <c r="LKW117" s="144"/>
      <c r="LKX117" s="144"/>
      <c r="LKY117" s="144"/>
      <c r="LKZ117" s="144"/>
      <c r="LLA117" s="145"/>
      <c r="LLB117" s="145"/>
      <c r="LLC117" s="145"/>
      <c r="LLD117" s="145"/>
      <c r="LLE117" s="145"/>
      <c r="LLF117" s="145"/>
      <c r="LLI117" s="144"/>
      <c r="LLJ117" s="144"/>
      <c r="LLK117" s="144"/>
      <c r="LLL117" s="144"/>
      <c r="LLM117" s="144"/>
      <c r="LLN117" s="144"/>
      <c r="LLO117" s="144"/>
      <c r="LLP117" s="144"/>
      <c r="LLQ117" s="145"/>
      <c r="LLR117" s="145"/>
      <c r="LLS117" s="145"/>
      <c r="LLT117" s="145"/>
      <c r="LLU117" s="145"/>
      <c r="LLV117" s="145"/>
      <c r="LLY117" s="144"/>
      <c r="LLZ117" s="144"/>
      <c r="LMA117" s="144"/>
      <c r="LMB117" s="144"/>
      <c r="LMC117" s="144"/>
      <c r="LMD117" s="144"/>
      <c r="LME117" s="144"/>
      <c r="LMF117" s="144"/>
      <c r="LMG117" s="145"/>
      <c r="LMH117" s="145"/>
      <c r="LMI117" s="145"/>
      <c r="LMJ117" s="145"/>
      <c r="LMK117" s="145"/>
      <c r="LML117" s="145"/>
      <c r="LMO117" s="144"/>
      <c r="LMP117" s="144"/>
      <c r="LMQ117" s="144"/>
      <c r="LMR117" s="144"/>
      <c r="LMS117" s="144"/>
      <c r="LMT117" s="144"/>
      <c r="LMU117" s="144"/>
      <c r="LMV117" s="144"/>
      <c r="LMW117" s="145"/>
      <c r="LMX117" s="145"/>
      <c r="LMY117" s="145"/>
      <c r="LMZ117" s="145"/>
      <c r="LNA117" s="145"/>
      <c r="LNB117" s="145"/>
      <c r="LNE117" s="144"/>
      <c r="LNF117" s="144"/>
      <c r="LNG117" s="144"/>
      <c r="LNH117" s="144"/>
      <c r="LNI117" s="144"/>
      <c r="LNJ117" s="144"/>
      <c r="LNK117" s="144"/>
      <c r="LNL117" s="144"/>
      <c r="LNM117" s="145"/>
      <c r="LNN117" s="145"/>
      <c r="LNO117" s="145"/>
      <c r="LNP117" s="145"/>
      <c r="LNQ117" s="145"/>
      <c r="LNR117" s="145"/>
      <c r="LNU117" s="144"/>
      <c r="LNV117" s="144"/>
      <c r="LNW117" s="144"/>
      <c r="LNX117" s="144"/>
      <c r="LNY117" s="144"/>
      <c r="LNZ117" s="144"/>
      <c r="LOA117" s="144"/>
      <c r="LOB117" s="144"/>
      <c r="LOC117" s="145"/>
      <c r="LOD117" s="145"/>
      <c r="LOE117" s="145"/>
      <c r="LOF117" s="145"/>
      <c r="LOG117" s="145"/>
      <c r="LOH117" s="145"/>
      <c r="LOK117" s="144"/>
      <c r="LOL117" s="144"/>
      <c r="LOM117" s="144"/>
      <c r="LON117" s="144"/>
      <c r="LOO117" s="144"/>
      <c r="LOP117" s="144"/>
      <c r="LOQ117" s="144"/>
      <c r="LOR117" s="144"/>
      <c r="LOS117" s="145"/>
      <c r="LOT117" s="145"/>
      <c r="LOU117" s="145"/>
      <c r="LOV117" s="145"/>
      <c r="LOW117" s="145"/>
      <c r="LOX117" s="145"/>
      <c r="LPA117" s="144"/>
      <c r="LPB117" s="144"/>
      <c r="LPC117" s="144"/>
      <c r="LPD117" s="144"/>
      <c r="LPE117" s="144"/>
      <c r="LPF117" s="144"/>
      <c r="LPG117" s="144"/>
      <c r="LPH117" s="144"/>
      <c r="LPI117" s="145"/>
      <c r="LPJ117" s="145"/>
      <c r="LPK117" s="145"/>
      <c r="LPL117" s="145"/>
      <c r="LPM117" s="145"/>
      <c r="LPN117" s="145"/>
      <c r="LPQ117" s="144"/>
      <c r="LPR117" s="144"/>
      <c r="LPS117" s="144"/>
      <c r="LPT117" s="144"/>
      <c r="LPU117" s="144"/>
      <c r="LPV117" s="144"/>
      <c r="LPW117" s="144"/>
      <c r="LPX117" s="144"/>
      <c r="LPY117" s="145"/>
      <c r="LPZ117" s="145"/>
      <c r="LQA117" s="145"/>
      <c r="LQB117" s="145"/>
      <c r="LQC117" s="145"/>
      <c r="LQD117" s="145"/>
      <c r="LQG117" s="144"/>
      <c r="LQH117" s="144"/>
      <c r="LQI117" s="144"/>
      <c r="LQJ117" s="144"/>
      <c r="LQK117" s="144"/>
      <c r="LQL117" s="144"/>
      <c r="LQM117" s="144"/>
      <c r="LQN117" s="144"/>
      <c r="LQO117" s="145"/>
      <c r="LQP117" s="145"/>
      <c r="LQQ117" s="145"/>
      <c r="LQR117" s="145"/>
      <c r="LQS117" s="145"/>
      <c r="LQT117" s="145"/>
      <c r="LQW117" s="144"/>
      <c r="LQX117" s="144"/>
      <c r="LQY117" s="144"/>
      <c r="LQZ117" s="144"/>
      <c r="LRA117" s="144"/>
      <c r="LRB117" s="144"/>
      <c r="LRC117" s="144"/>
      <c r="LRD117" s="144"/>
      <c r="LRE117" s="145"/>
      <c r="LRF117" s="145"/>
      <c r="LRG117" s="145"/>
      <c r="LRH117" s="145"/>
      <c r="LRI117" s="145"/>
      <c r="LRJ117" s="145"/>
      <c r="LRM117" s="144"/>
      <c r="LRN117" s="144"/>
      <c r="LRO117" s="144"/>
      <c r="LRP117" s="144"/>
      <c r="LRQ117" s="144"/>
      <c r="LRR117" s="144"/>
      <c r="LRS117" s="144"/>
      <c r="LRT117" s="144"/>
      <c r="LRU117" s="145"/>
      <c r="LRV117" s="145"/>
      <c r="LRW117" s="145"/>
      <c r="LRX117" s="145"/>
      <c r="LRY117" s="145"/>
      <c r="LRZ117" s="145"/>
      <c r="LSC117" s="144"/>
      <c r="LSD117" s="144"/>
      <c r="LSE117" s="144"/>
      <c r="LSF117" s="144"/>
      <c r="LSG117" s="144"/>
      <c r="LSH117" s="144"/>
      <c r="LSI117" s="144"/>
      <c r="LSJ117" s="144"/>
      <c r="LSK117" s="145"/>
      <c r="LSL117" s="145"/>
      <c r="LSM117" s="145"/>
      <c r="LSN117" s="145"/>
      <c r="LSO117" s="145"/>
      <c r="LSP117" s="145"/>
      <c r="LSS117" s="144"/>
      <c r="LST117" s="144"/>
      <c r="LSU117" s="144"/>
      <c r="LSV117" s="144"/>
      <c r="LSW117" s="144"/>
      <c r="LSX117" s="144"/>
      <c r="LSY117" s="144"/>
      <c r="LSZ117" s="144"/>
      <c r="LTA117" s="145"/>
      <c r="LTB117" s="145"/>
      <c r="LTC117" s="145"/>
      <c r="LTD117" s="145"/>
      <c r="LTE117" s="145"/>
      <c r="LTF117" s="145"/>
      <c r="LTI117" s="144"/>
      <c r="LTJ117" s="144"/>
      <c r="LTK117" s="144"/>
      <c r="LTL117" s="144"/>
      <c r="LTM117" s="144"/>
      <c r="LTN117" s="144"/>
      <c r="LTO117" s="144"/>
      <c r="LTP117" s="144"/>
      <c r="LTQ117" s="145"/>
      <c r="LTR117" s="145"/>
      <c r="LTS117" s="145"/>
      <c r="LTT117" s="145"/>
      <c r="LTU117" s="145"/>
      <c r="LTV117" s="145"/>
      <c r="LTY117" s="144"/>
      <c r="LTZ117" s="144"/>
      <c r="LUA117" s="144"/>
      <c r="LUB117" s="144"/>
      <c r="LUC117" s="144"/>
      <c r="LUD117" s="144"/>
      <c r="LUE117" s="144"/>
      <c r="LUF117" s="144"/>
      <c r="LUG117" s="145"/>
      <c r="LUH117" s="145"/>
      <c r="LUI117" s="145"/>
      <c r="LUJ117" s="145"/>
      <c r="LUK117" s="145"/>
      <c r="LUL117" s="145"/>
      <c r="LUO117" s="144"/>
      <c r="LUP117" s="144"/>
      <c r="LUQ117" s="144"/>
      <c r="LUR117" s="144"/>
      <c r="LUS117" s="144"/>
      <c r="LUT117" s="144"/>
      <c r="LUU117" s="144"/>
      <c r="LUV117" s="144"/>
      <c r="LUW117" s="145"/>
      <c r="LUX117" s="145"/>
      <c r="LUY117" s="145"/>
      <c r="LUZ117" s="145"/>
      <c r="LVA117" s="145"/>
      <c r="LVB117" s="145"/>
      <c r="LVE117" s="144"/>
      <c r="LVF117" s="144"/>
      <c r="LVG117" s="144"/>
      <c r="LVH117" s="144"/>
      <c r="LVI117" s="144"/>
      <c r="LVJ117" s="144"/>
      <c r="LVK117" s="144"/>
      <c r="LVL117" s="144"/>
      <c r="LVM117" s="145"/>
      <c r="LVN117" s="145"/>
      <c r="LVO117" s="145"/>
      <c r="LVP117" s="145"/>
      <c r="LVQ117" s="145"/>
      <c r="LVR117" s="145"/>
      <c r="LVU117" s="144"/>
      <c r="LVV117" s="144"/>
      <c r="LVW117" s="144"/>
      <c r="LVX117" s="144"/>
      <c r="LVY117" s="144"/>
      <c r="LVZ117" s="144"/>
      <c r="LWA117" s="144"/>
      <c r="LWB117" s="144"/>
      <c r="LWC117" s="145"/>
      <c r="LWD117" s="145"/>
      <c r="LWE117" s="145"/>
      <c r="LWF117" s="145"/>
      <c r="LWG117" s="145"/>
      <c r="LWH117" s="145"/>
      <c r="LWK117" s="144"/>
      <c r="LWL117" s="144"/>
      <c r="LWM117" s="144"/>
      <c r="LWN117" s="144"/>
      <c r="LWO117" s="144"/>
      <c r="LWP117" s="144"/>
      <c r="LWQ117" s="144"/>
      <c r="LWR117" s="144"/>
      <c r="LWS117" s="145"/>
      <c r="LWT117" s="145"/>
      <c r="LWU117" s="145"/>
      <c r="LWV117" s="145"/>
      <c r="LWW117" s="145"/>
      <c r="LWX117" s="145"/>
      <c r="LXA117" s="144"/>
      <c r="LXB117" s="144"/>
      <c r="LXC117" s="144"/>
      <c r="LXD117" s="144"/>
      <c r="LXE117" s="144"/>
      <c r="LXF117" s="144"/>
      <c r="LXG117" s="144"/>
      <c r="LXH117" s="144"/>
      <c r="LXI117" s="145"/>
      <c r="LXJ117" s="145"/>
      <c r="LXK117" s="145"/>
      <c r="LXL117" s="145"/>
      <c r="LXM117" s="145"/>
      <c r="LXN117" s="145"/>
      <c r="LXQ117" s="144"/>
      <c r="LXR117" s="144"/>
      <c r="LXS117" s="144"/>
      <c r="LXT117" s="144"/>
      <c r="LXU117" s="144"/>
      <c r="LXV117" s="144"/>
      <c r="LXW117" s="144"/>
      <c r="LXX117" s="144"/>
      <c r="LXY117" s="145"/>
      <c r="LXZ117" s="145"/>
      <c r="LYA117" s="145"/>
      <c r="LYB117" s="145"/>
      <c r="LYC117" s="145"/>
      <c r="LYD117" s="145"/>
      <c r="LYG117" s="144"/>
      <c r="LYH117" s="144"/>
      <c r="LYI117" s="144"/>
      <c r="LYJ117" s="144"/>
      <c r="LYK117" s="144"/>
      <c r="LYL117" s="144"/>
      <c r="LYM117" s="144"/>
      <c r="LYN117" s="144"/>
      <c r="LYO117" s="145"/>
      <c r="LYP117" s="145"/>
      <c r="LYQ117" s="145"/>
      <c r="LYR117" s="145"/>
      <c r="LYS117" s="145"/>
      <c r="LYT117" s="145"/>
      <c r="LYW117" s="144"/>
      <c r="LYX117" s="144"/>
      <c r="LYY117" s="144"/>
      <c r="LYZ117" s="144"/>
      <c r="LZA117" s="144"/>
      <c r="LZB117" s="144"/>
      <c r="LZC117" s="144"/>
      <c r="LZD117" s="144"/>
      <c r="LZE117" s="145"/>
      <c r="LZF117" s="145"/>
      <c r="LZG117" s="145"/>
      <c r="LZH117" s="145"/>
      <c r="LZI117" s="145"/>
      <c r="LZJ117" s="145"/>
      <c r="LZM117" s="144"/>
      <c r="LZN117" s="144"/>
      <c r="LZO117" s="144"/>
      <c r="LZP117" s="144"/>
      <c r="LZQ117" s="144"/>
      <c r="LZR117" s="144"/>
      <c r="LZS117" s="144"/>
      <c r="LZT117" s="144"/>
      <c r="LZU117" s="145"/>
      <c r="LZV117" s="145"/>
      <c r="LZW117" s="145"/>
      <c r="LZX117" s="145"/>
      <c r="LZY117" s="145"/>
      <c r="LZZ117" s="145"/>
      <c r="MAC117" s="144"/>
      <c r="MAD117" s="144"/>
      <c r="MAE117" s="144"/>
      <c r="MAF117" s="144"/>
      <c r="MAG117" s="144"/>
      <c r="MAH117" s="144"/>
      <c r="MAI117" s="144"/>
      <c r="MAJ117" s="144"/>
      <c r="MAK117" s="145"/>
      <c r="MAL117" s="145"/>
      <c r="MAM117" s="145"/>
      <c r="MAN117" s="145"/>
      <c r="MAO117" s="145"/>
      <c r="MAP117" s="145"/>
      <c r="MAS117" s="144"/>
      <c r="MAT117" s="144"/>
      <c r="MAU117" s="144"/>
      <c r="MAV117" s="144"/>
      <c r="MAW117" s="144"/>
      <c r="MAX117" s="144"/>
      <c r="MAY117" s="144"/>
      <c r="MAZ117" s="144"/>
      <c r="MBA117" s="145"/>
      <c r="MBB117" s="145"/>
      <c r="MBC117" s="145"/>
      <c r="MBD117" s="145"/>
      <c r="MBE117" s="145"/>
      <c r="MBF117" s="145"/>
      <c r="MBI117" s="144"/>
      <c r="MBJ117" s="144"/>
      <c r="MBK117" s="144"/>
      <c r="MBL117" s="144"/>
      <c r="MBM117" s="144"/>
      <c r="MBN117" s="144"/>
      <c r="MBO117" s="144"/>
      <c r="MBP117" s="144"/>
      <c r="MBQ117" s="145"/>
      <c r="MBR117" s="145"/>
      <c r="MBS117" s="145"/>
      <c r="MBT117" s="145"/>
      <c r="MBU117" s="145"/>
      <c r="MBV117" s="145"/>
      <c r="MBY117" s="144"/>
      <c r="MBZ117" s="144"/>
      <c r="MCA117" s="144"/>
      <c r="MCB117" s="144"/>
      <c r="MCC117" s="144"/>
      <c r="MCD117" s="144"/>
      <c r="MCE117" s="144"/>
      <c r="MCF117" s="144"/>
      <c r="MCG117" s="145"/>
      <c r="MCH117" s="145"/>
      <c r="MCI117" s="145"/>
      <c r="MCJ117" s="145"/>
      <c r="MCK117" s="145"/>
      <c r="MCL117" s="145"/>
      <c r="MCO117" s="144"/>
      <c r="MCP117" s="144"/>
      <c r="MCQ117" s="144"/>
      <c r="MCR117" s="144"/>
      <c r="MCS117" s="144"/>
      <c r="MCT117" s="144"/>
      <c r="MCU117" s="144"/>
      <c r="MCV117" s="144"/>
      <c r="MCW117" s="145"/>
      <c r="MCX117" s="145"/>
      <c r="MCY117" s="145"/>
      <c r="MCZ117" s="145"/>
      <c r="MDA117" s="145"/>
      <c r="MDB117" s="145"/>
      <c r="MDE117" s="144"/>
      <c r="MDF117" s="144"/>
      <c r="MDG117" s="144"/>
      <c r="MDH117" s="144"/>
      <c r="MDI117" s="144"/>
      <c r="MDJ117" s="144"/>
      <c r="MDK117" s="144"/>
      <c r="MDL117" s="144"/>
      <c r="MDM117" s="145"/>
      <c r="MDN117" s="145"/>
      <c r="MDO117" s="145"/>
      <c r="MDP117" s="145"/>
      <c r="MDQ117" s="145"/>
      <c r="MDR117" s="145"/>
      <c r="MDU117" s="144"/>
      <c r="MDV117" s="144"/>
      <c r="MDW117" s="144"/>
      <c r="MDX117" s="144"/>
      <c r="MDY117" s="144"/>
      <c r="MDZ117" s="144"/>
      <c r="MEA117" s="144"/>
      <c r="MEB117" s="144"/>
      <c r="MEC117" s="145"/>
      <c r="MED117" s="145"/>
      <c r="MEE117" s="145"/>
      <c r="MEF117" s="145"/>
      <c r="MEG117" s="145"/>
      <c r="MEH117" s="145"/>
      <c r="MEK117" s="144"/>
      <c r="MEL117" s="144"/>
      <c r="MEM117" s="144"/>
      <c r="MEN117" s="144"/>
      <c r="MEO117" s="144"/>
      <c r="MEP117" s="144"/>
      <c r="MEQ117" s="144"/>
      <c r="MER117" s="144"/>
      <c r="MES117" s="145"/>
      <c r="MET117" s="145"/>
      <c r="MEU117" s="145"/>
      <c r="MEV117" s="145"/>
      <c r="MEW117" s="145"/>
      <c r="MEX117" s="145"/>
      <c r="MFA117" s="144"/>
      <c r="MFB117" s="144"/>
      <c r="MFC117" s="144"/>
      <c r="MFD117" s="144"/>
      <c r="MFE117" s="144"/>
      <c r="MFF117" s="144"/>
      <c r="MFG117" s="144"/>
      <c r="MFH117" s="144"/>
      <c r="MFI117" s="145"/>
      <c r="MFJ117" s="145"/>
      <c r="MFK117" s="145"/>
      <c r="MFL117" s="145"/>
      <c r="MFM117" s="145"/>
      <c r="MFN117" s="145"/>
      <c r="MFQ117" s="144"/>
      <c r="MFR117" s="144"/>
      <c r="MFS117" s="144"/>
      <c r="MFT117" s="144"/>
      <c r="MFU117" s="144"/>
      <c r="MFV117" s="144"/>
      <c r="MFW117" s="144"/>
      <c r="MFX117" s="144"/>
      <c r="MFY117" s="145"/>
      <c r="MFZ117" s="145"/>
      <c r="MGA117" s="145"/>
      <c r="MGB117" s="145"/>
      <c r="MGC117" s="145"/>
      <c r="MGD117" s="145"/>
      <c r="MGG117" s="144"/>
      <c r="MGH117" s="144"/>
      <c r="MGI117" s="144"/>
      <c r="MGJ117" s="144"/>
      <c r="MGK117" s="144"/>
      <c r="MGL117" s="144"/>
      <c r="MGM117" s="144"/>
      <c r="MGN117" s="144"/>
      <c r="MGO117" s="145"/>
      <c r="MGP117" s="145"/>
      <c r="MGQ117" s="145"/>
      <c r="MGR117" s="145"/>
      <c r="MGS117" s="145"/>
      <c r="MGT117" s="145"/>
      <c r="MGW117" s="144"/>
      <c r="MGX117" s="144"/>
      <c r="MGY117" s="144"/>
      <c r="MGZ117" s="144"/>
      <c r="MHA117" s="144"/>
      <c r="MHB117" s="144"/>
      <c r="MHC117" s="144"/>
      <c r="MHD117" s="144"/>
      <c r="MHE117" s="145"/>
      <c r="MHF117" s="145"/>
      <c r="MHG117" s="145"/>
      <c r="MHH117" s="145"/>
      <c r="MHI117" s="145"/>
      <c r="MHJ117" s="145"/>
      <c r="MHM117" s="144"/>
      <c r="MHN117" s="144"/>
      <c r="MHO117" s="144"/>
      <c r="MHP117" s="144"/>
      <c r="MHQ117" s="144"/>
      <c r="MHR117" s="144"/>
      <c r="MHS117" s="144"/>
      <c r="MHT117" s="144"/>
      <c r="MHU117" s="145"/>
      <c r="MHV117" s="145"/>
      <c r="MHW117" s="145"/>
      <c r="MHX117" s="145"/>
      <c r="MHY117" s="145"/>
      <c r="MHZ117" s="145"/>
      <c r="MIC117" s="144"/>
      <c r="MID117" s="144"/>
      <c r="MIE117" s="144"/>
      <c r="MIF117" s="144"/>
      <c r="MIG117" s="144"/>
      <c r="MIH117" s="144"/>
      <c r="MII117" s="144"/>
      <c r="MIJ117" s="144"/>
      <c r="MIK117" s="145"/>
      <c r="MIL117" s="145"/>
      <c r="MIM117" s="145"/>
      <c r="MIN117" s="145"/>
      <c r="MIO117" s="145"/>
      <c r="MIP117" s="145"/>
      <c r="MIS117" s="144"/>
      <c r="MIT117" s="144"/>
      <c r="MIU117" s="144"/>
      <c r="MIV117" s="144"/>
      <c r="MIW117" s="144"/>
      <c r="MIX117" s="144"/>
      <c r="MIY117" s="144"/>
      <c r="MIZ117" s="144"/>
      <c r="MJA117" s="145"/>
      <c r="MJB117" s="145"/>
      <c r="MJC117" s="145"/>
      <c r="MJD117" s="145"/>
      <c r="MJE117" s="145"/>
      <c r="MJF117" s="145"/>
      <c r="MJI117" s="144"/>
      <c r="MJJ117" s="144"/>
      <c r="MJK117" s="144"/>
      <c r="MJL117" s="144"/>
      <c r="MJM117" s="144"/>
      <c r="MJN117" s="144"/>
      <c r="MJO117" s="144"/>
      <c r="MJP117" s="144"/>
      <c r="MJQ117" s="145"/>
      <c r="MJR117" s="145"/>
      <c r="MJS117" s="145"/>
      <c r="MJT117" s="145"/>
      <c r="MJU117" s="145"/>
      <c r="MJV117" s="145"/>
      <c r="MJY117" s="144"/>
      <c r="MJZ117" s="144"/>
      <c r="MKA117" s="144"/>
      <c r="MKB117" s="144"/>
      <c r="MKC117" s="144"/>
      <c r="MKD117" s="144"/>
      <c r="MKE117" s="144"/>
      <c r="MKF117" s="144"/>
      <c r="MKG117" s="145"/>
      <c r="MKH117" s="145"/>
      <c r="MKI117" s="145"/>
      <c r="MKJ117" s="145"/>
      <c r="MKK117" s="145"/>
      <c r="MKL117" s="145"/>
      <c r="MKO117" s="144"/>
      <c r="MKP117" s="144"/>
      <c r="MKQ117" s="144"/>
      <c r="MKR117" s="144"/>
      <c r="MKS117" s="144"/>
      <c r="MKT117" s="144"/>
      <c r="MKU117" s="144"/>
      <c r="MKV117" s="144"/>
      <c r="MKW117" s="145"/>
      <c r="MKX117" s="145"/>
      <c r="MKY117" s="145"/>
      <c r="MKZ117" s="145"/>
      <c r="MLA117" s="145"/>
      <c r="MLB117" s="145"/>
      <c r="MLE117" s="144"/>
      <c r="MLF117" s="144"/>
      <c r="MLG117" s="144"/>
      <c r="MLH117" s="144"/>
      <c r="MLI117" s="144"/>
      <c r="MLJ117" s="144"/>
      <c r="MLK117" s="144"/>
      <c r="MLL117" s="144"/>
      <c r="MLM117" s="145"/>
      <c r="MLN117" s="145"/>
      <c r="MLO117" s="145"/>
      <c r="MLP117" s="145"/>
      <c r="MLQ117" s="145"/>
      <c r="MLR117" s="145"/>
      <c r="MLU117" s="144"/>
      <c r="MLV117" s="144"/>
      <c r="MLW117" s="144"/>
      <c r="MLX117" s="144"/>
      <c r="MLY117" s="144"/>
      <c r="MLZ117" s="144"/>
      <c r="MMA117" s="144"/>
      <c r="MMB117" s="144"/>
      <c r="MMC117" s="145"/>
      <c r="MMD117" s="145"/>
      <c r="MME117" s="145"/>
      <c r="MMF117" s="145"/>
      <c r="MMG117" s="145"/>
      <c r="MMH117" s="145"/>
      <c r="MMK117" s="144"/>
      <c r="MML117" s="144"/>
      <c r="MMM117" s="144"/>
      <c r="MMN117" s="144"/>
      <c r="MMO117" s="144"/>
      <c r="MMP117" s="144"/>
      <c r="MMQ117" s="144"/>
      <c r="MMR117" s="144"/>
      <c r="MMS117" s="145"/>
      <c r="MMT117" s="145"/>
      <c r="MMU117" s="145"/>
      <c r="MMV117" s="145"/>
      <c r="MMW117" s="145"/>
      <c r="MMX117" s="145"/>
      <c r="MNA117" s="144"/>
      <c r="MNB117" s="144"/>
      <c r="MNC117" s="144"/>
      <c r="MND117" s="144"/>
      <c r="MNE117" s="144"/>
      <c r="MNF117" s="144"/>
      <c r="MNG117" s="144"/>
      <c r="MNH117" s="144"/>
      <c r="MNI117" s="145"/>
      <c r="MNJ117" s="145"/>
      <c r="MNK117" s="145"/>
      <c r="MNL117" s="145"/>
      <c r="MNM117" s="145"/>
      <c r="MNN117" s="145"/>
      <c r="MNQ117" s="144"/>
      <c r="MNR117" s="144"/>
      <c r="MNS117" s="144"/>
      <c r="MNT117" s="144"/>
      <c r="MNU117" s="144"/>
      <c r="MNV117" s="144"/>
      <c r="MNW117" s="144"/>
      <c r="MNX117" s="144"/>
      <c r="MNY117" s="145"/>
      <c r="MNZ117" s="145"/>
      <c r="MOA117" s="145"/>
      <c r="MOB117" s="145"/>
      <c r="MOC117" s="145"/>
      <c r="MOD117" s="145"/>
      <c r="MOG117" s="144"/>
      <c r="MOH117" s="144"/>
      <c r="MOI117" s="144"/>
      <c r="MOJ117" s="144"/>
      <c r="MOK117" s="144"/>
      <c r="MOL117" s="144"/>
      <c r="MOM117" s="144"/>
      <c r="MON117" s="144"/>
      <c r="MOO117" s="145"/>
      <c r="MOP117" s="145"/>
      <c r="MOQ117" s="145"/>
      <c r="MOR117" s="145"/>
      <c r="MOS117" s="145"/>
      <c r="MOT117" s="145"/>
      <c r="MOW117" s="144"/>
      <c r="MOX117" s="144"/>
      <c r="MOY117" s="144"/>
      <c r="MOZ117" s="144"/>
      <c r="MPA117" s="144"/>
      <c r="MPB117" s="144"/>
      <c r="MPC117" s="144"/>
      <c r="MPD117" s="144"/>
      <c r="MPE117" s="145"/>
      <c r="MPF117" s="145"/>
      <c r="MPG117" s="145"/>
      <c r="MPH117" s="145"/>
      <c r="MPI117" s="145"/>
      <c r="MPJ117" s="145"/>
      <c r="MPM117" s="144"/>
      <c r="MPN117" s="144"/>
      <c r="MPO117" s="144"/>
      <c r="MPP117" s="144"/>
      <c r="MPQ117" s="144"/>
      <c r="MPR117" s="144"/>
      <c r="MPS117" s="144"/>
      <c r="MPT117" s="144"/>
      <c r="MPU117" s="145"/>
      <c r="MPV117" s="145"/>
      <c r="MPW117" s="145"/>
      <c r="MPX117" s="145"/>
      <c r="MPY117" s="145"/>
      <c r="MPZ117" s="145"/>
      <c r="MQC117" s="144"/>
      <c r="MQD117" s="144"/>
      <c r="MQE117" s="144"/>
      <c r="MQF117" s="144"/>
      <c r="MQG117" s="144"/>
      <c r="MQH117" s="144"/>
      <c r="MQI117" s="144"/>
      <c r="MQJ117" s="144"/>
      <c r="MQK117" s="145"/>
      <c r="MQL117" s="145"/>
      <c r="MQM117" s="145"/>
      <c r="MQN117" s="145"/>
      <c r="MQO117" s="145"/>
      <c r="MQP117" s="145"/>
      <c r="MQS117" s="144"/>
      <c r="MQT117" s="144"/>
      <c r="MQU117" s="144"/>
      <c r="MQV117" s="144"/>
      <c r="MQW117" s="144"/>
      <c r="MQX117" s="144"/>
      <c r="MQY117" s="144"/>
      <c r="MQZ117" s="144"/>
      <c r="MRA117" s="145"/>
      <c r="MRB117" s="145"/>
      <c r="MRC117" s="145"/>
      <c r="MRD117" s="145"/>
      <c r="MRE117" s="145"/>
      <c r="MRF117" s="145"/>
      <c r="MRI117" s="144"/>
      <c r="MRJ117" s="144"/>
      <c r="MRK117" s="144"/>
      <c r="MRL117" s="144"/>
      <c r="MRM117" s="144"/>
      <c r="MRN117" s="144"/>
      <c r="MRO117" s="144"/>
      <c r="MRP117" s="144"/>
      <c r="MRQ117" s="145"/>
      <c r="MRR117" s="145"/>
      <c r="MRS117" s="145"/>
      <c r="MRT117" s="145"/>
      <c r="MRU117" s="145"/>
      <c r="MRV117" s="145"/>
      <c r="MRY117" s="144"/>
      <c r="MRZ117" s="144"/>
      <c r="MSA117" s="144"/>
      <c r="MSB117" s="144"/>
      <c r="MSC117" s="144"/>
      <c r="MSD117" s="144"/>
      <c r="MSE117" s="144"/>
      <c r="MSF117" s="144"/>
      <c r="MSG117" s="145"/>
      <c r="MSH117" s="145"/>
      <c r="MSI117" s="145"/>
      <c r="MSJ117" s="145"/>
      <c r="MSK117" s="145"/>
      <c r="MSL117" s="145"/>
      <c r="MSO117" s="144"/>
      <c r="MSP117" s="144"/>
      <c r="MSQ117" s="144"/>
      <c r="MSR117" s="144"/>
      <c r="MSS117" s="144"/>
      <c r="MST117" s="144"/>
      <c r="MSU117" s="144"/>
      <c r="MSV117" s="144"/>
      <c r="MSW117" s="145"/>
      <c r="MSX117" s="145"/>
      <c r="MSY117" s="145"/>
      <c r="MSZ117" s="145"/>
      <c r="MTA117" s="145"/>
      <c r="MTB117" s="145"/>
      <c r="MTE117" s="144"/>
      <c r="MTF117" s="144"/>
      <c r="MTG117" s="144"/>
      <c r="MTH117" s="144"/>
      <c r="MTI117" s="144"/>
      <c r="MTJ117" s="144"/>
      <c r="MTK117" s="144"/>
      <c r="MTL117" s="144"/>
      <c r="MTM117" s="145"/>
      <c r="MTN117" s="145"/>
      <c r="MTO117" s="145"/>
      <c r="MTP117" s="145"/>
      <c r="MTQ117" s="145"/>
      <c r="MTR117" s="145"/>
      <c r="MTU117" s="144"/>
      <c r="MTV117" s="144"/>
      <c r="MTW117" s="144"/>
      <c r="MTX117" s="144"/>
      <c r="MTY117" s="144"/>
      <c r="MTZ117" s="144"/>
      <c r="MUA117" s="144"/>
      <c r="MUB117" s="144"/>
      <c r="MUC117" s="145"/>
      <c r="MUD117" s="145"/>
      <c r="MUE117" s="145"/>
      <c r="MUF117" s="145"/>
      <c r="MUG117" s="145"/>
      <c r="MUH117" s="145"/>
      <c r="MUK117" s="144"/>
      <c r="MUL117" s="144"/>
      <c r="MUM117" s="144"/>
      <c r="MUN117" s="144"/>
      <c r="MUO117" s="144"/>
      <c r="MUP117" s="144"/>
      <c r="MUQ117" s="144"/>
      <c r="MUR117" s="144"/>
      <c r="MUS117" s="145"/>
      <c r="MUT117" s="145"/>
      <c r="MUU117" s="145"/>
      <c r="MUV117" s="145"/>
      <c r="MUW117" s="145"/>
      <c r="MUX117" s="145"/>
      <c r="MVA117" s="144"/>
      <c r="MVB117" s="144"/>
      <c r="MVC117" s="144"/>
      <c r="MVD117" s="144"/>
      <c r="MVE117" s="144"/>
      <c r="MVF117" s="144"/>
      <c r="MVG117" s="144"/>
      <c r="MVH117" s="144"/>
      <c r="MVI117" s="145"/>
      <c r="MVJ117" s="145"/>
      <c r="MVK117" s="145"/>
      <c r="MVL117" s="145"/>
      <c r="MVM117" s="145"/>
      <c r="MVN117" s="145"/>
      <c r="MVQ117" s="144"/>
      <c r="MVR117" s="144"/>
      <c r="MVS117" s="144"/>
      <c r="MVT117" s="144"/>
      <c r="MVU117" s="144"/>
      <c r="MVV117" s="144"/>
      <c r="MVW117" s="144"/>
      <c r="MVX117" s="144"/>
      <c r="MVY117" s="145"/>
      <c r="MVZ117" s="145"/>
      <c r="MWA117" s="145"/>
      <c r="MWB117" s="145"/>
      <c r="MWC117" s="145"/>
      <c r="MWD117" s="145"/>
      <c r="MWG117" s="144"/>
      <c r="MWH117" s="144"/>
      <c r="MWI117" s="144"/>
      <c r="MWJ117" s="144"/>
      <c r="MWK117" s="144"/>
      <c r="MWL117" s="144"/>
      <c r="MWM117" s="144"/>
      <c r="MWN117" s="144"/>
      <c r="MWO117" s="145"/>
      <c r="MWP117" s="145"/>
      <c r="MWQ117" s="145"/>
      <c r="MWR117" s="145"/>
      <c r="MWS117" s="145"/>
      <c r="MWT117" s="145"/>
      <c r="MWW117" s="144"/>
      <c r="MWX117" s="144"/>
      <c r="MWY117" s="144"/>
      <c r="MWZ117" s="144"/>
      <c r="MXA117" s="144"/>
      <c r="MXB117" s="144"/>
      <c r="MXC117" s="144"/>
      <c r="MXD117" s="144"/>
      <c r="MXE117" s="145"/>
      <c r="MXF117" s="145"/>
      <c r="MXG117" s="145"/>
      <c r="MXH117" s="145"/>
      <c r="MXI117" s="145"/>
      <c r="MXJ117" s="145"/>
      <c r="MXM117" s="144"/>
      <c r="MXN117" s="144"/>
      <c r="MXO117" s="144"/>
      <c r="MXP117" s="144"/>
      <c r="MXQ117" s="144"/>
      <c r="MXR117" s="144"/>
      <c r="MXS117" s="144"/>
      <c r="MXT117" s="144"/>
      <c r="MXU117" s="145"/>
      <c r="MXV117" s="145"/>
      <c r="MXW117" s="145"/>
      <c r="MXX117" s="145"/>
      <c r="MXY117" s="145"/>
      <c r="MXZ117" s="145"/>
      <c r="MYC117" s="144"/>
      <c r="MYD117" s="144"/>
      <c r="MYE117" s="144"/>
      <c r="MYF117" s="144"/>
      <c r="MYG117" s="144"/>
      <c r="MYH117" s="144"/>
      <c r="MYI117" s="144"/>
      <c r="MYJ117" s="144"/>
      <c r="MYK117" s="145"/>
      <c r="MYL117" s="145"/>
      <c r="MYM117" s="145"/>
      <c r="MYN117" s="145"/>
      <c r="MYO117" s="145"/>
      <c r="MYP117" s="145"/>
      <c r="MYS117" s="144"/>
      <c r="MYT117" s="144"/>
      <c r="MYU117" s="144"/>
      <c r="MYV117" s="144"/>
      <c r="MYW117" s="144"/>
      <c r="MYX117" s="144"/>
      <c r="MYY117" s="144"/>
      <c r="MYZ117" s="144"/>
      <c r="MZA117" s="145"/>
      <c r="MZB117" s="145"/>
      <c r="MZC117" s="145"/>
      <c r="MZD117" s="145"/>
      <c r="MZE117" s="145"/>
      <c r="MZF117" s="145"/>
      <c r="MZI117" s="144"/>
      <c r="MZJ117" s="144"/>
      <c r="MZK117" s="144"/>
      <c r="MZL117" s="144"/>
      <c r="MZM117" s="144"/>
      <c r="MZN117" s="144"/>
      <c r="MZO117" s="144"/>
      <c r="MZP117" s="144"/>
      <c r="MZQ117" s="145"/>
      <c r="MZR117" s="145"/>
      <c r="MZS117" s="145"/>
      <c r="MZT117" s="145"/>
      <c r="MZU117" s="145"/>
      <c r="MZV117" s="145"/>
      <c r="MZY117" s="144"/>
      <c r="MZZ117" s="144"/>
      <c r="NAA117" s="144"/>
      <c r="NAB117" s="144"/>
      <c r="NAC117" s="144"/>
      <c r="NAD117" s="144"/>
      <c r="NAE117" s="144"/>
      <c r="NAF117" s="144"/>
      <c r="NAG117" s="145"/>
      <c r="NAH117" s="145"/>
      <c r="NAI117" s="145"/>
      <c r="NAJ117" s="145"/>
      <c r="NAK117" s="145"/>
      <c r="NAL117" s="145"/>
      <c r="NAO117" s="144"/>
      <c r="NAP117" s="144"/>
      <c r="NAQ117" s="144"/>
      <c r="NAR117" s="144"/>
      <c r="NAS117" s="144"/>
      <c r="NAT117" s="144"/>
      <c r="NAU117" s="144"/>
      <c r="NAV117" s="144"/>
      <c r="NAW117" s="145"/>
      <c r="NAX117" s="145"/>
      <c r="NAY117" s="145"/>
      <c r="NAZ117" s="145"/>
      <c r="NBA117" s="145"/>
      <c r="NBB117" s="145"/>
      <c r="NBE117" s="144"/>
      <c r="NBF117" s="144"/>
      <c r="NBG117" s="144"/>
      <c r="NBH117" s="144"/>
      <c r="NBI117" s="144"/>
      <c r="NBJ117" s="144"/>
      <c r="NBK117" s="144"/>
      <c r="NBL117" s="144"/>
      <c r="NBM117" s="145"/>
      <c r="NBN117" s="145"/>
      <c r="NBO117" s="145"/>
      <c r="NBP117" s="145"/>
      <c r="NBQ117" s="145"/>
      <c r="NBR117" s="145"/>
      <c r="NBU117" s="144"/>
      <c r="NBV117" s="144"/>
      <c r="NBW117" s="144"/>
      <c r="NBX117" s="144"/>
      <c r="NBY117" s="144"/>
      <c r="NBZ117" s="144"/>
      <c r="NCA117" s="144"/>
      <c r="NCB117" s="144"/>
      <c r="NCC117" s="145"/>
      <c r="NCD117" s="145"/>
      <c r="NCE117" s="145"/>
      <c r="NCF117" s="145"/>
      <c r="NCG117" s="145"/>
      <c r="NCH117" s="145"/>
      <c r="NCK117" s="144"/>
      <c r="NCL117" s="144"/>
      <c r="NCM117" s="144"/>
      <c r="NCN117" s="144"/>
      <c r="NCO117" s="144"/>
      <c r="NCP117" s="144"/>
      <c r="NCQ117" s="144"/>
      <c r="NCR117" s="144"/>
      <c r="NCS117" s="145"/>
      <c r="NCT117" s="145"/>
      <c r="NCU117" s="145"/>
      <c r="NCV117" s="145"/>
      <c r="NCW117" s="145"/>
      <c r="NCX117" s="145"/>
      <c r="NDA117" s="144"/>
      <c r="NDB117" s="144"/>
      <c r="NDC117" s="144"/>
      <c r="NDD117" s="144"/>
      <c r="NDE117" s="144"/>
      <c r="NDF117" s="144"/>
      <c r="NDG117" s="144"/>
      <c r="NDH117" s="144"/>
      <c r="NDI117" s="145"/>
      <c r="NDJ117" s="145"/>
      <c r="NDK117" s="145"/>
      <c r="NDL117" s="145"/>
      <c r="NDM117" s="145"/>
      <c r="NDN117" s="145"/>
      <c r="NDQ117" s="144"/>
      <c r="NDR117" s="144"/>
      <c r="NDS117" s="144"/>
      <c r="NDT117" s="144"/>
      <c r="NDU117" s="144"/>
      <c r="NDV117" s="144"/>
      <c r="NDW117" s="144"/>
      <c r="NDX117" s="144"/>
      <c r="NDY117" s="145"/>
      <c r="NDZ117" s="145"/>
      <c r="NEA117" s="145"/>
      <c r="NEB117" s="145"/>
      <c r="NEC117" s="145"/>
      <c r="NED117" s="145"/>
      <c r="NEG117" s="144"/>
      <c r="NEH117" s="144"/>
      <c r="NEI117" s="144"/>
      <c r="NEJ117" s="144"/>
      <c r="NEK117" s="144"/>
      <c r="NEL117" s="144"/>
      <c r="NEM117" s="144"/>
      <c r="NEN117" s="144"/>
      <c r="NEO117" s="145"/>
      <c r="NEP117" s="145"/>
      <c r="NEQ117" s="145"/>
      <c r="NER117" s="145"/>
      <c r="NES117" s="145"/>
      <c r="NET117" s="145"/>
      <c r="NEW117" s="144"/>
      <c r="NEX117" s="144"/>
      <c r="NEY117" s="144"/>
      <c r="NEZ117" s="144"/>
      <c r="NFA117" s="144"/>
      <c r="NFB117" s="144"/>
      <c r="NFC117" s="144"/>
      <c r="NFD117" s="144"/>
      <c r="NFE117" s="145"/>
      <c r="NFF117" s="145"/>
      <c r="NFG117" s="145"/>
      <c r="NFH117" s="145"/>
      <c r="NFI117" s="145"/>
      <c r="NFJ117" s="145"/>
      <c r="NFM117" s="144"/>
      <c r="NFN117" s="144"/>
      <c r="NFO117" s="144"/>
      <c r="NFP117" s="144"/>
      <c r="NFQ117" s="144"/>
      <c r="NFR117" s="144"/>
      <c r="NFS117" s="144"/>
      <c r="NFT117" s="144"/>
      <c r="NFU117" s="145"/>
      <c r="NFV117" s="145"/>
      <c r="NFW117" s="145"/>
      <c r="NFX117" s="145"/>
      <c r="NFY117" s="145"/>
      <c r="NFZ117" s="145"/>
      <c r="NGC117" s="144"/>
      <c r="NGD117" s="144"/>
      <c r="NGE117" s="144"/>
      <c r="NGF117" s="144"/>
      <c r="NGG117" s="144"/>
      <c r="NGH117" s="144"/>
      <c r="NGI117" s="144"/>
      <c r="NGJ117" s="144"/>
      <c r="NGK117" s="145"/>
      <c r="NGL117" s="145"/>
      <c r="NGM117" s="145"/>
      <c r="NGN117" s="145"/>
      <c r="NGO117" s="145"/>
      <c r="NGP117" s="145"/>
      <c r="NGS117" s="144"/>
      <c r="NGT117" s="144"/>
      <c r="NGU117" s="144"/>
      <c r="NGV117" s="144"/>
      <c r="NGW117" s="144"/>
      <c r="NGX117" s="144"/>
      <c r="NGY117" s="144"/>
      <c r="NGZ117" s="144"/>
      <c r="NHA117" s="145"/>
      <c r="NHB117" s="145"/>
      <c r="NHC117" s="145"/>
      <c r="NHD117" s="145"/>
      <c r="NHE117" s="145"/>
      <c r="NHF117" s="145"/>
      <c r="NHI117" s="144"/>
      <c r="NHJ117" s="144"/>
      <c r="NHK117" s="144"/>
      <c r="NHL117" s="144"/>
      <c r="NHM117" s="144"/>
      <c r="NHN117" s="144"/>
      <c r="NHO117" s="144"/>
      <c r="NHP117" s="144"/>
      <c r="NHQ117" s="145"/>
      <c r="NHR117" s="145"/>
      <c r="NHS117" s="145"/>
      <c r="NHT117" s="145"/>
      <c r="NHU117" s="145"/>
      <c r="NHV117" s="145"/>
      <c r="NHY117" s="144"/>
      <c r="NHZ117" s="144"/>
      <c r="NIA117" s="144"/>
      <c r="NIB117" s="144"/>
      <c r="NIC117" s="144"/>
      <c r="NID117" s="144"/>
      <c r="NIE117" s="144"/>
      <c r="NIF117" s="144"/>
      <c r="NIG117" s="145"/>
      <c r="NIH117" s="145"/>
      <c r="NII117" s="145"/>
      <c r="NIJ117" s="145"/>
      <c r="NIK117" s="145"/>
      <c r="NIL117" s="145"/>
      <c r="NIO117" s="144"/>
      <c r="NIP117" s="144"/>
      <c r="NIQ117" s="144"/>
      <c r="NIR117" s="144"/>
      <c r="NIS117" s="144"/>
      <c r="NIT117" s="144"/>
      <c r="NIU117" s="144"/>
      <c r="NIV117" s="144"/>
      <c r="NIW117" s="145"/>
      <c r="NIX117" s="145"/>
      <c r="NIY117" s="145"/>
      <c r="NIZ117" s="145"/>
      <c r="NJA117" s="145"/>
      <c r="NJB117" s="145"/>
      <c r="NJE117" s="144"/>
      <c r="NJF117" s="144"/>
      <c r="NJG117" s="144"/>
      <c r="NJH117" s="144"/>
      <c r="NJI117" s="144"/>
      <c r="NJJ117" s="144"/>
      <c r="NJK117" s="144"/>
      <c r="NJL117" s="144"/>
      <c r="NJM117" s="145"/>
      <c r="NJN117" s="145"/>
      <c r="NJO117" s="145"/>
      <c r="NJP117" s="145"/>
      <c r="NJQ117" s="145"/>
      <c r="NJR117" s="145"/>
      <c r="NJU117" s="144"/>
      <c r="NJV117" s="144"/>
      <c r="NJW117" s="144"/>
      <c r="NJX117" s="144"/>
      <c r="NJY117" s="144"/>
      <c r="NJZ117" s="144"/>
      <c r="NKA117" s="144"/>
      <c r="NKB117" s="144"/>
      <c r="NKC117" s="145"/>
      <c r="NKD117" s="145"/>
      <c r="NKE117" s="145"/>
      <c r="NKF117" s="145"/>
      <c r="NKG117" s="145"/>
      <c r="NKH117" s="145"/>
      <c r="NKK117" s="144"/>
      <c r="NKL117" s="144"/>
      <c r="NKM117" s="144"/>
      <c r="NKN117" s="144"/>
      <c r="NKO117" s="144"/>
      <c r="NKP117" s="144"/>
      <c r="NKQ117" s="144"/>
      <c r="NKR117" s="144"/>
      <c r="NKS117" s="145"/>
      <c r="NKT117" s="145"/>
      <c r="NKU117" s="145"/>
      <c r="NKV117" s="145"/>
      <c r="NKW117" s="145"/>
      <c r="NKX117" s="145"/>
      <c r="NLA117" s="144"/>
      <c r="NLB117" s="144"/>
      <c r="NLC117" s="144"/>
      <c r="NLD117" s="144"/>
      <c r="NLE117" s="144"/>
      <c r="NLF117" s="144"/>
      <c r="NLG117" s="144"/>
      <c r="NLH117" s="144"/>
      <c r="NLI117" s="145"/>
      <c r="NLJ117" s="145"/>
      <c r="NLK117" s="145"/>
      <c r="NLL117" s="145"/>
      <c r="NLM117" s="145"/>
      <c r="NLN117" s="145"/>
      <c r="NLQ117" s="144"/>
      <c r="NLR117" s="144"/>
      <c r="NLS117" s="144"/>
      <c r="NLT117" s="144"/>
      <c r="NLU117" s="144"/>
      <c r="NLV117" s="144"/>
      <c r="NLW117" s="144"/>
      <c r="NLX117" s="144"/>
      <c r="NLY117" s="145"/>
      <c r="NLZ117" s="145"/>
      <c r="NMA117" s="145"/>
      <c r="NMB117" s="145"/>
      <c r="NMC117" s="145"/>
      <c r="NMD117" s="145"/>
      <c r="NMG117" s="144"/>
      <c r="NMH117" s="144"/>
      <c r="NMI117" s="144"/>
      <c r="NMJ117" s="144"/>
      <c r="NMK117" s="144"/>
      <c r="NML117" s="144"/>
      <c r="NMM117" s="144"/>
      <c r="NMN117" s="144"/>
      <c r="NMO117" s="145"/>
      <c r="NMP117" s="145"/>
      <c r="NMQ117" s="145"/>
      <c r="NMR117" s="145"/>
      <c r="NMS117" s="145"/>
      <c r="NMT117" s="145"/>
      <c r="NMW117" s="144"/>
      <c r="NMX117" s="144"/>
      <c r="NMY117" s="144"/>
      <c r="NMZ117" s="144"/>
      <c r="NNA117" s="144"/>
      <c r="NNB117" s="144"/>
      <c r="NNC117" s="144"/>
      <c r="NND117" s="144"/>
      <c r="NNE117" s="145"/>
      <c r="NNF117" s="145"/>
      <c r="NNG117" s="145"/>
      <c r="NNH117" s="145"/>
      <c r="NNI117" s="145"/>
      <c r="NNJ117" s="145"/>
      <c r="NNM117" s="144"/>
      <c r="NNN117" s="144"/>
      <c r="NNO117" s="144"/>
      <c r="NNP117" s="144"/>
      <c r="NNQ117" s="144"/>
      <c r="NNR117" s="144"/>
      <c r="NNS117" s="144"/>
      <c r="NNT117" s="144"/>
      <c r="NNU117" s="145"/>
      <c r="NNV117" s="145"/>
      <c r="NNW117" s="145"/>
      <c r="NNX117" s="145"/>
      <c r="NNY117" s="145"/>
      <c r="NNZ117" s="145"/>
      <c r="NOC117" s="144"/>
      <c r="NOD117" s="144"/>
      <c r="NOE117" s="144"/>
      <c r="NOF117" s="144"/>
      <c r="NOG117" s="144"/>
      <c r="NOH117" s="144"/>
      <c r="NOI117" s="144"/>
      <c r="NOJ117" s="144"/>
      <c r="NOK117" s="145"/>
      <c r="NOL117" s="145"/>
      <c r="NOM117" s="145"/>
      <c r="NON117" s="145"/>
      <c r="NOO117" s="145"/>
      <c r="NOP117" s="145"/>
      <c r="NOS117" s="144"/>
      <c r="NOT117" s="144"/>
      <c r="NOU117" s="144"/>
      <c r="NOV117" s="144"/>
      <c r="NOW117" s="144"/>
      <c r="NOX117" s="144"/>
      <c r="NOY117" s="144"/>
      <c r="NOZ117" s="144"/>
      <c r="NPA117" s="145"/>
      <c r="NPB117" s="145"/>
      <c r="NPC117" s="145"/>
      <c r="NPD117" s="145"/>
      <c r="NPE117" s="145"/>
      <c r="NPF117" s="145"/>
      <c r="NPI117" s="144"/>
      <c r="NPJ117" s="144"/>
      <c r="NPK117" s="144"/>
      <c r="NPL117" s="144"/>
      <c r="NPM117" s="144"/>
      <c r="NPN117" s="144"/>
      <c r="NPO117" s="144"/>
      <c r="NPP117" s="144"/>
      <c r="NPQ117" s="145"/>
      <c r="NPR117" s="145"/>
      <c r="NPS117" s="145"/>
      <c r="NPT117" s="145"/>
      <c r="NPU117" s="145"/>
      <c r="NPV117" s="145"/>
      <c r="NPY117" s="144"/>
      <c r="NPZ117" s="144"/>
      <c r="NQA117" s="144"/>
      <c r="NQB117" s="144"/>
      <c r="NQC117" s="144"/>
      <c r="NQD117" s="144"/>
      <c r="NQE117" s="144"/>
      <c r="NQF117" s="144"/>
      <c r="NQG117" s="145"/>
      <c r="NQH117" s="145"/>
      <c r="NQI117" s="145"/>
      <c r="NQJ117" s="145"/>
      <c r="NQK117" s="145"/>
      <c r="NQL117" s="145"/>
      <c r="NQO117" s="144"/>
      <c r="NQP117" s="144"/>
      <c r="NQQ117" s="144"/>
      <c r="NQR117" s="144"/>
      <c r="NQS117" s="144"/>
      <c r="NQT117" s="144"/>
      <c r="NQU117" s="144"/>
      <c r="NQV117" s="144"/>
      <c r="NQW117" s="145"/>
      <c r="NQX117" s="145"/>
      <c r="NQY117" s="145"/>
      <c r="NQZ117" s="145"/>
      <c r="NRA117" s="145"/>
      <c r="NRB117" s="145"/>
      <c r="NRE117" s="144"/>
      <c r="NRF117" s="144"/>
      <c r="NRG117" s="144"/>
      <c r="NRH117" s="144"/>
      <c r="NRI117" s="144"/>
      <c r="NRJ117" s="144"/>
      <c r="NRK117" s="144"/>
      <c r="NRL117" s="144"/>
      <c r="NRM117" s="145"/>
      <c r="NRN117" s="145"/>
      <c r="NRO117" s="145"/>
      <c r="NRP117" s="145"/>
      <c r="NRQ117" s="145"/>
      <c r="NRR117" s="145"/>
      <c r="NRU117" s="144"/>
      <c r="NRV117" s="144"/>
      <c r="NRW117" s="144"/>
      <c r="NRX117" s="144"/>
      <c r="NRY117" s="144"/>
      <c r="NRZ117" s="144"/>
      <c r="NSA117" s="144"/>
      <c r="NSB117" s="144"/>
      <c r="NSC117" s="145"/>
      <c r="NSD117" s="145"/>
      <c r="NSE117" s="145"/>
      <c r="NSF117" s="145"/>
      <c r="NSG117" s="145"/>
      <c r="NSH117" s="145"/>
      <c r="NSK117" s="144"/>
      <c r="NSL117" s="144"/>
      <c r="NSM117" s="144"/>
      <c r="NSN117" s="144"/>
      <c r="NSO117" s="144"/>
      <c r="NSP117" s="144"/>
      <c r="NSQ117" s="144"/>
      <c r="NSR117" s="144"/>
      <c r="NSS117" s="145"/>
      <c r="NST117" s="145"/>
      <c r="NSU117" s="145"/>
      <c r="NSV117" s="145"/>
      <c r="NSW117" s="145"/>
      <c r="NSX117" s="145"/>
      <c r="NTA117" s="144"/>
      <c r="NTB117" s="144"/>
      <c r="NTC117" s="144"/>
      <c r="NTD117" s="144"/>
      <c r="NTE117" s="144"/>
      <c r="NTF117" s="144"/>
      <c r="NTG117" s="144"/>
      <c r="NTH117" s="144"/>
      <c r="NTI117" s="145"/>
      <c r="NTJ117" s="145"/>
      <c r="NTK117" s="145"/>
      <c r="NTL117" s="145"/>
      <c r="NTM117" s="145"/>
      <c r="NTN117" s="145"/>
      <c r="NTQ117" s="144"/>
      <c r="NTR117" s="144"/>
      <c r="NTS117" s="144"/>
      <c r="NTT117" s="144"/>
      <c r="NTU117" s="144"/>
      <c r="NTV117" s="144"/>
      <c r="NTW117" s="144"/>
      <c r="NTX117" s="144"/>
      <c r="NTY117" s="145"/>
      <c r="NTZ117" s="145"/>
      <c r="NUA117" s="145"/>
      <c r="NUB117" s="145"/>
      <c r="NUC117" s="145"/>
      <c r="NUD117" s="145"/>
      <c r="NUG117" s="144"/>
      <c r="NUH117" s="144"/>
      <c r="NUI117" s="144"/>
      <c r="NUJ117" s="144"/>
      <c r="NUK117" s="144"/>
      <c r="NUL117" s="144"/>
      <c r="NUM117" s="144"/>
      <c r="NUN117" s="144"/>
      <c r="NUO117" s="145"/>
      <c r="NUP117" s="145"/>
      <c r="NUQ117" s="145"/>
      <c r="NUR117" s="145"/>
      <c r="NUS117" s="145"/>
      <c r="NUT117" s="145"/>
      <c r="NUW117" s="144"/>
      <c r="NUX117" s="144"/>
      <c r="NUY117" s="144"/>
      <c r="NUZ117" s="144"/>
      <c r="NVA117" s="144"/>
      <c r="NVB117" s="144"/>
      <c r="NVC117" s="144"/>
      <c r="NVD117" s="144"/>
      <c r="NVE117" s="145"/>
      <c r="NVF117" s="145"/>
      <c r="NVG117" s="145"/>
      <c r="NVH117" s="145"/>
      <c r="NVI117" s="145"/>
      <c r="NVJ117" s="145"/>
      <c r="NVM117" s="144"/>
      <c r="NVN117" s="144"/>
      <c r="NVO117" s="144"/>
      <c r="NVP117" s="144"/>
      <c r="NVQ117" s="144"/>
      <c r="NVR117" s="144"/>
      <c r="NVS117" s="144"/>
      <c r="NVT117" s="144"/>
      <c r="NVU117" s="145"/>
      <c r="NVV117" s="145"/>
      <c r="NVW117" s="145"/>
      <c r="NVX117" s="145"/>
      <c r="NVY117" s="145"/>
      <c r="NVZ117" s="145"/>
      <c r="NWC117" s="144"/>
      <c r="NWD117" s="144"/>
      <c r="NWE117" s="144"/>
      <c r="NWF117" s="144"/>
      <c r="NWG117" s="144"/>
      <c r="NWH117" s="144"/>
      <c r="NWI117" s="144"/>
      <c r="NWJ117" s="144"/>
      <c r="NWK117" s="145"/>
      <c r="NWL117" s="145"/>
      <c r="NWM117" s="145"/>
      <c r="NWN117" s="145"/>
      <c r="NWO117" s="145"/>
      <c r="NWP117" s="145"/>
      <c r="NWS117" s="144"/>
      <c r="NWT117" s="144"/>
      <c r="NWU117" s="144"/>
      <c r="NWV117" s="144"/>
      <c r="NWW117" s="144"/>
      <c r="NWX117" s="144"/>
      <c r="NWY117" s="144"/>
      <c r="NWZ117" s="144"/>
      <c r="NXA117" s="145"/>
      <c r="NXB117" s="145"/>
      <c r="NXC117" s="145"/>
      <c r="NXD117" s="145"/>
      <c r="NXE117" s="145"/>
      <c r="NXF117" s="145"/>
      <c r="NXI117" s="144"/>
      <c r="NXJ117" s="144"/>
      <c r="NXK117" s="144"/>
      <c r="NXL117" s="144"/>
      <c r="NXM117" s="144"/>
      <c r="NXN117" s="144"/>
      <c r="NXO117" s="144"/>
      <c r="NXP117" s="144"/>
      <c r="NXQ117" s="145"/>
      <c r="NXR117" s="145"/>
      <c r="NXS117" s="145"/>
      <c r="NXT117" s="145"/>
      <c r="NXU117" s="145"/>
      <c r="NXV117" s="145"/>
      <c r="NXY117" s="144"/>
      <c r="NXZ117" s="144"/>
      <c r="NYA117" s="144"/>
      <c r="NYB117" s="144"/>
      <c r="NYC117" s="144"/>
      <c r="NYD117" s="144"/>
      <c r="NYE117" s="144"/>
      <c r="NYF117" s="144"/>
      <c r="NYG117" s="145"/>
      <c r="NYH117" s="145"/>
      <c r="NYI117" s="145"/>
      <c r="NYJ117" s="145"/>
      <c r="NYK117" s="145"/>
      <c r="NYL117" s="145"/>
      <c r="NYO117" s="144"/>
      <c r="NYP117" s="144"/>
      <c r="NYQ117" s="144"/>
      <c r="NYR117" s="144"/>
      <c r="NYS117" s="144"/>
      <c r="NYT117" s="144"/>
      <c r="NYU117" s="144"/>
      <c r="NYV117" s="144"/>
      <c r="NYW117" s="145"/>
      <c r="NYX117" s="145"/>
      <c r="NYY117" s="145"/>
      <c r="NYZ117" s="145"/>
      <c r="NZA117" s="145"/>
      <c r="NZB117" s="145"/>
      <c r="NZE117" s="144"/>
      <c r="NZF117" s="144"/>
      <c r="NZG117" s="144"/>
      <c r="NZH117" s="144"/>
      <c r="NZI117" s="144"/>
      <c r="NZJ117" s="144"/>
      <c r="NZK117" s="144"/>
      <c r="NZL117" s="144"/>
      <c r="NZM117" s="145"/>
      <c r="NZN117" s="145"/>
      <c r="NZO117" s="145"/>
      <c r="NZP117" s="145"/>
      <c r="NZQ117" s="145"/>
      <c r="NZR117" s="145"/>
      <c r="NZU117" s="144"/>
      <c r="NZV117" s="144"/>
      <c r="NZW117" s="144"/>
      <c r="NZX117" s="144"/>
      <c r="NZY117" s="144"/>
      <c r="NZZ117" s="144"/>
      <c r="OAA117" s="144"/>
      <c r="OAB117" s="144"/>
      <c r="OAC117" s="145"/>
      <c r="OAD117" s="145"/>
      <c r="OAE117" s="145"/>
      <c r="OAF117" s="145"/>
      <c r="OAG117" s="145"/>
      <c r="OAH117" s="145"/>
      <c r="OAK117" s="144"/>
      <c r="OAL117" s="144"/>
      <c r="OAM117" s="144"/>
      <c r="OAN117" s="144"/>
      <c r="OAO117" s="144"/>
      <c r="OAP117" s="144"/>
      <c r="OAQ117" s="144"/>
      <c r="OAR117" s="144"/>
      <c r="OAS117" s="145"/>
      <c r="OAT117" s="145"/>
      <c r="OAU117" s="145"/>
      <c r="OAV117" s="145"/>
      <c r="OAW117" s="145"/>
      <c r="OAX117" s="145"/>
      <c r="OBA117" s="144"/>
      <c r="OBB117" s="144"/>
      <c r="OBC117" s="144"/>
      <c r="OBD117" s="144"/>
      <c r="OBE117" s="144"/>
      <c r="OBF117" s="144"/>
      <c r="OBG117" s="144"/>
      <c r="OBH117" s="144"/>
      <c r="OBI117" s="145"/>
      <c r="OBJ117" s="145"/>
      <c r="OBK117" s="145"/>
      <c r="OBL117" s="145"/>
      <c r="OBM117" s="145"/>
      <c r="OBN117" s="145"/>
      <c r="OBQ117" s="144"/>
      <c r="OBR117" s="144"/>
      <c r="OBS117" s="144"/>
      <c r="OBT117" s="144"/>
      <c r="OBU117" s="144"/>
      <c r="OBV117" s="144"/>
      <c r="OBW117" s="144"/>
      <c r="OBX117" s="144"/>
      <c r="OBY117" s="145"/>
      <c r="OBZ117" s="145"/>
      <c r="OCA117" s="145"/>
      <c r="OCB117" s="145"/>
      <c r="OCC117" s="145"/>
      <c r="OCD117" s="145"/>
      <c r="OCG117" s="144"/>
      <c r="OCH117" s="144"/>
      <c r="OCI117" s="144"/>
      <c r="OCJ117" s="144"/>
      <c r="OCK117" s="144"/>
      <c r="OCL117" s="144"/>
      <c r="OCM117" s="144"/>
      <c r="OCN117" s="144"/>
      <c r="OCO117" s="145"/>
      <c r="OCP117" s="145"/>
      <c r="OCQ117" s="145"/>
      <c r="OCR117" s="145"/>
      <c r="OCS117" s="145"/>
      <c r="OCT117" s="145"/>
      <c r="OCW117" s="144"/>
      <c r="OCX117" s="144"/>
      <c r="OCY117" s="144"/>
      <c r="OCZ117" s="144"/>
      <c r="ODA117" s="144"/>
      <c r="ODB117" s="144"/>
      <c r="ODC117" s="144"/>
      <c r="ODD117" s="144"/>
      <c r="ODE117" s="145"/>
      <c r="ODF117" s="145"/>
      <c r="ODG117" s="145"/>
      <c r="ODH117" s="145"/>
      <c r="ODI117" s="145"/>
      <c r="ODJ117" s="145"/>
      <c r="ODM117" s="144"/>
      <c r="ODN117" s="144"/>
      <c r="ODO117" s="144"/>
      <c r="ODP117" s="144"/>
      <c r="ODQ117" s="144"/>
      <c r="ODR117" s="144"/>
      <c r="ODS117" s="144"/>
      <c r="ODT117" s="144"/>
      <c r="ODU117" s="145"/>
      <c r="ODV117" s="145"/>
      <c r="ODW117" s="145"/>
      <c r="ODX117" s="145"/>
      <c r="ODY117" s="145"/>
      <c r="ODZ117" s="145"/>
      <c r="OEC117" s="144"/>
      <c r="OED117" s="144"/>
      <c r="OEE117" s="144"/>
      <c r="OEF117" s="144"/>
      <c r="OEG117" s="144"/>
      <c r="OEH117" s="144"/>
      <c r="OEI117" s="144"/>
      <c r="OEJ117" s="144"/>
      <c r="OEK117" s="145"/>
      <c r="OEL117" s="145"/>
      <c r="OEM117" s="145"/>
      <c r="OEN117" s="145"/>
      <c r="OEO117" s="145"/>
      <c r="OEP117" s="145"/>
      <c r="OES117" s="144"/>
      <c r="OET117" s="144"/>
      <c r="OEU117" s="144"/>
      <c r="OEV117" s="144"/>
      <c r="OEW117" s="144"/>
      <c r="OEX117" s="144"/>
      <c r="OEY117" s="144"/>
      <c r="OEZ117" s="144"/>
      <c r="OFA117" s="145"/>
      <c r="OFB117" s="145"/>
      <c r="OFC117" s="145"/>
      <c r="OFD117" s="145"/>
      <c r="OFE117" s="145"/>
      <c r="OFF117" s="145"/>
      <c r="OFI117" s="144"/>
      <c r="OFJ117" s="144"/>
      <c r="OFK117" s="144"/>
      <c r="OFL117" s="144"/>
      <c r="OFM117" s="144"/>
      <c r="OFN117" s="144"/>
      <c r="OFO117" s="144"/>
      <c r="OFP117" s="144"/>
      <c r="OFQ117" s="145"/>
      <c r="OFR117" s="145"/>
      <c r="OFS117" s="145"/>
      <c r="OFT117" s="145"/>
      <c r="OFU117" s="145"/>
      <c r="OFV117" s="145"/>
      <c r="OFY117" s="144"/>
      <c r="OFZ117" s="144"/>
      <c r="OGA117" s="144"/>
      <c r="OGB117" s="144"/>
      <c r="OGC117" s="144"/>
      <c r="OGD117" s="144"/>
      <c r="OGE117" s="144"/>
      <c r="OGF117" s="144"/>
      <c r="OGG117" s="145"/>
      <c r="OGH117" s="145"/>
      <c r="OGI117" s="145"/>
      <c r="OGJ117" s="145"/>
      <c r="OGK117" s="145"/>
      <c r="OGL117" s="145"/>
      <c r="OGO117" s="144"/>
      <c r="OGP117" s="144"/>
      <c r="OGQ117" s="144"/>
      <c r="OGR117" s="144"/>
      <c r="OGS117" s="144"/>
      <c r="OGT117" s="144"/>
      <c r="OGU117" s="144"/>
      <c r="OGV117" s="144"/>
      <c r="OGW117" s="145"/>
      <c r="OGX117" s="145"/>
      <c r="OGY117" s="145"/>
      <c r="OGZ117" s="145"/>
      <c r="OHA117" s="145"/>
      <c r="OHB117" s="145"/>
      <c r="OHE117" s="144"/>
      <c r="OHF117" s="144"/>
      <c r="OHG117" s="144"/>
      <c r="OHH117" s="144"/>
      <c r="OHI117" s="144"/>
      <c r="OHJ117" s="144"/>
      <c r="OHK117" s="144"/>
      <c r="OHL117" s="144"/>
      <c r="OHM117" s="145"/>
      <c r="OHN117" s="145"/>
      <c r="OHO117" s="145"/>
      <c r="OHP117" s="145"/>
      <c r="OHQ117" s="145"/>
      <c r="OHR117" s="145"/>
      <c r="OHU117" s="144"/>
      <c r="OHV117" s="144"/>
      <c r="OHW117" s="144"/>
      <c r="OHX117" s="144"/>
      <c r="OHY117" s="144"/>
      <c r="OHZ117" s="144"/>
      <c r="OIA117" s="144"/>
      <c r="OIB117" s="144"/>
      <c r="OIC117" s="145"/>
      <c r="OID117" s="145"/>
      <c r="OIE117" s="145"/>
      <c r="OIF117" s="145"/>
      <c r="OIG117" s="145"/>
      <c r="OIH117" s="145"/>
      <c r="OIK117" s="144"/>
      <c r="OIL117" s="144"/>
      <c r="OIM117" s="144"/>
      <c r="OIN117" s="144"/>
      <c r="OIO117" s="144"/>
      <c r="OIP117" s="144"/>
      <c r="OIQ117" s="144"/>
      <c r="OIR117" s="144"/>
      <c r="OIS117" s="145"/>
      <c r="OIT117" s="145"/>
      <c r="OIU117" s="145"/>
      <c r="OIV117" s="145"/>
      <c r="OIW117" s="145"/>
      <c r="OIX117" s="145"/>
      <c r="OJA117" s="144"/>
      <c r="OJB117" s="144"/>
      <c r="OJC117" s="144"/>
      <c r="OJD117" s="144"/>
      <c r="OJE117" s="144"/>
      <c r="OJF117" s="144"/>
      <c r="OJG117" s="144"/>
      <c r="OJH117" s="144"/>
      <c r="OJI117" s="145"/>
      <c r="OJJ117" s="145"/>
      <c r="OJK117" s="145"/>
      <c r="OJL117" s="145"/>
      <c r="OJM117" s="145"/>
      <c r="OJN117" s="145"/>
      <c r="OJQ117" s="144"/>
      <c r="OJR117" s="144"/>
      <c r="OJS117" s="144"/>
      <c r="OJT117" s="144"/>
      <c r="OJU117" s="144"/>
      <c r="OJV117" s="144"/>
      <c r="OJW117" s="144"/>
      <c r="OJX117" s="144"/>
      <c r="OJY117" s="145"/>
      <c r="OJZ117" s="145"/>
      <c r="OKA117" s="145"/>
      <c r="OKB117" s="145"/>
      <c r="OKC117" s="145"/>
      <c r="OKD117" s="145"/>
      <c r="OKG117" s="144"/>
      <c r="OKH117" s="144"/>
      <c r="OKI117" s="144"/>
      <c r="OKJ117" s="144"/>
      <c r="OKK117" s="144"/>
      <c r="OKL117" s="144"/>
      <c r="OKM117" s="144"/>
      <c r="OKN117" s="144"/>
      <c r="OKO117" s="145"/>
      <c r="OKP117" s="145"/>
      <c r="OKQ117" s="145"/>
      <c r="OKR117" s="145"/>
      <c r="OKS117" s="145"/>
      <c r="OKT117" s="145"/>
      <c r="OKW117" s="144"/>
      <c r="OKX117" s="144"/>
      <c r="OKY117" s="144"/>
      <c r="OKZ117" s="144"/>
      <c r="OLA117" s="144"/>
      <c r="OLB117" s="144"/>
      <c r="OLC117" s="144"/>
      <c r="OLD117" s="144"/>
      <c r="OLE117" s="145"/>
      <c r="OLF117" s="145"/>
      <c r="OLG117" s="145"/>
      <c r="OLH117" s="145"/>
      <c r="OLI117" s="145"/>
      <c r="OLJ117" s="145"/>
      <c r="OLM117" s="144"/>
      <c r="OLN117" s="144"/>
      <c r="OLO117" s="144"/>
      <c r="OLP117" s="144"/>
      <c r="OLQ117" s="144"/>
      <c r="OLR117" s="144"/>
      <c r="OLS117" s="144"/>
      <c r="OLT117" s="144"/>
      <c r="OLU117" s="145"/>
      <c r="OLV117" s="145"/>
      <c r="OLW117" s="145"/>
      <c r="OLX117" s="145"/>
      <c r="OLY117" s="145"/>
      <c r="OLZ117" s="145"/>
      <c r="OMC117" s="144"/>
      <c r="OMD117" s="144"/>
      <c r="OME117" s="144"/>
      <c r="OMF117" s="144"/>
      <c r="OMG117" s="144"/>
      <c r="OMH117" s="144"/>
      <c r="OMI117" s="144"/>
      <c r="OMJ117" s="144"/>
      <c r="OMK117" s="145"/>
      <c r="OML117" s="145"/>
      <c r="OMM117" s="145"/>
      <c r="OMN117" s="145"/>
      <c r="OMO117" s="145"/>
      <c r="OMP117" s="145"/>
      <c r="OMS117" s="144"/>
      <c r="OMT117" s="144"/>
      <c r="OMU117" s="144"/>
      <c r="OMV117" s="144"/>
      <c r="OMW117" s="144"/>
      <c r="OMX117" s="144"/>
      <c r="OMY117" s="144"/>
      <c r="OMZ117" s="144"/>
      <c r="ONA117" s="145"/>
      <c r="ONB117" s="145"/>
      <c r="ONC117" s="145"/>
      <c r="OND117" s="145"/>
      <c r="ONE117" s="145"/>
      <c r="ONF117" s="145"/>
      <c r="ONI117" s="144"/>
      <c r="ONJ117" s="144"/>
      <c r="ONK117" s="144"/>
      <c r="ONL117" s="144"/>
      <c r="ONM117" s="144"/>
      <c r="ONN117" s="144"/>
      <c r="ONO117" s="144"/>
      <c r="ONP117" s="144"/>
      <c r="ONQ117" s="145"/>
      <c r="ONR117" s="145"/>
      <c r="ONS117" s="145"/>
      <c r="ONT117" s="145"/>
      <c r="ONU117" s="145"/>
      <c r="ONV117" s="145"/>
      <c r="ONY117" s="144"/>
      <c r="ONZ117" s="144"/>
      <c r="OOA117" s="144"/>
      <c r="OOB117" s="144"/>
      <c r="OOC117" s="144"/>
      <c r="OOD117" s="144"/>
      <c r="OOE117" s="144"/>
      <c r="OOF117" s="144"/>
      <c r="OOG117" s="145"/>
      <c r="OOH117" s="145"/>
      <c r="OOI117" s="145"/>
      <c r="OOJ117" s="145"/>
      <c r="OOK117" s="145"/>
      <c r="OOL117" s="145"/>
      <c r="OOO117" s="144"/>
      <c r="OOP117" s="144"/>
      <c r="OOQ117" s="144"/>
      <c r="OOR117" s="144"/>
      <c r="OOS117" s="144"/>
      <c r="OOT117" s="144"/>
      <c r="OOU117" s="144"/>
      <c r="OOV117" s="144"/>
      <c r="OOW117" s="145"/>
      <c r="OOX117" s="145"/>
      <c r="OOY117" s="145"/>
      <c r="OOZ117" s="145"/>
      <c r="OPA117" s="145"/>
      <c r="OPB117" s="145"/>
      <c r="OPE117" s="144"/>
      <c r="OPF117" s="144"/>
      <c r="OPG117" s="144"/>
      <c r="OPH117" s="144"/>
      <c r="OPI117" s="144"/>
      <c r="OPJ117" s="144"/>
      <c r="OPK117" s="144"/>
      <c r="OPL117" s="144"/>
      <c r="OPM117" s="145"/>
      <c r="OPN117" s="145"/>
      <c r="OPO117" s="145"/>
      <c r="OPP117" s="145"/>
      <c r="OPQ117" s="145"/>
      <c r="OPR117" s="145"/>
      <c r="OPU117" s="144"/>
      <c r="OPV117" s="144"/>
      <c r="OPW117" s="144"/>
      <c r="OPX117" s="144"/>
      <c r="OPY117" s="144"/>
      <c r="OPZ117" s="144"/>
      <c r="OQA117" s="144"/>
      <c r="OQB117" s="144"/>
      <c r="OQC117" s="145"/>
      <c r="OQD117" s="145"/>
      <c r="OQE117" s="145"/>
      <c r="OQF117" s="145"/>
      <c r="OQG117" s="145"/>
      <c r="OQH117" s="145"/>
      <c r="OQK117" s="144"/>
      <c r="OQL117" s="144"/>
      <c r="OQM117" s="144"/>
      <c r="OQN117" s="144"/>
      <c r="OQO117" s="144"/>
      <c r="OQP117" s="144"/>
      <c r="OQQ117" s="144"/>
      <c r="OQR117" s="144"/>
      <c r="OQS117" s="145"/>
      <c r="OQT117" s="145"/>
      <c r="OQU117" s="145"/>
      <c r="OQV117" s="145"/>
      <c r="OQW117" s="145"/>
      <c r="OQX117" s="145"/>
      <c r="ORA117" s="144"/>
      <c r="ORB117" s="144"/>
      <c r="ORC117" s="144"/>
      <c r="ORD117" s="144"/>
      <c r="ORE117" s="144"/>
      <c r="ORF117" s="144"/>
      <c r="ORG117" s="144"/>
      <c r="ORH117" s="144"/>
      <c r="ORI117" s="145"/>
      <c r="ORJ117" s="145"/>
      <c r="ORK117" s="145"/>
      <c r="ORL117" s="145"/>
      <c r="ORM117" s="145"/>
      <c r="ORN117" s="145"/>
      <c r="ORQ117" s="144"/>
      <c r="ORR117" s="144"/>
      <c r="ORS117" s="144"/>
      <c r="ORT117" s="144"/>
      <c r="ORU117" s="144"/>
      <c r="ORV117" s="144"/>
      <c r="ORW117" s="144"/>
      <c r="ORX117" s="144"/>
      <c r="ORY117" s="145"/>
      <c r="ORZ117" s="145"/>
      <c r="OSA117" s="145"/>
      <c r="OSB117" s="145"/>
      <c r="OSC117" s="145"/>
      <c r="OSD117" s="145"/>
      <c r="OSG117" s="144"/>
      <c r="OSH117" s="144"/>
      <c r="OSI117" s="144"/>
      <c r="OSJ117" s="144"/>
      <c r="OSK117" s="144"/>
      <c r="OSL117" s="144"/>
      <c r="OSM117" s="144"/>
      <c r="OSN117" s="144"/>
      <c r="OSO117" s="145"/>
      <c r="OSP117" s="145"/>
      <c r="OSQ117" s="145"/>
      <c r="OSR117" s="145"/>
      <c r="OSS117" s="145"/>
      <c r="OST117" s="145"/>
      <c r="OSW117" s="144"/>
      <c r="OSX117" s="144"/>
      <c r="OSY117" s="144"/>
      <c r="OSZ117" s="144"/>
      <c r="OTA117" s="144"/>
      <c r="OTB117" s="144"/>
      <c r="OTC117" s="144"/>
      <c r="OTD117" s="144"/>
      <c r="OTE117" s="145"/>
      <c r="OTF117" s="145"/>
      <c r="OTG117" s="145"/>
      <c r="OTH117" s="145"/>
      <c r="OTI117" s="145"/>
      <c r="OTJ117" s="145"/>
      <c r="OTM117" s="144"/>
      <c r="OTN117" s="144"/>
      <c r="OTO117" s="144"/>
      <c r="OTP117" s="144"/>
      <c r="OTQ117" s="144"/>
      <c r="OTR117" s="144"/>
      <c r="OTS117" s="144"/>
      <c r="OTT117" s="144"/>
      <c r="OTU117" s="145"/>
      <c r="OTV117" s="145"/>
      <c r="OTW117" s="145"/>
      <c r="OTX117" s="145"/>
      <c r="OTY117" s="145"/>
      <c r="OTZ117" s="145"/>
      <c r="OUC117" s="144"/>
      <c r="OUD117" s="144"/>
      <c r="OUE117" s="144"/>
      <c r="OUF117" s="144"/>
      <c r="OUG117" s="144"/>
      <c r="OUH117" s="144"/>
      <c r="OUI117" s="144"/>
      <c r="OUJ117" s="144"/>
      <c r="OUK117" s="145"/>
      <c r="OUL117" s="145"/>
      <c r="OUM117" s="145"/>
      <c r="OUN117" s="145"/>
      <c r="OUO117" s="145"/>
      <c r="OUP117" s="145"/>
      <c r="OUS117" s="144"/>
      <c r="OUT117" s="144"/>
      <c r="OUU117" s="144"/>
      <c r="OUV117" s="144"/>
      <c r="OUW117" s="144"/>
      <c r="OUX117" s="144"/>
      <c r="OUY117" s="144"/>
      <c r="OUZ117" s="144"/>
      <c r="OVA117" s="145"/>
      <c r="OVB117" s="145"/>
      <c r="OVC117" s="145"/>
      <c r="OVD117" s="145"/>
      <c r="OVE117" s="145"/>
      <c r="OVF117" s="145"/>
      <c r="OVI117" s="144"/>
      <c r="OVJ117" s="144"/>
      <c r="OVK117" s="144"/>
      <c r="OVL117" s="144"/>
      <c r="OVM117" s="144"/>
      <c r="OVN117" s="144"/>
      <c r="OVO117" s="144"/>
      <c r="OVP117" s="144"/>
      <c r="OVQ117" s="145"/>
      <c r="OVR117" s="145"/>
      <c r="OVS117" s="145"/>
      <c r="OVT117" s="145"/>
      <c r="OVU117" s="145"/>
      <c r="OVV117" s="145"/>
      <c r="OVY117" s="144"/>
      <c r="OVZ117" s="144"/>
      <c r="OWA117" s="144"/>
      <c r="OWB117" s="144"/>
      <c r="OWC117" s="144"/>
      <c r="OWD117" s="144"/>
      <c r="OWE117" s="144"/>
      <c r="OWF117" s="144"/>
      <c r="OWG117" s="145"/>
      <c r="OWH117" s="145"/>
      <c r="OWI117" s="145"/>
      <c r="OWJ117" s="145"/>
      <c r="OWK117" s="145"/>
      <c r="OWL117" s="145"/>
      <c r="OWO117" s="144"/>
      <c r="OWP117" s="144"/>
      <c r="OWQ117" s="144"/>
      <c r="OWR117" s="144"/>
      <c r="OWS117" s="144"/>
      <c r="OWT117" s="144"/>
      <c r="OWU117" s="144"/>
      <c r="OWV117" s="144"/>
      <c r="OWW117" s="145"/>
      <c r="OWX117" s="145"/>
      <c r="OWY117" s="145"/>
      <c r="OWZ117" s="145"/>
      <c r="OXA117" s="145"/>
      <c r="OXB117" s="145"/>
      <c r="OXE117" s="144"/>
      <c r="OXF117" s="144"/>
      <c r="OXG117" s="144"/>
      <c r="OXH117" s="144"/>
      <c r="OXI117" s="144"/>
      <c r="OXJ117" s="144"/>
      <c r="OXK117" s="144"/>
      <c r="OXL117" s="144"/>
      <c r="OXM117" s="145"/>
      <c r="OXN117" s="145"/>
      <c r="OXO117" s="145"/>
      <c r="OXP117" s="145"/>
      <c r="OXQ117" s="145"/>
      <c r="OXR117" s="145"/>
      <c r="OXU117" s="144"/>
      <c r="OXV117" s="144"/>
      <c r="OXW117" s="144"/>
      <c r="OXX117" s="144"/>
      <c r="OXY117" s="144"/>
      <c r="OXZ117" s="144"/>
      <c r="OYA117" s="144"/>
      <c r="OYB117" s="144"/>
      <c r="OYC117" s="145"/>
      <c r="OYD117" s="145"/>
      <c r="OYE117" s="145"/>
      <c r="OYF117" s="145"/>
      <c r="OYG117" s="145"/>
      <c r="OYH117" s="145"/>
      <c r="OYK117" s="144"/>
      <c r="OYL117" s="144"/>
      <c r="OYM117" s="144"/>
      <c r="OYN117" s="144"/>
      <c r="OYO117" s="144"/>
      <c r="OYP117" s="144"/>
      <c r="OYQ117" s="144"/>
      <c r="OYR117" s="144"/>
      <c r="OYS117" s="145"/>
      <c r="OYT117" s="145"/>
      <c r="OYU117" s="145"/>
      <c r="OYV117" s="145"/>
      <c r="OYW117" s="145"/>
      <c r="OYX117" s="145"/>
      <c r="OZA117" s="144"/>
      <c r="OZB117" s="144"/>
      <c r="OZC117" s="144"/>
      <c r="OZD117" s="144"/>
      <c r="OZE117" s="144"/>
      <c r="OZF117" s="144"/>
      <c r="OZG117" s="144"/>
      <c r="OZH117" s="144"/>
      <c r="OZI117" s="145"/>
      <c r="OZJ117" s="145"/>
      <c r="OZK117" s="145"/>
      <c r="OZL117" s="145"/>
      <c r="OZM117" s="145"/>
      <c r="OZN117" s="145"/>
      <c r="OZQ117" s="144"/>
      <c r="OZR117" s="144"/>
      <c r="OZS117" s="144"/>
      <c r="OZT117" s="144"/>
      <c r="OZU117" s="144"/>
      <c r="OZV117" s="144"/>
      <c r="OZW117" s="144"/>
      <c r="OZX117" s="144"/>
      <c r="OZY117" s="145"/>
      <c r="OZZ117" s="145"/>
      <c r="PAA117" s="145"/>
      <c r="PAB117" s="145"/>
      <c r="PAC117" s="145"/>
      <c r="PAD117" s="145"/>
      <c r="PAG117" s="144"/>
      <c r="PAH117" s="144"/>
      <c r="PAI117" s="144"/>
      <c r="PAJ117" s="144"/>
      <c r="PAK117" s="144"/>
      <c r="PAL117" s="144"/>
      <c r="PAM117" s="144"/>
      <c r="PAN117" s="144"/>
      <c r="PAO117" s="145"/>
      <c r="PAP117" s="145"/>
      <c r="PAQ117" s="145"/>
      <c r="PAR117" s="145"/>
      <c r="PAS117" s="145"/>
      <c r="PAT117" s="145"/>
      <c r="PAW117" s="144"/>
      <c r="PAX117" s="144"/>
      <c r="PAY117" s="144"/>
      <c r="PAZ117" s="144"/>
      <c r="PBA117" s="144"/>
      <c r="PBB117" s="144"/>
      <c r="PBC117" s="144"/>
      <c r="PBD117" s="144"/>
      <c r="PBE117" s="145"/>
      <c r="PBF117" s="145"/>
      <c r="PBG117" s="145"/>
      <c r="PBH117" s="145"/>
      <c r="PBI117" s="145"/>
      <c r="PBJ117" s="145"/>
      <c r="PBM117" s="144"/>
      <c r="PBN117" s="144"/>
      <c r="PBO117" s="144"/>
      <c r="PBP117" s="144"/>
      <c r="PBQ117" s="144"/>
      <c r="PBR117" s="144"/>
      <c r="PBS117" s="144"/>
      <c r="PBT117" s="144"/>
      <c r="PBU117" s="145"/>
      <c r="PBV117" s="145"/>
      <c r="PBW117" s="145"/>
      <c r="PBX117" s="145"/>
      <c r="PBY117" s="145"/>
      <c r="PBZ117" s="145"/>
      <c r="PCC117" s="144"/>
      <c r="PCD117" s="144"/>
      <c r="PCE117" s="144"/>
      <c r="PCF117" s="144"/>
      <c r="PCG117" s="144"/>
      <c r="PCH117" s="144"/>
      <c r="PCI117" s="144"/>
      <c r="PCJ117" s="144"/>
      <c r="PCK117" s="145"/>
      <c r="PCL117" s="145"/>
      <c r="PCM117" s="145"/>
      <c r="PCN117" s="145"/>
      <c r="PCO117" s="145"/>
      <c r="PCP117" s="145"/>
      <c r="PCS117" s="144"/>
      <c r="PCT117" s="144"/>
      <c r="PCU117" s="144"/>
      <c r="PCV117" s="144"/>
      <c r="PCW117" s="144"/>
      <c r="PCX117" s="144"/>
      <c r="PCY117" s="144"/>
      <c r="PCZ117" s="144"/>
      <c r="PDA117" s="145"/>
      <c r="PDB117" s="145"/>
      <c r="PDC117" s="145"/>
      <c r="PDD117" s="145"/>
      <c r="PDE117" s="145"/>
      <c r="PDF117" s="145"/>
      <c r="PDI117" s="144"/>
      <c r="PDJ117" s="144"/>
      <c r="PDK117" s="144"/>
      <c r="PDL117" s="144"/>
      <c r="PDM117" s="144"/>
      <c r="PDN117" s="144"/>
      <c r="PDO117" s="144"/>
      <c r="PDP117" s="144"/>
      <c r="PDQ117" s="145"/>
      <c r="PDR117" s="145"/>
      <c r="PDS117" s="145"/>
      <c r="PDT117" s="145"/>
      <c r="PDU117" s="145"/>
      <c r="PDV117" s="145"/>
      <c r="PDY117" s="144"/>
      <c r="PDZ117" s="144"/>
      <c r="PEA117" s="144"/>
      <c r="PEB117" s="144"/>
      <c r="PEC117" s="144"/>
      <c r="PED117" s="144"/>
      <c r="PEE117" s="144"/>
      <c r="PEF117" s="144"/>
      <c r="PEG117" s="145"/>
      <c r="PEH117" s="145"/>
      <c r="PEI117" s="145"/>
      <c r="PEJ117" s="145"/>
      <c r="PEK117" s="145"/>
      <c r="PEL117" s="145"/>
      <c r="PEO117" s="144"/>
      <c r="PEP117" s="144"/>
      <c r="PEQ117" s="144"/>
      <c r="PER117" s="144"/>
      <c r="PES117" s="144"/>
      <c r="PET117" s="144"/>
      <c r="PEU117" s="144"/>
      <c r="PEV117" s="144"/>
      <c r="PEW117" s="145"/>
      <c r="PEX117" s="145"/>
      <c r="PEY117" s="145"/>
      <c r="PEZ117" s="145"/>
      <c r="PFA117" s="145"/>
      <c r="PFB117" s="145"/>
      <c r="PFE117" s="144"/>
      <c r="PFF117" s="144"/>
      <c r="PFG117" s="144"/>
      <c r="PFH117" s="144"/>
      <c r="PFI117" s="144"/>
      <c r="PFJ117" s="144"/>
      <c r="PFK117" s="144"/>
      <c r="PFL117" s="144"/>
      <c r="PFM117" s="145"/>
      <c r="PFN117" s="145"/>
      <c r="PFO117" s="145"/>
      <c r="PFP117" s="145"/>
      <c r="PFQ117" s="145"/>
      <c r="PFR117" s="145"/>
      <c r="PFU117" s="144"/>
      <c r="PFV117" s="144"/>
      <c r="PFW117" s="144"/>
      <c r="PFX117" s="144"/>
      <c r="PFY117" s="144"/>
      <c r="PFZ117" s="144"/>
      <c r="PGA117" s="144"/>
      <c r="PGB117" s="144"/>
      <c r="PGC117" s="145"/>
      <c r="PGD117" s="145"/>
      <c r="PGE117" s="145"/>
      <c r="PGF117" s="145"/>
      <c r="PGG117" s="145"/>
      <c r="PGH117" s="145"/>
      <c r="PGK117" s="144"/>
      <c r="PGL117" s="144"/>
      <c r="PGM117" s="144"/>
      <c r="PGN117" s="144"/>
      <c r="PGO117" s="144"/>
      <c r="PGP117" s="144"/>
      <c r="PGQ117" s="144"/>
      <c r="PGR117" s="144"/>
      <c r="PGS117" s="145"/>
      <c r="PGT117" s="145"/>
      <c r="PGU117" s="145"/>
      <c r="PGV117" s="145"/>
      <c r="PGW117" s="145"/>
      <c r="PGX117" s="145"/>
      <c r="PHA117" s="144"/>
      <c r="PHB117" s="144"/>
      <c r="PHC117" s="144"/>
      <c r="PHD117" s="144"/>
      <c r="PHE117" s="144"/>
      <c r="PHF117" s="144"/>
      <c r="PHG117" s="144"/>
      <c r="PHH117" s="144"/>
      <c r="PHI117" s="145"/>
      <c r="PHJ117" s="145"/>
      <c r="PHK117" s="145"/>
      <c r="PHL117" s="145"/>
      <c r="PHM117" s="145"/>
      <c r="PHN117" s="145"/>
      <c r="PHQ117" s="144"/>
      <c r="PHR117" s="144"/>
      <c r="PHS117" s="144"/>
      <c r="PHT117" s="144"/>
      <c r="PHU117" s="144"/>
      <c r="PHV117" s="144"/>
      <c r="PHW117" s="144"/>
      <c r="PHX117" s="144"/>
      <c r="PHY117" s="145"/>
      <c r="PHZ117" s="145"/>
      <c r="PIA117" s="145"/>
      <c r="PIB117" s="145"/>
      <c r="PIC117" s="145"/>
      <c r="PID117" s="145"/>
      <c r="PIG117" s="144"/>
      <c r="PIH117" s="144"/>
      <c r="PII117" s="144"/>
      <c r="PIJ117" s="144"/>
      <c r="PIK117" s="144"/>
      <c r="PIL117" s="144"/>
      <c r="PIM117" s="144"/>
      <c r="PIN117" s="144"/>
      <c r="PIO117" s="145"/>
      <c r="PIP117" s="145"/>
      <c r="PIQ117" s="145"/>
      <c r="PIR117" s="145"/>
      <c r="PIS117" s="145"/>
      <c r="PIT117" s="145"/>
      <c r="PIW117" s="144"/>
      <c r="PIX117" s="144"/>
      <c r="PIY117" s="144"/>
      <c r="PIZ117" s="144"/>
      <c r="PJA117" s="144"/>
      <c r="PJB117" s="144"/>
      <c r="PJC117" s="144"/>
      <c r="PJD117" s="144"/>
      <c r="PJE117" s="145"/>
      <c r="PJF117" s="145"/>
      <c r="PJG117" s="145"/>
      <c r="PJH117" s="145"/>
      <c r="PJI117" s="145"/>
      <c r="PJJ117" s="145"/>
      <c r="PJM117" s="144"/>
      <c r="PJN117" s="144"/>
      <c r="PJO117" s="144"/>
      <c r="PJP117" s="144"/>
      <c r="PJQ117" s="144"/>
      <c r="PJR117" s="144"/>
      <c r="PJS117" s="144"/>
      <c r="PJT117" s="144"/>
      <c r="PJU117" s="145"/>
      <c r="PJV117" s="145"/>
      <c r="PJW117" s="145"/>
      <c r="PJX117" s="145"/>
      <c r="PJY117" s="145"/>
      <c r="PJZ117" s="145"/>
      <c r="PKC117" s="144"/>
      <c r="PKD117" s="144"/>
      <c r="PKE117" s="144"/>
      <c r="PKF117" s="144"/>
      <c r="PKG117" s="144"/>
      <c r="PKH117" s="144"/>
      <c r="PKI117" s="144"/>
      <c r="PKJ117" s="144"/>
      <c r="PKK117" s="145"/>
      <c r="PKL117" s="145"/>
      <c r="PKM117" s="145"/>
      <c r="PKN117" s="145"/>
      <c r="PKO117" s="145"/>
      <c r="PKP117" s="145"/>
      <c r="PKS117" s="144"/>
      <c r="PKT117" s="144"/>
      <c r="PKU117" s="144"/>
      <c r="PKV117" s="144"/>
      <c r="PKW117" s="144"/>
      <c r="PKX117" s="144"/>
      <c r="PKY117" s="144"/>
      <c r="PKZ117" s="144"/>
      <c r="PLA117" s="145"/>
      <c r="PLB117" s="145"/>
      <c r="PLC117" s="145"/>
      <c r="PLD117" s="145"/>
      <c r="PLE117" s="145"/>
      <c r="PLF117" s="145"/>
      <c r="PLI117" s="144"/>
      <c r="PLJ117" s="144"/>
      <c r="PLK117" s="144"/>
      <c r="PLL117" s="144"/>
      <c r="PLM117" s="144"/>
      <c r="PLN117" s="144"/>
      <c r="PLO117" s="144"/>
      <c r="PLP117" s="144"/>
      <c r="PLQ117" s="145"/>
      <c r="PLR117" s="145"/>
      <c r="PLS117" s="145"/>
      <c r="PLT117" s="145"/>
      <c r="PLU117" s="145"/>
      <c r="PLV117" s="145"/>
      <c r="PLY117" s="144"/>
      <c r="PLZ117" s="144"/>
      <c r="PMA117" s="144"/>
      <c r="PMB117" s="144"/>
      <c r="PMC117" s="144"/>
      <c r="PMD117" s="144"/>
      <c r="PME117" s="144"/>
      <c r="PMF117" s="144"/>
      <c r="PMG117" s="145"/>
      <c r="PMH117" s="145"/>
      <c r="PMI117" s="145"/>
      <c r="PMJ117" s="145"/>
      <c r="PMK117" s="145"/>
      <c r="PML117" s="145"/>
      <c r="PMO117" s="144"/>
      <c r="PMP117" s="144"/>
      <c r="PMQ117" s="144"/>
      <c r="PMR117" s="144"/>
      <c r="PMS117" s="144"/>
      <c r="PMT117" s="144"/>
      <c r="PMU117" s="144"/>
      <c r="PMV117" s="144"/>
      <c r="PMW117" s="145"/>
      <c r="PMX117" s="145"/>
      <c r="PMY117" s="145"/>
      <c r="PMZ117" s="145"/>
      <c r="PNA117" s="145"/>
      <c r="PNB117" s="145"/>
      <c r="PNE117" s="144"/>
      <c r="PNF117" s="144"/>
      <c r="PNG117" s="144"/>
      <c r="PNH117" s="144"/>
      <c r="PNI117" s="144"/>
      <c r="PNJ117" s="144"/>
      <c r="PNK117" s="144"/>
      <c r="PNL117" s="144"/>
      <c r="PNM117" s="145"/>
      <c r="PNN117" s="145"/>
      <c r="PNO117" s="145"/>
      <c r="PNP117" s="145"/>
      <c r="PNQ117" s="145"/>
      <c r="PNR117" s="145"/>
      <c r="PNU117" s="144"/>
      <c r="PNV117" s="144"/>
      <c r="PNW117" s="144"/>
      <c r="PNX117" s="144"/>
      <c r="PNY117" s="144"/>
      <c r="PNZ117" s="144"/>
      <c r="POA117" s="144"/>
      <c r="POB117" s="144"/>
      <c r="POC117" s="145"/>
      <c r="POD117" s="145"/>
      <c r="POE117" s="145"/>
      <c r="POF117" s="145"/>
      <c r="POG117" s="145"/>
      <c r="POH117" s="145"/>
      <c r="POK117" s="144"/>
      <c r="POL117" s="144"/>
      <c r="POM117" s="144"/>
      <c r="PON117" s="144"/>
      <c r="POO117" s="144"/>
      <c r="POP117" s="144"/>
      <c r="POQ117" s="144"/>
      <c r="POR117" s="144"/>
      <c r="POS117" s="145"/>
      <c r="POT117" s="145"/>
      <c r="POU117" s="145"/>
      <c r="POV117" s="145"/>
      <c r="POW117" s="145"/>
      <c r="POX117" s="145"/>
      <c r="PPA117" s="144"/>
      <c r="PPB117" s="144"/>
      <c r="PPC117" s="144"/>
      <c r="PPD117" s="144"/>
      <c r="PPE117" s="144"/>
      <c r="PPF117" s="144"/>
      <c r="PPG117" s="144"/>
      <c r="PPH117" s="144"/>
      <c r="PPI117" s="145"/>
      <c r="PPJ117" s="145"/>
      <c r="PPK117" s="145"/>
      <c r="PPL117" s="145"/>
      <c r="PPM117" s="145"/>
      <c r="PPN117" s="145"/>
      <c r="PPQ117" s="144"/>
      <c r="PPR117" s="144"/>
      <c r="PPS117" s="144"/>
      <c r="PPT117" s="144"/>
      <c r="PPU117" s="144"/>
      <c r="PPV117" s="144"/>
      <c r="PPW117" s="144"/>
      <c r="PPX117" s="144"/>
      <c r="PPY117" s="145"/>
      <c r="PPZ117" s="145"/>
      <c r="PQA117" s="145"/>
      <c r="PQB117" s="145"/>
      <c r="PQC117" s="145"/>
      <c r="PQD117" s="145"/>
      <c r="PQG117" s="144"/>
      <c r="PQH117" s="144"/>
      <c r="PQI117" s="144"/>
      <c r="PQJ117" s="144"/>
      <c r="PQK117" s="144"/>
      <c r="PQL117" s="144"/>
      <c r="PQM117" s="144"/>
      <c r="PQN117" s="144"/>
      <c r="PQO117" s="145"/>
      <c r="PQP117" s="145"/>
      <c r="PQQ117" s="145"/>
      <c r="PQR117" s="145"/>
      <c r="PQS117" s="145"/>
      <c r="PQT117" s="145"/>
      <c r="PQW117" s="144"/>
      <c r="PQX117" s="144"/>
      <c r="PQY117" s="144"/>
      <c r="PQZ117" s="144"/>
      <c r="PRA117" s="144"/>
      <c r="PRB117" s="144"/>
      <c r="PRC117" s="144"/>
      <c r="PRD117" s="144"/>
      <c r="PRE117" s="145"/>
      <c r="PRF117" s="145"/>
      <c r="PRG117" s="145"/>
      <c r="PRH117" s="145"/>
      <c r="PRI117" s="145"/>
      <c r="PRJ117" s="145"/>
      <c r="PRM117" s="144"/>
      <c r="PRN117" s="144"/>
      <c r="PRO117" s="144"/>
      <c r="PRP117" s="144"/>
      <c r="PRQ117" s="144"/>
      <c r="PRR117" s="144"/>
      <c r="PRS117" s="144"/>
      <c r="PRT117" s="144"/>
      <c r="PRU117" s="145"/>
      <c r="PRV117" s="145"/>
      <c r="PRW117" s="145"/>
      <c r="PRX117" s="145"/>
      <c r="PRY117" s="145"/>
      <c r="PRZ117" s="145"/>
      <c r="PSC117" s="144"/>
      <c r="PSD117" s="144"/>
      <c r="PSE117" s="144"/>
      <c r="PSF117" s="144"/>
      <c r="PSG117" s="144"/>
      <c r="PSH117" s="144"/>
      <c r="PSI117" s="144"/>
      <c r="PSJ117" s="144"/>
      <c r="PSK117" s="145"/>
      <c r="PSL117" s="145"/>
      <c r="PSM117" s="145"/>
      <c r="PSN117" s="145"/>
      <c r="PSO117" s="145"/>
      <c r="PSP117" s="145"/>
      <c r="PSS117" s="144"/>
      <c r="PST117" s="144"/>
      <c r="PSU117" s="144"/>
      <c r="PSV117" s="144"/>
      <c r="PSW117" s="144"/>
      <c r="PSX117" s="144"/>
      <c r="PSY117" s="144"/>
      <c r="PSZ117" s="144"/>
      <c r="PTA117" s="145"/>
      <c r="PTB117" s="145"/>
      <c r="PTC117" s="145"/>
      <c r="PTD117" s="145"/>
      <c r="PTE117" s="145"/>
      <c r="PTF117" s="145"/>
      <c r="PTI117" s="144"/>
      <c r="PTJ117" s="144"/>
      <c r="PTK117" s="144"/>
      <c r="PTL117" s="144"/>
      <c r="PTM117" s="144"/>
      <c r="PTN117" s="144"/>
      <c r="PTO117" s="144"/>
      <c r="PTP117" s="144"/>
      <c r="PTQ117" s="145"/>
      <c r="PTR117" s="145"/>
      <c r="PTS117" s="145"/>
      <c r="PTT117" s="145"/>
      <c r="PTU117" s="145"/>
      <c r="PTV117" s="145"/>
      <c r="PTY117" s="144"/>
      <c r="PTZ117" s="144"/>
      <c r="PUA117" s="144"/>
      <c r="PUB117" s="144"/>
      <c r="PUC117" s="144"/>
      <c r="PUD117" s="144"/>
      <c r="PUE117" s="144"/>
      <c r="PUF117" s="144"/>
      <c r="PUG117" s="145"/>
      <c r="PUH117" s="145"/>
      <c r="PUI117" s="145"/>
      <c r="PUJ117" s="145"/>
      <c r="PUK117" s="145"/>
      <c r="PUL117" s="145"/>
      <c r="PUO117" s="144"/>
      <c r="PUP117" s="144"/>
      <c r="PUQ117" s="144"/>
      <c r="PUR117" s="144"/>
      <c r="PUS117" s="144"/>
      <c r="PUT117" s="144"/>
      <c r="PUU117" s="144"/>
      <c r="PUV117" s="144"/>
      <c r="PUW117" s="145"/>
      <c r="PUX117" s="145"/>
      <c r="PUY117" s="145"/>
      <c r="PUZ117" s="145"/>
      <c r="PVA117" s="145"/>
      <c r="PVB117" s="145"/>
      <c r="PVE117" s="144"/>
      <c r="PVF117" s="144"/>
      <c r="PVG117" s="144"/>
      <c r="PVH117" s="144"/>
      <c r="PVI117" s="144"/>
      <c r="PVJ117" s="144"/>
      <c r="PVK117" s="144"/>
      <c r="PVL117" s="144"/>
      <c r="PVM117" s="145"/>
      <c r="PVN117" s="145"/>
      <c r="PVO117" s="145"/>
      <c r="PVP117" s="145"/>
      <c r="PVQ117" s="145"/>
      <c r="PVR117" s="145"/>
      <c r="PVU117" s="144"/>
      <c r="PVV117" s="144"/>
      <c r="PVW117" s="144"/>
      <c r="PVX117" s="144"/>
      <c r="PVY117" s="144"/>
      <c r="PVZ117" s="144"/>
      <c r="PWA117" s="144"/>
      <c r="PWB117" s="144"/>
      <c r="PWC117" s="145"/>
      <c r="PWD117" s="145"/>
      <c r="PWE117" s="145"/>
      <c r="PWF117" s="145"/>
      <c r="PWG117" s="145"/>
      <c r="PWH117" s="145"/>
      <c r="PWK117" s="144"/>
      <c r="PWL117" s="144"/>
      <c r="PWM117" s="144"/>
      <c r="PWN117" s="144"/>
      <c r="PWO117" s="144"/>
      <c r="PWP117" s="144"/>
      <c r="PWQ117" s="144"/>
      <c r="PWR117" s="144"/>
      <c r="PWS117" s="145"/>
      <c r="PWT117" s="145"/>
      <c r="PWU117" s="145"/>
      <c r="PWV117" s="145"/>
      <c r="PWW117" s="145"/>
      <c r="PWX117" s="145"/>
      <c r="PXA117" s="144"/>
      <c r="PXB117" s="144"/>
      <c r="PXC117" s="144"/>
      <c r="PXD117" s="144"/>
      <c r="PXE117" s="144"/>
      <c r="PXF117" s="144"/>
      <c r="PXG117" s="144"/>
      <c r="PXH117" s="144"/>
      <c r="PXI117" s="145"/>
      <c r="PXJ117" s="145"/>
      <c r="PXK117" s="145"/>
      <c r="PXL117" s="145"/>
      <c r="PXM117" s="145"/>
      <c r="PXN117" s="145"/>
      <c r="PXQ117" s="144"/>
      <c r="PXR117" s="144"/>
      <c r="PXS117" s="144"/>
      <c r="PXT117" s="144"/>
      <c r="PXU117" s="144"/>
      <c r="PXV117" s="144"/>
      <c r="PXW117" s="144"/>
      <c r="PXX117" s="144"/>
      <c r="PXY117" s="145"/>
      <c r="PXZ117" s="145"/>
      <c r="PYA117" s="145"/>
      <c r="PYB117" s="145"/>
      <c r="PYC117" s="145"/>
      <c r="PYD117" s="145"/>
      <c r="PYG117" s="144"/>
      <c r="PYH117" s="144"/>
      <c r="PYI117" s="144"/>
      <c r="PYJ117" s="144"/>
      <c r="PYK117" s="144"/>
      <c r="PYL117" s="144"/>
      <c r="PYM117" s="144"/>
      <c r="PYN117" s="144"/>
      <c r="PYO117" s="145"/>
      <c r="PYP117" s="145"/>
      <c r="PYQ117" s="145"/>
      <c r="PYR117" s="145"/>
      <c r="PYS117" s="145"/>
      <c r="PYT117" s="145"/>
      <c r="PYW117" s="144"/>
      <c r="PYX117" s="144"/>
      <c r="PYY117" s="144"/>
      <c r="PYZ117" s="144"/>
      <c r="PZA117" s="144"/>
      <c r="PZB117" s="144"/>
      <c r="PZC117" s="144"/>
      <c r="PZD117" s="144"/>
      <c r="PZE117" s="145"/>
      <c r="PZF117" s="145"/>
      <c r="PZG117" s="145"/>
      <c r="PZH117" s="145"/>
      <c r="PZI117" s="145"/>
      <c r="PZJ117" s="145"/>
      <c r="PZM117" s="144"/>
      <c r="PZN117" s="144"/>
      <c r="PZO117" s="144"/>
      <c r="PZP117" s="144"/>
      <c r="PZQ117" s="144"/>
      <c r="PZR117" s="144"/>
      <c r="PZS117" s="144"/>
      <c r="PZT117" s="144"/>
      <c r="PZU117" s="145"/>
      <c r="PZV117" s="145"/>
      <c r="PZW117" s="145"/>
      <c r="PZX117" s="145"/>
      <c r="PZY117" s="145"/>
      <c r="PZZ117" s="145"/>
      <c r="QAC117" s="144"/>
      <c r="QAD117" s="144"/>
      <c r="QAE117" s="144"/>
      <c r="QAF117" s="144"/>
      <c r="QAG117" s="144"/>
      <c r="QAH117" s="144"/>
      <c r="QAI117" s="144"/>
      <c r="QAJ117" s="144"/>
      <c r="QAK117" s="145"/>
      <c r="QAL117" s="145"/>
      <c r="QAM117" s="145"/>
      <c r="QAN117" s="145"/>
      <c r="QAO117" s="145"/>
      <c r="QAP117" s="145"/>
      <c r="QAS117" s="144"/>
      <c r="QAT117" s="144"/>
      <c r="QAU117" s="144"/>
      <c r="QAV117" s="144"/>
      <c r="QAW117" s="144"/>
      <c r="QAX117" s="144"/>
      <c r="QAY117" s="144"/>
      <c r="QAZ117" s="144"/>
      <c r="QBA117" s="145"/>
      <c r="QBB117" s="145"/>
      <c r="QBC117" s="145"/>
      <c r="QBD117" s="145"/>
      <c r="QBE117" s="145"/>
      <c r="QBF117" s="145"/>
      <c r="QBI117" s="144"/>
      <c r="QBJ117" s="144"/>
      <c r="QBK117" s="144"/>
      <c r="QBL117" s="144"/>
      <c r="QBM117" s="144"/>
      <c r="QBN117" s="144"/>
      <c r="QBO117" s="144"/>
      <c r="QBP117" s="144"/>
      <c r="QBQ117" s="145"/>
      <c r="QBR117" s="145"/>
      <c r="QBS117" s="145"/>
      <c r="QBT117" s="145"/>
      <c r="QBU117" s="145"/>
      <c r="QBV117" s="145"/>
      <c r="QBY117" s="144"/>
      <c r="QBZ117" s="144"/>
      <c r="QCA117" s="144"/>
      <c r="QCB117" s="144"/>
      <c r="QCC117" s="144"/>
      <c r="QCD117" s="144"/>
      <c r="QCE117" s="144"/>
      <c r="QCF117" s="144"/>
      <c r="QCG117" s="145"/>
      <c r="QCH117" s="145"/>
      <c r="QCI117" s="145"/>
      <c r="QCJ117" s="145"/>
      <c r="QCK117" s="145"/>
      <c r="QCL117" s="145"/>
      <c r="QCO117" s="144"/>
      <c r="QCP117" s="144"/>
      <c r="QCQ117" s="144"/>
      <c r="QCR117" s="144"/>
      <c r="QCS117" s="144"/>
      <c r="QCT117" s="144"/>
      <c r="QCU117" s="144"/>
      <c r="QCV117" s="144"/>
      <c r="QCW117" s="145"/>
      <c r="QCX117" s="145"/>
      <c r="QCY117" s="145"/>
      <c r="QCZ117" s="145"/>
      <c r="QDA117" s="145"/>
      <c r="QDB117" s="145"/>
      <c r="QDE117" s="144"/>
      <c r="QDF117" s="144"/>
      <c r="QDG117" s="144"/>
      <c r="QDH117" s="144"/>
      <c r="QDI117" s="144"/>
      <c r="QDJ117" s="144"/>
      <c r="QDK117" s="144"/>
      <c r="QDL117" s="144"/>
      <c r="QDM117" s="145"/>
      <c r="QDN117" s="145"/>
      <c r="QDO117" s="145"/>
      <c r="QDP117" s="145"/>
      <c r="QDQ117" s="145"/>
      <c r="QDR117" s="145"/>
      <c r="QDU117" s="144"/>
      <c r="QDV117" s="144"/>
      <c r="QDW117" s="144"/>
      <c r="QDX117" s="144"/>
      <c r="QDY117" s="144"/>
      <c r="QDZ117" s="144"/>
      <c r="QEA117" s="144"/>
      <c r="QEB117" s="144"/>
      <c r="QEC117" s="145"/>
      <c r="QED117" s="145"/>
      <c r="QEE117" s="145"/>
      <c r="QEF117" s="145"/>
      <c r="QEG117" s="145"/>
      <c r="QEH117" s="145"/>
      <c r="QEK117" s="144"/>
      <c r="QEL117" s="144"/>
      <c r="QEM117" s="144"/>
      <c r="QEN117" s="144"/>
      <c r="QEO117" s="144"/>
      <c r="QEP117" s="144"/>
      <c r="QEQ117" s="144"/>
      <c r="QER117" s="144"/>
      <c r="QES117" s="145"/>
      <c r="QET117" s="145"/>
      <c r="QEU117" s="145"/>
      <c r="QEV117" s="145"/>
      <c r="QEW117" s="145"/>
      <c r="QEX117" s="145"/>
      <c r="QFA117" s="144"/>
      <c r="QFB117" s="144"/>
      <c r="QFC117" s="144"/>
      <c r="QFD117" s="144"/>
      <c r="QFE117" s="144"/>
      <c r="QFF117" s="144"/>
      <c r="QFG117" s="144"/>
      <c r="QFH117" s="144"/>
      <c r="QFI117" s="145"/>
      <c r="QFJ117" s="145"/>
      <c r="QFK117" s="145"/>
      <c r="QFL117" s="145"/>
      <c r="QFM117" s="145"/>
      <c r="QFN117" s="145"/>
      <c r="QFQ117" s="144"/>
      <c r="QFR117" s="144"/>
      <c r="QFS117" s="144"/>
      <c r="QFT117" s="144"/>
      <c r="QFU117" s="144"/>
      <c r="QFV117" s="144"/>
      <c r="QFW117" s="144"/>
      <c r="QFX117" s="144"/>
      <c r="QFY117" s="145"/>
      <c r="QFZ117" s="145"/>
      <c r="QGA117" s="145"/>
      <c r="QGB117" s="145"/>
      <c r="QGC117" s="145"/>
      <c r="QGD117" s="145"/>
      <c r="QGG117" s="144"/>
      <c r="QGH117" s="144"/>
      <c r="QGI117" s="144"/>
      <c r="QGJ117" s="144"/>
      <c r="QGK117" s="144"/>
      <c r="QGL117" s="144"/>
      <c r="QGM117" s="144"/>
      <c r="QGN117" s="144"/>
      <c r="QGO117" s="145"/>
      <c r="QGP117" s="145"/>
      <c r="QGQ117" s="145"/>
      <c r="QGR117" s="145"/>
      <c r="QGS117" s="145"/>
      <c r="QGT117" s="145"/>
      <c r="QGW117" s="144"/>
      <c r="QGX117" s="144"/>
      <c r="QGY117" s="144"/>
      <c r="QGZ117" s="144"/>
      <c r="QHA117" s="144"/>
      <c r="QHB117" s="144"/>
      <c r="QHC117" s="144"/>
      <c r="QHD117" s="144"/>
      <c r="QHE117" s="145"/>
      <c r="QHF117" s="145"/>
      <c r="QHG117" s="145"/>
      <c r="QHH117" s="145"/>
      <c r="QHI117" s="145"/>
      <c r="QHJ117" s="145"/>
      <c r="QHM117" s="144"/>
      <c r="QHN117" s="144"/>
      <c r="QHO117" s="144"/>
      <c r="QHP117" s="144"/>
      <c r="QHQ117" s="144"/>
      <c r="QHR117" s="144"/>
      <c r="QHS117" s="144"/>
      <c r="QHT117" s="144"/>
      <c r="QHU117" s="145"/>
      <c r="QHV117" s="145"/>
      <c r="QHW117" s="145"/>
      <c r="QHX117" s="145"/>
      <c r="QHY117" s="145"/>
      <c r="QHZ117" s="145"/>
      <c r="QIC117" s="144"/>
      <c r="QID117" s="144"/>
      <c r="QIE117" s="144"/>
      <c r="QIF117" s="144"/>
      <c r="QIG117" s="144"/>
      <c r="QIH117" s="144"/>
      <c r="QII117" s="144"/>
      <c r="QIJ117" s="144"/>
      <c r="QIK117" s="145"/>
      <c r="QIL117" s="145"/>
      <c r="QIM117" s="145"/>
      <c r="QIN117" s="145"/>
      <c r="QIO117" s="145"/>
      <c r="QIP117" s="145"/>
      <c r="QIS117" s="144"/>
      <c r="QIT117" s="144"/>
      <c r="QIU117" s="144"/>
      <c r="QIV117" s="144"/>
      <c r="QIW117" s="144"/>
      <c r="QIX117" s="144"/>
      <c r="QIY117" s="144"/>
      <c r="QIZ117" s="144"/>
      <c r="QJA117" s="145"/>
      <c r="QJB117" s="145"/>
      <c r="QJC117" s="145"/>
      <c r="QJD117" s="145"/>
      <c r="QJE117" s="145"/>
      <c r="QJF117" s="145"/>
      <c r="QJI117" s="144"/>
      <c r="QJJ117" s="144"/>
      <c r="QJK117" s="144"/>
      <c r="QJL117" s="144"/>
      <c r="QJM117" s="144"/>
      <c r="QJN117" s="144"/>
      <c r="QJO117" s="144"/>
      <c r="QJP117" s="144"/>
      <c r="QJQ117" s="145"/>
      <c r="QJR117" s="145"/>
      <c r="QJS117" s="145"/>
      <c r="QJT117" s="145"/>
      <c r="QJU117" s="145"/>
      <c r="QJV117" s="145"/>
      <c r="QJY117" s="144"/>
      <c r="QJZ117" s="144"/>
      <c r="QKA117" s="144"/>
      <c r="QKB117" s="144"/>
      <c r="QKC117" s="144"/>
      <c r="QKD117" s="144"/>
      <c r="QKE117" s="144"/>
      <c r="QKF117" s="144"/>
      <c r="QKG117" s="145"/>
      <c r="QKH117" s="145"/>
      <c r="QKI117" s="145"/>
      <c r="QKJ117" s="145"/>
      <c r="QKK117" s="145"/>
      <c r="QKL117" s="145"/>
      <c r="QKO117" s="144"/>
      <c r="QKP117" s="144"/>
      <c r="QKQ117" s="144"/>
      <c r="QKR117" s="144"/>
      <c r="QKS117" s="144"/>
      <c r="QKT117" s="144"/>
      <c r="QKU117" s="144"/>
      <c r="QKV117" s="144"/>
      <c r="QKW117" s="145"/>
      <c r="QKX117" s="145"/>
      <c r="QKY117" s="145"/>
      <c r="QKZ117" s="145"/>
      <c r="QLA117" s="145"/>
      <c r="QLB117" s="145"/>
      <c r="QLE117" s="144"/>
      <c r="QLF117" s="144"/>
      <c r="QLG117" s="144"/>
      <c r="QLH117" s="144"/>
      <c r="QLI117" s="144"/>
      <c r="QLJ117" s="144"/>
      <c r="QLK117" s="144"/>
      <c r="QLL117" s="144"/>
      <c r="QLM117" s="145"/>
      <c r="QLN117" s="145"/>
      <c r="QLO117" s="145"/>
      <c r="QLP117" s="145"/>
      <c r="QLQ117" s="145"/>
      <c r="QLR117" s="145"/>
      <c r="QLU117" s="144"/>
      <c r="QLV117" s="144"/>
      <c r="QLW117" s="144"/>
      <c r="QLX117" s="144"/>
      <c r="QLY117" s="144"/>
      <c r="QLZ117" s="144"/>
      <c r="QMA117" s="144"/>
      <c r="QMB117" s="144"/>
      <c r="QMC117" s="145"/>
      <c r="QMD117" s="145"/>
      <c r="QME117" s="145"/>
      <c r="QMF117" s="145"/>
      <c r="QMG117" s="145"/>
      <c r="QMH117" s="145"/>
      <c r="QMK117" s="144"/>
      <c r="QML117" s="144"/>
      <c r="QMM117" s="144"/>
      <c r="QMN117" s="144"/>
      <c r="QMO117" s="144"/>
      <c r="QMP117" s="144"/>
      <c r="QMQ117" s="144"/>
      <c r="QMR117" s="144"/>
      <c r="QMS117" s="145"/>
      <c r="QMT117" s="145"/>
      <c r="QMU117" s="145"/>
      <c r="QMV117" s="145"/>
      <c r="QMW117" s="145"/>
      <c r="QMX117" s="145"/>
      <c r="QNA117" s="144"/>
      <c r="QNB117" s="144"/>
      <c r="QNC117" s="144"/>
      <c r="QND117" s="144"/>
      <c r="QNE117" s="144"/>
      <c r="QNF117" s="144"/>
      <c r="QNG117" s="144"/>
      <c r="QNH117" s="144"/>
      <c r="QNI117" s="145"/>
      <c r="QNJ117" s="145"/>
      <c r="QNK117" s="145"/>
      <c r="QNL117" s="145"/>
      <c r="QNM117" s="145"/>
      <c r="QNN117" s="145"/>
      <c r="QNQ117" s="144"/>
      <c r="QNR117" s="144"/>
      <c r="QNS117" s="144"/>
      <c r="QNT117" s="144"/>
      <c r="QNU117" s="144"/>
      <c r="QNV117" s="144"/>
      <c r="QNW117" s="144"/>
      <c r="QNX117" s="144"/>
      <c r="QNY117" s="145"/>
      <c r="QNZ117" s="145"/>
      <c r="QOA117" s="145"/>
      <c r="QOB117" s="145"/>
      <c r="QOC117" s="145"/>
      <c r="QOD117" s="145"/>
      <c r="QOG117" s="144"/>
      <c r="QOH117" s="144"/>
      <c r="QOI117" s="144"/>
      <c r="QOJ117" s="144"/>
      <c r="QOK117" s="144"/>
      <c r="QOL117" s="144"/>
      <c r="QOM117" s="144"/>
      <c r="QON117" s="144"/>
      <c r="QOO117" s="145"/>
      <c r="QOP117" s="145"/>
      <c r="QOQ117" s="145"/>
      <c r="QOR117" s="145"/>
      <c r="QOS117" s="145"/>
      <c r="QOT117" s="145"/>
      <c r="QOW117" s="144"/>
      <c r="QOX117" s="144"/>
      <c r="QOY117" s="144"/>
      <c r="QOZ117" s="144"/>
      <c r="QPA117" s="144"/>
      <c r="QPB117" s="144"/>
      <c r="QPC117" s="144"/>
      <c r="QPD117" s="144"/>
      <c r="QPE117" s="145"/>
      <c r="QPF117" s="145"/>
      <c r="QPG117" s="145"/>
      <c r="QPH117" s="145"/>
      <c r="QPI117" s="145"/>
      <c r="QPJ117" s="145"/>
      <c r="QPM117" s="144"/>
      <c r="QPN117" s="144"/>
      <c r="QPO117" s="144"/>
      <c r="QPP117" s="144"/>
      <c r="QPQ117" s="144"/>
      <c r="QPR117" s="144"/>
      <c r="QPS117" s="144"/>
      <c r="QPT117" s="144"/>
      <c r="QPU117" s="145"/>
      <c r="QPV117" s="145"/>
      <c r="QPW117" s="145"/>
      <c r="QPX117" s="145"/>
      <c r="QPY117" s="145"/>
      <c r="QPZ117" s="145"/>
      <c r="QQC117" s="144"/>
      <c r="QQD117" s="144"/>
      <c r="QQE117" s="144"/>
      <c r="QQF117" s="144"/>
      <c r="QQG117" s="144"/>
      <c r="QQH117" s="144"/>
      <c r="QQI117" s="144"/>
      <c r="QQJ117" s="144"/>
      <c r="QQK117" s="145"/>
      <c r="QQL117" s="145"/>
      <c r="QQM117" s="145"/>
      <c r="QQN117" s="145"/>
      <c r="QQO117" s="145"/>
      <c r="QQP117" s="145"/>
      <c r="QQS117" s="144"/>
      <c r="QQT117" s="144"/>
      <c r="QQU117" s="144"/>
      <c r="QQV117" s="144"/>
      <c r="QQW117" s="144"/>
      <c r="QQX117" s="144"/>
      <c r="QQY117" s="144"/>
      <c r="QQZ117" s="144"/>
      <c r="QRA117" s="145"/>
      <c r="QRB117" s="145"/>
      <c r="QRC117" s="145"/>
      <c r="QRD117" s="145"/>
      <c r="QRE117" s="145"/>
      <c r="QRF117" s="145"/>
      <c r="QRI117" s="144"/>
      <c r="QRJ117" s="144"/>
      <c r="QRK117" s="144"/>
      <c r="QRL117" s="144"/>
      <c r="QRM117" s="144"/>
      <c r="QRN117" s="144"/>
      <c r="QRO117" s="144"/>
      <c r="QRP117" s="144"/>
      <c r="QRQ117" s="145"/>
      <c r="QRR117" s="145"/>
      <c r="QRS117" s="145"/>
      <c r="QRT117" s="145"/>
      <c r="QRU117" s="145"/>
      <c r="QRV117" s="145"/>
      <c r="QRY117" s="144"/>
      <c r="QRZ117" s="144"/>
      <c r="QSA117" s="144"/>
      <c r="QSB117" s="144"/>
      <c r="QSC117" s="144"/>
      <c r="QSD117" s="144"/>
      <c r="QSE117" s="144"/>
      <c r="QSF117" s="144"/>
      <c r="QSG117" s="145"/>
      <c r="QSH117" s="145"/>
      <c r="QSI117" s="145"/>
      <c r="QSJ117" s="145"/>
      <c r="QSK117" s="145"/>
      <c r="QSL117" s="145"/>
      <c r="QSO117" s="144"/>
      <c r="QSP117" s="144"/>
      <c r="QSQ117" s="144"/>
      <c r="QSR117" s="144"/>
      <c r="QSS117" s="144"/>
      <c r="QST117" s="144"/>
      <c r="QSU117" s="144"/>
      <c r="QSV117" s="144"/>
      <c r="QSW117" s="145"/>
      <c r="QSX117" s="145"/>
      <c r="QSY117" s="145"/>
      <c r="QSZ117" s="145"/>
      <c r="QTA117" s="145"/>
      <c r="QTB117" s="145"/>
      <c r="QTE117" s="144"/>
      <c r="QTF117" s="144"/>
      <c r="QTG117" s="144"/>
      <c r="QTH117" s="144"/>
      <c r="QTI117" s="144"/>
      <c r="QTJ117" s="144"/>
      <c r="QTK117" s="144"/>
      <c r="QTL117" s="144"/>
      <c r="QTM117" s="145"/>
      <c r="QTN117" s="145"/>
      <c r="QTO117" s="145"/>
      <c r="QTP117" s="145"/>
      <c r="QTQ117" s="145"/>
      <c r="QTR117" s="145"/>
      <c r="QTU117" s="144"/>
      <c r="QTV117" s="144"/>
      <c r="QTW117" s="144"/>
      <c r="QTX117" s="144"/>
      <c r="QTY117" s="144"/>
      <c r="QTZ117" s="144"/>
      <c r="QUA117" s="144"/>
      <c r="QUB117" s="144"/>
      <c r="QUC117" s="145"/>
      <c r="QUD117" s="145"/>
      <c r="QUE117" s="145"/>
      <c r="QUF117" s="145"/>
      <c r="QUG117" s="145"/>
      <c r="QUH117" s="145"/>
      <c r="QUK117" s="144"/>
      <c r="QUL117" s="144"/>
      <c r="QUM117" s="144"/>
      <c r="QUN117" s="144"/>
      <c r="QUO117" s="144"/>
      <c r="QUP117" s="144"/>
      <c r="QUQ117" s="144"/>
      <c r="QUR117" s="144"/>
      <c r="QUS117" s="145"/>
      <c r="QUT117" s="145"/>
      <c r="QUU117" s="145"/>
      <c r="QUV117" s="145"/>
      <c r="QUW117" s="145"/>
      <c r="QUX117" s="145"/>
      <c r="QVA117" s="144"/>
      <c r="QVB117" s="144"/>
      <c r="QVC117" s="144"/>
      <c r="QVD117" s="144"/>
      <c r="QVE117" s="144"/>
      <c r="QVF117" s="144"/>
      <c r="QVG117" s="144"/>
      <c r="QVH117" s="144"/>
      <c r="QVI117" s="145"/>
      <c r="QVJ117" s="145"/>
      <c r="QVK117" s="145"/>
      <c r="QVL117" s="145"/>
      <c r="QVM117" s="145"/>
      <c r="QVN117" s="145"/>
      <c r="QVQ117" s="144"/>
      <c r="QVR117" s="144"/>
      <c r="QVS117" s="144"/>
      <c r="QVT117" s="144"/>
      <c r="QVU117" s="144"/>
      <c r="QVV117" s="144"/>
      <c r="QVW117" s="144"/>
      <c r="QVX117" s="144"/>
      <c r="QVY117" s="145"/>
      <c r="QVZ117" s="145"/>
      <c r="QWA117" s="145"/>
      <c r="QWB117" s="145"/>
      <c r="QWC117" s="145"/>
      <c r="QWD117" s="145"/>
      <c r="QWG117" s="144"/>
      <c r="QWH117" s="144"/>
      <c r="QWI117" s="144"/>
      <c r="QWJ117" s="144"/>
      <c r="QWK117" s="144"/>
      <c r="QWL117" s="144"/>
      <c r="QWM117" s="144"/>
      <c r="QWN117" s="144"/>
      <c r="QWO117" s="145"/>
      <c r="QWP117" s="145"/>
      <c r="QWQ117" s="145"/>
      <c r="QWR117" s="145"/>
      <c r="QWS117" s="145"/>
      <c r="QWT117" s="145"/>
      <c r="QWW117" s="144"/>
      <c r="QWX117" s="144"/>
      <c r="QWY117" s="144"/>
      <c r="QWZ117" s="144"/>
      <c r="QXA117" s="144"/>
      <c r="QXB117" s="144"/>
      <c r="QXC117" s="144"/>
      <c r="QXD117" s="144"/>
      <c r="QXE117" s="145"/>
      <c r="QXF117" s="145"/>
      <c r="QXG117" s="145"/>
      <c r="QXH117" s="145"/>
      <c r="QXI117" s="145"/>
      <c r="QXJ117" s="145"/>
      <c r="QXM117" s="144"/>
      <c r="QXN117" s="144"/>
      <c r="QXO117" s="144"/>
      <c r="QXP117" s="144"/>
      <c r="QXQ117" s="144"/>
      <c r="QXR117" s="144"/>
      <c r="QXS117" s="144"/>
      <c r="QXT117" s="144"/>
      <c r="QXU117" s="145"/>
      <c r="QXV117" s="145"/>
      <c r="QXW117" s="145"/>
      <c r="QXX117" s="145"/>
      <c r="QXY117" s="145"/>
      <c r="QXZ117" s="145"/>
      <c r="QYC117" s="144"/>
      <c r="QYD117" s="144"/>
      <c r="QYE117" s="144"/>
      <c r="QYF117" s="144"/>
      <c r="QYG117" s="144"/>
      <c r="QYH117" s="144"/>
      <c r="QYI117" s="144"/>
      <c r="QYJ117" s="144"/>
      <c r="QYK117" s="145"/>
      <c r="QYL117" s="145"/>
      <c r="QYM117" s="145"/>
      <c r="QYN117" s="145"/>
      <c r="QYO117" s="145"/>
      <c r="QYP117" s="145"/>
      <c r="QYS117" s="144"/>
      <c r="QYT117" s="144"/>
      <c r="QYU117" s="144"/>
      <c r="QYV117" s="144"/>
      <c r="QYW117" s="144"/>
      <c r="QYX117" s="144"/>
      <c r="QYY117" s="144"/>
      <c r="QYZ117" s="144"/>
      <c r="QZA117" s="145"/>
      <c r="QZB117" s="145"/>
      <c r="QZC117" s="145"/>
      <c r="QZD117" s="145"/>
      <c r="QZE117" s="145"/>
      <c r="QZF117" s="145"/>
      <c r="QZI117" s="144"/>
      <c r="QZJ117" s="144"/>
      <c r="QZK117" s="144"/>
      <c r="QZL117" s="144"/>
      <c r="QZM117" s="144"/>
      <c r="QZN117" s="144"/>
      <c r="QZO117" s="144"/>
      <c r="QZP117" s="144"/>
      <c r="QZQ117" s="145"/>
      <c r="QZR117" s="145"/>
      <c r="QZS117" s="145"/>
      <c r="QZT117" s="145"/>
      <c r="QZU117" s="145"/>
      <c r="QZV117" s="145"/>
      <c r="QZY117" s="144"/>
      <c r="QZZ117" s="144"/>
      <c r="RAA117" s="144"/>
      <c r="RAB117" s="144"/>
      <c r="RAC117" s="144"/>
      <c r="RAD117" s="144"/>
      <c r="RAE117" s="144"/>
      <c r="RAF117" s="144"/>
      <c r="RAG117" s="145"/>
      <c r="RAH117" s="145"/>
      <c r="RAI117" s="145"/>
      <c r="RAJ117" s="145"/>
      <c r="RAK117" s="145"/>
      <c r="RAL117" s="145"/>
      <c r="RAO117" s="144"/>
      <c r="RAP117" s="144"/>
      <c r="RAQ117" s="144"/>
      <c r="RAR117" s="144"/>
      <c r="RAS117" s="144"/>
      <c r="RAT117" s="144"/>
      <c r="RAU117" s="144"/>
      <c r="RAV117" s="144"/>
      <c r="RAW117" s="145"/>
      <c r="RAX117" s="145"/>
      <c r="RAY117" s="145"/>
      <c r="RAZ117" s="145"/>
      <c r="RBA117" s="145"/>
      <c r="RBB117" s="145"/>
      <c r="RBE117" s="144"/>
      <c r="RBF117" s="144"/>
      <c r="RBG117" s="144"/>
      <c r="RBH117" s="144"/>
      <c r="RBI117" s="144"/>
      <c r="RBJ117" s="144"/>
      <c r="RBK117" s="144"/>
      <c r="RBL117" s="144"/>
      <c r="RBM117" s="145"/>
      <c r="RBN117" s="145"/>
      <c r="RBO117" s="145"/>
      <c r="RBP117" s="145"/>
      <c r="RBQ117" s="145"/>
      <c r="RBR117" s="145"/>
      <c r="RBU117" s="144"/>
      <c r="RBV117" s="144"/>
      <c r="RBW117" s="144"/>
      <c r="RBX117" s="144"/>
      <c r="RBY117" s="144"/>
      <c r="RBZ117" s="144"/>
      <c r="RCA117" s="144"/>
      <c r="RCB117" s="144"/>
      <c r="RCC117" s="145"/>
      <c r="RCD117" s="145"/>
      <c r="RCE117" s="145"/>
      <c r="RCF117" s="145"/>
      <c r="RCG117" s="145"/>
      <c r="RCH117" s="145"/>
      <c r="RCK117" s="144"/>
      <c r="RCL117" s="144"/>
      <c r="RCM117" s="144"/>
      <c r="RCN117" s="144"/>
      <c r="RCO117" s="144"/>
      <c r="RCP117" s="144"/>
      <c r="RCQ117" s="144"/>
      <c r="RCR117" s="144"/>
      <c r="RCS117" s="145"/>
      <c r="RCT117" s="145"/>
      <c r="RCU117" s="145"/>
      <c r="RCV117" s="145"/>
      <c r="RCW117" s="145"/>
      <c r="RCX117" s="145"/>
      <c r="RDA117" s="144"/>
      <c r="RDB117" s="144"/>
      <c r="RDC117" s="144"/>
      <c r="RDD117" s="144"/>
      <c r="RDE117" s="144"/>
      <c r="RDF117" s="144"/>
      <c r="RDG117" s="144"/>
      <c r="RDH117" s="144"/>
      <c r="RDI117" s="145"/>
      <c r="RDJ117" s="145"/>
      <c r="RDK117" s="145"/>
      <c r="RDL117" s="145"/>
      <c r="RDM117" s="145"/>
      <c r="RDN117" s="145"/>
      <c r="RDQ117" s="144"/>
      <c r="RDR117" s="144"/>
      <c r="RDS117" s="144"/>
      <c r="RDT117" s="144"/>
      <c r="RDU117" s="144"/>
      <c r="RDV117" s="144"/>
      <c r="RDW117" s="144"/>
      <c r="RDX117" s="144"/>
      <c r="RDY117" s="145"/>
      <c r="RDZ117" s="145"/>
      <c r="REA117" s="145"/>
      <c r="REB117" s="145"/>
      <c r="REC117" s="145"/>
      <c r="RED117" s="145"/>
      <c r="REG117" s="144"/>
      <c r="REH117" s="144"/>
      <c r="REI117" s="144"/>
      <c r="REJ117" s="144"/>
      <c r="REK117" s="144"/>
      <c r="REL117" s="144"/>
      <c r="REM117" s="144"/>
      <c r="REN117" s="144"/>
      <c r="REO117" s="145"/>
      <c r="REP117" s="145"/>
      <c r="REQ117" s="145"/>
      <c r="RER117" s="145"/>
      <c r="RES117" s="145"/>
      <c r="RET117" s="145"/>
      <c r="REW117" s="144"/>
      <c r="REX117" s="144"/>
      <c r="REY117" s="144"/>
      <c r="REZ117" s="144"/>
      <c r="RFA117" s="144"/>
      <c r="RFB117" s="144"/>
      <c r="RFC117" s="144"/>
      <c r="RFD117" s="144"/>
      <c r="RFE117" s="145"/>
      <c r="RFF117" s="145"/>
      <c r="RFG117" s="145"/>
      <c r="RFH117" s="145"/>
      <c r="RFI117" s="145"/>
      <c r="RFJ117" s="145"/>
      <c r="RFM117" s="144"/>
      <c r="RFN117" s="144"/>
      <c r="RFO117" s="144"/>
      <c r="RFP117" s="144"/>
      <c r="RFQ117" s="144"/>
      <c r="RFR117" s="144"/>
      <c r="RFS117" s="144"/>
      <c r="RFT117" s="144"/>
      <c r="RFU117" s="145"/>
      <c r="RFV117" s="145"/>
      <c r="RFW117" s="145"/>
      <c r="RFX117" s="145"/>
      <c r="RFY117" s="145"/>
      <c r="RFZ117" s="145"/>
      <c r="RGC117" s="144"/>
      <c r="RGD117" s="144"/>
      <c r="RGE117" s="144"/>
      <c r="RGF117" s="144"/>
      <c r="RGG117" s="144"/>
      <c r="RGH117" s="144"/>
      <c r="RGI117" s="144"/>
      <c r="RGJ117" s="144"/>
      <c r="RGK117" s="145"/>
      <c r="RGL117" s="145"/>
      <c r="RGM117" s="145"/>
      <c r="RGN117" s="145"/>
      <c r="RGO117" s="145"/>
      <c r="RGP117" s="145"/>
      <c r="RGS117" s="144"/>
      <c r="RGT117" s="144"/>
      <c r="RGU117" s="144"/>
      <c r="RGV117" s="144"/>
      <c r="RGW117" s="144"/>
      <c r="RGX117" s="144"/>
      <c r="RGY117" s="144"/>
      <c r="RGZ117" s="144"/>
      <c r="RHA117" s="145"/>
      <c r="RHB117" s="145"/>
      <c r="RHC117" s="145"/>
      <c r="RHD117" s="145"/>
      <c r="RHE117" s="145"/>
      <c r="RHF117" s="145"/>
      <c r="RHI117" s="144"/>
      <c r="RHJ117" s="144"/>
      <c r="RHK117" s="144"/>
      <c r="RHL117" s="144"/>
      <c r="RHM117" s="144"/>
      <c r="RHN117" s="144"/>
      <c r="RHO117" s="144"/>
      <c r="RHP117" s="144"/>
      <c r="RHQ117" s="145"/>
      <c r="RHR117" s="145"/>
      <c r="RHS117" s="145"/>
      <c r="RHT117" s="145"/>
      <c r="RHU117" s="145"/>
      <c r="RHV117" s="145"/>
      <c r="RHY117" s="144"/>
      <c r="RHZ117" s="144"/>
      <c r="RIA117" s="144"/>
      <c r="RIB117" s="144"/>
      <c r="RIC117" s="144"/>
      <c r="RID117" s="144"/>
      <c r="RIE117" s="144"/>
      <c r="RIF117" s="144"/>
      <c r="RIG117" s="145"/>
      <c r="RIH117" s="145"/>
      <c r="RII117" s="145"/>
      <c r="RIJ117" s="145"/>
      <c r="RIK117" s="145"/>
      <c r="RIL117" s="145"/>
      <c r="RIO117" s="144"/>
      <c r="RIP117" s="144"/>
      <c r="RIQ117" s="144"/>
      <c r="RIR117" s="144"/>
      <c r="RIS117" s="144"/>
      <c r="RIT117" s="144"/>
      <c r="RIU117" s="144"/>
      <c r="RIV117" s="144"/>
      <c r="RIW117" s="145"/>
      <c r="RIX117" s="145"/>
      <c r="RIY117" s="145"/>
      <c r="RIZ117" s="145"/>
      <c r="RJA117" s="145"/>
      <c r="RJB117" s="145"/>
      <c r="RJE117" s="144"/>
      <c r="RJF117" s="144"/>
      <c r="RJG117" s="144"/>
      <c r="RJH117" s="144"/>
      <c r="RJI117" s="144"/>
      <c r="RJJ117" s="144"/>
      <c r="RJK117" s="144"/>
      <c r="RJL117" s="144"/>
      <c r="RJM117" s="145"/>
      <c r="RJN117" s="145"/>
      <c r="RJO117" s="145"/>
      <c r="RJP117" s="145"/>
      <c r="RJQ117" s="145"/>
      <c r="RJR117" s="145"/>
      <c r="RJU117" s="144"/>
      <c r="RJV117" s="144"/>
      <c r="RJW117" s="144"/>
      <c r="RJX117" s="144"/>
      <c r="RJY117" s="144"/>
      <c r="RJZ117" s="144"/>
      <c r="RKA117" s="144"/>
      <c r="RKB117" s="144"/>
      <c r="RKC117" s="145"/>
      <c r="RKD117" s="145"/>
      <c r="RKE117" s="145"/>
      <c r="RKF117" s="145"/>
      <c r="RKG117" s="145"/>
      <c r="RKH117" s="145"/>
      <c r="RKK117" s="144"/>
      <c r="RKL117" s="144"/>
      <c r="RKM117" s="144"/>
      <c r="RKN117" s="144"/>
      <c r="RKO117" s="144"/>
      <c r="RKP117" s="144"/>
      <c r="RKQ117" s="144"/>
      <c r="RKR117" s="144"/>
      <c r="RKS117" s="145"/>
      <c r="RKT117" s="145"/>
      <c r="RKU117" s="145"/>
      <c r="RKV117" s="145"/>
      <c r="RKW117" s="145"/>
      <c r="RKX117" s="145"/>
      <c r="RLA117" s="144"/>
      <c r="RLB117" s="144"/>
      <c r="RLC117" s="144"/>
      <c r="RLD117" s="144"/>
      <c r="RLE117" s="144"/>
      <c r="RLF117" s="144"/>
      <c r="RLG117" s="144"/>
      <c r="RLH117" s="144"/>
      <c r="RLI117" s="145"/>
      <c r="RLJ117" s="145"/>
      <c r="RLK117" s="145"/>
      <c r="RLL117" s="145"/>
      <c r="RLM117" s="145"/>
      <c r="RLN117" s="145"/>
      <c r="RLQ117" s="144"/>
      <c r="RLR117" s="144"/>
      <c r="RLS117" s="144"/>
      <c r="RLT117" s="144"/>
      <c r="RLU117" s="144"/>
      <c r="RLV117" s="144"/>
      <c r="RLW117" s="144"/>
      <c r="RLX117" s="144"/>
      <c r="RLY117" s="145"/>
      <c r="RLZ117" s="145"/>
      <c r="RMA117" s="145"/>
      <c r="RMB117" s="145"/>
      <c r="RMC117" s="145"/>
      <c r="RMD117" s="145"/>
      <c r="RMG117" s="144"/>
      <c r="RMH117" s="144"/>
      <c r="RMI117" s="144"/>
      <c r="RMJ117" s="144"/>
      <c r="RMK117" s="144"/>
      <c r="RML117" s="144"/>
      <c r="RMM117" s="144"/>
      <c r="RMN117" s="144"/>
      <c r="RMO117" s="145"/>
      <c r="RMP117" s="145"/>
      <c r="RMQ117" s="145"/>
      <c r="RMR117" s="145"/>
      <c r="RMS117" s="145"/>
      <c r="RMT117" s="145"/>
      <c r="RMW117" s="144"/>
      <c r="RMX117" s="144"/>
      <c r="RMY117" s="144"/>
      <c r="RMZ117" s="144"/>
      <c r="RNA117" s="144"/>
      <c r="RNB117" s="144"/>
      <c r="RNC117" s="144"/>
      <c r="RND117" s="144"/>
      <c r="RNE117" s="145"/>
      <c r="RNF117" s="145"/>
      <c r="RNG117" s="145"/>
      <c r="RNH117" s="145"/>
      <c r="RNI117" s="145"/>
      <c r="RNJ117" s="145"/>
      <c r="RNM117" s="144"/>
      <c r="RNN117" s="144"/>
      <c r="RNO117" s="144"/>
      <c r="RNP117" s="144"/>
      <c r="RNQ117" s="144"/>
      <c r="RNR117" s="144"/>
      <c r="RNS117" s="144"/>
      <c r="RNT117" s="144"/>
      <c r="RNU117" s="145"/>
      <c r="RNV117" s="145"/>
      <c r="RNW117" s="145"/>
      <c r="RNX117" s="145"/>
      <c r="RNY117" s="145"/>
      <c r="RNZ117" s="145"/>
      <c r="ROC117" s="144"/>
      <c r="ROD117" s="144"/>
      <c r="ROE117" s="144"/>
      <c r="ROF117" s="144"/>
      <c r="ROG117" s="144"/>
      <c r="ROH117" s="144"/>
      <c r="ROI117" s="144"/>
      <c r="ROJ117" s="144"/>
      <c r="ROK117" s="145"/>
      <c r="ROL117" s="145"/>
      <c r="ROM117" s="145"/>
      <c r="RON117" s="145"/>
      <c r="ROO117" s="145"/>
      <c r="ROP117" s="145"/>
      <c r="ROS117" s="144"/>
      <c r="ROT117" s="144"/>
      <c r="ROU117" s="144"/>
      <c r="ROV117" s="144"/>
      <c r="ROW117" s="144"/>
      <c r="ROX117" s="144"/>
      <c r="ROY117" s="144"/>
      <c r="ROZ117" s="144"/>
      <c r="RPA117" s="145"/>
      <c r="RPB117" s="145"/>
      <c r="RPC117" s="145"/>
      <c r="RPD117" s="145"/>
      <c r="RPE117" s="145"/>
      <c r="RPF117" s="145"/>
      <c r="RPI117" s="144"/>
      <c r="RPJ117" s="144"/>
      <c r="RPK117" s="144"/>
      <c r="RPL117" s="144"/>
      <c r="RPM117" s="144"/>
      <c r="RPN117" s="144"/>
      <c r="RPO117" s="144"/>
      <c r="RPP117" s="144"/>
      <c r="RPQ117" s="145"/>
      <c r="RPR117" s="145"/>
      <c r="RPS117" s="145"/>
      <c r="RPT117" s="145"/>
      <c r="RPU117" s="145"/>
      <c r="RPV117" s="145"/>
      <c r="RPY117" s="144"/>
      <c r="RPZ117" s="144"/>
      <c r="RQA117" s="144"/>
      <c r="RQB117" s="144"/>
      <c r="RQC117" s="144"/>
      <c r="RQD117" s="144"/>
      <c r="RQE117" s="144"/>
      <c r="RQF117" s="144"/>
      <c r="RQG117" s="145"/>
      <c r="RQH117" s="145"/>
      <c r="RQI117" s="145"/>
      <c r="RQJ117" s="145"/>
      <c r="RQK117" s="145"/>
      <c r="RQL117" s="145"/>
      <c r="RQO117" s="144"/>
      <c r="RQP117" s="144"/>
      <c r="RQQ117" s="144"/>
      <c r="RQR117" s="144"/>
      <c r="RQS117" s="144"/>
      <c r="RQT117" s="144"/>
      <c r="RQU117" s="144"/>
      <c r="RQV117" s="144"/>
      <c r="RQW117" s="145"/>
      <c r="RQX117" s="145"/>
      <c r="RQY117" s="145"/>
      <c r="RQZ117" s="145"/>
      <c r="RRA117" s="145"/>
      <c r="RRB117" s="145"/>
      <c r="RRE117" s="144"/>
      <c r="RRF117" s="144"/>
      <c r="RRG117" s="144"/>
      <c r="RRH117" s="144"/>
      <c r="RRI117" s="144"/>
      <c r="RRJ117" s="144"/>
      <c r="RRK117" s="144"/>
      <c r="RRL117" s="144"/>
      <c r="RRM117" s="145"/>
      <c r="RRN117" s="145"/>
      <c r="RRO117" s="145"/>
      <c r="RRP117" s="145"/>
      <c r="RRQ117" s="145"/>
      <c r="RRR117" s="145"/>
      <c r="RRU117" s="144"/>
      <c r="RRV117" s="144"/>
      <c r="RRW117" s="144"/>
      <c r="RRX117" s="144"/>
      <c r="RRY117" s="144"/>
      <c r="RRZ117" s="144"/>
      <c r="RSA117" s="144"/>
      <c r="RSB117" s="144"/>
      <c r="RSC117" s="145"/>
      <c r="RSD117" s="145"/>
      <c r="RSE117" s="145"/>
      <c r="RSF117" s="145"/>
      <c r="RSG117" s="145"/>
      <c r="RSH117" s="145"/>
      <c r="RSK117" s="144"/>
      <c r="RSL117" s="144"/>
      <c r="RSM117" s="144"/>
      <c r="RSN117" s="144"/>
      <c r="RSO117" s="144"/>
      <c r="RSP117" s="144"/>
      <c r="RSQ117" s="144"/>
      <c r="RSR117" s="144"/>
      <c r="RSS117" s="145"/>
      <c r="RST117" s="145"/>
      <c r="RSU117" s="145"/>
      <c r="RSV117" s="145"/>
      <c r="RSW117" s="145"/>
      <c r="RSX117" s="145"/>
      <c r="RTA117" s="144"/>
      <c r="RTB117" s="144"/>
      <c r="RTC117" s="144"/>
      <c r="RTD117" s="144"/>
      <c r="RTE117" s="144"/>
      <c r="RTF117" s="144"/>
      <c r="RTG117" s="144"/>
      <c r="RTH117" s="144"/>
      <c r="RTI117" s="145"/>
      <c r="RTJ117" s="145"/>
      <c r="RTK117" s="145"/>
      <c r="RTL117" s="145"/>
      <c r="RTM117" s="145"/>
      <c r="RTN117" s="145"/>
      <c r="RTQ117" s="144"/>
      <c r="RTR117" s="144"/>
      <c r="RTS117" s="144"/>
      <c r="RTT117" s="144"/>
      <c r="RTU117" s="144"/>
      <c r="RTV117" s="144"/>
      <c r="RTW117" s="144"/>
      <c r="RTX117" s="144"/>
      <c r="RTY117" s="145"/>
      <c r="RTZ117" s="145"/>
      <c r="RUA117" s="145"/>
      <c r="RUB117" s="145"/>
      <c r="RUC117" s="145"/>
      <c r="RUD117" s="145"/>
      <c r="RUG117" s="144"/>
      <c r="RUH117" s="144"/>
      <c r="RUI117" s="144"/>
      <c r="RUJ117" s="144"/>
      <c r="RUK117" s="144"/>
      <c r="RUL117" s="144"/>
      <c r="RUM117" s="144"/>
      <c r="RUN117" s="144"/>
      <c r="RUO117" s="145"/>
      <c r="RUP117" s="145"/>
      <c r="RUQ117" s="145"/>
      <c r="RUR117" s="145"/>
      <c r="RUS117" s="145"/>
      <c r="RUT117" s="145"/>
      <c r="RUW117" s="144"/>
      <c r="RUX117" s="144"/>
      <c r="RUY117" s="144"/>
      <c r="RUZ117" s="144"/>
      <c r="RVA117" s="144"/>
      <c r="RVB117" s="144"/>
      <c r="RVC117" s="144"/>
      <c r="RVD117" s="144"/>
      <c r="RVE117" s="145"/>
      <c r="RVF117" s="145"/>
      <c r="RVG117" s="145"/>
      <c r="RVH117" s="145"/>
      <c r="RVI117" s="145"/>
      <c r="RVJ117" s="145"/>
      <c r="RVM117" s="144"/>
      <c r="RVN117" s="144"/>
      <c r="RVO117" s="144"/>
      <c r="RVP117" s="144"/>
      <c r="RVQ117" s="144"/>
      <c r="RVR117" s="144"/>
      <c r="RVS117" s="144"/>
      <c r="RVT117" s="144"/>
      <c r="RVU117" s="145"/>
      <c r="RVV117" s="145"/>
      <c r="RVW117" s="145"/>
      <c r="RVX117" s="145"/>
      <c r="RVY117" s="145"/>
      <c r="RVZ117" s="145"/>
      <c r="RWC117" s="144"/>
      <c r="RWD117" s="144"/>
      <c r="RWE117" s="144"/>
      <c r="RWF117" s="144"/>
      <c r="RWG117" s="144"/>
      <c r="RWH117" s="144"/>
      <c r="RWI117" s="144"/>
      <c r="RWJ117" s="144"/>
      <c r="RWK117" s="145"/>
      <c r="RWL117" s="145"/>
      <c r="RWM117" s="145"/>
      <c r="RWN117" s="145"/>
      <c r="RWO117" s="145"/>
      <c r="RWP117" s="145"/>
      <c r="RWS117" s="144"/>
      <c r="RWT117" s="144"/>
      <c r="RWU117" s="144"/>
      <c r="RWV117" s="144"/>
      <c r="RWW117" s="144"/>
      <c r="RWX117" s="144"/>
      <c r="RWY117" s="144"/>
      <c r="RWZ117" s="144"/>
      <c r="RXA117" s="145"/>
      <c r="RXB117" s="145"/>
      <c r="RXC117" s="145"/>
      <c r="RXD117" s="145"/>
      <c r="RXE117" s="145"/>
      <c r="RXF117" s="145"/>
      <c r="RXI117" s="144"/>
      <c r="RXJ117" s="144"/>
      <c r="RXK117" s="144"/>
      <c r="RXL117" s="144"/>
      <c r="RXM117" s="144"/>
      <c r="RXN117" s="144"/>
      <c r="RXO117" s="144"/>
      <c r="RXP117" s="144"/>
      <c r="RXQ117" s="145"/>
      <c r="RXR117" s="145"/>
      <c r="RXS117" s="145"/>
      <c r="RXT117" s="145"/>
      <c r="RXU117" s="145"/>
      <c r="RXV117" s="145"/>
      <c r="RXY117" s="144"/>
      <c r="RXZ117" s="144"/>
      <c r="RYA117" s="144"/>
      <c r="RYB117" s="144"/>
      <c r="RYC117" s="144"/>
      <c r="RYD117" s="144"/>
      <c r="RYE117" s="144"/>
      <c r="RYF117" s="144"/>
      <c r="RYG117" s="145"/>
      <c r="RYH117" s="145"/>
      <c r="RYI117" s="145"/>
      <c r="RYJ117" s="145"/>
      <c r="RYK117" s="145"/>
      <c r="RYL117" s="145"/>
      <c r="RYO117" s="144"/>
      <c r="RYP117" s="144"/>
      <c r="RYQ117" s="144"/>
      <c r="RYR117" s="144"/>
      <c r="RYS117" s="144"/>
      <c r="RYT117" s="144"/>
      <c r="RYU117" s="144"/>
      <c r="RYV117" s="144"/>
      <c r="RYW117" s="145"/>
      <c r="RYX117" s="145"/>
      <c r="RYY117" s="145"/>
      <c r="RYZ117" s="145"/>
      <c r="RZA117" s="145"/>
      <c r="RZB117" s="145"/>
      <c r="RZE117" s="144"/>
      <c r="RZF117" s="144"/>
      <c r="RZG117" s="144"/>
      <c r="RZH117" s="144"/>
      <c r="RZI117" s="144"/>
      <c r="RZJ117" s="144"/>
      <c r="RZK117" s="144"/>
      <c r="RZL117" s="144"/>
      <c r="RZM117" s="145"/>
      <c r="RZN117" s="145"/>
      <c r="RZO117" s="145"/>
      <c r="RZP117" s="145"/>
      <c r="RZQ117" s="145"/>
      <c r="RZR117" s="145"/>
      <c r="RZU117" s="144"/>
      <c r="RZV117" s="144"/>
      <c r="RZW117" s="144"/>
      <c r="RZX117" s="144"/>
      <c r="RZY117" s="144"/>
      <c r="RZZ117" s="144"/>
      <c r="SAA117" s="144"/>
      <c r="SAB117" s="144"/>
      <c r="SAC117" s="145"/>
      <c r="SAD117" s="145"/>
      <c r="SAE117" s="145"/>
      <c r="SAF117" s="145"/>
      <c r="SAG117" s="145"/>
      <c r="SAH117" s="145"/>
      <c r="SAK117" s="144"/>
      <c r="SAL117" s="144"/>
      <c r="SAM117" s="144"/>
      <c r="SAN117" s="144"/>
      <c r="SAO117" s="144"/>
      <c r="SAP117" s="144"/>
      <c r="SAQ117" s="144"/>
      <c r="SAR117" s="144"/>
      <c r="SAS117" s="145"/>
      <c r="SAT117" s="145"/>
      <c r="SAU117" s="145"/>
      <c r="SAV117" s="145"/>
      <c r="SAW117" s="145"/>
      <c r="SAX117" s="145"/>
      <c r="SBA117" s="144"/>
      <c r="SBB117" s="144"/>
      <c r="SBC117" s="144"/>
      <c r="SBD117" s="144"/>
      <c r="SBE117" s="144"/>
      <c r="SBF117" s="144"/>
      <c r="SBG117" s="144"/>
      <c r="SBH117" s="144"/>
      <c r="SBI117" s="145"/>
      <c r="SBJ117" s="145"/>
      <c r="SBK117" s="145"/>
      <c r="SBL117" s="145"/>
      <c r="SBM117" s="145"/>
      <c r="SBN117" s="145"/>
      <c r="SBQ117" s="144"/>
      <c r="SBR117" s="144"/>
      <c r="SBS117" s="144"/>
      <c r="SBT117" s="144"/>
      <c r="SBU117" s="144"/>
      <c r="SBV117" s="144"/>
      <c r="SBW117" s="144"/>
      <c r="SBX117" s="144"/>
      <c r="SBY117" s="145"/>
      <c r="SBZ117" s="145"/>
      <c r="SCA117" s="145"/>
      <c r="SCB117" s="145"/>
      <c r="SCC117" s="145"/>
      <c r="SCD117" s="145"/>
      <c r="SCG117" s="144"/>
      <c r="SCH117" s="144"/>
      <c r="SCI117" s="144"/>
      <c r="SCJ117" s="144"/>
      <c r="SCK117" s="144"/>
      <c r="SCL117" s="144"/>
      <c r="SCM117" s="144"/>
      <c r="SCN117" s="144"/>
      <c r="SCO117" s="145"/>
      <c r="SCP117" s="145"/>
      <c r="SCQ117" s="145"/>
      <c r="SCR117" s="145"/>
      <c r="SCS117" s="145"/>
      <c r="SCT117" s="145"/>
      <c r="SCW117" s="144"/>
      <c r="SCX117" s="144"/>
      <c r="SCY117" s="144"/>
      <c r="SCZ117" s="144"/>
      <c r="SDA117" s="144"/>
      <c r="SDB117" s="144"/>
      <c r="SDC117" s="144"/>
      <c r="SDD117" s="144"/>
      <c r="SDE117" s="145"/>
      <c r="SDF117" s="145"/>
      <c r="SDG117" s="145"/>
      <c r="SDH117" s="145"/>
      <c r="SDI117" s="145"/>
      <c r="SDJ117" s="145"/>
      <c r="SDM117" s="144"/>
      <c r="SDN117" s="144"/>
      <c r="SDO117" s="144"/>
      <c r="SDP117" s="144"/>
      <c r="SDQ117" s="144"/>
      <c r="SDR117" s="144"/>
      <c r="SDS117" s="144"/>
      <c r="SDT117" s="144"/>
      <c r="SDU117" s="145"/>
      <c r="SDV117" s="145"/>
      <c r="SDW117" s="145"/>
      <c r="SDX117" s="145"/>
      <c r="SDY117" s="145"/>
      <c r="SDZ117" s="145"/>
      <c r="SEC117" s="144"/>
      <c r="SED117" s="144"/>
      <c r="SEE117" s="144"/>
      <c r="SEF117" s="144"/>
      <c r="SEG117" s="144"/>
      <c r="SEH117" s="144"/>
      <c r="SEI117" s="144"/>
      <c r="SEJ117" s="144"/>
      <c r="SEK117" s="145"/>
      <c r="SEL117" s="145"/>
      <c r="SEM117" s="145"/>
      <c r="SEN117" s="145"/>
      <c r="SEO117" s="145"/>
      <c r="SEP117" s="145"/>
      <c r="SES117" s="144"/>
      <c r="SET117" s="144"/>
      <c r="SEU117" s="144"/>
      <c r="SEV117" s="144"/>
      <c r="SEW117" s="144"/>
      <c r="SEX117" s="144"/>
      <c r="SEY117" s="144"/>
      <c r="SEZ117" s="144"/>
      <c r="SFA117" s="145"/>
      <c r="SFB117" s="145"/>
      <c r="SFC117" s="145"/>
      <c r="SFD117" s="145"/>
      <c r="SFE117" s="145"/>
      <c r="SFF117" s="145"/>
      <c r="SFI117" s="144"/>
      <c r="SFJ117" s="144"/>
      <c r="SFK117" s="144"/>
      <c r="SFL117" s="144"/>
      <c r="SFM117" s="144"/>
      <c r="SFN117" s="144"/>
      <c r="SFO117" s="144"/>
      <c r="SFP117" s="144"/>
      <c r="SFQ117" s="145"/>
      <c r="SFR117" s="145"/>
      <c r="SFS117" s="145"/>
      <c r="SFT117" s="145"/>
      <c r="SFU117" s="145"/>
      <c r="SFV117" s="145"/>
      <c r="SFY117" s="144"/>
      <c r="SFZ117" s="144"/>
      <c r="SGA117" s="144"/>
      <c r="SGB117" s="144"/>
      <c r="SGC117" s="144"/>
      <c r="SGD117" s="144"/>
      <c r="SGE117" s="144"/>
      <c r="SGF117" s="144"/>
      <c r="SGG117" s="145"/>
      <c r="SGH117" s="145"/>
      <c r="SGI117" s="145"/>
      <c r="SGJ117" s="145"/>
      <c r="SGK117" s="145"/>
      <c r="SGL117" s="145"/>
      <c r="SGO117" s="144"/>
      <c r="SGP117" s="144"/>
      <c r="SGQ117" s="144"/>
      <c r="SGR117" s="144"/>
      <c r="SGS117" s="144"/>
      <c r="SGT117" s="144"/>
      <c r="SGU117" s="144"/>
      <c r="SGV117" s="144"/>
      <c r="SGW117" s="145"/>
      <c r="SGX117" s="145"/>
      <c r="SGY117" s="145"/>
      <c r="SGZ117" s="145"/>
      <c r="SHA117" s="145"/>
      <c r="SHB117" s="145"/>
      <c r="SHE117" s="144"/>
      <c r="SHF117" s="144"/>
      <c r="SHG117" s="144"/>
      <c r="SHH117" s="144"/>
      <c r="SHI117" s="144"/>
      <c r="SHJ117" s="144"/>
      <c r="SHK117" s="144"/>
      <c r="SHL117" s="144"/>
      <c r="SHM117" s="145"/>
      <c r="SHN117" s="145"/>
      <c r="SHO117" s="145"/>
      <c r="SHP117" s="145"/>
      <c r="SHQ117" s="145"/>
      <c r="SHR117" s="145"/>
      <c r="SHU117" s="144"/>
      <c r="SHV117" s="144"/>
      <c r="SHW117" s="144"/>
      <c r="SHX117" s="144"/>
      <c r="SHY117" s="144"/>
      <c r="SHZ117" s="144"/>
      <c r="SIA117" s="144"/>
      <c r="SIB117" s="144"/>
      <c r="SIC117" s="145"/>
      <c r="SID117" s="145"/>
      <c r="SIE117" s="145"/>
      <c r="SIF117" s="145"/>
      <c r="SIG117" s="145"/>
      <c r="SIH117" s="145"/>
      <c r="SIK117" s="144"/>
      <c r="SIL117" s="144"/>
      <c r="SIM117" s="144"/>
      <c r="SIN117" s="144"/>
      <c r="SIO117" s="144"/>
      <c r="SIP117" s="144"/>
      <c r="SIQ117" s="144"/>
      <c r="SIR117" s="144"/>
      <c r="SIS117" s="145"/>
      <c r="SIT117" s="145"/>
      <c r="SIU117" s="145"/>
      <c r="SIV117" s="145"/>
      <c r="SIW117" s="145"/>
      <c r="SIX117" s="145"/>
      <c r="SJA117" s="144"/>
      <c r="SJB117" s="144"/>
      <c r="SJC117" s="144"/>
      <c r="SJD117" s="144"/>
      <c r="SJE117" s="144"/>
      <c r="SJF117" s="144"/>
      <c r="SJG117" s="144"/>
      <c r="SJH117" s="144"/>
      <c r="SJI117" s="145"/>
      <c r="SJJ117" s="145"/>
      <c r="SJK117" s="145"/>
      <c r="SJL117" s="145"/>
      <c r="SJM117" s="145"/>
      <c r="SJN117" s="145"/>
      <c r="SJQ117" s="144"/>
      <c r="SJR117" s="144"/>
      <c r="SJS117" s="144"/>
      <c r="SJT117" s="144"/>
      <c r="SJU117" s="144"/>
      <c r="SJV117" s="144"/>
      <c r="SJW117" s="144"/>
      <c r="SJX117" s="144"/>
      <c r="SJY117" s="145"/>
      <c r="SJZ117" s="145"/>
      <c r="SKA117" s="145"/>
      <c r="SKB117" s="145"/>
      <c r="SKC117" s="145"/>
      <c r="SKD117" s="145"/>
      <c r="SKG117" s="144"/>
      <c r="SKH117" s="144"/>
      <c r="SKI117" s="144"/>
      <c r="SKJ117" s="144"/>
      <c r="SKK117" s="144"/>
      <c r="SKL117" s="144"/>
      <c r="SKM117" s="144"/>
      <c r="SKN117" s="144"/>
      <c r="SKO117" s="145"/>
      <c r="SKP117" s="145"/>
      <c r="SKQ117" s="145"/>
      <c r="SKR117" s="145"/>
      <c r="SKS117" s="145"/>
      <c r="SKT117" s="145"/>
      <c r="SKW117" s="144"/>
      <c r="SKX117" s="144"/>
      <c r="SKY117" s="144"/>
      <c r="SKZ117" s="144"/>
      <c r="SLA117" s="144"/>
      <c r="SLB117" s="144"/>
      <c r="SLC117" s="144"/>
      <c r="SLD117" s="144"/>
      <c r="SLE117" s="145"/>
      <c r="SLF117" s="145"/>
      <c r="SLG117" s="145"/>
      <c r="SLH117" s="145"/>
      <c r="SLI117" s="145"/>
      <c r="SLJ117" s="145"/>
      <c r="SLM117" s="144"/>
      <c r="SLN117" s="144"/>
      <c r="SLO117" s="144"/>
      <c r="SLP117" s="144"/>
      <c r="SLQ117" s="144"/>
      <c r="SLR117" s="144"/>
      <c r="SLS117" s="144"/>
      <c r="SLT117" s="144"/>
      <c r="SLU117" s="145"/>
      <c r="SLV117" s="145"/>
      <c r="SLW117" s="145"/>
      <c r="SLX117" s="145"/>
      <c r="SLY117" s="145"/>
      <c r="SLZ117" s="145"/>
      <c r="SMC117" s="144"/>
      <c r="SMD117" s="144"/>
      <c r="SME117" s="144"/>
      <c r="SMF117" s="144"/>
      <c r="SMG117" s="144"/>
      <c r="SMH117" s="144"/>
      <c r="SMI117" s="144"/>
      <c r="SMJ117" s="144"/>
      <c r="SMK117" s="145"/>
      <c r="SML117" s="145"/>
      <c r="SMM117" s="145"/>
      <c r="SMN117" s="145"/>
      <c r="SMO117" s="145"/>
      <c r="SMP117" s="145"/>
      <c r="SMS117" s="144"/>
      <c r="SMT117" s="144"/>
      <c r="SMU117" s="144"/>
      <c r="SMV117" s="144"/>
      <c r="SMW117" s="144"/>
      <c r="SMX117" s="144"/>
      <c r="SMY117" s="144"/>
      <c r="SMZ117" s="144"/>
      <c r="SNA117" s="145"/>
      <c r="SNB117" s="145"/>
      <c r="SNC117" s="145"/>
      <c r="SND117" s="145"/>
      <c r="SNE117" s="145"/>
      <c r="SNF117" s="145"/>
      <c r="SNI117" s="144"/>
      <c r="SNJ117" s="144"/>
      <c r="SNK117" s="144"/>
      <c r="SNL117" s="144"/>
      <c r="SNM117" s="144"/>
      <c r="SNN117" s="144"/>
      <c r="SNO117" s="144"/>
      <c r="SNP117" s="144"/>
      <c r="SNQ117" s="145"/>
      <c r="SNR117" s="145"/>
      <c r="SNS117" s="145"/>
      <c r="SNT117" s="145"/>
      <c r="SNU117" s="145"/>
      <c r="SNV117" s="145"/>
      <c r="SNY117" s="144"/>
      <c r="SNZ117" s="144"/>
      <c r="SOA117" s="144"/>
      <c r="SOB117" s="144"/>
      <c r="SOC117" s="144"/>
      <c r="SOD117" s="144"/>
      <c r="SOE117" s="144"/>
      <c r="SOF117" s="144"/>
      <c r="SOG117" s="145"/>
      <c r="SOH117" s="145"/>
      <c r="SOI117" s="145"/>
      <c r="SOJ117" s="145"/>
      <c r="SOK117" s="145"/>
      <c r="SOL117" s="145"/>
      <c r="SOO117" s="144"/>
      <c r="SOP117" s="144"/>
      <c r="SOQ117" s="144"/>
      <c r="SOR117" s="144"/>
      <c r="SOS117" s="144"/>
      <c r="SOT117" s="144"/>
      <c r="SOU117" s="144"/>
      <c r="SOV117" s="144"/>
      <c r="SOW117" s="145"/>
      <c r="SOX117" s="145"/>
      <c r="SOY117" s="145"/>
      <c r="SOZ117" s="145"/>
      <c r="SPA117" s="145"/>
      <c r="SPB117" s="145"/>
      <c r="SPE117" s="144"/>
      <c r="SPF117" s="144"/>
      <c r="SPG117" s="144"/>
      <c r="SPH117" s="144"/>
      <c r="SPI117" s="144"/>
      <c r="SPJ117" s="144"/>
      <c r="SPK117" s="144"/>
      <c r="SPL117" s="144"/>
      <c r="SPM117" s="145"/>
      <c r="SPN117" s="145"/>
      <c r="SPO117" s="145"/>
      <c r="SPP117" s="145"/>
      <c r="SPQ117" s="145"/>
      <c r="SPR117" s="145"/>
      <c r="SPU117" s="144"/>
      <c r="SPV117" s="144"/>
      <c r="SPW117" s="144"/>
      <c r="SPX117" s="144"/>
      <c r="SPY117" s="144"/>
      <c r="SPZ117" s="144"/>
      <c r="SQA117" s="144"/>
      <c r="SQB117" s="144"/>
      <c r="SQC117" s="145"/>
      <c r="SQD117" s="145"/>
      <c r="SQE117" s="145"/>
      <c r="SQF117" s="145"/>
      <c r="SQG117" s="145"/>
      <c r="SQH117" s="145"/>
      <c r="SQK117" s="144"/>
      <c r="SQL117" s="144"/>
      <c r="SQM117" s="144"/>
      <c r="SQN117" s="144"/>
      <c r="SQO117" s="144"/>
      <c r="SQP117" s="144"/>
      <c r="SQQ117" s="144"/>
      <c r="SQR117" s="144"/>
      <c r="SQS117" s="145"/>
      <c r="SQT117" s="145"/>
      <c r="SQU117" s="145"/>
      <c r="SQV117" s="145"/>
      <c r="SQW117" s="145"/>
      <c r="SQX117" s="145"/>
      <c r="SRA117" s="144"/>
      <c r="SRB117" s="144"/>
      <c r="SRC117" s="144"/>
      <c r="SRD117" s="144"/>
      <c r="SRE117" s="144"/>
      <c r="SRF117" s="144"/>
      <c r="SRG117" s="144"/>
      <c r="SRH117" s="144"/>
      <c r="SRI117" s="145"/>
      <c r="SRJ117" s="145"/>
      <c r="SRK117" s="145"/>
      <c r="SRL117" s="145"/>
      <c r="SRM117" s="145"/>
      <c r="SRN117" s="145"/>
      <c r="SRQ117" s="144"/>
      <c r="SRR117" s="144"/>
      <c r="SRS117" s="144"/>
      <c r="SRT117" s="144"/>
      <c r="SRU117" s="144"/>
      <c r="SRV117" s="144"/>
      <c r="SRW117" s="144"/>
      <c r="SRX117" s="144"/>
      <c r="SRY117" s="145"/>
      <c r="SRZ117" s="145"/>
      <c r="SSA117" s="145"/>
      <c r="SSB117" s="145"/>
      <c r="SSC117" s="145"/>
      <c r="SSD117" s="145"/>
      <c r="SSG117" s="144"/>
      <c r="SSH117" s="144"/>
      <c r="SSI117" s="144"/>
      <c r="SSJ117" s="144"/>
      <c r="SSK117" s="144"/>
      <c r="SSL117" s="144"/>
      <c r="SSM117" s="144"/>
      <c r="SSN117" s="144"/>
      <c r="SSO117" s="145"/>
      <c r="SSP117" s="145"/>
      <c r="SSQ117" s="145"/>
      <c r="SSR117" s="145"/>
      <c r="SSS117" s="145"/>
      <c r="SST117" s="145"/>
      <c r="SSW117" s="144"/>
      <c r="SSX117" s="144"/>
      <c r="SSY117" s="144"/>
      <c r="SSZ117" s="144"/>
      <c r="STA117" s="144"/>
      <c r="STB117" s="144"/>
      <c r="STC117" s="144"/>
      <c r="STD117" s="144"/>
      <c r="STE117" s="145"/>
      <c r="STF117" s="145"/>
      <c r="STG117" s="145"/>
      <c r="STH117" s="145"/>
      <c r="STI117" s="145"/>
      <c r="STJ117" s="145"/>
      <c r="STM117" s="144"/>
      <c r="STN117" s="144"/>
      <c r="STO117" s="144"/>
      <c r="STP117" s="144"/>
      <c r="STQ117" s="144"/>
      <c r="STR117" s="144"/>
      <c r="STS117" s="144"/>
      <c r="STT117" s="144"/>
      <c r="STU117" s="145"/>
      <c r="STV117" s="145"/>
      <c r="STW117" s="145"/>
      <c r="STX117" s="145"/>
      <c r="STY117" s="145"/>
      <c r="STZ117" s="145"/>
      <c r="SUC117" s="144"/>
      <c r="SUD117" s="144"/>
      <c r="SUE117" s="144"/>
      <c r="SUF117" s="144"/>
      <c r="SUG117" s="144"/>
      <c r="SUH117" s="144"/>
      <c r="SUI117" s="144"/>
      <c r="SUJ117" s="144"/>
      <c r="SUK117" s="145"/>
      <c r="SUL117" s="145"/>
      <c r="SUM117" s="145"/>
      <c r="SUN117" s="145"/>
      <c r="SUO117" s="145"/>
      <c r="SUP117" s="145"/>
      <c r="SUS117" s="144"/>
      <c r="SUT117" s="144"/>
      <c r="SUU117" s="144"/>
      <c r="SUV117" s="144"/>
      <c r="SUW117" s="144"/>
      <c r="SUX117" s="144"/>
      <c r="SUY117" s="144"/>
      <c r="SUZ117" s="144"/>
      <c r="SVA117" s="145"/>
      <c r="SVB117" s="145"/>
      <c r="SVC117" s="145"/>
      <c r="SVD117" s="145"/>
      <c r="SVE117" s="145"/>
      <c r="SVF117" s="145"/>
      <c r="SVI117" s="144"/>
      <c r="SVJ117" s="144"/>
      <c r="SVK117" s="144"/>
      <c r="SVL117" s="144"/>
      <c r="SVM117" s="144"/>
      <c r="SVN117" s="144"/>
      <c r="SVO117" s="144"/>
      <c r="SVP117" s="144"/>
      <c r="SVQ117" s="145"/>
      <c r="SVR117" s="145"/>
      <c r="SVS117" s="145"/>
      <c r="SVT117" s="145"/>
      <c r="SVU117" s="145"/>
      <c r="SVV117" s="145"/>
      <c r="SVY117" s="144"/>
      <c r="SVZ117" s="144"/>
      <c r="SWA117" s="144"/>
      <c r="SWB117" s="144"/>
      <c r="SWC117" s="144"/>
      <c r="SWD117" s="144"/>
      <c r="SWE117" s="144"/>
      <c r="SWF117" s="144"/>
      <c r="SWG117" s="145"/>
      <c r="SWH117" s="145"/>
      <c r="SWI117" s="145"/>
      <c r="SWJ117" s="145"/>
      <c r="SWK117" s="145"/>
      <c r="SWL117" s="145"/>
      <c r="SWO117" s="144"/>
      <c r="SWP117" s="144"/>
      <c r="SWQ117" s="144"/>
      <c r="SWR117" s="144"/>
      <c r="SWS117" s="144"/>
      <c r="SWT117" s="144"/>
      <c r="SWU117" s="144"/>
      <c r="SWV117" s="144"/>
      <c r="SWW117" s="145"/>
      <c r="SWX117" s="145"/>
      <c r="SWY117" s="145"/>
      <c r="SWZ117" s="145"/>
      <c r="SXA117" s="145"/>
      <c r="SXB117" s="145"/>
      <c r="SXE117" s="144"/>
      <c r="SXF117" s="144"/>
      <c r="SXG117" s="144"/>
      <c r="SXH117" s="144"/>
      <c r="SXI117" s="144"/>
      <c r="SXJ117" s="144"/>
      <c r="SXK117" s="144"/>
      <c r="SXL117" s="144"/>
      <c r="SXM117" s="145"/>
      <c r="SXN117" s="145"/>
      <c r="SXO117" s="145"/>
      <c r="SXP117" s="145"/>
      <c r="SXQ117" s="145"/>
      <c r="SXR117" s="145"/>
      <c r="SXU117" s="144"/>
      <c r="SXV117" s="144"/>
      <c r="SXW117" s="144"/>
      <c r="SXX117" s="144"/>
      <c r="SXY117" s="144"/>
      <c r="SXZ117" s="144"/>
      <c r="SYA117" s="144"/>
      <c r="SYB117" s="144"/>
      <c r="SYC117" s="145"/>
      <c r="SYD117" s="145"/>
      <c r="SYE117" s="145"/>
      <c r="SYF117" s="145"/>
      <c r="SYG117" s="145"/>
      <c r="SYH117" s="145"/>
      <c r="SYK117" s="144"/>
      <c r="SYL117" s="144"/>
      <c r="SYM117" s="144"/>
      <c r="SYN117" s="144"/>
      <c r="SYO117" s="144"/>
      <c r="SYP117" s="144"/>
      <c r="SYQ117" s="144"/>
      <c r="SYR117" s="144"/>
      <c r="SYS117" s="145"/>
      <c r="SYT117" s="145"/>
      <c r="SYU117" s="145"/>
      <c r="SYV117" s="145"/>
      <c r="SYW117" s="145"/>
      <c r="SYX117" s="145"/>
      <c r="SZA117" s="144"/>
      <c r="SZB117" s="144"/>
      <c r="SZC117" s="144"/>
      <c r="SZD117" s="144"/>
      <c r="SZE117" s="144"/>
      <c r="SZF117" s="144"/>
      <c r="SZG117" s="144"/>
      <c r="SZH117" s="144"/>
      <c r="SZI117" s="145"/>
      <c r="SZJ117" s="145"/>
      <c r="SZK117" s="145"/>
      <c r="SZL117" s="145"/>
      <c r="SZM117" s="145"/>
      <c r="SZN117" s="145"/>
      <c r="SZQ117" s="144"/>
      <c r="SZR117" s="144"/>
      <c r="SZS117" s="144"/>
      <c r="SZT117" s="144"/>
      <c r="SZU117" s="144"/>
      <c r="SZV117" s="144"/>
      <c r="SZW117" s="144"/>
      <c r="SZX117" s="144"/>
      <c r="SZY117" s="145"/>
      <c r="SZZ117" s="145"/>
      <c r="TAA117" s="145"/>
      <c r="TAB117" s="145"/>
      <c r="TAC117" s="145"/>
      <c r="TAD117" s="145"/>
      <c r="TAG117" s="144"/>
      <c r="TAH117" s="144"/>
      <c r="TAI117" s="144"/>
      <c r="TAJ117" s="144"/>
      <c r="TAK117" s="144"/>
      <c r="TAL117" s="144"/>
      <c r="TAM117" s="144"/>
      <c r="TAN117" s="144"/>
      <c r="TAO117" s="145"/>
      <c r="TAP117" s="145"/>
      <c r="TAQ117" s="145"/>
      <c r="TAR117" s="145"/>
      <c r="TAS117" s="145"/>
      <c r="TAT117" s="145"/>
      <c r="TAW117" s="144"/>
      <c r="TAX117" s="144"/>
      <c r="TAY117" s="144"/>
      <c r="TAZ117" s="144"/>
      <c r="TBA117" s="144"/>
      <c r="TBB117" s="144"/>
      <c r="TBC117" s="144"/>
      <c r="TBD117" s="144"/>
      <c r="TBE117" s="145"/>
      <c r="TBF117" s="145"/>
      <c r="TBG117" s="145"/>
      <c r="TBH117" s="145"/>
      <c r="TBI117" s="145"/>
      <c r="TBJ117" s="145"/>
      <c r="TBM117" s="144"/>
      <c r="TBN117" s="144"/>
      <c r="TBO117" s="144"/>
      <c r="TBP117" s="144"/>
      <c r="TBQ117" s="144"/>
      <c r="TBR117" s="144"/>
      <c r="TBS117" s="144"/>
      <c r="TBT117" s="144"/>
      <c r="TBU117" s="145"/>
      <c r="TBV117" s="145"/>
      <c r="TBW117" s="145"/>
      <c r="TBX117" s="145"/>
      <c r="TBY117" s="145"/>
      <c r="TBZ117" s="145"/>
      <c r="TCC117" s="144"/>
      <c r="TCD117" s="144"/>
      <c r="TCE117" s="144"/>
      <c r="TCF117" s="144"/>
      <c r="TCG117" s="144"/>
      <c r="TCH117" s="144"/>
      <c r="TCI117" s="144"/>
      <c r="TCJ117" s="144"/>
      <c r="TCK117" s="145"/>
      <c r="TCL117" s="145"/>
      <c r="TCM117" s="145"/>
      <c r="TCN117" s="145"/>
      <c r="TCO117" s="145"/>
      <c r="TCP117" s="145"/>
      <c r="TCS117" s="144"/>
      <c r="TCT117" s="144"/>
      <c r="TCU117" s="144"/>
      <c r="TCV117" s="144"/>
      <c r="TCW117" s="144"/>
      <c r="TCX117" s="144"/>
      <c r="TCY117" s="144"/>
      <c r="TCZ117" s="144"/>
      <c r="TDA117" s="145"/>
      <c r="TDB117" s="145"/>
      <c r="TDC117" s="145"/>
      <c r="TDD117" s="145"/>
      <c r="TDE117" s="145"/>
      <c r="TDF117" s="145"/>
      <c r="TDI117" s="144"/>
      <c r="TDJ117" s="144"/>
      <c r="TDK117" s="144"/>
      <c r="TDL117" s="144"/>
      <c r="TDM117" s="144"/>
      <c r="TDN117" s="144"/>
      <c r="TDO117" s="144"/>
      <c r="TDP117" s="144"/>
      <c r="TDQ117" s="145"/>
      <c r="TDR117" s="145"/>
      <c r="TDS117" s="145"/>
      <c r="TDT117" s="145"/>
      <c r="TDU117" s="145"/>
      <c r="TDV117" s="145"/>
      <c r="TDY117" s="144"/>
      <c r="TDZ117" s="144"/>
      <c r="TEA117" s="144"/>
      <c r="TEB117" s="144"/>
      <c r="TEC117" s="144"/>
      <c r="TED117" s="144"/>
      <c r="TEE117" s="144"/>
      <c r="TEF117" s="144"/>
      <c r="TEG117" s="145"/>
      <c r="TEH117" s="145"/>
      <c r="TEI117" s="145"/>
      <c r="TEJ117" s="145"/>
      <c r="TEK117" s="145"/>
      <c r="TEL117" s="145"/>
      <c r="TEO117" s="144"/>
      <c r="TEP117" s="144"/>
      <c r="TEQ117" s="144"/>
      <c r="TER117" s="144"/>
      <c r="TES117" s="144"/>
      <c r="TET117" s="144"/>
      <c r="TEU117" s="144"/>
      <c r="TEV117" s="144"/>
      <c r="TEW117" s="145"/>
      <c r="TEX117" s="145"/>
      <c r="TEY117" s="145"/>
      <c r="TEZ117" s="145"/>
      <c r="TFA117" s="145"/>
      <c r="TFB117" s="145"/>
      <c r="TFE117" s="144"/>
      <c r="TFF117" s="144"/>
      <c r="TFG117" s="144"/>
      <c r="TFH117" s="144"/>
      <c r="TFI117" s="144"/>
      <c r="TFJ117" s="144"/>
      <c r="TFK117" s="144"/>
      <c r="TFL117" s="144"/>
      <c r="TFM117" s="145"/>
      <c r="TFN117" s="145"/>
      <c r="TFO117" s="145"/>
      <c r="TFP117" s="145"/>
      <c r="TFQ117" s="145"/>
      <c r="TFR117" s="145"/>
      <c r="TFU117" s="144"/>
      <c r="TFV117" s="144"/>
      <c r="TFW117" s="144"/>
      <c r="TFX117" s="144"/>
      <c r="TFY117" s="144"/>
      <c r="TFZ117" s="144"/>
      <c r="TGA117" s="144"/>
      <c r="TGB117" s="144"/>
      <c r="TGC117" s="145"/>
      <c r="TGD117" s="145"/>
      <c r="TGE117" s="145"/>
      <c r="TGF117" s="145"/>
      <c r="TGG117" s="145"/>
      <c r="TGH117" s="145"/>
      <c r="TGK117" s="144"/>
      <c r="TGL117" s="144"/>
      <c r="TGM117" s="144"/>
      <c r="TGN117" s="144"/>
      <c r="TGO117" s="144"/>
      <c r="TGP117" s="144"/>
      <c r="TGQ117" s="144"/>
      <c r="TGR117" s="144"/>
      <c r="TGS117" s="145"/>
      <c r="TGT117" s="145"/>
      <c r="TGU117" s="145"/>
      <c r="TGV117" s="145"/>
      <c r="TGW117" s="145"/>
      <c r="TGX117" s="145"/>
      <c r="THA117" s="144"/>
      <c r="THB117" s="144"/>
      <c r="THC117" s="144"/>
      <c r="THD117" s="144"/>
      <c r="THE117" s="144"/>
      <c r="THF117" s="144"/>
      <c r="THG117" s="144"/>
      <c r="THH117" s="144"/>
      <c r="THI117" s="145"/>
      <c r="THJ117" s="145"/>
      <c r="THK117" s="145"/>
      <c r="THL117" s="145"/>
      <c r="THM117" s="145"/>
      <c r="THN117" s="145"/>
      <c r="THQ117" s="144"/>
      <c r="THR117" s="144"/>
      <c r="THS117" s="144"/>
      <c r="THT117" s="144"/>
      <c r="THU117" s="144"/>
      <c r="THV117" s="144"/>
      <c r="THW117" s="144"/>
      <c r="THX117" s="144"/>
      <c r="THY117" s="145"/>
      <c r="THZ117" s="145"/>
      <c r="TIA117" s="145"/>
      <c r="TIB117" s="145"/>
      <c r="TIC117" s="145"/>
      <c r="TID117" s="145"/>
      <c r="TIG117" s="144"/>
      <c r="TIH117" s="144"/>
      <c r="TII117" s="144"/>
      <c r="TIJ117" s="144"/>
      <c r="TIK117" s="144"/>
      <c r="TIL117" s="144"/>
      <c r="TIM117" s="144"/>
      <c r="TIN117" s="144"/>
      <c r="TIO117" s="145"/>
      <c r="TIP117" s="145"/>
      <c r="TIQ117" s="145"/>
      <c r="TIR117" s="145"/>
      <c r="TIS117" s="145"/>
      <c r="TIT117" s="145"/>
      <c r="TIW117" s="144"/>
      <c r="TIX117" s="144"/>
      <c r="TIY117" s="144"/>
      <c r="TIZ117" s="144"/>
      <c r="TJA117" s="144"/>
      <c r="TJB117" s="144"/>
      <c r="TJC117" s="144"/>
      <c r="TJD117" s="144"/>
      <c r="TJE117" s="145"/>
      <c r="TJF117" s="145"/>
      <c r="TJG117" s="145"/>
      <c r="TJH117" s="145"/>
      <c r="TJI117" s="145"/>
      <c r="TJJ117" s="145"/>
      <c r="TJM117" s="144"/>
      <c r="TJN117" s="144"/>
      <c r="TJO117" s="144"/>
      <c r="TJP117" s="144"/>
      <c r="TJQ117" s="144"/>
      <c r="TJR117" s="144"/>
      <c r="TJS117" s="144"/>
      <c r="TJT117" s="144"/>
      <c r="TJU117" s="145"/>
      <c r="TJV117" s="145"/>
      <c r="TJW117" s="145"/>
      <c r="TJX117" s="145"/>
      <c r="TJY117" s="145"/>
      <c r="TJZ117" s="145"/>
      <c r="TKC117" s="144"/>
      <c r="TKD117" s="144"/>
      <c r="TKE117" s="144"/>
      <c r="TKF117" s="144"/>
      <c r="TKG117" s="144"/>
      <c r="TKH117" s="144"/>
      <c r="TKI117" s="144"/>
      <c r="TKJ117" s="144"/>
      <c r="TKK117" s="145"/>
      <c r="TKL117" s="145"/>
      <c r="TKM117" s="145"/>
      <c r="TKN117" s="145"/>
      <c r="TKO117" s="145"/>
      <c r="TKP117" s="145"/>
      <c r="TKS117" s="144"/>
      <c r="TKT117" s="144"/>
      <c r="TKU117" s="144"/>
      <c r="TKV117" s="144"/>
      <c r="TKW117" s="144"/>
      <c r="TKX117" s="144"/>
      <c r="TKY117" s="144"/>
      <c r="TKZ117" s="144"/>
      <c r="TLA117" s="145"/>
      <c r="TLB117" s="145"/>
      <c r="TLC117" s="145"/>
      <c r="TLD117" s="145"/>
      <c r="TLE117" s="145"/>
      <c r="TLF117" s="145"/>
      <c r="TLI117" s="144"/>
      <c r="TLJ117" s="144"/>
      <c r="TLK117" s="144"/>
      <c r="TLL117" s="144"/>
      <c r="TLM117" s="144"/>
      <c r="TLN117" s="144"/>
      <c r="TLO117" s="144"/>
      <c r="TLP117" s="144"/>
      <c r="TLQ117" s="145"/>
      <c r="TLR117" s="145"/>
      <c r="TLS117" s="145"/>
      <c r="TLT117" s="145"/>
      <c r="TLU117" s="145"/>
      <c r="TLV117" s="145"/>
      <c r="TLY117" s="144"/>
      <c r="TLZ117" s="144"/>
      <c r="TMA117" s="144"/>
      <c r="TMB117" s="144"/>
      <c r="TMC117" s="144"/>
      <c r="TMD117" s="144"/>
      <c r="TME117" s="144"/>
      <c r="TMF117" s="144"/>
      <c r="TMG117" s="145"/>
      <c r="TMH117" s="145"/>
      <c r="TMI117" s="145"/>
      <c r="TMJ117" s="145"/>
      <c r="TMK117" s="145"/>
      <c r="TML117" s="145"/>
      <c r="TMO117" s="144"/>
      <c r="TMP117" s="144"/>
      <c r="TMQ117" s="144"/>
      <c r="TMR117" s="144"/>
      <c r="TMS117" s="144"/>
      <c r="TMT117" s="144"/>
      <c r="TMU117" s="144"/>
      <c r="TMV117" s="144"/>
      <c r="TMW117" s="145"/>
      <c r="TMX117" s="145"/>
      <c r="TMY117" s="145"/>
      <c r="TMZ117" s="145"/>
      <c r="TNA117" s="145"/>
      <c r="TNB117" s="145"/>
      <c r="TNE117" s="144"/>
      <c r="TNF117" s="144"/>
      <c r="TNG117" s="144"/>
      <c r="TNH117" s="144"/>
      <c r="TNI117" s="144"/>
      <c r="TNJ117" s="144"/>
      <c r="TNK117" s="144"/>
      <c r="TNL117" s="144"/>
      <c r="TNM117" s="145"/>
      <c r="TNN117" s="145"/>
      <c r="TNO117" s="145"/>
      <c r="TNP117" s="145"/>
      <c r="TNQ117" s="145"/>
      <c r="TNR117" s="145"/>
      <c r="TNU117" s="144"/>
      <c r="TNV117" s="144"/>
      <c r="TNW117" s="144"/>
      <c r="TNX117" s="144"/>
      <c r="TNY117" s="144"/>
      <c r="TNZ117" s="144"/>
      <c r="TOA117" s="144"/>
      <c r="TOB117" s="144"/>
      <c r="TOC117" s="145"/>
      <c r="TOD117" s="145"/>
      <c r="TOE117" s="145"/>
      <c r="TOF117" s="145"/>
      <c r="TOG117" s="145"/>
      <c r="TOH117" s="145"/>
      <c r="TOK117" s="144"/>
      <c r="TOL117" s="144"/>
      <c r="TOM117" s="144"/>
      <c r="TON117" s="144"/>
      <c r="TOO117" s="144"/>
      <c r="TOP117" s="144"/>
      <c r="TOQ117" s="144"/>
      <c r="TOR117" s="144"/>
      <c r="TOS117" s="145"/>
      <c r="TOT117" s="145"/>
      <c r="TOU117" s="145"/>
      <c r="TOV117" s="145"/>
      <c r="TOW117" s="145"/>
      <c r="TOX117" s="145"/>
      <c r="TPA117" s="144"/>
      <c r="TPB117" s="144"/>
      <c r="TPC117" s="144"/>
      <c r="TPD117" s="144"/>
      <c r="TPE117" s="144"/>
      <c r="TPF117" s="144"/>
      <c r="TPG117" s="144"/>
      <c r="TPH117" s="144"/>
      <c r="TPI117" s="145"/>
      <c r="TPJ117" s="145"/>
      <c r="TPK117" s="145"/>
      <c r="TPL117" s="145"/>
      <c r="TPM117" s="145"/>
      <c r="TPN117" s="145"/>
      <c r="TPQ117" s="144"/>
      <c r="TPR117" s="144"/>
      <c r="TPS117" s="144"/>
      <c r="TPT117" s="144"/>
      <c r="TPU117" s="144"/>
      <c r="TPV117" s="144"/>
      <c r="TPW117" s="144"/>
      <c r="TPX117" s="144"/>
      <c r="TPY117" s="145"/>
      <c r="TPZ117" s="145"/>
      <c r="TQA117" s="145"/>
      <c r="TQB117" s="145"/>
      <c r="TQC117" s="145"/>
      <c r="TQD117" s="145"/>
      <c r="TQG117" s="144"/>
      <c r="TQH117" s="144"/>
      <c r="TQI117" s="144"/>
      <c r="TQJ117" s="144"/>
      <c r="TQK117" s="144"/>
      <c r="TQL117" s="144"/>
      <c r="TQM117" s="144"/>
      <c r="TQN117" s="144"/>
      <c r="TQO117" s="145"/>
      <c r="TQP117" s="145"/>
      <c r="TQQ117" s="145"/>
      <c r="TQR117" s="145"/>
      <c r="TQS117" s="145"/>
      <c r="TQT117" s="145"/>
      <c r="TQW117" s="144"/>
      <c r="TQX117" s="144"/>
      <c r="TQY117" s="144"/>
      <c r="TQZ117" s="144"/>
      <c r="TRA117" s="144"/>
      <c r="TRB117" s="144"/>
      <c r="TRC117" s="144"/>
      <c r="TRD117" s="144"/>
      <c r="TRE117" s="145"/>
      <c r="TRF117" s="145"/>
      <c r="TRG117" s="145"/>
      <c r="TRH117" s="145"/>
      <c r="TRI117" s="145"/>
      <c r="TRJ117" s="145"/>
      <c r="TRM117" s="144"/>
      <c r="TRN117" s="144"/>
      <c r="TRO117" s="144"/>
      <c r="TRP117" s="144"/>
      <c r="TRQ117" s="144"/>
      <c r="TRR117" s="144"/>
      <c r="TRS117" s="144"/>
      <c r="TRT117" s="144"/>
      <c r="TRU117" s="145"/>
      <c r="TRV117" s="145"/>
      <c r="TRW117" s="145"/>
      <c r="TRX117" s="145"/>
      <c r="TRY117" s="145"/>
      <c r="TRZ117" s="145"/>
      <c r="TSC117" s="144"/>
      <c r="TSD117" s="144"/>
      <c r="TSE117" s="144"/>
      <c r="TSF117" s="144"/>
      <c r="TSG117" s="144"/>
      <c r="TSH117" s="144"/>
      <c r="TSI117" s="144"/>
      <c r="TSJ117" s="144"/>
      <c r="TSK117" s="145"/>
      <c r="TSL117" s="145"/>
      <c r="TSM117" s="145"/>
      <c r="TSN117" s="145"/>
      <c r="TSO117" s="145"/>
      <c r="TSP117" s="145"/>
      <c r="TSS117" s="144"/>
      <c r="TST117" s="144"/>
      <c r="TSU117" s="144"/>
      <c r="TSV117" s="144"/>
      <c r="TSW117" s="144"/>
      <c r="TSX117" s="144"/>
      <c r="TSY117" s="144"/>
      <c r="TSZ117" s="144"/>
      <c r="TTA117" s="145"/>
      <c r="TTB117" s="145"/>
      <c r="TTC117" s="145"/>
      <c r="TTD117" s="145"/>
      <c r="TTE117" s="145"/>
      <c r="TTF117" s="145"/>
      <c r="TTI117" s="144"/>
      <c r="TTJ117" s="144"/>
      <c r="TTK117" s="144"/>
      <c r="TTL117" s="144"/>
      <c r="TTM117" s="144"/>
      <c r="TTN117" s="144"/>
      <c r="TTO117" s="144"/>
      <c r="TTP117" s="144"/>
      <c r="TTQ117" s="145"/>
      <c r="TTR117" s="145"/>
      <c r="TTS117" s="145"/>
      <c r="TTT117" s="145"/>
      <c r="TTU117" s="145"/>
      <c r="TTV117" s="145"/>
      <c r="TTY117" s="144"/>
      <c r="TTZ117" s="144"/>
      <c r="TUA117" s="144"/>
      <c r="TUB117" s="144"/>
      <c r="TUC117" s="144"/>
      <c r="TUD117" s="144"/>
      <c r="TUE117" s="144"/>
      <c r="TUF117" s="144"/>
      <c r="TUG117" s="145"/>
      <c r="TUH117" s="145"/>
      <c r="TUI117" s="145"/>
      <c r="TUJ117" s="145"/>
      <c r="TUK117" s="145"/>
      <c r="TUL117" s="145"/>
      <c r="TUO117" s="144"/>
      <c r="TUP117" s="144"/>
      <c r="TUQ117" s="144"/>
      <c r="TUR117" s="144"/>
      <c r="TUS117" s="144"/>
      <c r="TUT117" s="144"/>
      <c r="TUU117" s="144"/>
      <c r="TUV117" s="144"/>
      <c r="TUW117" s="145"/>
      <c r="TUX117" s="145"/>
      <c r="TUY117" s="145"/>
      <c r="TUZ117" s="145"/>
      <c r="TVA117" s="145"/>
      <c r="TVB117" s="145"/>
      <c r="TVE117" s="144"/>
      <c r="TVF117" s="144"/>
      <c r="TVG117" s="144"/>
      <c r="TVH117" s="144"/>
      <c r="TVI117" s="144"/>
      <c r="TVJ117" s="144"/>
      <c r="TVK117" s="144"/>
      <c r="TVL117" s="144"/>
      <c r="TVM117" s="145"/>
      <c r="TVN117" s="145"/>
      <c r="TVO117" s="145"/>
      <c r="TVP117" s="145"/>
      <c r="TVQ117" s="145"/>
      <c r="TVR117" s="145"/>
      <c r="TVU117" s="144"/>
      <c r="TVV117" s="144"/>
      <c r="TVW117" s="144"/>
      <c r="TVX117" s="144"/>
      <c r="TVY117" s="144"/>
      <c r="TVZ117" s="144"/>
      <c r="TWA117" s="144"/>
      <c r="TWB117" s="144"/>
      <c r="TWC117" s="145"/>
      <c r="TWD117" s="145"/>
      <c r="TWE117" s="145"/>
      <c r="TWF117" s="145"/>
      <c r="TWG117" s="145"/>
      <c r="TWH117" s="145"/>
      <c r="TWK117" s="144"/>
      <c r="TWL117" s="144"/>
      <c r="TWM117" s="144"/>
      <c r="TWN117" s="144"/>
      <c r="TWO117" s="144"/>
      <c r="TWP117" s="144"/>
      <c r="TWQ117" s="144"/>
      <c r="TWR117" s="144"/>
      <c r="TWS117" s="145"/>
      <c r="TWT117" s="145"/>
      <c r="TWU117" s="145"/>
      <c r="TWV117" s="145"/>
      <c r="TWW117" s="145"/>
      <c r="TWX117" s="145"/>
      <c r="TXA117" s="144"/>
      <c r="TXB117" s="144"/>
      <c r="TXC117" s="144"/>
      <c r="TXD117" s="144"/>
      <c r="TXE117" s="144"/>
      <c r="TXF117" s="144"/>
      <c r="TXG117" s="144"/>
      <c r="TXH117" s="144"/>
      <c r="TXI117" s="145"/>
      <c r="TXJ117" s="145"/>
      <c r="TXK117" s="145"/>
      <c r="TXL117" s="145"/>
      <c r="TXM117" s="145"/>
      <c r="TXN117" s="145"/>
      <c r="TXQ117" s="144"/>
      <c r="TXR117" s="144"/>
      <c r="TXS117" s="144"/>
      <c r="TXT117" s="144"/>
      <c r="TXU117" s="144"/>
      <c r="TXV117" s="144"/>
      <c r="TXW117" s="144"/>
      <c r="TXX117" s="144"/>
      <c r="TXY117" s="145"/>
      <c r="TXZ117" s="145"/>
      <c r="TYA117" s="145"/>
      <c r="TYB117" s="145"/>
      <c r="TYC117" s="145"/>
      <c r="TYD117" s="145"/>
      <c r="TYG117" s="144"/>
      <c r="TYH117" s="144"/>
      <c r="TYI117" s="144"/>
      <c r="TYJ117" s="144"/>
      <c r="TYK117" s="144"/>
      <c r="TYL117" s="144"/>
      <c r="TYM117" s="144"/>
      <c r="TYN117" s="144"/>
      <c r="TYO117" s="145"/>
      <c r="TYP117" s="145"/>
      <c r="TYQ117" s="145"/>
      <c r="TYR117" s="145"/>
      <c r="TYS117" s="145"/>
      <c r="TYT117" s="145"/>
      <c r="TYW117" s="144"/>
      <c r="TYX117" s="144"/>
      <c r="TYY117" s="144"/>
      <c r="TYZ117" s="144"/>
      <c r="TZA117" s="144"/>
      <c r="TZB117" s="144"/>
      <c r="TZC117" s="144"/>
      <c r="TZD117" s="144"/>
      <c r="TZE117" s="145"/>
      <c r="TZF117" s="145"/>
      <c r="TZG117" s="145"/>
      <c r="TZH117" s="145"/>
      <c r="TZI117" s="145"/>
      <c r="TZJ117" s="145"/>
      <c r="TZM117" s="144"/>
      <c r="TZN117" s="144"/>
      <c r="TZO117" s="144"/>
      <c r="TZP117" s="144"/>
      <c r="TZQ117" s="144"/>
      <c r="TZR117" s="144"/>
      <c r="TZS117" s="144"/>
      <c r="TZT117" s="144"/>
      <c r="TZU117" s="145"/>
      <c r="TZV117" s="145"/>
      <c r="TZW117" s="145"/>
      <c r="TZX117" s="145"/>
      <c r="TZY117" s="145"/>
      <c r="TZZ117" s="145"/>
      <c r="UAC117" s="144"/>
      <c r="UAD117" s="144"/>
      <c r="UAE117" s="144"/>
      <c r="UAF117" s="144"/>
      <c r="UAG117" s="144"/>
      <c r="UAH117" s="144"/>
      <c r="UAI117" s="144"/>
      <c r="UAJ117" s="144"/>
      <c r="UAK117" s="145"/>
      <c r="UAL117" s="145"/>
      <c r="UAM117" s="145"/>
      <c r="UAN117" s="145"/>
      <c r="UAO117" s="145"/>
      <c r="UAP117" s="145"/>
      <c r="UAS117" s="144"/>
      <c r="UAT117" s="144"/>
      <c r="UAU117" s="144"/>
      <c r="UAV117" s="144"/>
      <c r="UAW117" s="144"/>
      <c r="UAX117" s="144"/>
      <c r="UAY117" s="144"/>
      <c r="UAZ117" s="144"/>
      <c r="UBA117" s="145"/>
      <c r="UBB117" s="145"/>
      <c r="UBC117" s="145"/>
      <c r="UBD117" s="145"/>
      <c r="UBE117" s="145"/>
      <c r="UBF117" s="145"/>
      <c r="UBI117" s="144"/>
      <c r="UBJ117" s="144"/>
      <c r="UBK117" s="144"/>
      <c r="UBL117" s="144"/>
      <c r="UBM117" s="144"/>
      <c r="UBN117" s="144"/>
      <c r="UBO117" s="144"/>
      <c r="UBP117" s="144"/>
      <c r="UBQ117" s="145"/>
      <c r="UBR117" s="145"/>
      <c r="UBS117" s="145"/>
      <c r="UBT117" s="145"/>
      <c r="UBU117" s="145"/>
      <c r="UBV117" s="145"/>
      <c r="UBY117" s="144"/>
      <c r="UBZ117" s="144"/>
      <c r="UCA117" s="144"/>
      <c r="UCB117" s="144"/>
      <c r="UCC117" s="144"/>
      <c r="UCD117" s="144"/>
      <c r="UCE117" s="144"/>
      <c r="UCF117" s="144"/>
      <c r="UCG117" s="145"/>
      <c r="UCH117" s="145"/>
      <c r="UCI117" s="145"/>
      <c r="UCJ117" s="145"/>
      <c r="UCK117" s="145"/>
      <c r="UCL117" s="145"/>
      <c r="UCO117" s="144"/>
      <c r="UCP117" s="144"/>
      <c r="UCQ117" s="144"/>
      <c r="UCR117" s="144"/>
      <c r="UCS117" s="144"/>
      <c r="UCT117" s="144"/>
      <c r="UCU117" s="144"/>
      <c r="UCV117" s="144"/>
      <c r="UCW117" s="145"/>
      <c r="UCX117" s="145"/>
      <c r="UCY117" s="145"/>
      <c r="UCZ117" s="145"/>
      <c r="UDA117" s="145"/>
      <c r="UDB117" s="145"/>
      <c r="UDE117" s="144"/>
      <c r="UDF117" s="144"/>
      <c r="UDG117" s="144"/>
      <c r="UDH117" s="144"/>
      <c r="UDI117" s="144"/>
      <c r="UDJ117" s="144"/>
      <c r="UDK117" s="144"/>
      <c r="UDL117" s="144"/>
      <c r="UDM117" s="145"/>
      <c r="UDN117" s="145"/>
      <c r="UDO117" s="145"/>
      <c r="UDP117" s="145"/>
      <c r="UDQ117" s="145"/>
      <c r="UDR117" s="145"/>
      <c r="UDU117" s="144"/>
      <c r="UDV117" s="144"/>
      <c r="UDW117" s="144"/>
      <c r="UDX117" s="144"/>
      <c r="UDY117" s="144"/>
      <c r="UDZ117" s="144"/>
      <c r="UEA117" s="144"/>
      <c r="UEB117" s="144"/>
      <c r="UEC117" s="145"/>
      <c r="UED117" s="145"/>
      <c r="UEE117" s="145"/>
      <c r="UEF117" s="145"/>
      <c r="UEG117" s="145"/>
      <c r="UEH117" s="145"/>
      <c r="UEK117" s="144"/>
      <c r="UEL117" s="144"/>
      <c r="UEM117" s="144"/>
      <c r="UEN117" s="144"/>
      <c r="UEO117" s="144"/>
      <c r="UEP117" s="144"/>
      <c r="UEQ117" s="144"/>
      <c r="UER117" s="144"/>
      <c r="UES117" s="145"/>
      <c r="UET117" s="145"/>
      <c r="UEU117" s="145"/>
      <c r="UEV117" s="145"/>
      <c r="UEW117" s="145"/>
      <c r="UEX117" s="145"/>
      <c r="UFA117" s="144"/>
      <c r="UFB117" s="144"/>
      <c r="UFC117" s="144"/>
      <c r="UFD117" s="144"/>
      <c r="UFE117" s="144"/>
      <c r="UFF117" s="144"/>
      <c r="UFG117" s="144"/>
      <c r="UFH117" s="144"/>
      <c r="UFI117" s="145"/>
      <c r="UFJ117" s="145"/>
      <c r="UFK117" s="145"/>
      <c r="UFL117" s="145"/>
      <c r="UFM117" s="145"/>
      <c r="UFN117" s="145"/>
      <c r="UFQ117" s="144"/>
      <c r="UFR117" s="144"/>
      <c r="UFS117" s="144"/>
      <c r="UFT117" s="144"/>
      <c r="UFU117" s="144"/>
      <c r="UFV117" s="144"/>
      <c r="UFW117" s="144"/>
      <c r="UFX117" s="144"/>
      <c r="UFY117" s="145"/>
      <c r="UFZ117" s="145"/>
      <c r="UGA117" s="145"/>
      <c r="UGB117" s="145"/>
      <c r="UGC117" s="145"/>
      <c r="UGD117" s="145"/>
      <c r="UGG117" s="144"/>
      <c r="UGH117" s="144"/>
      <c r="UGI117" s="144"/>
      <c r="UGJ117" s="144"/>
      <c r="UGK117" s="144"/>
      <c r="UGL117" s="144"/>
      <c r="UGM117" s="144"/>
      <c r="UGN117" s="144"/>
      <c r="UGO117" s="145"/>
      <c r="UGP117" s="145"/>
      <c r="UGQ117" s="145"/>
      <c r="UGR117" s="145"/>
      <c r="UGS117" s="145"/>
      <c r="UGT117" s="145"/>
      <c r="UGW117" s="144"/>
      <c r="UGX117" s="144"/>
      <c r="UGY117" s="144"/>
      <c r="UGZ117" s="144"/>
      <c r="UHA117" s="144"/>
      <c r="UHB117" s="144"/>
      <c r="UHC117" s="144"/>
      <c r="UHD117" s="144"/>
      <c r="UHE117" s="145"/>
      <c r="UHF117" s="145"/>
      <c r="UHG117" s="145"/>
      <c r="UHH117" s="145"/>
      <c r="UHI117" s="145"/>
      <c r="UHJ117" s="145"/>
      <c r="UHM117" s="144"/>
      <c r="UHN117" s="144"/>
      <c r="UHO117" s="144"/>
      <c r="UHP117" s="144"/>
      <c r="UHQ117" s="144"/>
      <c r="UHR117" s="144"/>
      <c r="UHS117" s="144"/>
      <c r="UHT117" s="144"/>
      <c r="UHU117" s="145"/>
      <c r="UHV117" s="145"/>
      <c r="UHW117" s="145"/>
      <c r="UHX117" s="145"/>
      <c r="UHY117" s="145"/>
      <c r="UHZ117" s="145"/>
      <c r="UIC117" s="144"/>
      <c r="UID117" s="144"/>
      <c r="UIE117" s="144"/>
      <c r="UIF117" s="144"/>
      <c r="UIG117" s="144"/>
      <c r="UIH117" s="144"/>
      <c r="UII117" s="144"/>
      <c r="UIJ117" s="144"/>
      <c r="UIK117" s="145"/>
      <c r="UIL117" s="145"/>
      <c r="UIM117" s="145"/>
      <c r="UIN117" s="145"/>
      <c r="UIO117" s="145"/>
      <c r="UIP117" s="145"/>
      <c r="UIS117" s="144"/>
      <c r="UIT117" s="144"/>
      <c r="UIU117" s="144"/>
      <c r="UIV117" s="144"/>
      <c r="UIW117" s="144"/>
      <c r="UIX117" s="144"/>
      <c r="UIY117" s="144"/>
      <c r="UIZ117" s="144"/>
      <c r="UJA117" s="145"/>
      <c r="UJB117" s="145"/>
      <c r="UJC117" s="145"/>
      <c r="UJD117" s="145"/>
      <c r="UJE117" s="145"/>
      <c r="UJF117" s="145"/>
      <c r="UJI117" s="144"/>
      <c r="UJJ117" s="144"/>
      <c r="UJK117" s="144"/>
      <c r="UJL117" s="144"/>
      <c r="UJM117" s="144"/>
      <c r="UJN117" s="144"/>
      <c r="UJO117" s="144"/>
      <c r="UJP117" s="144"/>
      <c r="UJQ117" s="145"/>
      <c r="UJR117" s="145"/>
      <c r="UJS117" s="145"/>
      <c r="UJT117" s="145"/>
      <c r="UJU117" s="145"/>
      <c r="UJV117" s="145"/>
      <c r="UJY117" s="144"/>
      <c r="UJZ117" s="144"/>
      <c r="UKA117" s="144"/>
      <c r="UKB117" s="144"/>
      <c r="UKC117" s="144"/>
      <c r="UKD117" s="144"/>
      <c r="UKE117" s="144"/>
      <c r="UKF117" s="144"/>
      <c r="UKG117" s="145"/>
      <c r="UKH117" s="145"/>
      <c r="UKI117" s="145"/>
      <c r="UKJ117" s="145"/>
      <c r="UKK117" s="145"/>
      <c r="UKL117" s="145"/>
      <c r="UKO117" s="144"/>
      <c r="UKP117" s="144"/>
      <c r="UKQ117" s="144"/>
      <c r="UKR117" s="144"/>
      <c r="UKS117" s="144"/>
      <c r="UKT117" s="144"/>
      <c r="UKU117" s="144"/>
      <c r="UKV117" s="144"/>
      <c r="UKW117" s="145"/>
      <c r="UKX117" s="145"/>
      <c r="UKY117" s="145"/>
      <c r="UKZ117" s="145"/>
      <c r="ULA117" s="145"/>
      <c r="ULB117" s="145"/>
      <c r="ULE117" s="144"/>
      <c r="ULF117" s="144"/>
      <c r="ULG117" s="144"/>
      <c r="ULH117" s="144"/>
      <c r="ULI117" s="144"/>
      <c r="ULJ117" s="144"/>
      <c r="ULK117" s="144"/>
      <c r="ULL117" s="144"/>
      <c r="ULM117" s="145"/>
      <c r="ULN117" s="145"/>
      <c r="ULO117" s="145"/>
      <c r="ULP117" s="145"/>
      <c r="ULQ117" s="145"/>
      <c r="ULR117" s="145"/>
      <c r="ULU117" s="144"/>
      <c r="ULV117" s="144"/>
      <c r="ULW117" s="144"/>
      <c r="ULX117" s="144"/>
      <c r="ULY117" s="144"/>
      <c r="ULZ117" s="144"/>
      <c r="UMA117" s="144"/>
      <c r="UMB117" s="144"/>
      <c r="UMC117" s="145"/>
      <c r="UMD117" s="145"/>
      <c r="UME117" s="145"/>
      <c r="UMF117" s="145"/>
      <c r="UMG117" s="145"/>
      <c r="UMH117" s="145"/>
      <c r="UMK117" s="144"/>
      <c r="UML117" s="144"/>
      <c r="UMM117" s="144"/>
      <c r="UMN117" s="144"/>
      <c r="UMO117" s="144"/>
      <c r="UMP117" s="144"/>
      <c r="UMQ117" s="144"/>
      <c r="UMR117" s="144"/>
      <c r="UMS117" s="145"/>
      <c r="UMT117" s="145"/>
      <c r="UMU117" s="145"/>
      <c r="UMV117" s="145"/>
      <c r="UMW117" s="145"/>
      <c r="UMX117" s="145"/>
      <c r="UNA117" s="144"/>
      <c r="UNB117" s="144"/>
      <c r="UNC117" s="144"/>
      <c r="UND117" s="144"/>
      <c r="UNE117" s="144"/>
      <c r="UNF117" s="144"/>
      <c r="UNG117" s="144"/>
      <c r="UNH117" s="144"/>
      <c r="UNI117" s="145"/>
      <c r="UNJ117" s="145"/>
      <c r="UNK117" s="145"/>
      <c r="UNL117" s="145"/>
      <c r="UNM117" s="145"/>
      <c r="UNN117" s="145"/>
      <c r="UNQ117" s="144"/>
      <c r="UNR117" s="144"/>
      <c r="UNS117" s="144"/>
      <c r="UNT117" s="144"/>
      <c r="UNU117" s="144"/>
      <c r="UNV117" s="144"/>
      <c r="UNW117" s="144"/>
      <c r="UNX117" s="144"/>
      <c r="UNY117" s="145"/>
      <c r="UNZ117" s="145"/>
      <c r="UOA117" s="145"/>
      <c r="UOB117" s="145"/>
      <c r="UOC117" s="145"/>
      <c r="UOD117" s="145"/>
      <c r="UOG117" s="144"/>
      <c r="UOH117" s="144"/>
      <c r="UOI117" s="144"/>
      <c r="UOJ117" s="144"/>
      <c r="UOK117" s="144"/>
      <c r="UOL117" s="144"/>
      <c r="UOM117" s="144"/>
      <c r="UON117" s="144"/>
      <c r="UOO117" s="145"/>
      <c r="UOP117" s="145"/>
      <c r="UOQ117" s="145"/>
      <c r="UOR117" s="145"/>
      <c r="UOS117" s="145"/>
      <c r="UOT117" s="145"/>
      <c r="UOW117" s="144"/>
      <c r="UOX117" s="144"/>
      <c r="UOY117" s="144"/>
      <c r="UOZ117" s="144"/>
      <c r="UPA117" s="144"/>
      <c r="UPB117" s="144"/>
      <c r="UPC117" s="144"/>
      <c r="UPD117" s="144"/>
      <c r="UPE117" s="145"/>
      <c r="UPF117" s="145"/>
      <c r="UPG117" s="145"/>
      <c r="UPH117" s="145"/>
      <c r="UPI117" s="145"/>
      <c r="UPJ117" s="145"/>
      <c r="UPM117" s="144"/>
      <c r="UPN117" s="144"/>
      <c r="UPO117" s="144"/>
      <c r="UPP117" s="144"/>
      <c r="UPQ117" s="144"/>
      <c r="UPR117" s="144"/>
      <c r="UPS117" s="144"/>
      <c r="UPT117" s="144"/>
      <c r="UPU117" s="145"/>
      <c r="UPV117" s="145"/>
      <c r="UPW117" s="145"/>
      <c r="UPX117" s="145"/>
      <c r="UPY117" s="145"/>
      <c r="UPZ117" s="145"/>
      <c r="UQC117" s="144"/>
      <c r="UQD117" s="144"/>
      <c r="UQE117" s="144"/>
      <c r="UQF117" s="144"/>
      <c r="UQG117" s="144"/>
      <c r="UQH117" s="144"/>
      <c r="UQI117" s="144"/>
      <c r="UQJ117" s="144"/>
      <c r="UQK117" s="145"/>
      <c r="UQL117" s="145"/>
      <c r="UQM117" s="145"/>
      <c r="UQN117" s="145"/>
      <c r="UQO117" s="145"/>
      <c r="UQP117" s="145"/>
      <c r="UQS117" s="144"/>
      <c r="UQT117" s="144"/>
      <c r="UQU117" s="144"/>
      <c r="UQV117" s="144"/>
      <c r="UQW117" s="144"/>
      <c r="UQX117" s="144"/>
      <c r="UQY117" s="144"/>
      <c r="UQZ117" s="144"/>
      <c r="URA117" s="145"/>
      <c r="URB117" s="145"/>
      <c r="URC117" s="145"/>
      <c r="URD117" s="145"/>
      <c r="URE117" s="145"/>
      <c r="URF117" s="145"/>
      <c r="URI117" s="144"/>
      <c r="URJ117" s="144"/>
      <c r="URK117" s="144"/>
      <c r="URL117" s="144"/>
      <c r="URM117" s="144"/>
      <c r="URN117" s="144"/>
      <c r="URO117" s="144"/>
      <c r="URP117" s="144"/>
      <c r="URQ117" s="145"/>
      <c r="URR117" s="145"/>
      <c r="URS117" s="145"/>
      <c r="URT117" s="145"/>
      <c r="URU117" s="145"/>
      <c r="URV117" s="145"/>
      <c r="URY117" s="144"/>
      <c r="URZ117" s="144"/>
      <c r="USA117" s="144"/>
      <c r="USB117" s="144"/>
      <c r="USC117" s="144"/>
      <c r="USD117" s="144"/>
      <c r="USE117" s="144"/>
      <c r="USF117" s="144"/>
      <c r="USG117" s="145"/>
      <c r="USH117" s="145"/>
      <c r="USI117" s="145"/>
      <c r="USJ117" s="145"/>
      <c r="USK117" s="145"/>
      <c r="USL117" s="145"/>
      <c r="USO117" s="144"/>
      <c r="USP117" s="144"/>
      <c r="USQ117" s="144"/>
      <c r="USR117" s="144"/>
      <c r="USS117" s="144"/>
      <c r="UST117" s="144"/>
      <c r="USU117" s="144"/>
      <c r="USV117" s="144"/>
      <c r="USW117" s="145"/>
      <c r="USX117" s="145"/>
      <c r="USY117" s="145"/>
      <c r="USZ117" s="145"/>
      <c r="UTA117" s="145"/>
      <c r="UTB117" s="145"/>
      <c r="UTE117" s="144"/>
      <c r="UTF117" s="144"/>
      <c r="UTG117" s="144"/>
      <c r="UTH117" s="144"/>
      <c r="UTI117" s="144"/>
      <c r="UTJ117" s="144"/>
      <c r="UTK117" s="144"/>
      <c r="UTL117" s="144"/>
      <c r="UTM117" s="145"/>
      <c r="UTN117" s="145"/>
      <c r="UTO117" s="145"/>
      <c r="UTP117" s="145"/>
      <c r="UTQ117" s="145"/>
      <c r="UTR117" s="145"/>
      <c r="UTU117" s="144"/>
      <c r="UTV117" s="144"/>
      <c r="UTW117" s="144"/>
      <c r="UTX117" s="144"/>
      <c r="UTY117" s="144"/>
      <c r="UTZ117" s="144"/>
      <c r="UUA117" s="144"/>
      <c r="UUB117" s="144"/>
      <c r="UUC117" s="145"/>
      <c r="UUD117" s="145"/>
      <c r="UUE117" s="145"/>
      <c r="UUF117" s="145"/>
      <c r="UUG117" s="145"/>
      <c r="UUH117" s="145"/>
      <c r="UUK117" s="144"/>
      <c r="UUL117" s="144"/>
      <c r="UUM117" s="144"/>
      <c r="UUN117" s="144"/>
      <c r="UUO117" s="144"/>
      <c r="UUP117" s="144"/>
      <c r="UUQ117" s="144"/>
      <c r="UUR117" s="144"/>
      <c r="UUS117" s="145"/>
      <c r="UUT117" s="145"/>
      <c r="UUU117" s="145"/>
      <c r="UUV117" s="145"/>
      <c r="UUW117" s="145"/>
      <c r="UUX117" s="145"/>
      <c r="UVA117" s="144"/>
      <c r="UVB117" s="144"/>
      <c r="UVC117" s="144"/>
      <c r="UVD117" s="144"/>
      <c r="UVE117" s="144"/>
      <c r="UVF117" s="144"/>
      <c r="UVG117" s="144"/>
      <c r="UVH117" s="144"/>
      <c r="UVI117" s="145"/>
      <c r="UVJ117" s="145"/>
      <c r="UVK117" s="145"/>
      <c r="UVL117" s="145"/>
      <c r="UVM117" s="145"/>
      <c r="UVN117" s="145"/>
      <c r="UVQ117" s="144"/>
      <c r="UVR117" s="144"/>
      <c r="UVS117" s="144"/>
      <c r="UVT117" s="144"/>
      <c r="UVU117" s="144"/>
      <c r="UVV117" s="144"/>
      <c r="UVW117" s="144"/>
      <c r="UVX117" s="144"/>
      <c r="UVY117" s="145"/>
      <c r="UVZ117" s="145"/>
      <c r="UWA117" s="145"/>
      <c r="UWB117" s="145"/>
      <c r="UWC117" s="145"/>
      <c r="UWD117" s="145"/>
      <c r="UWG117" s="144"/>
      <c r="UWH117" s="144"/>
      <c r="UWI117" s="144"/>
      <c r="UWJ117" s="144"/>
      <c r="UWK117" s="144"/>
      <c r="UWL117" s="144"/>
      <c r="UWM117" s="144"/>
      <c r="UWN117" s="144"/>
      <c r="UWO117" s="145"/>
      <c r="UWP117" s="145"/>
      <c r="UWQ117" s="145"/>
      <c r="UWR117" s="145"/>
      <c r="UWS117" s="145"/>
      <c r="UWT117" s="145"/>
      <c r="UWW117" s="144"/>
      <c r="UWX117" s="144"/>
      <c r="UWY117" s="144"/>
      <c r="UWZ117" s="144"/>
      <c r="UXA117" s="144"/>
      <c r="UXB117" s="144"/>
      <c r="UXC117" s="144"/>
      <c r="UXD117" s="144"/>
      <c r="UXE117" s="145"/>
      <c r="UXF117" s="145"/>
      <c r="UXG117" s="145"/>
      <c r="UXH117" s="145"/>
      <c r="UXI117" s="145"/>
      <c r="UXJ117" s="145"/>
      <c r="UXM117" s="144"/>
      <c r="UXN117" s="144"/>
      <c r="UXO117" s="144"/>
      <c r="UXP117" s="144"/>
      <c r="UXQ117" s="144"/>
      <c r="UXR117" s="144"/>
      <c r="UXS117" s="144"/>
      <c r="UXT117" s="144"/>
      <c r="UXU117" s="145"/>
      <c r="UXV117" s="145"/>
      <c r="UXW117" s="145"/>
      <c r="UXX117" s="145"/>
      <c r="UXY117" s="145"/>
      <c r="UXZ117" s="145"/>
      <c r="UYC117" s="144"/>
      <c r="UYD117" s="144"/>
      <c r="UYE117" s="144"/>
      <c r="UYF117" s="144"/>
      <c r="UYG117" s="144"/>
      <c r="UYH117" s="144"/>
      <c r="UYI117" s="144"/>
      <c r="UYJ117" s="144"/>
      <c r="UYK117" s="145"/>
      <c r="UYL117" s="145"/>
      <c r="UYM117" s="145"/>
      <c r="UYN117" s="145"/>
      <c r="UYO117" s="145"/>
      <c r="UYP117" s="145"/>
      <c r="UYS117" s="144"/>
      <c r="UYT117" s="144"/>
      <c r="UYU117" s="144"/>
      <c r="UYV117" s="144"/>
      <c r="UYW117" s="144"/>
      <c r="UYX117" s="144"/>
      <c r="UYY117" s="144"/>
      <c r="UYZ117" s="144"/>
      <c r="UZA117" s="145"/>
      <c r="UZB117" s="145"/>
      <c r="UZC117" s="145"/>
      <c r="UZD117" s="145"/>
      <c r="UZE117" s="145"/>
      <c r="UZF117" s="145"/>
      <c r="UZI117" s="144"/>
      <c r="UZJ117" s="144"/>
      <c r="UZK117" s="144"/>
      <c r="UZL117" s="144"/>
      <c r="UZM117" s="144"/>
      <c r="UZN117" s="144"/>
      <c r="UZO117" s="144"/>
      <c r="UZP117" s="144"/>
      <c r="UZQ117" s="145"/>
      <c r="UZR117" s="145"/>
      <c r="UZS117" s="145"/>
      <c r="UZT117" s="145"/>
      <c r="UZU117" s="145"/>
      <c r="UZV117" s="145"/>
      <c r="UZY117" s="144"/>
      <c r="UZZ117" s="144"/>
      <c r="VAA117" s="144"/>
      <c r="VAB117" s="144"/>
      <c r="VAC117" s="144"/>
      <c r="VAD117" s="144"/>
      <c r="VAE117" s="144"/>
      <c r="VAF117" s="144"/>
      <c r="VAG117" s="145"/>
      <c r="VAH117" s="145"/>
      <c r="VAI117" s="145"/>
      <c r="VAJ117" s="145"/>
      <c r="VAK117" s="145"/>
      <c r="VAL117" s="145"/>
      <c r="VAO117" s="144"/>
      <c r="VAP117" s="144"/>
      <c r="VAQ117" s="144"/>
      <c r="VAR117" s="144"/>
      <c r="VAS117" s="144"/>
      <c r="VAT117" s="144"/>
      <c r="VAU117" s="144"/>
      <c r="VAV117" s="144"/>
      <c r="VAW117" s="145"/>
      <c r="VAX117" s="145"/>
      <c r="VAY117" s="145"/>
      <c r="VAZ117" s="145"/>
      <c r="VBA117" s="145"/>
      <c r="VBB117" s="145"/>
      <c r="VBE117" s="144"/>
      <c r="VBF117" s="144"/>
      <c r="VBG117" s="144"/>
      <c r="VBH117" s="144"/>
      <c r="VBI117" s="144"/>
      <c r="VBJ117" s="144"/>
      <c r="VBK117" s="144"/>
      <c r="VBL117" s="144"/>
      <c r="VBM117" s="145"/>
      <c r="VBN117" s="145"/>
      <c r="VBO117" s="145"/>
      <c r="VBP117" s="145"/>
      <c r="VBQ117" s="145"/>
      <c r="VBR117" s="145"/>
      <c r="VBU117" s="144"/>
      <c r="VBV117" s="144"/>
      <c r="VBW117" s="144"/>
      <c r="VBX117" s="144"/>
      <c r="VBY117" s="144"/>
      <c r="VBZ117" s="144"/>
      <c r="VCA117" s="144"/>
      <c r="VCB117" s="144"/>
      <c r="VCC117" s="145"/>
      <c r="VCD117" s="145"/>
      <c r="VCE117" s="145"/>
      <c r="VCF117" s="145"/>
      <c r="VCG117" s="145"/>
      <c r="VCH117" s="145"/>
      <c r="VCK117" s="144"/>
      <c r="VCL117" s="144"/>
      <c r="VCM117" s="144"/>
      <c r="VCN117" s="144"/>
      <c r="VCO117" s="144"/>
      <c r="VCP117" s="144"/>
      <c r="VCQ117" s="144"/>
      <c r="VCR117" s="144"/>
      <c r="VCS117" s="145"/>
      <c r="VCT117" s="145"/>
      <c r="VCU117" s="145"/>
      <c r="VCV117" s="145"/>
      <c r="VCW117" s="145"/>
      <c r="VCX117" s="145"/>
      <c r="VDA117" s="144"/>
      <c r="VDB117" s="144"/>
      <c r="VDC117" s="144"/>
      <c r="VDD117" s="144"/>
      <c r="VDE117" s="144"/>
      <c r="VDF117" s="144"/>
      <c r="VDG117" s="144"/>
      <c r="VDH117" s="144"/>
      <c r="VDI117" s="145"/>
      <c r="VDJ117" s="145"/>
      <c r="VDK117" s="145"/>
      <c r="VDL117" s="145"/>
      <c r="VDM117" s="145"/>
      <c r="VDN117" s="145"/>
      <c r="VDQ117" s="144"/>
      <c r="VDR117" s="144"/>
      <c r="VDS117" s="144"/>
      <c r="VDT117" s="144"/>
      <c r="VDU117" s="144"/>
      <c r="VDV117" s="144"/>
      <c r="VDW117" s="144"/>
      <c r="VDX117" s="144"/>
      <c r="VDY117" s="145"/>
      <c r="VDZ117" s="145"/>
      <c r="VEA117" s="145"/>
      <c r="VEB117" s="145"/>
      <c r="VEC117" s="145"/>
      <c r="VED117" s="145"/>
      <c r="VEG117" s="144"/>
      <c r="VEH117" s="144"/>
      <c r="VEI117" s="144"/>
      <c r="VEJ117" s="144"/>
      <c r="VEK117" s="144"/>
      <c r="VEL117" s="144"/>
      <c r="VEM117" s="144"/>
      <c r="VEN117" s="144"/>
      <c r="VEO117" s="145"/>
      <c r="VEP117" s="145"/>
      <c r="VEQ117" s="145"/>
      <c r="VER117" s="145"/>
      <c r="VES117" s="145"/>
      <c r="VET117" s="145"/>
      <c r="VEW117" s="144"/>
      <c r="VEX117" s="144"/>
      <c r="VEY117" s="144"/>
      <c r="VEZ117" s="144"/>
      <c r="VFA117" s="144"/>
      <c r="VFB117" s="144"/>
      <c r="VFC117" s="144"/>
      <c r="VFD117" s="144"/>
      <c r="VFE117" s="145"/>
      <c r="VFF117" s="145"/>
      <c r="VFG117" s="145"/>
      <c r="VFH117" s="145"/>
      <c r="VFI117" s="145"/>
      <c r="VFJ117" s="145"/>
      <c r="VFM117" s="144"/>
      <c r="VFN117" s="144"/>
      <c r="VFO117" s="144"/>
      <c r="VFP117" s="144"/>
      <c r="VFQ117" s="144"/>
      <c r="VFR117" s="144"/>
      <c r="VFS117" s="144"/>
      <c r="VFT117" s="144"/>
      <c r="VFU117" s="145"/>
      <c r="VFV117" s="145"/>
      <c r="VFW117" s="145"/>
      <c r="VFX117" s="145"/>
      <c r="VFY117" s="145"/>
      <c r="VFZ117" s="145"/>
      <c r="VGC117" s="144"/>
      <c r="VGD117" s="144"/>
      <c r="VGE117" s="144"/>
      <c r="VGF117" s="144"/>
      <c r="VGG117" s="144"/>
      <c r="VGH117" s="144"/>
      <c r="VGI117" s="144"/>
      <c r="VGJ117" s="144"/>
      <c r="VGK117" s="145"/>
      <c r="VGL117" s="145"/>
      <c r="VGM117" s="145"/>
      <c r="VGN117" s="145"/>
      <c r="VGO117" s="145"/>
      <c r="VGP117" s="145"/>
      <c r="VGS117" s="144"/>
      <c r="VGT117" s="144"/>
      <c r="VGU117" s="144"/>
      <c r="VGV117" s="144"/>
      <c r="VGW117" s="144"/>
      <c r="VGX117" s="144"/>
      <c r="VGY117" s="144"/>
      <c r="VGZ117" s="144"/>
      <c r="VHA117" s="145"/>
      <c r="VHB117" s="145"/>
      <c r="VHC117" s="145"/>
      <c r="VHD117" s="145"/>
      <c r="VHE117" s="145"/>
      <c r="VHF117" s="145"/>
      <c r="VHI117" s="144"/>
      <c r="VHJ117" s="144"/>
      <c r="VHK117" s="144"/>
      <c r="VHL117" s="144"/>
      <c r="VHM117" s="144"/>
      <c r="VHN117" s="144"/>
      <c r="VHO117" s="144"/>
      <c r="VHP117" s="144"/>
      <c r="VHQ117" s="145"/>
      <c r="VHR117" s="145"/>
      <c r="VHS117" s="145"/>
      <c r="VHT117" s="145"/>
      <c r="VHU117" s="145"/>
      <c r="VHV117" s="145"/>
      <c r="VHY117" s="144"/>
      <c r="VHZ117" s="144"/>
      <c r="VIA117" s="144"/>
      <c r="VIB117" s="144"/>
      <c r="VIC117" s="144"/>
      <c r="VID117" s="144"/>
      <c r="VIE117" s="144"/>
      <c r="VIF117" s="144"/>
      <c r="VIG117" s="145"/>
      <c r="VIH117" s="145"/>
      <c r="VII117" s="145"/>
      <c r="VIJ117" s="145"/>
      <c r="VIK117" s="145"/>
      <c r="VIL117" s="145"/>
      <c r="VIO117" s="144"/>
      <c r="VIP117" s="144"/>
      <c r="VIQ117" s="144"/>
      <c r="VIR117" s="144"/>
      <c r="VIS117" s="144"/>
      <c r="VIT117" s="144"/>
      <c r="VIU117" s="144"/>
      <c r="VIV117" s="144"/>
      <c r="VIW117" s="145"/>
      <c r="VIX117" s="145"/>
      <c r="VIY117" s="145"/>
      <c r="VIZ117" s="145"/>
      <c r="VJA117" s="145"/>
      <c r="VJB117" s="145"/>
      <c r="VJE117" s="144"/>
      <c r="VJF117" s="144"/>
      <c r="VJG117" s="144"/>
      <c r="VJH117" s="144"/>
      <c r="VJI117" s="144"/>
      <c r="VJJ117" s="144"/>
      <c r="VJK117" s="144"/>
      <c r="VJL117" s="144"/>
      <c r="VJM117" s="145"/>
      <c r="VJN117" s="145"/>
      <c r="VJO117" s="145"/>
      <c r="VJP117" s="145"/>
      <c r="VJQ117" s="145"/>
      <c r="VJR117" s="145"/>
      <c r="VJU117" s="144"/>
      <c r="VJV117" s="144"/>
      <c r="VJW117" s="144"/>
      <c r="VJX117" s="144"/>
      <c r="VJY117" s="144"/>
      <c r="VJZ117" s="144"/>
      <c r="VKA117" s="144"/>
      <c r="VKB117" s="144"/>
      <c r="VKC117" s="145"/>
      <c r="VKD117" s="145"/>
      <c r="VKE117" s="145"/>
      <c r="VKF117" s="145"/>
      <c r="VKG117" s="145"/>
      <c r="VKH117" s="145"/>
      <c r="VKK117" s="144"/>
      <c r="VKL117" s="144"/>
      <c r="VKM117" s="144"/>
      <c r="VKN117" s="144"/>
      <c r="VKO117" s="144"/>
      <c r="VKP117" s="144"/>
      <c r="VKQ117" s="144"/>
      <c r="VKR117" s="144"/>
      <c r="VKS117" s="145"/>
      <c r="VKT117" s="145"/>
      <c r="VKU117" s="145"/>
      <c r="VKV117" s="145"/>
      <c r="VKW117" s="145"/>
      <c r="VKX117" s="145"/>
      <c r="VLA117" s="144"/>
      <c r="VLB117" s="144"/>
      <c r="VLC117" s="144"/>
      <c r="VLD117" s="144"/>
      <c r="VLE117" s="144"/>
      <c r="VLF117" s="144"/>
      <c r="VLG117" s="144"/>
      <c r="VLH117" s="144"/>
      <c r="VLI117" s="145"/>
      <c r="VLJ117" s="145"/>
      <c r="VLK117" s="145"/>
      <c r="VLL117" s="145"/>
      <c r="VLM117" s="145"/>
      <c r="VLN117" s="145"/>
      <c r="VLQ117" s="144"/>
      <c r="VLR117" s="144"/>
      <c r="VLS117" s="144"/>
      <c r="VLT117" s="144"/>
      <c r="VLU117" s="144"/>
      <c r="VLV117" s="144"/>
      <c r="VLW117" s="144"/>
      <c r="VLX117" s="144"/>
      <c r="VLY117" s="145"/>
      <c r="VLZ117" s="145"/>
      <c r="VMA117" s="145"/>
      <c r="VMB117" s="145"/>
      <c r="VMC117" s="145"/>
      <c r="VMD117" s="145"/>
      <c r="VMG117" s="144"/>
      <c r="VMH117" s="144"/>
      <c r="VMI117" s="144"/>
      <c r="VMJ117" s="144"/>
      <c r="VMK117" s="144"/>
      <c r="VML117" s="144"/>
      <c r="VMM117" s="144"/>
      <c r="VMN117" s="144"/>
      <c r="VMO117" s="145"/>
      <c r="VMP117" s="145"/>
      <c r="VMQ117" s="145"/>
      <c r="VMR117" s="145"/>
      <c r="VMS117" s="145"/>
      <c r="VMT117" s="145"/>
      <c r="VMW117" s="144"/>
      <c r="VMX117" s="144"/>
      <c r="VMY117" s="144"/>
      <c r="VMZ117" s="144"/>
      <c r="VNA117" s="144"/>
      <c r="VNB117" s="144"/>
      <c r="VNC117" s="144"/>
      <c r="VND117" s="144"/>
      <c r="VNE117" s="145"/>
      <c r="VNF117" s="145"/>
      <c r="VNG117" s="145"/>
      <c r="VNH117" s="145"/>
      <c r="VNI117" s="145"/>
      <c r="VNJ117" s="145"/>
      <c r="VNM117" s="144"/>
      <c r="VNN117" s="144"/>
      <c r="VNO117" s="144"/>
      <c r="VNP117" s="144"/>
      <c r="VNQ117" s="144"/>
      <c r="VNR117" s="144"/>
      <c r="VNS117" s="144"/>
      <c r="VNT117" s="144"/>
      <c r="VNU117" s="145"/>
      <c r="VNV117" s="145"/>
      <c r="VNW117" s="145"/>
      <c r="VNX117" s="145"/>
      <c r="VNY117" s="145"/>
      <c r="VNZ117" s="145"/>
      <c r="VOC117" s="144"/>
      <c r="VOD117" s="144"/>
      <c r="VOE117" s="144"/>
      <c r="VOF117" s="144"/>
      <c r="VOG117" s="144"/>
      <c r="VOH117" s="144"/>
      <c r="VOI117" s="144"/>
      <c r="VOJ117" s="144"/>
      <c r="VOK117" s="145"/>
      <c r="VOL117" s="145"/>
      <c r="VOM117" s="145"/>
      <c r="VON117" s="145"/>
      <c r="VOO117" s="145"/>
      <c r="VOP117" s="145"/>
      <c r="VOS117" s="144"/>
      <c r="VOT117" s="144"/>
      <c r="VOU117" s="144"/>
      <c r="VOV117" s="144"/>
      <c r="VOW117" s="144"/>
      <c r="VOX117" s="144"/>
      <c r="VOY117" s="144"/>
      <c r="VOZ117" s="144"/>
      <c r="VPA117" s="145"/>
      <c r="VPB117" s="145"/>
      <c r="VPC117" s="145"/>
      <c r="VPD117" s="145"/>
      <c r="VPE117" s="145"/>
      <c r="VPF117" s="145"/>
      <c r="VPI117" s="144"/>
      <c r="VPJ117" s="144"/>
      <c r="VPK117" s="144"/>
      <c r="VPL117" s="144"/>
      <c r="VPM117" s="144"/>
      <c r="VPN117" s="144"/>
      <c r="VPO117" s="144"/>
      <c r="VPP117" s="144"/>
      <c r="VPQ117" s="145"/>
      <c r="VPR117" s="145"/>
      <c r="VPS117" s="145"/>
      <c r="VPT117" s="145"/>
      <c r="VPU117" s="145"/>
      <c r="VPV117" s="145"/>
      <c r="VPY117" s="144"/>
      <c r="VPZ117" s="144"/>
      <c r="VQA117" s="144"/>
      <c r="VQB117" s="144"/>
      <c r="VQC117" s="144"/>
      <c r="VQD117" s="144"/>
      <c r="VQE117" s="144"/>
      <c r="VQF117" s="144"/>
      <c r="VQG117" s="145"/>
      <c r="VQH117" s="145"/>
      <c r="VQI117" s="145"/>
      <c r="VQJ117" s="145"/>
      <c r="VQK117" s="145"/>
      <c r="VQL117" s="145"/>
      <c r="VQO117" s="144"/>
      <c r="VQP117" s="144"/>
      <c r="VQQ117" s="144"/>
      <c r="VQR117" s="144"/>
      <c r="VQS117" s="144"/>
      <c r="VQT117" s="144"/>
      <c r="VQU117" s="144"/>
      <c r="VQV117" s="144"/>
      <c r="VQW117" s="145"/>
      <c r="VQX117" s="145"/>
      <c r="VQY117" s="145"/>
      <c r="VQZ117" s="145"/>
      <c r="VRA117" s="145"/>
      <c r="VRB117" s="145"/>
      <c r="VRE117" s="144"/>
      <c r="VRF117" s="144"/>
      <c r="VRG117" s="144"/>
      <c r="VRH117" s="144"/>
      <c r="VRI117" s="144"/>
      <c r="VRJ117" s="144"/>
      <c r="VRK117" s="144"/>
      <c r="VRL117" s="144"/>
      <c r="VRM117" s="145"/>
      <c r="VRN117" s="145"/>
      <c r="VRO117" s="145"/>
      <c r="VRP117" s="145"/>
      <c r="VRQ117" s="145"/>
      <c r="VRR117" s="145"/>
      <c r="VRU117" s="144"/>
      <c r="VRV117" s="144"/>
      <c r="VRW117" s="144"/>
      <c r="VRX117" s="144"/>
      <c r="VRY117" s="144"/>
      <c r="VRZ117" s="144"/>
      <c r="VSA117" s="144"/>
      <c r="VSB117" s="144"/>
      <c r="VSC117" s="145"/>
      <c r="VSD117" s="145"/>
      <c r="VSE117" s="145"/>
      <c r="VSF117" s="145"/>
      <c r="VSG117" s="145"/>
      <c r="VSH117" s="145"/>
      <c r="VSK117" s="144"/>
      <c r="VSL117" s="144"/>
      <c r="VSM117" s="144"/>
      <c r="VSN117" s="144"/>
      <c r="VSO117" s="144"/>
      <c r="VSP117" s="144"/>
      <c r="VSQ117" s="144"/>
      <c r="VSR117" s="144"/>
      <c r="VSS117" s="145"/>
      <c r="VST117" s="145"/>
      <c r="VSU117" s="145"/>
      <c r="VSV117" s="145"/>
      <c r="VSW117" s="145"/>
      <c r="VSX117" s="145"/>
      <c r="VTA117" s="144"/>
      <c r="VTB117" s="144"/>
      <c r="VTC117" s="144"/>
      <c r="VTD117" s="144"/>
      <c r="VTE117" s="144"/>
      <c r="VTF117" s="144"/>
      <c r="VTG117" s="144"/>
      <c r="VTH117" s="144"/>
      <c r="VTI117" s="145"/>
      <c r="VTJ117" s="145"/>
      <c r="VTK117" s="145"/>
      <c r="VTL117" s="145"/>
      <c r="VTM117" s="145"/>
      <c r="VTN117" s="145"/>
      <c r="VTQ117" s="144"/>
      <c r="VTR117" s="144"/>
      <c r="VTS117" s="144"/>
      <c r="VTT117" s="144"/>
      <c r="VTU117" s="144"/>
      <c r="VTV117" s="144"/>
      <c r="VTW117" s="144"/>
      <c r="VTX117" s="144"/>
      <c r="VTY117" s="145"/>
      <c r="VTZ117" s="145"/>
      <c r="VUA117" s="145"/>
      <c r="VUB117" s="145"/>
      <c r="VUC117" s="145"/>
      <c r="VUD117" s="145"/>
      <c r="VUG117" s="144"/>
      <c r="VUH117" s="144"/>
      <c r="VUI117" s="144"/>
      <c r="VUJ117" s="144"/>
      <c r="VUK117" s="144"/>
      <c r="VUL117" s="144"/>
      <c r="VUM117" s="144"/>
      <c r="VUN117" s="144"/>
      <c r="VUO117" s="145"/>
      <c r="VUP117" s="145"/>
      <c r="VUQ117" s="145"/>
      <c r="VUR117" s="145"/>
      <c r="VUS117" s="145"/>
      <c r="VUT117" s="145"/>
      <c r="VUW117" s="144"/>
      <c r="VUX117" s="144"/>
      <c r="VUY117" s="144"/>
      <c r="VUZ117" s="144"/>
      <c r="VVA117" s="144"/>
      <c r="VVB117" s="144"/>
      <c r="VVC117" s="144"/>
      <c r="VVD117" s="144"/>
      <c r="VVE117" s="145"/>
      <c r="VVF117" s="145"/>
      <c r="VVG117" s="145"/>
      <c r="VVH117" s="145"/>
      <c r="VVI117" s="145"/>
      <c r="VVJ117" s="145"/>
      <c r="VVM117" s="144"/>
      <c r="VVN117" s="144"/>
      <c r="VVO117" s="144"/>
      <c r="VVP117" s="144"/>
      <c r="VVQ117" s="144"/>
      <c r="VVR117" s="144"/>
      <c r="VVS117" s="144"/>
      <c r="VVT117" s="144"/>
      <c r="VVU117" s="145"/>
      <c r="VVV117" s="145"/>
      <c r="VVW117" s="145"/>
      <c r="VVX117" s="145"/>
      <c r="VVY117" s="145"/>
      <c r="VVZ117" s="145"/>
      <c r="VWC117" s="144"/>
      <c r="VWD117" s="144"/>
      <c r="VWE117" s="144"/>
      <c r="VWF117" s="144"/>
      <c r="VWG117" s="144"/>
      <c r="VWH117" s="144"/>
      <c r="VWI117" s="144"/>
      <c r="VWJ117" s="144"/>
      <c r="VWK117" s="145"/>
      <c r="VWL117" s="145"/>
      <c r="VWM117" s="145"/>
      <c r="VWN117" s="145"/>
      <c r="VWO117" s="145"/>
      <c r="VWP117" s="145"/>
      <c r="VWS117" s="144"/>
      <c r="VWT117" s="144"/>
      <c r="VWU117" s="144"/>
      <c r="VWV117" s="144"/>
      <c r="VWW117" s="144"/>
      <c r="VWX117" s="144"/>
      <c r="VWY117" s="144"/>
      <c r="VWZ117" s="144"/>
      <c r="VXA117" s="145"/>
      <c r="VXB117" s="145"/>
      <c r="VXC117" s="145"/>
      <c r="VXD117" s="145"/>
      <c r="VXE117" s="145"/>
      <c r="VXF117" s="145"/>
      <c r="VXI117" s="144"/>
      <c r="VXJ117" s="144"/>
      <c r="VXK117" s="144"/>
      <c r="VXL117" s="144"/>
      <c r="VXM117" s="144"/>
      <c r="VXN117" s="144"/>
      <c r="VXO117" s="144"/>
      <c r="VXP117" s="144"/>
      <c r="VXQ117" s="145"/>
      <c r="VXR117" s="145"/>
      <c r="VXS117" s="145"/>
      <c r="VXT117" s="145"/>
      <c r="VXU117" s="145"/>
      <c r="VXV117" s="145"/>
      <c r="VXY117" s="144"/>
      <c r="VXZ117" s="144"/>
      <c r="VYA117" s="144"/>
      <c r="VYB117" s="144"/>
      <c r="VYC117" s="144"/>
      <c r="VYD117" s="144"/>
      <c r="VYE117" s="144"/>
      <c r="VYF117" s="144"/>
      <c r="VYG117" s="145"/>
      <c r="VYH117" s="145"/>
      <c r="VYI117" s="145"/>
      <c r="VYJ117" s="145"/>
      <c r="VYK117" s="145"/>
      <c r="VYL117" s="145"/>
      <c r="VYO117" s="144"/>
      <c r="VYP117" s="144"/>
      <c r="VYQ117" s="144"/>
      <c r="VYR117" s="144"/>
      <c r="VYS117" s="144"/>
      <c r="VYT117" s="144"/>
      <c r="VYU117" s="144"/>
      <c r="VYV117" s="144"/>
      <c r="VYW117" s="145"/>
      <c r="VYX117" s="145"/>
      <c r="VYY117" s="145"/>
      <c r="VYZ117" s="145"/>
      <c r="VZA117" s="145"/>
      <c r="VZB117" s="145"/>
      <c r="VZE117" s="144"/>
      <c r="VZF117" s="144"/>
      <c r="VZG117" s="144"/>
      <c r="VZH117" s="144"/>
      <c r="VZI117" s="144"/>
      <c r="VZJ117" s="144"/>
      <c r="VZK117" s="144"/>
      <c r="VZL117" s="144"/>
      <c r="VZM117" s="145"/>
      <c r="VZN117" s="145"/>
      <c r="VZO117" s="145"/>
      <c r="VZP117" s="145"/>
      <c r="VZQ117" s="145"/>
      <c r="VZR117" s="145"/>
      <c r="VZU117" s="144"/>
      <c r="VZV117" s="144"/>
      <c r="VZW117" s="144"/>
      <c r="VZX117" s="144"/>
      <c r="VZY117" s="144"/>
      <c r="VZZ117" s="144"/>
      <c r="WAA117" s="144"/>
      <c r="WAB117" s="144"/>
      <c r="WAC117" s="145"/>
      <c r="WAD117" s="145"/>
      <c r="WAE117" s="145"/>
      <c r="WAF117" s="145"/>
      <c r="WAG117" s="145"/>
      <c r="WAH117" s="145"/>
      <c r="WAK117" s="144"/>
      <c r="WAL117" s="144"/>
      <c r="WAM117" s="144"/>
      <c r="WAN117" s="144"/>
      <c r="WAO117" s="144"/>
      <c r="WAP117" s="144"/>
      <c r="WAQ117" s="144"/>
      <c r="WAR117" s="144"/>
      <c r="WAS117" s="145"/>
      <c r="WAT117" s="145"/>
      <c r="WAU117" s="145"/>
      <c r="WAV117" s="145"/>
      <c r="WAW117" s="145"/>
      <c r="WAX117" s="145"/>
      <c r="WBA117" s="144"/>
      <c r="WBB117" s="144"/>
      <c r="WBC117" s="144"/>
      <c r="WBD117" s="144"/>
      <c r="WBE117" s="144"/>
      <c r="WBF117" s="144"/>
      <c r="WBG117" s="144"/>
      <c r="WBH117" s="144"/>
      <c r="WBI117" s="145"/>
      <c r="WBJ117" s="145"/>
      <c r="WBK117" s="145"/>
      <c r="WBL117" s="145"/>
      <c r="WBM117" s="145"/>
      <c r="WBN117" s="145"/>
      <c r="WBQ117" s="144"/>
      <c r="WBR117" s="144"/>
      <c r="WBS117" s="144"/>
      <c r="WBT117" s="144"/>
      <c r="WBU117" s="144"/>
      <c r="WBV117" s="144"/>
      <c r="WBW117" s="144"/>
      <c r="WBX117" s="144"/>
      <c r="WBY117" s="145"/>
      <c r="WBZ117" s="145"/>
      <c r="WCA117" s="145"/>
      <c r="WCB117" s="145"/>
      <c r="WCC117" s="145"/>
      <c r="WCD117" s="145"/>
      <c r="WCG117" s="144"/>
      <c r="WCH117" s="144"/>
      <c r="WCI117" s="144"/>
      <c r="WCJ117" s="144"/>
      <c r="WCK117" s="144"/>
      <c r="WCL117" s="144"/>
      <c r="WCM117" s="144"/>
      <c r="WCN117" s="144"/>
      <c r="WCO117" s="145"/>
      <c r="WCP117" s="145"/>
      <c r="WCQ117" s="145"/>
      <c r="WCR117" s="145"/>
      <c r="WCS117" s="145"/>
      <c r="WCT117" s="145"/>
      <c r="WCW117" s="144"/>
      <c r="WCX117" s="144"/>
      <c r="WCY117" s="144"/>
      <c r="WCZ117" s="144"/>
      <c r="WDA117" s="144"/>
      <c r="WDB117" s="144"/>
      <c r="WDC117" s="144"/>
      <c r="WDD117" s="144"/>
      <c r="WDE117" s="145"/>
      <c r="WDF117" s="145"/>
      <c r="WDG117" s="145"/>
      <c r="WDH117" s="145"/>
      <c r="WDI117" s="145"/>
      <c r="WDJ117" s="145"/>
      <c r="WDM117" s="144"/>
      <c r="WDN117" s="144"/>
      <c r="WDO117" s="144"/>
      <c r="WDP117" s="144"/>
      <c r="WDQ117" s="144"/>
      <c r="WDR117" s="144"/>
      <c r="WDS117" s="144"/>
      <c r="WDT117" s="144"/>
      <c r="WDU117" s="145"/>
      <c r="WDV117" s="145"/>
      <c r="WDW117" s="145"/>
      <c r="WDX117" s="145"/>
      <c r="WDY117" s="145"/>
      <c r="WDZ117" s="145"/>
      <c r="WEC117" s="144"/>
      <c r="WED117" s="144"/>
      <c r="WEE117" s="144"/>
      <c r="WEF117" s="144"/>
      <c r="WEG117" s="144"/>
      <c r="WEH117" s="144"/>
      <c r="WEI117" s="144"/>
      <c r="WEJ117" s="144"/>
      <c r="WEK117" s="145"/>
      <c r="WEL117" s="145"/>
      <c r="WEM117" s="145"/>
      <c r="WEN117" s="145"/>
      <c r="WEO117" s="145"/>
      <c r="WEP117" s="145"/>
      <c r="WES117" s="144"/>
      <c r="WET117" s="144"/>
      <c r="WEU117" s="144"/>
      <c r="WEV117" s="144"/>
      <c r="WEW117" s="144"/>
      <c r="WEX117" s="144"/>
      <c r="WEY117" s="144"/>
      <c r="WEZ117" s="144"/>
      <c r="WFA117" s="145"/>
      <c r="WFB117" s="145"/>
      <c r="WFC117" s="145"/>
      <c r="WFD117" s="145"/>
      <c r="WFE117" s="145"/>
      <c r="WFF117" s="145"/>
      <c r="WFI117" s="144"/>
      <c r="WFJ117" s="144"/>
      <c r="WFK117" s="144"/>
      <c r="WFL117" s="144"/>
      <c r="WFM117" s="144"/>
      <c r="WFN117" s="144"/>
      <c r="WFO117" s="144"/>
      <c r="WFP117" s="144"/>
      <c r="WFQ117" s="145"/>
      <c r="WFR117" s="145"/>
      <c r="WFS117" s="145"/>
      <c r="WFT117" s="145"/>
      <c r="WFU117" s="145"/>
      <c r="WFV117" s="145"/>
      <c r="WFY117" s="144"/>
      <c r="WFZ117" s="144"/>
      <c r="WGA117" s="144"/>
      <c r="WGB117" s="144"/>
      <c r="WGC117" s="144"/>
      <c r="WGD117" s="144"/>
      <c r="WGE117" s="144"/>
      <c r="WGF117" s="144"/>
      <c r="WGG117" s="145"/>
      <c r="WGH117" s="145"/>
      <c r="WGI117" s="145"/>
      <c r="WGJ117" s="145"/>
      <c r="WGK117" s="145"/>
      <c r="WGL117" s="145"/>
      <c r="WGO117" s="144"/>
      <c r="WGP117" s="144"/>
      <c r="WGQ117" s="144"/>
      <c r="WGR117" s="144"/>
      <c r="WGS117" s="144"/>
      <c r="WGT117" s="144"/>
      <c r="WGU117" s="144"/>
      <c r="WGV117" s="144"/>
      <c r="WGW117" s="145"/>
      <c r="WGX117" s="145"/>
      <c r="WGY117" s="145"/>
      <c r="WGZ117" s="145"/>
      <c r="WHA117" s="145"/>
      <c r="WHB117" s="145"/>
      <c r="WHE117" s="144"/>
      <c r="WHF117" s="144"/>
      <c r="WHG117" s="144"/>
      <c r="WHH117" s="144"/>
      <c r="WHI117" s="144"/>
      <c r="WHJ117" s="144"/>
      <c r="WHK117" s="144"/>
      <c r="WHL117" s="144"/>
      <c r="WHM117" s="145"/>
      <c r="WHN117" s="145"/>
      <c r="WHO117" s="145"/>
      <c r="WHP117" s="145"/>
      <c r="WHQ117" s="145"/>
      <c r="WHR117" s="145"/>
      <c r="WHU117" s="144"/>
      <c r="WHV117" s="144"/>
      <c r="WHW117" s="144"/>
      <c r="WHX117" s="144"/>
      <c r="WHY117" s="144"/>
      <c r="WHZ117" s="144"/>
      <c r="WIA117" s="144"/>
      <c r="WIB117" s="144"/>
      <c r="WIC117" s="145"/>
      <c r="WID117" s="145"/>
      <c r="WIE117" s="145"/>
      <c r="WIF117" s="145"/>
      <c r="WIG117" s="145"/>
      <c r="WIH117" s="145"/>
      <c r="WIK117" s="144"/>
      <c r="WIL117" s="144"/>
      <c r="WIM117" s="144"/>
      <c r="WIN117" s="144"/>
      <c r="WIO117" s="144"/>
      <c r="WIP117" s="144"/>
      <c r="WIQ117" s="144"/>
      <c r="WIR117" s="144"/>
      <c r="WIS117" s="145"/>
      <c r="WIT117" s="145"/>
      <c r="WIU117" s="145"/>
      <c r="WIV117" s="145"/>
      <c r="WIW117" s="145"/>
      <c r="WIX117" s="145"/>
      <c r="WJA117" s="144"/>
      <c r="WJB117" s="144"/>
      <c r="WJC117" s="144"/>
      <c r="WJD117" s="144"/>
      <c r="WJE117" s="144"/>
      <c r="WJF117" s="144"/>
      <c r="WJG117" s="144"/>
      <c r="WJH117" s="144"/>
      <c r="WJI117" s="145"/>
      <c r="WJJ117" s="145"/>
      <c r="WJK117" s="145"/>
      <c r="WJL117" s="145"/>
      <c r="WJM117" s="145"/>
      <c r="WJN117" s="145"/>
      <c r="WJQ117" s="144"/>
      <c r="WJR117" s="144"/>
      <c r="WJS117" s="144"/>
      <c r="WJT117" s="144"/>
      <c r="WJU117" s="144"/>
      <c r="WJV117" s="144"/>
      <c r="WJW117" s="144"/>
      <c r="WJX117" s="144"/>
      <c r="WJY117" s="145"/>
      <c r="WJZ117" s="145"/>
      <c r="WKA117" s="145"/>
      <c r="WKB117" s="145"/>
      <c r="WKC117" s="145"/>
      <c r="WKD117" s="145"/>
      <c r="WKG117" s="144"/>
      <c r="WKH117" s="144"/>
      <c r="WKI117" s="144"/>
      <c r="WKJ117" s="144"/>
      <c r="WKK117" s="144"/>
      <c r="WKL117" s="144"/>
      <c r="WKM117" s="144"/>
      <c r="WKN117" s="144"/>
      <c r="WKO117" s="145"/>
      <c r="WKP117" s="145"/>
      <c r="WKQ117" s="145"/>
      <c r="WKR117" s="145"/>
      <c r="WKS117" s="145"/>
      <c r="WKT117" s="145"/>
      <c r="WKW117" s="144"/>
      <c r="WKX117" s="144"/>
      <c r="WKY117" s="144"/>
      <c r="WKZ117" s="144"/>
      <c r="WLA117" s="144"/>
      <c r="WLB117" s="144"/>
      <c r="WLC117" s="144"/>
      <c r="WLD117" s="144"/>
      <c r="WLE117" s="145"/>
      <c r="WLF117" s="145"/>
      <c r="WLG117" s="145"/>
      <c r="WLH117" s="145"/>
      <c r="WLI117" s="145"/>
      <c r="WLJ117" s="145"/>
      <c r="WLM117" s="144"/>
      <c r="WLN117" s="144"/>
      <c r="WLO117" s="144"/>
      <c r="WLP117" s="144"/>
      <c r="WLQ117" s="144"/>
      <c r="WLR117" s="144"/>
      <c r="WLS117" s="144"/>
      <c r="WLT117" s="144"/>
      <c r="WLU117" s="145"/>
      <c r="WLV117" s="145"/>
      <c r="WLW117" s="145"/>
      <c r="WLX117" s="145"/>
      <c r="WLY117" s="145"/>
      <c r="WLZ117" s="145"/>
      <c r="WMC117" s="144"/>
      <c r="WMD117" s="144"/>
      <c r="WME117" s="144"/>
      <c r="WMF117" s="144"/>
      <c r="WMG117" s="144"/>
      <c r="WMH117" s="144"/>
      <c r="WMI117" s="144"/>
      <c r="WMJ117" s="144"/>
      <c r="WMK117" s="145"/>
      <c r="WML117" s="145"/>
      <c r="WMM117" s="145"/>
      <c r="WMN117" s="145"/>
      <c r="WMO117" s="145"/>
      <c r="WMP117" s="145"/>
      <c r="WMS117" s="144"/>
      <c r="WMT117" s="144"/>
      <c r="WMU117" s="144"/>
      <c r="WMV117" s="144"/>
      <c r="WMW117" s="144"/>
      <c r="WMX117" s="144"/>
      <c r="WMY117" s="144"/>
      <c r="WMZ117" s="144"/>
      <c r="WNA117" s="145"/>
      <c r="WNB117" s="145"/>
      <c r="WNC117" s="145"/>
      <c r="WND117" s="145"/>
      <c r="WNE117" s="145"/>
      <c r="WNF117" s="145"/>
      <c r="WNI117" s="144"/>
      <c r="WNJ117" s="144"/>
      <c r="WNK117" s="144"/>
      <c r="WNL117" s="144"/>
      <c r="WNM117" s="144"/>
      <c r="WNN117" s="144"/>
      <c r="WNO117" s="144"/>
      <c r="WNP117" s="144"/>
      <c r="WNQ117" s="145"/>
      <c r="WNR117" s="145"/>
      <c r="WNS117" s="145"/>
      <c r="WNT117" s="145"/>
      <c r="WNU117" s="145"/>
      <c r="WNV117" s="145"/>
      <c r="WNY117" s="144"/>
      <c r="WNZ117" s="144"/>
      <c r="WOA117" s="144"/>
      <c r="WOB117" s="144"/>
      <c r="WOC117" s="144"/>
      <c r="WOD117" s="144"/>
      <c r="WOE117" s="144"/>
      <c r="WOF117" s="144"/>
      <c r="WOG117" s="145"/>
      <c r="WOH117" s="145"/>
      <c r="WOI117" s="145"/>
      <c r="WOJ117" s="145"/>
      <c r="WOK117" s="145"/>
      <c r="WOL117" s="145"/>
      <c r="WOO117" s="144"/>
      <c r="WOP117" s="144"/>
      <c r="WOQ117" s="144"/>
      <c r="WOR117" s="144"/>
      <c r="WOS117" s="144"/>
      <c r="WOT117" s="144"/>
      <c r="WOU117" s="144"/>
      <c r="WOV117" s="144"/>
      <c r="WOW117" s="145"/>
      <c r="WOX117" s="145"/>
      <c r="WOY117" s="145"/>
      <c r="WOZ117" s="145"/>
      <c r="WPA117" s="145"/>
      <c r="WPB117" s="145"/>
      <c r="WPE117" s="144"/>
      <c r="WPF117" s="144"/>
      <c r="WPG117" s="144"/>
      <c r="WPH117" s="144"/>
      <c r="WPI117" s="144"/>
      <c r="WPJ117" s="144"/>
      <c r="WPK117" s="144"/>
      <c r="WPL117" s="144"/>
      <c r="WPM117" s="145"/>
      <c r="WPN117" s="145"/>
      <c r="WPO117" s="145"/>
      <c r="WPP117" s="145"/>
      <c r="WPQ117" s="145"/>
      <c r="WPR117" s="145"/>
      <c r="WPU117" s="144"/>
      <c r="WPV117" s="144"/>
      <c r="WPW117" s="144"/>
      <c r="WPX117" s="144"/>
      <c r="WPY117" s="144"/>
      <c r="WPZ117" s="144"/>
      <c r="WQA117" s="144"/>
      <c r="WQB117" s="144"/>
      <c r="WQC117" s="145"/>
      <c r="WQD117" s="145"/>
      <c r="WQE117" s="145"/>
      <c r="WQF117" s="145"/>
      <c r="WQG117" s="145"/>
      <c r="WQH117" s="145"/>
      <c r="WQK117" s="144"/>
      <c r="WQL117" s="144"/>
      <c r="WQM117" s="144"/>
      <c r="WQN117" s="144"/>
      <c r="WQO117" s="144"/>
      <c r="WQP117" s="144"/>
      <c r="WQQ117" s="144"/>
      <c r="WQR117" s="144"/>
      <c r="WQS117" s="145"/>
      <c r="WQT117" s="145"/>
      <c r="WQU117" s="145"/>
      <c r="WQV117" s="145"/>
      <c r="WQW117" s="145"/>
      <c r="WQX117" s="145"/>
      <c r="WRA117" s="144"/>
      <c r="WRB117" s="144"/>
      <c r="WRC117" s="144"/>
      <c r="WRD117" s="144"/>
      <c r="WRE117" s="144"/>
      <c r="WRF117" s="144"/>
      <c r="WRG117" s="144"/>
      <c r="WRH117" s="144"/>
      <c r="WRI117" s="145"/>
      <c r="WRJ117" s="145"/>
      <c r="WRK117" s="145"/>
      <c r="WRL117" s="145"/>
      <c r="WRM117" s="145"/>
      <c r="WRN117" s="145"/>
      <c r="WRQ117" s="144"/>
      <c r="WRR117" s="144"/>
      <c r="WRS117" s="144"/>
      <c r="WRT117" s="144"/>
      <c r="WRU117" s="144"/>
      <c r="WRV117" s="144"/>
      <c r="WRW117" s="144"/>
      <c r="WRX117" s="144"/>
      <c r="WRY117" s="145"/>
      <c r="WRZ117" s="145"/>
      <c r="WSA117" s="145"/>
      <c r="WSB117" s="145"/>
      <c r="WSC117" s="145"/>
      <c r="WSD117" s="145"/>
      <c r="WSG117" s="144"/>
      <c r="WSH117" s="144"/>
      <c r="WSI117" s="144"/>
      <c r="WSJ117" s="144"/>
      <c r="WSK117" s="144"/>
      <c r="WSL117" s="144"/>
      <c r="WSM117" s="144"/>
      <c r="WSN117" s="144"/>
      <c r="WSO117" s="145"/>
      <c r="WSP117" s="145"/>
      <c r="WSQ117" s="145"/>
      <c r="WSR117" s="145"/>
      <c r="WSS117" s="145"/>
      <c r="WST117" s="145"/>
      <c r="WSW117" s="144"/>
      <c r="WSX117" s="144"/>
      <c r="WSY117" s="144"/>
      <c r="WSZ117" s="144"/>
      <c r="WTA117" s="144"/>
      <c r="WTB117" s="144"/>
      <c r="WTC117" s="144"/>
      <c r="WTD117" s="144"/>
      <c r="WTE117" s="145"/>
      <c r="WTF117" s="145"/>
      <c r="WTG117" s="145"/>
      <c r="WTH117" s="145"/>
      <c r="WTI117" s="145"/>
      <c r="WTJ117" s="145"/>
      <c r="WTM117" s="144"/>
      <c r="WTN117" s="144"/>
      <c r="WTO117" s="144"/>
      <c r="WTP117" s="144"/>
      <c r="WTQ117" s="144"/>
      <c r="WTR117" s="144"/>
      <c r="WTS117" s="144"/>
      <c r="WTT117" s="144"/>
      <c r="WTU117" s="145"/>
      <c r="WTV117" s="145"/>
      <c r="WTW117" s="145"/>
      <c r="WTX117" s="145"/>
      <c r="WTY117" s="145"/>
      <c r="WTZ117" s="145"/>
      <c r="WUC117" s="144"/>
      <c r="WUD117" s="144"/>
      <c r="WUE117" s="144"/>
      <c r="WUF117" s="144"/>
      <c r="WUG117" s="144"/>
      <c r="WUH117" s="144"/>
      <c r="WUI117" s="144"/>
      <c r="WUJ117" s="144"/>
      <c r="WUK117" s="145"/>
      <c r="WUL117" s="145"/>
      <c r="WUM117" s="145"/>
      <c r="WUN117" s="145"/>
      <c r="WUO117" s="145"/>
      <c r="WUP117" s="145"/>
      <c r="WUS117" s="144"/>
      <c r="WUT117" s="144"/>
      <c r="WUU117" s="144"/>
      <c r="WUV117" s="144"/>
      <c r="WUW117" s="144"/>
      <c r="WUX117" s="144"/>
      <c r="WUY117" s="144"/>
      <c r="WUZ117" s="144"/>
      <c r="WVA117" s="145"/>
      <c r="WVB117" s="145"/>
      <c r="WVC117" s="145"/>
      <c r="WVD117" s="145"/>
      <c r="WVE117" s="145"/>
      <c r="WVF117" s="145"/>
      <c r="WVI117" s="144"/>
      <c r="WVJ117" s="144"/>
      <c r="WVK117" s="144"/>
      <c r="WVL117" s="144"/>
      <c r="WVM117" s="144"/>
      <c r="WVN117" s="144"/>
      <c r="WVO117" s="144"/>
      <c r="WVP117" s="144"/>
      <c r="WVQ117" s="145"/>
      <c r="WVR117" s="145"/>
      <c r="WVS117" s="145"/>
      <c r="WVT117" s="145"/>
      <c r="WVU117" s="145"/>
      <c r="WVV117" s="145"/>
      <c r="WVY117" s="144"/>
      <c r="WVZ117" s="144"/>
      <c r="WWA117" s="144"/>
      <c r="WWB117" s="144"/>
      <c r="WWC117" s="144"/>
      <c r="WWD117" s="144"/>
      <c r="WWE117" s="144"/>
      <c r="WWF117" s="144"/>
      <c r="WWG117" s="145"/>
      <c r="WWH117" s="145"/>
      <c r="WWI117" s="145"/>
      <c r="WWJ117" s="145"/>
      <c r="WWK117" s="145"/>
      <c r="WWL117" s="145"/>
      <c r="WWO117" s="144"/>
      <c r="WWP117" s="144"/>
      <c r="WWQ117" s="144"/>
      <c r="WWR117" s="144"/>
      <c r="WWS117" s="144"/>
      <c r="WWT117" s="144"/>
      <c r="WWU117" s="144"/>
      <c r="WWV117" s="144"/>
      <c r="WWW117" s="145"/>
      <c r="WWX117" s="145"/>
      <c r="WWY117" s="145"/>
      <c r="WWZ117" s="145"/>
      <c r="WXA117" s="145"/>
      <c r="WXB117" s="145"/>
      <c r="WXE117" s="144"/>
      <c r="WXF117" s="144"/>
      <c r="WXG117" s="144"/>
      <c r="WXH117" s="144"/>
      <c r="WXI117" s="144"/>
      <c r="WXJ117" s="144"/>
      <c r="WXK117" s="144"/>
      <c r="WXL117" s="144"/>
      <c r="WXM117" s="145"/>
      <c r="WXN117" s="145"/>
      <c r="WXO117" s="145"/>
      <c r="WXP117" s="145"/>
      <c r="WXQ117" s="145"/>
      <c r="WXR117" s="145"/>
      <c r="WXU117" s="144"/>
      <c r="WXV117" s="144"/>
      <c r="WXW117" s="144"/>
      <c r="WXX117" s="144"/>
      <c r="WXY117" s="144"/>
      <c r="WXZ117" s="144"/>
      <c r="WYA117" s="144"/>
      <c r="WYB117" s="144"/>
      <c r="WYC117" s="145"/>
      <c r="WYD117" s="145"/>
      <c r="WYE117" s="145"/>
      <c r="WYF117" s="145"/>
      <c r="WYG117" s="145"/>
      <c r="WYH117" s="145"/>
      <c r="WYK117" s="144"/>
      <c r="WYL117" s="144"/>
      <c r="WYM117" s="144"/>
      <c r="WYN117" s="144"/>
      <c r="WYO117" s="144"/>
      <c r="WYP117" s="144"/>
      <c r="WYQ117" s="144"/>
      <c r="WYR117" s="144"/>
      <c r="WYS117" s="145"/>
      <c r="WYT117" s="145"/>
      <c r="WYU117" s="145"/>
      <c r="WYV117" s="145"/>
      <c r="WYW117" s="145"/>
      <c r="WYX117" s="145"/>
      <c r="WZA117" s="144"/>
      <c r="WZB117" s="144"/>
      <c r="WZC117" s="144"/>
      <c r="WZD117" s="144"/>
      <c r="WZE117" s="144"/>
      <c r="WZF117" s="144"/>
      <c r="WZG117" s="144"/>
      <c r="WZH117" s="144"/>
      <c r="WZI117" s="145"/>
      <c r="WZJ117" s="145"/>
      <c r="WZK117" s="145"/>
      <c r="WZL117" s="145"/>
      <c r="WZM117" s="145"/>
      <c r="WZN117" s="145"/>
      <c r="WZQ117" s="144"/>
      <c r="WZR117" s="144"/>
      <c r="WZS117" s="144"/>
      <c r="WZT117" s="144"/>
      <c r="WZU117" s="144"/>
      <c r="WZV117" s="144"/>
      <c r="WZW117" s="144"/>
      <c r="WZX117" s="144"/>
      <c r="WZY117" s="145"/>
      <c r="WZZ117" s="145"/>
      <c r="XAA117" s="145"/>
      <c r="XAB117" s="145"/>
      <c r="XAC117" s="145"/>
      <c r="XAD117" s="145"/>
      <c r="XAG117" s="144"/>
      <c r="XAH117" s="144"/>
      <c r="XAI117" s="144"/>
      <c r="XAJ117" s="144"/>
      <c r="XAK117" s="144"/>
      <c r="XAL117" s="144"/>
      <c r="XAM117" s="144"/>
      <c r="XAN117" s="144"/>
      <c r="XAO117" s="145"/>
      <c r="XAP117" s="145"/>
      <c r="XAQ117" s="145"/>
      <c r="XAR117" s="145"/>
      <c r="XAS117" s="145"/>
      <c r="XAT117" s="145"/>
      <c r="XAW117" s="144"/>
      <c r="XAX117" s="144"/>
      <c r="XAY117" s="144"/>
      <c r="XAZ117" s="144"/>
      <c r="XBA117" s="144"/>
      <c r="XBB117" s="144"/>
      <c r="XBC117" s="144"/>
      <c r="XBD117" s="144"/>
      <c r="XBE117" s="145"/>
      <c r="XBF117" s="145"/>
      <c r="XBG117" s="145"/>
      <c r="XBH117" s="145"/>
      <c r="XBI117" s="145"/>
      <c r="XBJ117" s="145"/>
      <c r="XBM117" s="144"/>
      <c r="XBN117" s="144"/>
      <c r="XBO117" s="144"/>
      <c r="XBP117" s="144"/>
      <c r="XBQ117" s="144"/>
      <c r="XBR117" s="144"/>
      <c r="XBS117" s="144"/>
      <c r="XBT117" s="144"/>
      <c r="XBU117" s="145"/>
      <c r="XBV117" s="145"/>
      <c r="XBW117" s="145"/>
      <c r="XBX117" s="145"/>
      <c r="XBY117" s="145"/>
      <c r="XBZ117" s="145"/>
      <c r="XCC117" s="144"/>
      <c r="XCD117" s="144"/>
      <c r="XCE117" s="144"/>
      <c r="XCF117" s="144"/>
      <c r="XCG117" s="144"/>
      <c r="XCH117" s="144"/>
      <c r="XCI117" s="144"/>
      <c r="XCJ117" s="144"/>
      <c r="XCK117" s="145"/>
      <c r="XCL117" s="145"/>
      <c r="XCM117" s="145"/>
      <c r="XCN117" s="145"/>
      <c r="XCO117" s="145"/>
      <c r="XCP117" s="145"/>
      <c r="XCS117" s="144"/>
      <c r="XCT117" s="144"/>
      <c r="XCU117" s="144"/>
      <c r="XCV117" s="144"/>
      <c r="XCW117" s="144"/>
      <c r="XCX117" s="144"/>
      <c r="XCY117" s="144"/>
      <c r="XCZ117" s="144"/>
      <c r="XDA117" s="145"/>
      <c r="XDB117" s="145"/>
      <c r="XDC117" s="145"/>
      <c r="XDD117" s="145"/>
      <c r="XDE117" s="145"/>
      <c r="XDF117" s="145"/>
      <c r="XDI117" s="144"/>
      <c r="XDJ117" s="144"/>
      <c r="XDK117" s="144"/>
      <c r="XDL117" s="144"/>
      <c r="XDM117" s="144"/>
      <c r="XDN117" s="144"/>
      <c r="XDO117" s="144"/>
      <c r="XDP117" s="144"/>
      <c r="XDQ117" s="145"/>
      <c r="XDR117" s="145"/>
      <c r="XDS117" s="145"/>
      <c r="XDT117" s="145"/>
      <c r="XDU117" s="145"/>
      <c r="XDV117" s="145"/>
      <c r="XDY117" s="144"/>
      <c r="XDZ117" s="144"/>
      <c r="XEA117" s="144"/>
      <c r="XEB117" s="144"/>
      <c r="XEC117" s="144"/>
      <c r="XED117" s="144"/>
      <c r="XEE117" s="144"/>
      <c r="XEF117" s="144"/>
      <c r="XEG117" s="145"/>
      <c r="XEH117" s="145"/>
      <c r="XEI117" s="145"/>
      <c r="XEJ117" s="145"/>
      <c r="XEK117" s="145"/>
      <c r="XEL117" s="145"/>
      <c r="XEO117" s="144"/>
      <c r="XEP117" s="144"/>
      <c r="XEQ117" s="144"/>
      <c r="XER117" s="144"/>
      <c r="XES117" s="144"/>
      <c r="XET117" s="144"/>
      <c r="XEU117" s="144"/>
      <c r="XEV117" s="144"/>
      <c r="XEW117" s="145"/>
      <c r="XEX117" s="145"/>
      <c r="XEY117" s="145"/>
      <c r="XEZ117" s="145"/>
      <c r="XFA117" s="145"/>
      <c r="XFB117" s="145"/>
    </row>
    <row r="118" spans="1:1022 1025:2046 2049:3070 3073:4094 4097:5118 5121:6142 6145:7166 7169:8190 8193:9214 9217:10238 10241:11262 11265:12286 12289:13310 13313:14334 14337:15358 15361:16382" x14ac:dyDescent="0.25">
      <c r="A118" s="27"/>
      <c r="C118" s="27"/>
      <c r="E118" s="27"/>
      <c r="G118" s="27"/>
    </row>
    <row r="119" spans="1:1022 1025:2046 2049:3070 3073:4094 4097:5118 5121:6142 6145:7166 7169:8190 8193:9214 9217:10238 10241:11262 11265:12286 12289:13310 13313:14334 14337:15358 15361:16382" x14ac:dyDescent="0.25">
      <c r="A119" s="27"/>
      <c r="C119" s="27"/>
      <c r="E119" s="27"/>
      <c r="G119" s="27"/>
    </row>
    <row r="120" spans="1:1022 1025:2046 2049:3070 3073:4094 4097:5118 5121:6142 6145:7166 7169:8190 8193:9214 9217:10238 10241:11262 11265:12286 12289:13310 13313:14334 14337:15358 15361:16382" x14ac:dyDescent="0.25">
      <c r="A120" s="27"/>
      <c r="C120" s="27"/>
      <c r="E120" s="27"/>
      <c r="G120" s="27"/>
    </row>
    <row r="121" spans="1:1022 1025:2046 2049:3070 3073:4094 4097:5118 5121:6142 6145:7166 7169:8190 8193:9214 9217:10238 10241:11262 11265:12286 12289:13310 13313:14334 14337:15358 15361:16382" x14ac:dyDescent="0.25">
      <c r="A121" s="27"/>
      <c r="C121" s="27"/>
      <c r="E121" s="27"/>
      <c r="G121" s="27"/>
    </row>
    <row r="122" spans="1:1022 1025:2046 2049:3070 3073:4094 4097:5118 5121:6142 6145:7166 7169:8190 8193:9214 9217:10238 10241:11262 11265:12286 12289:13310 13313:14334 14337:15358 15361:16382" x14ac:dyDescent="0.25">
      <c r="A122" s="27"/>
      <c r="C122" s="27"/>
      <c r="E122" s="27"/>
      <c r="G122" s="27"/>
    </row>
    <row r="123" spans="1:1022 1025:2046 2049:3070 3073:4094 4097:5118 5121:6142 6145:7166 7169:8190 8193:9214 9217:10238 10241:11262 11265:12286 12289:13310 13313:14334 14337:15358 15361:16382" x14ac:dyDescent="0.25">
      <c r="A123" s="27"/>
      <c r="C123" s="27"/>
      <c r="E123" s="27"/>
      <c r="G123" s="27"/>
    </row>
    <row r="124" spans="1:1022 1025:2046 2049:3070 3073:4094 4097:5118 5121:6142 6145:7166 7169:8190 8193:9214 9217:10238 10241:11262 11265:12286 12289:13310 13313:14334 14337:15358 15361:16382" x14ac:dyDescent="0.25">
      <c r="A124" s="27"/>
      <c r="C124" s="27"/>
      <c r="E124" s="27"/>
      <c r="G124" s="27"/>
    </row>
  </sheetData>
  <autoFilter ref="A3:P117" xr:uid="{1C477741-8AB5-4865-8C9F-FBCEFE4919A6}">
    <filterColumn colId="0" showButton="0"/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</autoFilter>
  <mergeCells count="9"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Originals</vt:lpstr>
      <vt:lpstr>Scott</vt:lpstr>
      <vt:lpstr>Scott-Vin Compare</vt:lpstr>
      <vt:lpstr>Cmb Run</vt:lpstr>
      <vt:lpstr>Cmb Dev</vt:lpstr>
      <vt:lpstr>Cross-Ref</vt:lpstr>
      <vt:lpstr>Cross-Ref Man</vt:lpstr>
      <vt:lpstr>Install Diff</vt:lpstr>
      <vt:lpstr>MAX Originals</vt:lpstr>
      <vt:lpstr>MAX Cross Ref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2024-08-02T14:29:58Z</dcterms:modified>
</cp:coreProperties>
</file>