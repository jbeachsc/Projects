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3895" documentId="8_{94374330-8E57-4BF1-BA5A-A2D6E61ED8E1}" xr6:coauthVersionLast="47" xr6:coauthVersionMax="47" xr10:uidLastSave="{6260F2BE-7C0F-461F-BF06-4246F4D1FF70}"/>
  <bookViews>
    <workbookView xWindow="-120" yWindow="-120" windowWidth="29040" windowHeight="15840" activeTab="6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ross-Ref" sheetId="17" r:id="rId5"/>
    <sheet name="Cross-Ref Manual" sheetId="18" r:id="rId6"/>
    <sheet name="Install Diff" sheetId="3" r:id="rId7"/>
    <sheet name="MAX Originals" sheetId="6" r:id="rId8"/>
    <sheet name="MAX Cross Reference" sheetId="7" r:id="rId9"/>
  </sheets>
  <definedNames>
    <definedName name="_xlnm._FilterDatabase" localSheetId="3" hidden="1">'Cmb Dev'!$A$3:$I$3</definedName>
    <definedName name="_xlnm._FilterDatabase" localSheetId="2" hidden="1">'Cmb Run'!$A$3:$I$3</definedName>
    <definedName name="_xlnm._FilterDatabase" localSheetId="4" hidden="1">'Cross-Ref'!$A$3:$I$3</definedName>
    <definedName name="_xlnm._FilterDatabase" localSheetId="5" hidden="1">'Cross-Ref Manual'!$A$3:$N$329</definedName>
    <definedName name="_xlnm._FilterDatabase" localSheetId="6" hidden="1">'Install Diff'!$A$3:$H$141</definedName>
    <definedName name="_xlnm._FilterDatabase" localSheetId="8" hidden="1">'MAX Cross Reference'!$A$4:$L$116</definedName>
    <definedName name="_xlnm._FilterDatabase" localSheetId="0" hidden="1">Originals!$A$3:$I$399</definedName>
    <definedName name="_xlnm._FilterDatabase" localSheetId="1" hidden="1">Scott!$A$3:$I$198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6" i="7" l="1"/>
  <c r="O116" i="7"/>
  <c r="P115" i="7"/>
  <c r="O115" i="7"/>
  <c r="P114" i="7"/>
  <c r="O114" i="7"/>
  <c r="P113" i="7"/>
  <c r="O113" i="7"/>
  <c r="P112" i="7"/>
  <c r="O112" i="7"/>
  <c r="P111" i="7"/>
  <c r="O111" i="7"/>
  <c r="P110" i="7"/>
  <c r="O110" i="7"/>
  <c r="P109" i="7"/>
  <c r="O109" i="7"/>
  <c r="P108" i="7"/>
  <c r="O108" i="7"/>
  <c r="P107" i="7"/>
  <c r="O107" i="7"/>
  <c r="P106" i="7"/>
  <c r="O106" i="7"/>
  <c r="P105" i="7"/>
  <c r="O105" i="7"/>
  <c r="P104" i="7"/>
  <c r="O104" i="7"/>
  <c r="P103" i="7"/>
  <c r="O103" i="7"/>
  <c r="P102" i="7"/>
  <c r="O102" i="7"/>
  <c r="P101" i="7"/>
  <c r="O101" i="7"/>
  <c r="P100" i="7"/>
  <c r="O100" i="7"/>
  <c r="P99" i="7"/>
  <c r="O99" i="7"/>
  <c r="P98" i="7"/>
  <c r="O98" i="7"/>
  <c r="P97" i="7"/>
  <c r="O97" i="7"/>
  <c r="P96" i="7"/>
  <c r="O96" i="7"/>
  <c r="P95" i="7"/>
  <c r="O95" i="7"/>
  <c r="P94" i="7"/>
  <c r="O94" i="7"/>
  <c r="P93" i="7"/>
  <c r="O93" i="7"/>
  <c r="P92" i="7"/>
  <c r="O92" i="7"/>
  <c r="P91" i="7"/>
  <c r="O91" i="7"/>
  <c r="P90" i="7"/>
  <c r="O90" i="7"/>
  <c r="P89" i="7"/>
  <c r="O89" i="7"/>
  <c r="P88" i="7"/>
  <c r="O88" i="7"/>
  <c r="P87" i="7"/>
  <c r="O87" i="7"/>
  <c r="P86" i="7"/>
  <c r="O86" i="7"/>
  <c r="P85" i="7"/>
  <c r="O85" i="7"/>
  <c r="P84" i="7"/>
  <c r="O84" i="7"/>
  <c r="P83" i="7"/>
  <c r="O83" i="7"/>
  <c r="P82" i="7"/>
  <c r="O82" i="7"/>
  <c r="P81" i="7"/>
  <c r="O81" i="7"/>
  <c r="P80" i="7"/>
  <c r="O80" i="7"/>
  <c r="P79" i="7"/>
  <c r="O79" i="7"/>
  <c r="P78" i="7"/>
  <c r="O78" i="7"/>
  <c r="P77" i="7"/>
  <c r="O77" i="7"/>
  <c r="P76" i="7"/>
  <c r="O76" i="7"/>
  <c r="P75" i="7"/>
  <c r="O75" i="7"/>
  <c r="P74" i="7"/>
  <c r="O74" i="7"/>
  <c r="P73" i="7"/>
  <c r="O73" i="7"/>
  <c r="P72" i="7"/>
  <c r="O72" i="7"/>
  <c r="P71" i="7"/>
  <c r="O71" i="7"/>
  <c r="P70" i="7"/>
  <c r="O70" i="7"/>
  <c r="P69" i="7"/>
  <c r="O69" i="7"/>
  <c r="P68" i="7"/>
  <c r="O68" i="7"/>
  <c r="P67" i="7"/>
  <c r="O67" i="7"/>
  <c r="P66" i="7"/>
  <c r="O66" i="7"/>
  <c r="P65" i="7"/>
  <c r="O65" i="7"/>
  <c r="P64" i="7"/>
  <c r="O64" i="7"/>
  <c r="P63" i="7"/>
  <c r="O63" i="7"/>
  <c r="P62" i="7"/>
  <c r="O62" i="7"/>
  <c r="P61" i="7"/>
  <c r="O61" i="7"/>
  <c r="P60" i="7"/>
  <c r="O60" i="7"/>
  <c r="P59" i="7"/>
  <c r="O59" i="7"/>
  <c r="P58" i="7"/>
  <c r="O58" i="7"/>
  <c r="P57" i="7"/>
  <c r="O57" i="7"/>
  <c r="P56" i="7"/>
  <c r="O56" i="7"/>
  <c r="P55" i="7"/>
  <c r="O55" i="7"/>
  <c r="P54" i="7"/>
  <c r="O54" i="7"/>
  <c r="P53" i="7"/>
  <c r="O53" i="7"/>
  <c r="P52" i="7"/>
  <c r="O52" i="7"/>
  <c r="P51" i="7"/>
  <c r="O51" i="7"/>
  <c r="P50" i="7"/>
  <c r="O50" i="7"/>
  <c r="P49" i="7"/>
  <c r="O49" i="7"/>
  <c r="P48" i="7"/>
  <c r="O48" i="7"/>
  <c r="P47" i="7"/>
  <c r="O47" i="7"/>
  <c r="P46" i="7"/>
  <c r="O46" i="7"/>
  <c r="P45" i="7"/>
  <c r="O45" i="7"/>
  <c r="P44" i="7"/>
  <c r="O44" i="7"/>
  <c r="P43" i="7"/>
  <c r="O43" i="7"/>
  <c r="P42" i="7"/>
  <c r="O42" i="7"/>
  <c r="P41" i="7"/>
  <c r="O41" i="7"/>
  <c r="P40" i="7"/>
  <c r="O40" i="7"/>
  <c r="P39" i="7"/>
  <c r="O39" i="7"/>
  <c r="P38" i="7"/>
  <c r="O38" i="7"/>
  <c r="P37" i="7"/>
  <c r="O37" i="7"/>
  <c r="P36" i="7"/>
  <c r="O36" i="7"/>
  <c r="P35" i="7"/>
  <c r="O35" i="7"/>
  <c r="P34" i="7"/>
  <c r="O34" i="7"/>
  <c r="P33" i="7"/>
  <c r="O33" i="7"/>
  <c r="P32" i="7"/>
  <c r="O32" i="7"/>
  <c r="P31" i="7"/>
  <c r="O31" i="7"/>
  <c r="P30" i="7"/>
  <c r="O30" i="7"/>
  <c r="P29" i="7"/>
  <c r="O29" i="7"/>
  <c r="P28" i="7"/>
  <c r="O28" i="7"/>
  <c r="P27" i="7"/>
  <c r="O27" i="7"/>
  <c r="P26" i="7"/>
  <c r="O26" i="7"/>
  <c r="P25" i="7"/>
  <c r="O25" i="7"/>
  <c r="P24" i="7"/>
  <c r="O24" i="7"/>
  <c r="P23" i="7"/>
  <c r="O23" i="7"/>
  <c r="P22" i="7"/>
  <c r="O22" i="7"/>
  <c r="P21" i="7"/>
  <c r="O21" i="7"/>
  <c r="O20" i="7"/>
  <c r="P19" i="7"/>
  <c r="O19" i="7"/>
  <c r="P18" i="7"/>
  <c r="O18" i="7"/>
  <c r="P17" i="7"/>
  <c r="O17" i="7"/>
  <c r="P16" i="7"/>
  <c r="O16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P117" i="7"/>
  <c r="O117" i="7"/>
  <c r="H103" i="12"/>
  <c r="M295" i="18"/>
  <c r="G238" i="3"/>
  <c r="G237" i="3"/>
  <c r="H181" i="12"/>
  <c r="H37" i="12"/>
  <c r="G236" i="3"/>
  <c r="H36" i="12"/>
  <c r="G235" i="3"/>
  <c r="G234" i="3"/>
  <c r="H6" i="12"/>
  <c r="G233" i="3"/>
  <c r="G232" i="3"/>
  <c r="G231" i="3"/>
  <c r="G230" i="3"/>
  <c r="G229" i="3"/>
  <c r="G228" i="3"/>
  <c r="G227" i="3"/>
  <c r="G226" i="3"/>
  <c r="G225" i="3"/>
  <c r="G224" i="3"/>
  <c r="G223" i="3"/>
  <c r="G222" i="3"/>
  <c r="H17" i="12"/>
  <c r="H16" i="12"/>
  <c r="H15" i="12"/>
  <c r="H14" i="12"/>
  <c r="H13" i="12"/>
  <c r="G221" i="3"/>
  <c r="G220" i="3"/>
  <c r="G219" i="3"/>
  <c r="G218" i="3"/>
  <c r="G217" i="3"/>
  <c r="H192" i="12"/>
  <c r="G216" i="3"/>
  <c r="H94" i="12"/>
  <c r="G215" i="3"/>
  <c r="H92" i="12"/>
  <c r="G214" i="3"/>
  <c r="H38" i="12"/>
  <c r="G211" i="3"/>
  <c r="H52" i="12"/>
  <c r="H32" i="12" l="1"/>
  <c r="H31" i="12"/>
  <c r="H30" i="12"/>
  <c r="H29" i="12"/>
  <c r="H28" i="12"/>
  <c r="H27" i="12"/>
  <c r="H26" i="12"/>
  <c r="H25" i="12"/>
  <c r="H24" i="12"/>
  <c r="H23" i="12"/>
  <c r="H22" i="12"/>
  <c r="H21" i="12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M296" i="18"/>
  <c r="F197" i="18"/>
  <c r="G197" i="18"/>
  <c r="H197" i="18"/>
  <c r="I197" i="18"/>
  <c r="J197" i="18"/>
  <c r="K197" i="18"/>
  <c r="M197" i="18"/>
  <c r="F78" i="18"/>
  <c r="G78" i="18"/>
  <c r="H78" i="18"/>
  <c r="I78" i="18"/>
  <c r="J78" i="18"/>
  <c r="K78" i="18"/>
  <c r="M78" i="18"/>
  <c r="F7" i="18"/>
  <c r="G7" i="18"/>
  <c r="H7" i="18"/>
  <c r="I7" i="18"/>
  <c r="J7" i="18"/>
  <c r="K7" i="18"/>
  <c r="L7" i="18"/>
  <c r="M7" i="18"/>
  <c r="F15" i="18"/>
  <c r="G15" i="18"/>
  <c r="H15" i="18"/>
  <c r="I15" i="18"/>
  <c r="J15" i="18"/>
  <c r="K15" i="18"/>
  <c r="M15" i="18"/>
  <c r="F16" i="18"/>
  <c r="G16" i="18"/>
  <c r="H16" i="18"/>
  <c r="I16" i="18"/>
  <c r="J16" i="18"/>
  <c r="K16" i="18"/>
  <c r="M16" i="18"/>
  <c r="F29" i="18"/>
  <c r="G29" i="18"/>
  <c r="H29" i="18"/>
  <c r="I29" i="18"/>
  <c r="J29" i="18"/>
  <c r="K29" i="18"/>
  <c r="L29" i="18"/>
  <c r="M29" i="18"/>
  <c r="F74" i="18"/>
  <c r="G74" i="18"/>
  <c r="H74" i="18"/>
  <c r="I74" i="18"/>
  <c r="J74" i="18"/>
  <c r="K74" i="18"/>
  <c r="M74" i="18"/>
  <c r="F75" i="18"/>
  <c r="G75" i="18"/>
  <c r="H75" i="18"/>
  <c r="I75" i="18"/>
  <c r="J75" i="18"/>
  <c r="K75" i="18"/>
  <c r="L75" i="18"/>
  <c r="M75" i="18"/>
  <c r="F76" i="18"/>
  <c r="G76" i="18"/>
  <c r="H76" i="18"/>
  <c r="I76" i="18"/>
  <c r="J76" i="18"/>
  <c r="K76" i="18"/>
  <c r="M76" i="18"/>
  <c r="F77" i="18"/>
  <c r="G77" i="18"/>
  <c r="H77" i="18"/>
  <c r="I77" i="18"/>
  <c r="J77" i="18"/>
  <c r="K77" i="18"/>
  <c r="M77" i="18"/>
  <c r="F85" i="18"/>
  <c r="G85" i="18"/>
  <c r="H85" i="18"/>
  <c r="I85" i="18"/>
  <c r="J85" i="18"/>
  <c r="K85" i="18"/>
  <c r="M85" i="18"/>
  <c r="F142" i="18"/>
  <c r="G142" i="18"/>
  <c r="H142" i="18"/>
  <c r="I142" i="18"/>
  <c r="J142" i="18"/>
  <c r="K142" i="18"/>
  <c r="L142" i="18"/>
  <c r="M142" i="18"/>
  <c r="F147" i="18"/>
  <c r="G147" i="18"/>
  <c r="H147" i="18"/>
  <c r="I147" i="18"/>
  <c r="J147" i="18"/>
  <c r="K147" i="18"/>
  <c r="M147" i="18"/>
  <c r="F152" i="18"/>
  <c r="G152" i="18"/>
  <c r="H152" i="18"/>
  <c r="I152" i="18"/>
  <c r="J152" i="18"/>
  <c r="K152" i="18"/>
  <c r="M152" i="18"/>
  <c r="F170" i="18"/>
  <c r="G170" i="18"/>
  <c r="H170" i="18"/>
  <c r="I170" i="18"/>
  <c r="J170" i="18"/>
  <c r="K170" i="18"/>
  <c r="M170" i="18"/>
  <c r="F174" i="18"/>
  <c r="G174" i="18"/>
  <c r="H174" i="18"/>
  <c r="I174" i="18"/>
  <c r="J174" i="18"/>
  <c r="K174" i="18"/>
  <c r="M174" i="18"/>
  <c r="F178" i="18"/>
  <c r="G178" i="18"/>
  <c r="H178" i="18"/>
  <c r="I178" i="18"/>
  <c r="J178" i="18"/>
  <c r="K178" i="18"/>
  <c r="M178" i="18"/>
  <c r="F181" i="18"/>
  <c r="G181" i="18"/>
  <c r="H181" i="18"/>
  <c r="I181" i="18"/>
  <c r="J181" i="18"/>
  <c r="K181" i="18"/>
  <c r="M181" i="18"/>
  <c r="F203" i="18"/>
  <c r="G203" i="18"/>
  <c r="H203" i="18"/>
  <c r="I203" i="18"/>
  <c r="J203" i="18"/>
  <c r="K203" i="18"/>
  <c r="M203" i="18"/>
  <c r="F204" i="18"/>
  <c r="G204" i="18"/>
  <c r="H204" i="18"/>
  <c r="I204" i="18"/>
  <c r="J204" i="18"/>
  <c r="K204" i="18"/>
  <c r="M204" i="18"/>
  <c r="F208" i="18"/>
  <c r="G208" i="18"/>
  <c r="H208" i="18"/>
  <c r="I208" i="18"/>
  <c r="J208" i="18"/>
  <c r="K208" i="18"/>
  <c r="M208" i="18"/>
  <c r="F209" i="18"/>
  <c r="G209" i="18"/>
  <c r="H209" i="18"/>
  <c r="I209" i="18"/>
  <c r="J209" i="18"/>
  <c r="K209" i="18"/>
  <c r="M209" i="18"/>
  <c r="F213" i="18"/>
  <c r="G213" i="18"/>
  <c r="H213" i="18"/>
  <c r="I213" i="18"/>
  <c r="J213" i="18"/>
  <c r="K213" i="18"/>
  <c r="M213" i="18"/>
  <c r="F214" i="18"/>
  <c r="G214" i="18"/>
  <c r="H214" i="18"/>
  <c r="I214" i="18"/>
  <c r="J214" i="18"/>
  <c r="K214" i="18"/>
  <c r="M214" i="18"/>
  <c r="F220" i="18"/>
  <c r="G220" i="18"/>
  <c r="H220" i="18"/>
  <c r="I220" i="18"/>
  <c r="J220" i="18"/>
  <c r="K220" i="18"/>
  <c r="M220" i="18"/>
  <c r="F235" i="18"/>
  <c r="G235" i="18"/>
  <c r="H235" i="18"/>
  <c r="I235" i="18"/>
  <c r="J235" i="18"/>
  <c r="K235" i="18"/>
  <c r="M235" i="18"/>
  <c r="F239" i="18"/>
  <c r="G239" i="18"/>
  <c r="H239" i="18"/>
  <c r="I239" i="18"/>
  <c r="J239" i="18"/>
  <c r="K239" i="18"/>
  <c r="M239" i="18"/>
  <c r="F248" i="18"/>
  <c r="G248" i="18"/>
  <c r="H248" i="18"/>
  <c r="I248" i="18"/>
  <c r="J248" i="18"/>
  <c r="K248" i="18"/>
  <c r="M248" i="18"/>
  <c r="F261" i="18"/>
  <c r="G261" i="18"/>
  <c r="H261" i="18"/>
  <c r="I261" i="18"/>
  <c r="J261" i="18"/>
  <c r="K261" i="18"/>
  <c r="M261" i="18"/>
  <c r="F262" i="18"/>
  <c r="G262" i="18"/>
  <c r="H262" i="18"/>
  <c r="I262" i="18"/>
  <c r="J262" i="18"/>
  <c r="K262" i="18"/>
  <c r="M262" i="18"/>
  <c r="F269" i="18"/>
  <c r="G269" i="18"/>
  <c r="H269" i="18"/>
  <c r="I269" i="18"/>
  <c r="J269" i="18"/>
  <c r="K269" i="18"/>
  <c r="M269" i="18"/>
  <c r="F296" i="18"/>
  <c r="G296" i="18"/>
  <c r="H296" i="18"/>
  <c r="I296" i="18"/>
  <c r="J296" i="18"/>
  <c r="K296" i="18"/>
  <c r="F297" i="18"/>
  <c r="G297" i="18"/>
  <c r="H297" i="18"/>
  <c r="I297" i="18"/>
  <c r="J297" i="18"/>
  <c r="K297" i="18"/>
  <c r="M297" i="18"/>
  <c r="F299" i="18"/>
  <c r="G299" i="18"/>
  <c r="H299" i="18"/>
  <c r="I299" i="18"/>
  <c r="J299" i="18"/>
  <c r="K299" i="18"/>
  <c r="M299" i="18"/>
  <c r="F300" i="18"/>
  <c r="G300" i="18"/>
  <c r="H300" i="18"/>
  <c r="I300" i="18"/>
  <c r="J300" i="18"/>
  <c r="K300" i="18"/>
  <c r="M300" i="18"/>
  <c r="F304" i="18"/>
  <c r="G304" i="18"/>
  <c r="H304" i="18"/>
  <c r="I304" i="18"/>
  <c r="J304" i="18"/>
  <c r="K304" i="18"/>
  <c r="M304" i="18"/>
  <c r="F306" i="18"/>
  <c r="G306" i="18"/>
  <c r="H306" i="18"/>
  <c r="I306" i="18"/>
  <c r="J306" i="18"/>
  <c r="K306" i="18"/>
  <c r="M306" i="18"/>
  <c r="F313" i="18"/>
  <c r="G313" i="18"/>
  <c r="H313" i="18"/>
  <c r="I313" i="18"/>
  <c r="J313" i="18"/>
  <c r="K313" i="18"/>
  <c r="M313" i="18"/>
  <c r="F321" i="18"/>
  <c r="G321" i="18"/>
  <c r="H321" i="18"/>
  <c r="I321" i="18"/>
  <c r="J321" i="18"/>
  <c r="K321" i="18"/>
  <c r="M321" i="18"/>
  <c r="F324" i="18"/>
  <c r="G324" i="18"/>
  <c r="H324" i="18"/>
  <c r="I324" i="18"/>
  <c r="J324" i="18"/>
  <c r="K324" i="18"/>
  <c r="M324" i="18"/>
  <c r="F327" i="18"/>
  <c r="G327" i="18"/>
  <c r="H327" i="18"/>
  <c r="I327" i="18"/>
  <c r="J327" i="18"/>
  <c r="K327" i="18"/>
  <c r="M327" i="18"/>
  <c r="F64" i="18"/>
  <c r="G64" i="18"/>
  <c r="H64" i="18"/>
  <c r="I64" i="18"/>
  <c r="J64" i="18"/>
  <c r="K64" i="18"/>
  <c r="M64" i="18"/>
  <c r="F65" i="18"/>
  <c r="G65" i="18"/>
  <c r="H65" i="18"/>
  <c r="I65" i="18"/>
  <c r="J65" i="18"/>
  <c r="K65" i="18"/>
  <c r="M65" i="18"/>
  <c r="F91" i="18"/>
  <c r="G91" i="18"/>
  <c r="H91" i="18"/>
  <c r="I91" i="18"/>
  <c r="J91" i="18"/>
  <c r="K91" i="18"/>
  <c r="M91" i="18"/>
  <c r="F92" i="18"/>
  <c r="G92" i="18"/>
  <c r="H92" i="18"/>
  <c r="I92" i="18"/>
  <c r="J92" i="18"/>
  <c r="K92" i="18"/>
  <c r="M92" i="18"/>
  <c r="F145" i="18"/>
  <c r="G145" i="18"/>
  <c r="H145" i="18"/>
  <c r="I145" i="18"/>
  <c r="J145" i="18"/>
  <c r="K145" i="18"/>
  <c r="M145" i="18"/>
  <c r="F184" i="18"/>
  <c r="G184" i="18"/>
  <c r="H184" i="18"/>
  <c r="I184" i="18"/>
  <c r="J184" i="18"/>
  <c r="K184" i="18"/>
  <c r="M184" i="18"/>
  <c r="F196" i="18"/>
  <c r="G196" i="18"/>
  <c r="H196" i="18"/>
  <c r="I196" i="18"/>
  <c r="J196" i="18"/>
  <c r="K196" i="18"/>
  <c r="M196" i="18"/>
  <c r="F198" i="18"/>
  <c r="G198" i="18"/>
  <c r="H198" i="18"/>
  <c r="I198" i="18"/>
  <c r="J198" i="18"/>
  <c r="K198" i="18"/>
  <c r="M198" i="18"/>
  <c r="F199" i="18"/>
  <c r="G199" i="18"/>
  <c r="H199" i="18"/>
  <c r="I199" i="18"/>
  <c r="J199" i="18"/>
  <c r="K199" i="18"/>
  <c r="M199" i="18"/>
  <c r="F200" i="18"/>
  <c r="G200" i="18"/>
  <c r="H200" i="18"/>
  <c r="I200" i="18"/>
  <c r="J200" i="18"/>
  <c r="K200" i="18"/>
  <c r="M200" i="18"/>
  <c r="F216" i="18"/>
  <c r="G216" i="18"/>
  <c r="H216" i="18"/>
  <c r="I216" i="18"/>
  <c r="J216" i="18"/>
  <c r="K216" i="18"/>
  <c r="M216" i="18"/>
  <c r="F221" i="18"/>
  <c r="G221" i="18"/>
  <c r="H221" i="18"/>
  <c r="I221" i="18"/>
  <c r="J221" i="18"/>
  <c r="K221" i="18"/>
  <c r="M221" i="18"/>
  <c r="F231" i="18"/>
  <c r="G231" i="18"/>
  <c r="H231" i="18"/>
  <c r="I231" i="18"/>
  <c r="J231" i="18"/>
  <c r="K231" i="18"/>
  <c r="M231" i="18"/>
  <c r="F241" i="18"/>
  <c r="G241" i="18"/>
  <c r="H241" i="18"/>
  <c r="I241" i="18"/>
  <c r="J241" i="18"/>
  <c r="K241" i="18"/>
  <c r="M241" i="18"/>
  <c r="F252" i="18"/>
  <c r="G252" i="18"/>
  <c r="H252" i="18"/>
  <c r="I252" i="18"/>
  <c r="J252" i="18"/>
  <c r="K252" i="18"/>
  <c r="M252" i="18"/>
  <c r="F6" i="18"/>
  <c r="G6" i="18"/>
  <c r="H6" i="18"/>
  <c r="I6" i="18"/>
  <c r="J6" i="18"/>
  <c r="K6" i="18"/>
  <c r="M6" i="18"/>
  <c r="F8" i="18"/>
  <c r="G8" i="18"/>
  <c r="H8" i="18"/>
  <c r="I8" i="18"/>
  <c r="J8" i="18"/>
  <c r="K8" i="18"/>
  <c r="M8" i="18"/>
  <c r="F10" i="18"/>
  <c r="G10" i="18"/>
  <c r="H10" i="18"/>
  <c r="I10" i="18"/>
  <c r="J10" i="18"/>
  <c r="K10" i="18"/>
  <c r="M10" i="18"/>
  <c r="F12" i="18"/>
  <c r="G12" i="18"/>
  <c r="H12" i="18"/>
  <c r="I12" i="18"/>
  <c r="J12" i="18"/>
  <c r="K12" i="18"/>
  <c r="M12" i="18"/>
  <c r="F14" i="18"/>
  <c r="G14" i="18"/>
  <c r="H14" i="18"/>
  <c r="I14" i="18"/>
  <c r="J14" i="18"/>
  <c r="K14" i="18"/>
  <c r="M14" i="18"/>
  <c r="F19" i="18"/>
  <c r="G19" i="18"/>
  <c r="H19" i="18"/>
  <c r="I19" i="18"/>
  <c r="J19" i="18"/>
  <c r="K19" i="18"/>
  <c r="M19" i="18"/>
  <c r="F20" i="18"/>
  <c r="G20" i="18"/>
  <c r="H20" i="18"/>
  <c r="I20" i="18"/>
  <c r="J20" i="18"/>
  <c r="K20" i="18"/>
  <c r="M20" i="18"/>
  <c r="F21" i="18"/>
  <c r="G21" i="18"/>
  <c r="H21" i="18"/>
  <c r="I21" i="18"/>
  <c r="J21" i="18"/>
  <c r="K21" i="18"/>
  <c r="M21" i="18"/>
  <c r="F22" i="18"/>
  <c r="G22" i="18"/>
  <c r="H22" i="18"/>
  <c r="I22" i="18"/>
  <c r="J22" i="18"/>
  <c r="K22" i="18"/>
  <c r="M22" i="18"/>
  <c r="F23" i="18"/>
  <c r="G23" i="18"/>
  <c r="H23" i="18"/>
  <c r="I23" i="18"/>
  <c r="J23" i="18"/>
  <c r="K23" i="18"/>
  <c r="M23" i="18"/>
  <c r="F25" i="18"/>
  <c r="G25" i="18"/>
  <c r="H25" i="18"/>
  <c r="I25" i="18"/>
  <c r="J25" i="18"/>
  <c r="K25" i="18"/>
  <c r="M25" i="18"/>
  <c r="F26" i="18"/>
  <c r="G26" i="18"/>
  <c r="H26" i="18"/>
  <c r="I26" i="18"/>
  <c r="J26" i="18"/>
  <c r="K26" i="18"/>
  <c r="M26" i="18"/>
  <c r="F28" i="18"/>
  <c r="G28" i="18"/>
  <c r="H28" i="18"/>
  <c r="I28" i="18"/>
  <c r="J28" i="18"/>
  <c r="K28" i="18"/>
  <c r="M28" i="18"/>
  <c r="F30" i="18"/>
  <c r="G30" i="18"/>
  <c r="H30" i="18"/>
  <c r="I30" i="18"/>
  <c r="J30" i="18"/>
  <c r="K30" i="18"/>
  <c r="M30" i="18"/>
  <c r="F31" i="18"/>
  <c r="G31" i="18"/>
  <c r="H31" i="18"/>
  <c r="I31" i="18"/>
  <c r="J31" i="18"/>
  <c r="K31" i="18"/>
  <c r="M31" i="18"/>
  <c r="F32" i="18"/>
  <c r="G32" i="18"/>
  <c r="H32" i="18"/>
  <c r="I32" i="18"/>
  <c r="J32" i="18"/>
  <c r="K32" i="18"/>
  <c r="M32" i="18"/>
  <c r="F33" i="18"/>
  <c r="G33" i="18"/>
  <c r="H33" i="18"/>
  <c r="I33" i="18"/>
  <c r="J33" i="18"/>
  <c r="K33" i="18"/>
  <c r="M33" i="18"/>
  <c r="F34" i="18"/>
  <c r="G34" i="18"/>
  <c r="H34" i="18"/>
  <c r="I34" i="18"/>
  <c r="J34" i="18"/>
  <c r="K34" i="18"/>
  <c r="M34" i="18"/>
  <c r="F35" i="18"/>
  <c r="G35" i="18"/>
  <c r="H35" i="18"/>
  <c r="I35" i="18"/>
  <c r="J35" i="18"/>
  <c r="K35" i="18"/>
  <c r="M35" i="18"/>
  <c r="F36" i="18"/>
  <c r="G36" i="18"/>
  <c r="H36" i="18"/>
  <c r="I36" i="18"/>
  <c r="J36" i="18"/>
  <c r="K36" i="18"/>
  <c r="M36" i="18"/>
  <c r="F37" i="18"/>
  <c r="G37" i="18"/>
  <c r="H37" i="18"/>
  <c r="I37" i="18"/>
  <c r="J37" i="18"/>
  <c r="K37" i="18"/>
  <c r="M37" i="18"/>
  <c r="F38" i="18"/>
  <c r="G38" i="18"/>
  <c r="H38" i="18"/>
  <c r="I38" i="18"/>
  <c r="J38" i="18"/>
  <c r="K38" i="18"/>
  <c r="M38" i="18"/>
  <c r="F39" i="18"/>
  <c r="G39" i="18"/>
  <c r="H39" i="18"/>
  <c r="I39" i="18"/>
  <c r="J39" i="18"/>
  <c r="K39" i="18"/>
  <c r="M39" i="18"/>
  <c r="F40" i="18"/>
  <c r="G40" i="18"/>
  <c r="H40" i="18"/>
  <c r="I40" i="18"/>
  <c r="J40" i="18"/>
  <c r="K40" i="18"/>
  <c r="M40" i="18"/>
  <c r="F41" i="18"/>
  <c r="G41" i="18"/>
  <c r="H41" i="18"/>
  <c r="I41" i="18"/>
  <c r="J41" i="18"/>
  <c r="K41" i="18"/>
  <c r="M41" i="18"/>
  <c r="F42" i="18"/>
  <c r="G42" i="18"/>
  <c r="H42" i="18"/>
  <c r="I42" i="18"/>
  <c r="J42" i="18"/>
  <c r="K42" i="18"/>
  <c r="M42" i="18"/>
  <c r="F43" i="18"/>
  <c r="G43" i="18"/>
  <c r="H43" i="18"/>
  <c r="I43" i="18"/>
  <c r="J43" i="18"/>
  <c r="K43" i="18"/>
  <c r="M43" i="18"/>
  <c r="F44" i="18"/>
  <c r="G44" i="18"/>
  <c r="H44" i="18"/>
  <c r="I44" i="18"/>
  <c r="J44" i="18"/>
  <c r="K44" i="18"/>
  <c r="M44" i="18"/>
  <c r="F45" i="18"/>
  <c r="G45" i="18"/>
  <c r="H45" i="18"/>
  <c r="I45" i="18"/>
  <c r="J45" i="18"/>
  <c r="K45" i="18"/>
  <c r="M45" i="18"/>
  <c r="F46" i="18"/>
  <c r="G46" i="18"/>
  <c r="H46" i="18"/>
  <c r="I46" i="18"/>
  <c r="J46" i="18"/>
  <c r="K46" i="18"/>
  <c r="M46" i="18"/>
  <c r="F47" i="18"/>
  <c r="G47" i="18"/>
  <c r="H47" i="18"/>
  <c r="I47" i="18"/>
  <c r="J47" i="18"/>
  <c r="K47" i="18"/>
  <c r="M47" i="18"/>
  <c r="F49" i="18"/>
  <c r="G49" i="18"/>
  <c r="H49" i="18"/>
  <c r="I49" i="18"/>
  <c r="J49" i="18"/>
  <c r="K49" i="18"/>
  <c r="M49" i="18"/>
  <c r="F50" i="18"/>
  <c r="G50" i="18"/>
  <c r="H50" i="18"/>
  <c r="I50" i="18"/>
  <c r="J50" i="18"/>
  <c r="K50" i="18"/>
  <c r="M50" i="18"/>
  <c r="F51" i="18"/>
  <c r="G51" i="18"/>
  <c r="H51" i="18"/>
  <c r="I51" i="18"/>
  <c r="J51" i="18"/>
  <c r="K51" i="18"/>
  <c r="M51" i="18"/>
  <c r="F52" i="18"/>
  <c r="G52" i="18"/>
  <c r="H52" i="18"/>
  <c r="I52" i="18"/>
  <c r="J52" i="18"/>
  <c r="K52" i="18"/>
  <c r="M52" i="18"/>
  <c r="F53" i="18"/>
  <c r="G53" i="18"/>
  <c r="H53" i="18"/>
  <c r="I53" i="18"/>
  <c r="J53" i="18"/>
  <c r="K53" i="18"/>
  <c r="M53" i="18"/>
  <c r="F54" i="18"/>
  <c r="G54" i="18"/>
  <c r="H54" i="18"/>
  <c r="I54" i="18"/>
  <c r="J54" i="18"/>
  <c r="K54" i="18"/>
  <c r="M54" i="18"/>
  <c r="F55" i="18"/>
  <c r="G55" i="18"/>
  <c r="H55" i="18"/>
  <c r="I55" i="18"/>
  <c r="J55" i="18"/>
  <c r="K55" i="18"/>
  <c r="M55" i="18"/>
  <c r="F66" i="18"/>
  <c r="G66" i="18"/>
  <c r="H66" i="18"/>
  <c r="I66" i="18"/>
  <c r="J66" i="18"/>
  <c r="K66" i="18"/>
  <c r="M66" i="18"/>
  <c r="F67" i="18"/>
  <c r="G67" i="18"/>
  <c r="H67" i="18"/>
  <c r="I67" i="18"/>
  <c r="J67" i="18"/>
  <c r="K67" i="18"/>
  <c r="M67" i="18"/>
  <c r="F68" i="18"/>
  <c r="G68" i="18"/>
  <c r="H68" i="18"/>
  <c r="I68" i="18"/>
  <c r="J68" i="18"/>
  <c r="K68" i="18"/>
  <c r="M68" i="18"/>
  <c r="F69" i="18"/>
  <c r="G69" i="18"/>
  <c r="H69" i="18"/>
  <c r="I69" i="18"/>
  <c r="J69" i="18"/>
  <c r="K69" i="18"/>
  <c r="M69" i="18"/>
  <c r="F70" i="18"/>
  <c r="G70" i="18"/>
  <c r="H70" i="18"/>
  <c r="I70" i="18"/>
  <c r="J70" i="18"/>
  <c r="K70" i="18"/>
  <c r="M70" i="18"/>
  <c r="F79" i="18"/>
  <c r="G79" i="18"/>
  <c r="H79" i="18"/>
  <c r="I79" i="18"/>
  <c r="J79" i="18"/>
  <c r="K79" i="18"/>
  <c r="M79" i="18"/>
  <c r="F81" i="18"/>
  <c r="G81" i="18"/>
  <c r="H81" i="18"/>
  <c r="I81" i="18"/>
  <c r="J81" i="18"/>
  <c r="K81" i="18"/>
  <c r="M81" i="18"/>
  <c r="F84" i="18"/>
  <c r="G84" i="18"/>
  <c r="H84" i="18"/>
  <c r="I84" i="18"/>
  <c r="J84" i="18"/>
  <c r="K84" i="18"/>
  <c r="M84" i="18"/>
  <c r="F87" i="18"/>
  <c r="G87" i="18"/>
  <c r="H87" i="18"/>
  <c r="I87" i="18"/>
  <c r="J87" i="18"/>
  <c r="K87" i="18"/>
  <c r="M87" i="18"/>
  <c r="F88" i="18"/>
  <c r="G88" i="18"/>
  <c r="H88" i="18"/>
  <c r="I88" i="18"/>
  <c r="J88" i="18"/>
  <c r="K88" i="18"/>
  <c r="M88" i="18"/>
  <c r="F93" i="18"/>
  <c r="G93" i="18"/>
  <c r="H93" i="18"/>
  <c r="I93" i="18"/>
  <c r="J93" i="18"/>
  <c r="K93" i="18"/>
  <c r="M93" i="18"/>
  <c r="F94" i="18"/>
  <c r="G94" i="18"/>
  <c r="H94" i="18"/>
  <c r="I94" i="18"/>
  <c r="J94" i="18"/>
  <c r="K94" i="18"/>
  <c r="M94" i="18"/>
  <c r="F95" i="18"/>
  <c r="G95" i="18"/>
  <c r="H95" i="18"/>
  <c r="I95" i="18"/>
  <c r="J95" i="18"/>
  <c r="K95" i="18"/>
  <c r="M95" i="18"/>
  <c r="F97" i="18"/>
  <c r="G97" i="18"/>
  <c r="H97" i="18"/>
  <c r="I97" i="18"/>
  <c r="J97" i="18"/>
  <c r="K97" i="18"/>
  <c r="M97" i="18"/>
  <c r="F98" i="18"/>
  <c r="G98" i="18"/>
  <c r="H98" i="18"/>
  <c r="I98" i="18"/>
  <c r="J98" i="18"/>
  <c r="K98" i="18"/>
  <c r="M98" i="18"/>
  <c r="F99" i="18"/>
  <c r="G99" i="18"/>
  <c r="H99" i="18"/>
  <c r="I99" i="18"/>
  <c r="J99" i="18"/>
  <c r="K99" i="18"/>
  <c r="M99" i="18"/>
  <c r="F100" i="18"/>
  <c r="G100" i="18"/>
  <c r="H100" i="18"/>
  <c r="I100" i="18"/>
  <c r="J100" i="18"/>
  <c r="K100" i="18"/>
  <c r="M100" i="18"/>
  <c r="F101" i="18"/>
  <c r="G101" i="18"/>
  <c r="H101" i="18"/>
  <c r="I101" i="18"/>
  <c r="J101" i="18"/>
  <c r="K101" i="18"/>
  <c r="M101" i="18"/>
  <c r="F102" i="18"/>
  <c r="G102" i="18"/>
  <c r="H102" i="18"/>
  <c r="I102" i="18"/>
  <c r="J102" i="18"/>
  <c r="K102" i="18"/>
  <c r="M102" i="18"/>
  <c r="F103" i="18"/>
  <c r="G103" i="18"/>
  <c r="H103" i="18"/>
  <c r="I103" i="18"/>
  <c r="J103" i="18"/>
  <c r="K103" i="18"/>
  <c r="M103" i="18"/>
  <c r="F104" i="18"/>
  <c r="G104" i="18"/>
  <c r="H104" i="18"/>
  <c r="I104" i="18"/>
  <c r="J104" i="18"/>
  <c r="K104" i="18"/>
  <c r="M104" i="18"/>
  <c r="F105" i="18"/>
  <c r="G105" i="18"/>
  <c r="H105" i="18"/>
  <c r="I105" i="18"/>
  <c r="J105" i="18"/>
  <c r="K105" i="18"/>
  <c r="M105" i="18"/>
  <c r="F106" i="18"/>
  <c r="G106" i="18"/>
  <c r="H106" i="18"/>
  <c r="I106" i="18"/>
  <c r="J106" i="18"/>
  <c r="K106" i="18"/>
  <c r="M106" i="18"/>
  <c r="F107" i="18"/>
  <c r="G107" i="18"/>
  <c r="H107" i="18"/>
  <c r="I107" i="18"/>
  <c r="J107" i="18"/>
  <c r="K107" i="18"/>
  <c r="M107" i="18"/>
  <c r="F108" i="18"/>
  <c r="G108" i="18"/>
  <c r="H108" i="18"/>
  <c r="I108" i="18"/>
  <c r="J108" i="18"/>
  <c r="K108" i="18"/>
  <c r="M108" i="18"/>
  <c r="F109" i="18"/>
  <c r="G109" i="18"/>
  <c r="H109" i="18"/>
  <c r="I109" i="18"/>
  <c r="J109" i="18"/>
  <c r="K109" i="18"/>
  <c r="M109" i="18"/>
  <c r="F110" i="18"/>
  <c r="G110" i="18"/>
  <c r="H110" i="18"/>
  <c r="I110" i="18"/>
  <c r="J110" i="18"/>
  <c r="K110" i="18"/>
  <c r="M110" i="18"/>
  <c r="F111" i="18"/>
  <c r="G111" i="18"/>
  <c r="H111" i="18"/>
  <c r="I111" i="18"/>
  <c r="J111" i="18"/>
  <c r="K111" i="18"/>
  <c r="M111" i="18"/>
  <c r="F112" i="18"/>
  <c r="G112" i="18"/>
  <c r="H112" i="18"/>
  <c r="I112" i="18"/>
  <c r="J112" i="18"/>
  <c r="K112" i="18"/>
  <c r="M112" i="18"/>
  <c r="F113" i="18"/>
  <c r="G113" i="18"/>
  <c r="H113" i="18"/>
  <c r="I113" i="18"/>
  <c r="J113" i="18"/>
  <c r="K113" i="18"/>
  <c r="M113" i="18"/>
  <c r="F114" i="18"/>
  <c r="G114" i="18"/>
  <c r="H114" i="18"/>
  <c r="I114" i="18"/>
  <c r="J114" i="18"/>
  <c r="K114" i="18"/>
  <c r="M114" i="18"/>
  <c r="F115" i="18"/>
  <c r="G115" i="18"/>
  <c r="H115" i="18"/>
  <c r="I115" i="18"/>
  <c r="J115" i="18"/>
  <c r="K115" i="18"/>
  <c r="M115" i="18"/>
  <c r="F116" i="18"/>
  <c r="G116" i="18"/>
  <c r="H116" i="18"/>
  <c r="I116" i="18"/>
  <c r="J116" i="18"/>
  <c r="K116" i="18"/>
  <c r="M116" i="18"/>
  <c r="F117" i="18"/>
  <c r="G117" i="18"/>
  <c r="H117" i="18"/>
  <c r="I117" i="18"/>
  <c r="J117" i="18"/>
  <c r="K117" i="18"/>
  <c r="M117" i="18"/>
  <c r="F118" i="18"/>
  <c r="G118" i="18"/>
  <c r="H118" i="18"/>
  <c r="I118" i="18"/>
  <c r="J118" i="18"/>
  <c r="K118" i="18"/>
  <c r="M118" i="18"/>
  <c r="F119" i="18"/>
  <c r="G119" i="18"/>
  <c r="H119" i="18"/>
  <c r="I119" i="18"/>
  <c r="J119" i="18"/>
  <c r="K119" i="18"/>
  <c r="M119" i="18"/>
  <c r="F120" i="18"/>
  <c r="G120" i="18"/>
  <c r="H120" i="18"/>
  <c r="I120" i="18"/>
  <c r="J120" i="18"/>
  <c r="K120" i="18"/>
  <c r="M120" i="18"/>
  <c r="F121" i="18"/>
  <c r="G121" i="18"/>
  <c r="H121" i="18"/>
  <c r="I121" i="18"/>
  <c r="J121" i="18"/>
  <c r="K121" i="18"/>
  <c r="M121" i="18"/>
  <c r="F122" i="18"/>
  <c r="G122" i="18"/>
  <c r="H122" i="18"/>
  <c r="I122" i="18"/>
  <c r="J122" i="18"/>
  <c r="K122" i="18"/>
  <c r="M122" i="18"/>
  <c r="F123" i="18"/>
  <c r="G123" i="18"/>
  <c r="H123" i="18"/>
  <c r="I123" i="18"/>
  <c r="J123" i="18"/>
  <c r="K123" i="18"/>
  <c r="M123" i="18"/>
  <c r="F124" i="18"/>
  <c r="G124" i="18"/>
  <c r="H124" i="18"/>
  <c r="I124" i="18"/>
  <c r="J124" i="18"/>
  <c r="K124" i="18"/>
  <c r="M124" i="18"/>
  <c r="F125" i="18"/>
  <c r="G125" i="18"/>
  <c r="H125" i="18"/>
  <c r="I125" i="18"/>
  <c r="J125" i="18"/>
  <c r="K125" i="18"/>
  <c r="M125" i="18"/>
  <c r="F126" i="18"/>
  <c r="G126" i="18"/>
  <c r="H126" i="18"/>
  <c r="I126" i="18"/>
  <c r="J126" i="18"/>
  <c r="K126" i="18"/>
  <c r="M126" i="18"/>
  <c r="F127" i="18"/>
  <c r="G127" i="18"/>
  <c r="H127" i="18"/>
  <c r="I127" i="18"/>
  <c r="J127" i="18"/>
  <c r="K127" i="18"/>
  <c r="M127" i="18"/>
  <c r="F128" i="18"/>
  <c r="G128" i="18"/>
  <c r="H128" i="18"/>
  <c r="I128" i="18"/>
  <c r="J128" i="18"/>
  <c r="K128" i="18"/>
  <c r="M128" i="18"/>
  <c r="F129" i="18"/>
  <c r="G129" i="18"/>
  <c r="H129" i="18"/>
  <c r="I129" i="18"/>
  <c r="J129" i="18"/>
  <c r="K129" i="18"/>
  <c r="M129" i="18"/>
  <c r="F130" i="18"/>
  <c r="G130" i="18"/>
  <c r="H130" i="18"/>
  <c r="I130" i="18"/>
  <c r="J130" i="18"/>
  <c r="K130" i="18"/>
  <c r="M130" i="18"/>
  <c r="F131" i="18"/>
  <c r="G131" i="18"/>
  <c r="H131" i="18"/>
  <c r="I131" i="18"/>
  <c r="J131" i="18"/>
  <c r="K131" i="18"/>
  <c r="M131" i="18"/>
  <c r="F132" i="18"/>
  <c r="G132" i="18"/>
  <c r="H132" i="18"/>
  <c r="I132" i="18"/>
  <c r="J132" i="18"/>
  <c r="K132" i="18"/>
  <c r="M132" i="18"/>
  <c r="F133" i="18"/>
  <c r="G133" i="18"/>
  <c r="H133" i="18"/>
  <c r="I133" i="18"/>
  <c r="J133" i="18"/>
  <c r="K133" i="18"/>
  <c r="M133" i="18"/>
  <c r="F135" i="18"/>
  <c r="G135" i="18"/>
  <c r="H135" i="18"/>
  <c r="I135" i="18"/>
  <c r="J135" i="18"/>
  <c r="K135" i="18"/>
  <c r="M135" i="18"/>
  <c r="F136" i="18"/>
  <c r="G136" i="18"/>
  <c r="H136" i="18"/>
  <c r="I136" i="18"/>
  <c r="J136" i="18"/>
  <c r="K136" i="18"/>
  <c r="M136" i="18"/>
  <c r="F137" i="18"/>
  <c r="G137" i="18"/>
  <c r="H137" i="18"/>
  <c r="I137" i="18"/>
  <c r="J137" i="18"/>
  <c r="K137" i="18"/>
  <c r="M137" i="18"/>
  <c r="F138" i="18"/>
  <c r="G138" i="18"/>
  <c r="H138" i="18"/>
  <c r="I138" i="18"/>
  <c r="J138" i="18"/>
  <c r="K138" i="18"/>
  <c r="M138" i="18"/>
  <c r="F140" i="18"/>
  <c r="G140" i="18"/>
  <c r="H140" i="18"/>
  <c r="I140" i="18"/>
  <c r="J140" i="18"/>
  <c r="K140" i="18"/>
  <c r="M140" i="18"/>
  <c r="F143" i="18"/>
  <c r="G143" i="18"/>
  <c r="H143" i="18"/>
  <c r="I143" i="18"/>
  <c r="J143" i="18"/>
  <c r="K143" i="18"/>
  <c r="M143" i="18"/>
  <c r="F144" i="18"/>
  <c r="G144" i="18"/>
  <c r="H144" i="18"/>
  <c r="I144" i="18"/>
  <c r="J144" i="18"/>
  <c r="K144" i="18"/>
  <c r="M144" i="18"/>
  <c r="F150" i="18"/>
  <c r="G150" i="18"/>
  <c r="H150" i="18"/>
  <c r="I150" i="18"/>
  <c r="J150" i="18"/>
  <c r="K150" i="18"/>
  <c r="M150" i="18"/>
  <c r="F154" i="18"/>
  <c r="G154" i="18"/>
  <c r="H154" i="18"/>
  <c r="I154" i="18"/>
  <c r="J154" i="18"/>
  <c r="K154" i="18"/>
  <c r="M154" i="18"/>
  <c r="F155" i="18"/>
  <c r="G155" i="18"/>
  <c r="H155" i="18"/>
  <c r="I155" i="18"/>
  <c r="J155" i="18"/>
  <c r="K155" i="18"/>
  <c r="M155" i="18"/>
  <c r="F158" i="18"/>
  <c r="G158" i="18"/>
  <c r="H158" i="18"/>
  <c r="I158" i="18"/>
  <c r="J158" i="18"/>
  <c r="K158" i="18"/>
  <c r="M158" i="18"/>
  <c r="F160" i="18"/>
  <c r="G160" i="18"/>
  <c r="H160" i="18"/>
  <c r="I160" i="18"/>
  <c r="J160" i="18"/>
  <c r="K160" i="18"/>
  <c r="M160" i="18"/>
  <c r="F163" i="18"/>
  <c r="G163" i="18"/>
  <c r="H163" i="18"/>
  <c r="I163" i="18"/>
  <c r="J163" i="18"/>
  <c r="K163" i="18"/>
  <c r="M163" i="18"/>
  <c r="F164" i="18"/>
  <c r="G164" i="18"/>
  <c r="H164" i="18"/>
  <c r="I164" i="18"/>
  <c r="J164" i="18"/>
  <c r="K164" i="18"/>
  <c r="M164" i="18"/>
  <c r="F165" i="18"/>
  <c r="G165" i="18"/>
  <c r="H165" i="18"/>
  <c r="I165" i="18"/>
  <c r="J165" i="18"/>
  <c r="K165" i="18"/>
  <c r="M165" i="18"/>
  <c r="F166" i="18"/>
  <c r="G166" i="18"/>
  <c r="H166" i="18"/>
  <c r="I166" i="18"/>
  <c r="J166" i="18"/>
  <c r="K166" i="18"/>
  <c r="M166" i="18"/>
  <c r="F169" i="18"/>
  <c r="G169" i="18"/>
  <c r="H169" i="18"/>
  <c r="I169" i="18"/>
  <c r="J169" i="18"/>
  <c r="K169" i="18"/>
  <c r="M169" i="18"/>
  <c r="F171" i="18"/>
  <c r="G171" i="18"/>
  <c r="H171" i="18"/>
  <c r="I171" i="18"/>
  <c r="J171" i="18"/>
  <c r="K171" i="18"/>
  <c r="M171" i="18"/>
  <c r="F173" i="18"/>
  <c r="G173" i="18"/>
  <c r="H173" i="18"/>
  <c r="I173" i="18"/>
  <c r="J173" i="18"/>
  <c r="K173" i="18"/>
  <c r="M173" i="18"/>
  <c r="F176" i="18"/>
  <c r="G176" i="18"/>
  <c r="H176" i="18"/>
  <c r="I176" i="18"/>
  <c r="J176" i="18"/>
  <c r="K176" i="18"/>
  <c r="M176" i="18"/>
  <c r="F180" i="18"/>
  <c r="G180" i="18"/>
  <c r="H180" i="18"/>
  <c r="I180" i="18"/>
  <c r="J180" i="18"/>
  <c r="K180" i="18"/>
  <c r="M180" i="18"/>
  <c r="F201" i="18"/>
  <c r="G201" i="18"/>
  <c r="H201" i="18"/>
  <c r="I201" i="18"/>
  <c r="J201" i="18"/>
  <c r="K201" i="18"/>
  <c r="M201" i="18"/>
  <c r="F202" i="18"/>
  <c r="G202" i="18"/>
  <c r="H202" i="18"/>
  <c r="I202" i="18"/>
  <c r="J202" i="18"/>
  <c r="K202" i="18"/>
  <c r="M202" i="18"/>
  <c r="F205" i="18"/>
  <c r="G205" i="18"/>
  <c r="H205" i="18"/>
  <c r="I205" i="18"/>
  <c r="J205" i="18"/>
  <c r="K205" i="18"/>
  <c r="M205" i="18"/>
  <c r="F206" i="18"/>
  <c r="G206" i="18"/>
  <c r="H206" i="18"/>
  <c r="I206" i="18"/>
  <c r="J206" i="18"/>
  <c r="K206" i="18"/>
  <c r="M206" i="18"/>
  <c r="F207" i="18"/>
  <c r="G207" i="18"/>
  <c r="H207" i="18"/>
  <c r="I207" i="18"/>
  <c r="J207" i="18"/>
  <c r="K207" i="18"/>
  <c r="M207" i="18"/>
  <c r="F210" i="18"/>
  <c r="G210" i="18"/>
  <c r="H210" i="18"/>
  <c r="I210" i="18"/>
  <c r="J210" i="18"/>
  <c r="K210" i="18"/>
  <c r="M210" i="18"/>
  <c r="F211" i="18"/>
  <c r="G211" i="18"/>
  <c r="H211" i="18"/>
  <c r="I211" i="18"/>
  <c r="J211" i="18"/>
  <c r="K211" i="18"/>
  <c r="M211" i="18"/>
  <c r="F212" i="18"/>
  <c r="G212" i="18"/>
  <c r="H212" i="18"/>
  <c r="I212" i="18"/>
  <c r="J212" i="18"/>
  <c r="K212" i="18"/>
  <c r="M212" i="18"/>
  <c r="F215" i="18"/>
  <c r="G215" i="18"/>
  <c r="H215" i="18"/>
  <c r="I215" i="18"/>
  <c r="J215" i="18"/>
  <c r="K215" i="18"/>
  <c r="M215" i="18"/>
  <c r="F217" i="18"/>
  <c r="G217" i="18"/>
  <c r="H217" i="18"/>
  <c r="I217" i="18"/>
  <c r="J217" i="18"/>
  <c r="K217" i="18"/>
  <c r="M217" i="18"/>
  <c r="F218" i="18"/>
  <c r="G218" i="18"/>
  <c r="H218" i="18"/>
  <c r="I218" i="18"/>
  <c r="J218" i="18"/>
  <c r="K218" i="18"/>
  <c r="M218" i="18"/>
  <c r="F225" i="18"/>
  <c r="G225" i="18"/>
  <c r="H225" i="18"/>
  <c r="I225" i="18"/>
  <c r="J225" i="18"/>
  <c r="K225" i="18"/>
  <c r="M225" i="18"/>
  <c r="F226" i="18"/>
  <c r="G226" i="18"/>
  <c r="H226" i="18"/>
  <c r="I226" i="18"/>
  <c r="J226" i="18"/>
  <c r="K226" i="18"/>
  <c r="M226" i="18"/>
  <c r="F228" i="18"/>
  <c r="G228" i="18"/>
  <c r="H228" i="18"/>
  <c r="I228" i="18"/>
  <c r="J228" i="18"/>
  <c r="K228" i="18"/>
  <c r="M228" i="18"/>
  <c r="F238" i="18"/>
  <c r="G238" i="18"/>
  <c r="H238" i="18"/>
  <c r="I238" i="18"/>
  <c r="J238" i="18"/>
  <c r="K238" i="18"/>
  <c r="M238" i="18"/>
  <c r="F236" i="18"/>
  <c r="G236" i="18"/>
  <c r="H236" i="18"/>
  <c r="I236" i="18"/>
  <c r="J236" i="18"/>
  <c r="K236" i="18"/>
  <c r="M236" i="18"/>
  <c r="F247" i="18"/>
  <c r="G247" i="18"/>
  <c r="H247" i="18"/>
  <c r="I247" i="18"/>
  <c r="J247" i="18"/>
  <c r="K247" i="18"/>
  <c r="M247" i="18"/>
  <c r="F253" i="18"/>
  <c r="G253" i="18"/>
  <c r="H253" i="18"/>
  <c r="I253" i="18"/>
  <c r="J253" i="18"/>
  <c r="K253" i="18"/>
  <c r="M253" i="18"/>
  <c r="F257" i="18"/>
  <c r="G257" i="18"/>
  <c r="H257" i="18"/>
  <c r="I257" i="18"/>
  <c r="J257" i="18"/>
  <c r="K257" i="18"/>
  <c r="M257" i="18"/>
  <c r="F258" i="18"/>
  <c r="G258" i="18"/>
  <c r="H258" i="18"/>
  <c r="I258" i="18"/>
  <c r="J258" i="18"/>
  <c r="K258" i="18"/>
  <c r="M258" i="18"/>
  <c r="F264" i="18"/>
  <c r="G264" i="18"/>
  <c r="H264" i="18"/>
  <c r="I264" i="18"/>
  <c r="J264" i="18"/>
  <c r="K264" i="18"/>
  <c r="M264" i="18"/>
  <c r="F266" i="18"/>
  <c r="G266" i="18"/>
  <c r="H266" i="18"/>
  <c r="I266" i="18"/>
  <c r="J266" i="18"/>
  <c r="K266" i="18"/>
  <c r="M266" i="18"/>
  <c r="F267" i="18"/>
  <c r="G267" i="18"/>
  <c r="H267" i="18"/>
  <c r="I267" i="18"/>
  <c r="J267" i="18"/>
  <c r="K267" i="18"/>
  <c r="M267" i="18"/>
  <c r="F268" i="18"/>
  <c r="G268" i="18"/>
  <c r="H268" i="18"/>
  <c r="I268" i="18"/>
  <c r="J268" i="18"/>
  <c r="K268" i="18"/>
  <c r="M268" i="18"/>
  <c r="F270" i="18"/>
  <c r="G270" i="18"/>
  <c r="H270" i="18"/>
  <c r="I270" i="18"/>
  <c r="J270" i="18"/>
  <c r="K270" i="18"/>
  <c r="M270" i="18"/>
  <c r="F271" i="18"/>
  <c r="G271" i="18"/>
  <c r="H271" i="18"/>
  <c r="I271" i="18"/>
  <c r="J271" i="18"/>
  <c r="K271" i="18"/>
  <c r="M271" i="18"/>
  <c r="F272" i="18"/>
  <c r="G272" i="18"/>
  <c r="H272" i="18"/>
  <c r="I272" i="18"/>
  <c r="J272" i="18"/>
  <c r="K272" i="18"/>
  <c r="M272" i="18"/>
  <c r="F273" i="18"/>
  <c r="G273" i="18"/>
  <c r="H273" i="18"/>
  <c r="I273" i="18"/>
  <c r="J273" i="18"/>
  <c r="K273" i="18"/>
  <c r="M273" i="18"/>
  <c r="F274" i="18"/>
  <c r="G274" i="18"/>
  <c r="H274" i="18"/>
  <c r="I274" i="18"/>
  <c r="J274" i="18"/>
  <c r="K274" i="18"/>
  <c r="M274" i="18"/>
  <c r="F275" i="18"/>
  <c r="G275" i="18"/>
  <c r="H275" i="18"/>
  <c r="I275" i="18"/>
  <c r="J275" i="18"/>
  <c r="K275" i="18"/>
  <c r="M275" i="18"/>
  <c r="F276" i="18"/>
  <c r="G276" i="18"/>
  <c r="H276" i="18"/>
  <c r="I276" i="18"/>
  <c r="J276" i="18"/>
  <c r="K276" i="18"/>
  <c r="M276" i="18"/>
  <c r="F277" i="18"/>
  <c r="G277" i="18"/>
  <c r="H277" i="18"/>
  <c r="I277" i="18"/>
  <c r="J277" i="18"/>
  <c r="K277" i="18"/>
  <c r="M277" i="18"/>
  <c r="F278" i="18"/>
  <c r="G278" i="18"/>
  <c r="H278" i="18"/>
  <c r="I278" i="18"/>
  <c r="J278" i="18"/>
  <c r="K278" i="18"/>
  <c r="M278" i="18"/>
  <c r="F279" i="18"/>
  <c r="G279" i="18"/>
  <c r="H279" i="18"/>
  <c r="I279" i="18"/>
  <c r="J279" i="18"/>
  <c r="K279" i="18"/>
  <c r="M279" i="18"/>
  <c r="F280" i="18"/>
  <c r="G280" i="18"/>
  <c r="H280" i="18"/>
  <c r="I280" i="18"/>
  <c r="J280" i="18"/>
  <c r="K280" i="18"/>
  <c r="M280" i="18"/>
  <c r="F281" i="18"/>
  <c r="G281" i="18"/>
  <c r="H281" i="18"/>
  <c r="I281" i="18"/>
  <c r="J281" i="18"/>
  <c r="K281" i="18"/>
  <c r="M281" i="18"/>
  <c r="F282" i="18"/>
  <c r="G282" i="18"/>
  <c r="H282" i="18"/>
  <c r="I282" i="18"/>
  <c r="J282" i="18"/>
  <c r="K282" i="18"/>
  <c r="M282" i="18"/>
  <c r="F283" i="18"/>
  <c r="G283" i="18"/>
  <c r="H283" i="18"/>
  <c r="I283" i="18"/>
  <c r="J283" i="18"/>
  <c r="K283" i="18"/>
  <c r="M283" i="18"/>
  <c r="F284" i="18"/>
  <c r="G284" i="18"/>
  <c r="H284" i="18"/>
  <c r="I284" i="18"/>
  <c r="J284" i="18"/>
  <c r="K284" i="18"/>
  <c r="M284" i="18"/>
  <c r="F285" i="18"/>
  <c r="G285" i="18"/>
  <c r="H285" i="18"/>
  <c r="I285" i="18"/>
  <c r="J285" i="18"/>
  <c r="K285" i="18"/>
  <c r="M285" i="18"/>
  <c r="F286" i="18"/>
  <c r="G286" i="18"/>
  <c r="H286" i="18"/>
  <c r="I286" i="18"/>
  <c r="J286" i="18"/>
  <c r="K286" i="18"/>
  <c r="M286" i="18"/>
  <c r="F287" i="18"/>
  <c r="G287" i="18"/>
  <c r="H287" i="18"/>
  <c r="I287" i="18"/>
  <c r="J287" i="18"/>
  <c r="K287" i="18"/>
  <c r="M287" i="18"/>
  <c r="F288" i="18"/>
  <c r="G288" i="18"/>
  <c r="H288" i="18"/>
  <c r="I288" i="18"/>
  <c r="J288" i="18"/>
  <c r="K288" i="18"/>
  <c r="M288" i="18"/>
  <c r="F289" i="18"/>
  <c r="G289" i="18"/>
  <c r="H289" i="18"/>
  <c r="I289" i="18"/>
  <c r="J289" i="18"/>
  <c r="K289" i="18"/>
  <c r="M289" i="18"/>
  <c r="F290" i="18"/>
  <c r="G290" i="18"/>
  <c r="H290" i="18"/>
  <c r="I290" i="18"/>
  <c r="J290" i="18"/>
  <c r="K290" i="18"/>
  <c r="M290" i="18"/>
  <c r="F291" i="18"/>
  <c r="G291" i="18"/>
  <c r="H291" i="18"/>
  <c r="I291" i="18"/>
  <c r="J291" i="18"/>
  <c r="K291" i="18"/>
  <c r="M291" i="18"/>
  <c r="F292" i="18"/>
  <c r="G292" i="18"/>
  <c r="H292" i="18"/>
  <c r="I292" i="18"/>
  <c r="J292" i="18"/>
  <c r="K292" i="18"/>
  <c r="M292" i="18"/>
  <c r="F293" i="18"/>
  <c r="G293" i="18"/>
  <c r="H293" i="18"/>
  <c r="I293" i="18"/>
  <c r="J293" i="18"/>
  <c r="K293" i="18"/>
  <c r="M293" i="18"/>
  <c r="F294" i="18"/>
  <c r="G294" i="18"/>
  <c r="H294" i="18"/>
  <c r="I294" i="18"/>
  <c r="J294" i="18"/>
  <c r="K294" i="18"/>
  <c r="M294" i="18"/>
  <c r="F295" i="18"/>
  <c r="G295" i="18"/>
  <c r="H295" i="18"/>
  <c r="I295" i="18"/>
  <c r="J295" i="18"/>
  <c r="K295" i="18"/>
  <c r="F303" i="18"/>
  <c r="G303" i="18"/>
  <c r="H303" i="18"/>
  <c r="I303" i="18"/>
  <c r="J303" i="18"/>
  <c r="K303" i="18"/>
  <c r="M303" i="18"/>
  <c r="F305" i="18"/>
  <c r="G305" i="18"/>
  <c r="H305" i="18"/>
  <c r="I305" i="18"/>
  <c r="J305" i="18"/>
  <c r="K305" i="18"/>
  <c r="M305" i="18"/>
  <c r="F307" i="18"/>
  <c r="G307" i="18"/>
  <c r="H307" i="18"/>
  <c r="I307" i="18"/>
  <c r="J307" i="18"/>
  <c r="K307" i="18"/>
  <c r="M307" i="18"/>
  <c r="F309" i="18"/>
  <c r="G309" i="18"/>
  <c r="H309" i="18"/>
  <c r="I309" i="18"/>
  <c r="J309" i="18"/>
  <c r="K309" i="18"/>
  <c r="M309" i="18"/>
  <c r="F310" i="18"/>
  <c r="G310" i="18"/>
  <c r="H310" i="18"/>
  <c r="I310" i="18"/>
  <c r="J310" i="18"/>
  <c r="K310" i="18"/>
  <c r="M310" i="18"/>
  <c r="F311" i="18"/>
  <c r="G311" i="18"/>
  <c r="H311" i="18"/>
  <c r="I311" i="18"/>
  <c r="J311" i="18"/>
  <c r="K311" i="18"/>
  <c r="M311" i="18"/>
  <c r="F314" i="18"/>
  <c r="G314" i="18"/>
  <c r="H314" i="18"/>
  <c r="I314" i="18"/>
  <c r="J314" i="18"/>
  <c r="K314" i="18"/>
  <c r="M314" i="18"/>
  <c r="F315" i="18"/>
  <c r="G315" i="18"/>
  <c r="H315" i="18"/>
  <c r="I315" i="18"/>
  <c r="J315" i="18"/>
  <c r="K315" i="18"/>
  <c r="M315" i="18"/>
  <c r="F316" i="18"/>
  <c r="G316" i="18"/>
  <c r="H316" i="18"/>
  <c r="I316" i="18"/>
  <c r="J316" i="18"/>
  <c r="K316" i="18"/>
  <c r="M316" i="18"/>
  <c r="F318" i="18"/>
  <c r="G318" i="18"/>
  <c r="H318" i="18"/>
  <c r="I318" i="18"/>
  <c r="J318" i="18"/>
  <c r="K318" i="18"/>
  <c r="M318" i="18"/>
  <c r="F319" i="18"/>
  <c r="G319" i="18"/>
  <c r="H319" i="18"/>
  <c r="I319" i="18"/>
  <c r="J319" i="18"/>
  <c r="K319" i="18"/>
  <c r="M319" i="18"/>
  <c r="F320" i="18"/>
  <c r="G320" i="18"/>
  <c r="H320" i="18"/>
  <c r="I320" i="18"/>
  <c r="J320" i="18"/>
  <c r="K320" i="18"/>
  <c r="M320" i="18"/>
  <c r="F322" i="18"/>
  <c r="G322" i="18"/>
  <c r="H322" i="18"/>
  <c r="I322" i="18"/>
  <c r="J322" i="18"/>
  <c r="K322" i="18"/>
  <c r="M322" i="18"/>
  <c r="F323" i="18"/>
  <c r="G323" i="18"/>
  <c r="H323" i="18"/>
  <c r="I323" i="18"/>
  <c r="J323" i="18"/>
  <c r="K323" i="18"/>
  <c r="M323" i="18"/>
  <c r="F325" i="18"/>
  <c r="G325" i="18"/>
  <c r="H325" i="18"/>
  <c r="I325" i="18"/>
  <c r="J325" i="18"/>
  <c r="K325" i="18"/>
  <c r="M325" i="18"/>
  <c r="F326" i="18"/>
  <c r="G326" i="18"/>
  <c r="H326" i="18"/>
  <c r="I326" i="18"/>
  <c r="J326" i="18"/>
  <c r="K326" i="18"/>
  <c r="M326" i="18"/>
  <c r="F328" i="18"/>
  <c r="G328" i="18"/>
  <c r="H328" i="18"/>
  <c r="I328" i="18"/>
  <c r="J328" i="18"/>
  <c r="K328" i="18"/>
  <c r="M328" i="18"/>
  <c r="F329" i="18"/>
  <c r="G329" i="18"/>
  <c r="H329" i="18"/>
  <c r="I329" i="18"/>
  <c r="J329" i="18"/>
  <c r="K329" i="18"/>
  <c r="M329" i="18"/>
  <c r="F11" i="18"/>
  <c r="G11" i="18"/>
  <c r="H11" i="18"/>
  <c r="I11" i="18"/>
  <c r="J11" i="18"/>
  <c r="K11" i="18"/>
  <c r="M11" i="18"/>
  <c r="F71" i="18"/>
  <c r="G71" i="18"/>
  <c r="H71" i="18"/>
  <c r="I71" i="18"/>
  <c r="J71" i="18"/>
  <c r="K71" i="18"/>
  <c r="M71" i="18"/>
  <c r="F72" i="18"/>
  <c r="G72" i="18"/>
  <c r="H72" i="18"/>
  <c r="I72" i="18"/>
  <c r="J72" i="18"/>
  <c r="K72" i="18"/>
  <c r="M72" i="18"/>
  <c r="F73" i="18"/>
  <c r="G73" i="18"/>
  <c r="H73" i="18"/>
  <c r="I73" i="18"/>
  <c r="J73" i="18"/>
  <c r="K73" i="18"/>
  <c r="M73" i="18"/>
  <c r="F80" i="18"/>
  <c r="G80" i="18"/>
  <c r="H80" i="18"/>
  <c r="I80" i="18"/>
  <c r="J80" i="18"/>
  <c r="K80" i="18"/>
  <c r="M80" i="18"/>
  <c r="F141" i="18"/>
  <c r="G141" i="18"/>
  <c r="H141" i="18"/>
  <c r="I141" i="18"/>
  <c r="J141" i="18"/>
  <c r="K141" i="18"/>
  <c r="M141" i="18"/>
  <c r="F146" i="18"/>
  <c r="G146" i="18"/>
  <c r="H146" i="18"/>
  <c r="I146" i="18"/>
  <c r="J146" i="18"/>
  <c r="K146" i="18"/>
  <c r="M146" i="18"/>
  <c r="F151" i="18"/>
  <c r="G151" i="18"/>
  <c r="H151" i="18"/>
  <c r="I151" i="18"/>
  <c r="J151" i="18"/>
  <c r="K151" i="18"/>
  <c r="M151" i="18"/>
  <c r="F157" i="18"/>
  <c r="G157" i="18"/>
  <c r="H157" i="18"/>
  <c r="I157" i="18"/>
  <c r="J157" i="18"/>
  <c r="K157" i="18"/>
  <c r="M157" i="18"/>
  <c r="F162" i="18"/>
  <c r="G162" i="18"/>
  <c r="H162" i="18"/>
  <c r="I162" i="18"/>
  <c r="J162" i="18"/>
  <c r="K162" i="18"/>
  <c r="M162" i="18"/>
  <c r="F177" i="18"/>
  <c r="G177" i="18"/>
  <c r="H177" i="18"/>
  <c r="I177" i="18"/>
  <c r="J177" i="18"/>
  <c r="K177" i="18"/>
  <c r="M177" i="18"/>
  <c r="F219" i="18"/>
  <c r="G219" i="18"/>
  <c r="H219" i="18"/>
  <c r="I219" i="18"/>
  <c r="J219" i="18"/>
  <c r="K219" i="18"/>
  <c r="M219" i="18"/>
  <c r="F222" i="18"/>
  <c r="G222" i="18"/>
  <c r="H222" i="18"/>
  <c r="I222" i="18"/>
  <c r="J222" i="18"/>
  <c r="K222" i="18"/>
  <c r="M222" i="18"/>
  <c r="F227" i="18"/>
  <c r="G227" i="18"/>
  <c r="H227" i="18"/>
  <c r="I227" i="18"/>
  <c r="J227" i="18"/>
  <c r="K227" i="18"/>
  <c r="M227" i="18"/>
  <c r="F254" i="18"/>
  <c r="G254" i="18"/>
  <c r="H254" i="18"/>
  <c r="I254" i="18"/>
  <c r="J254" i="18"/>
  <c r="K254" i="18"/>
  <c r="M254" i="18"/>
  <c r="F259" i="18"/>
  <c r="G259" i="18"/>
  <c r="H259" i="18"/>
  <c r="I259" i="18"/>
  <c r="J259" i="18"/>
  <c r="K259" i="18"/>
  <c r="M259" i="18"/>
  <c r="F260" i="18"/>
  <c r="G260" i="18"/>
  <c r="H260" i="18"/>
  <c r="I260" i="18"/>
  <c r="J260" i="18"/>
  <c r="K260" i="18"/>
  <c r="M260" i="18"/>
  <c r="F317" i="18"/>
  <c r="G317" i="18"/>
  <c r="H317" i="18"/>
  <c r="I317" i="18"/>
  <c r="J317" i="18"/>
  <c r="K317" i="18"/>
  <c r="M317" i="18"/>
  <c r="F5" i="18"/>
  <c r="G5" i="18"/>
  <c r="H5" i="18"/>
  <c r="I5" i="18"/>
  <c r="J5" i="18"/>
  <c r="K5" i="18"/>
  <c r="M5" i="18"/>
  <c r="F9" i="18"/>
  <c r="G9" i="18"/>
  <c r="H9" i="18"/>
  <c r="I9" i="18"/>
  <c r="J9" i="18"/>
  <c r="K9" i="18"/>
  <c r="M9" i="18"/>
  <c r="F13" i="18"/>
  <c r="G13" i="18"/>
  <c r="H13" i="18"/>
  <c r="I13" i="18"/>
  <c r="J13" i="18"/>
  <c r="K13" i="18"/>
  <c r="M13" i="18"/>
  <c r="F17" i="18"/>
  <c r="G17" i="18"/>
  <c r="H17" i="18"/>
  <c r="I17" i="18"/>
  <c r="J17" i="18"/>
  <c r="K17" i="18"/>
  <c r="M17" i="18"/>
  <c r="F18" i="18"/>
  <c r="G18" i="18"/>
  <c r="H18" i="18"/>
  <c r="I18" i="18"/>
  <c r="J18" i="18"/>
  <c r="K18" i="18"/>
  <c r="M18" i="18"/>
  <c r="F24" i="18"/>
  <c r="G24" i="18"/>
  <c r="H24" i="18"/>
  <c r="I24" i="18"/>
  <c r="J24" i="18"/>
  <c r="K24" i="18"/>
  <c r="M24" i="18"/>
  <c r="F27" i="18"/>
  <c r="G27" i="18"/>
  <c r="H27" i="18"/>
  <c r="I27" i="18"/>
  <c r="J27" i="18"/>
  <c r="K27" i="18"/>
  <c r="M27" i="18"/>
  <c r="F48" i="18"/>
  <c r="G48" i="18"/>
  <c r="H48" i="18"/>
  <c r="I48" i="18"/>
  <c r="J48" i="18"/>
  <c r="K48" i="18"/>
  <c r="M48" i="18"/>
  <c r="F56" i="18"/>
  <c r="G56" i="18"/>
  <c r="H56" i="18"/>
  <c r="I56" i="18"/>
  <c r="J56" i="18"/>
  <c r="K56" i="18"/>
  <c r="M56" i="18"/>
  <c r="F57" i="18"/>
  <c r="G57" i="18"/>
  <c r="H57" i="18"/>
  <c r="I57" i="18"/>
  <c r="J57" i="18"/>
  <c r="K57" i="18"/>
  <c r="M57" i="18"/>
  <c r="F58" i="18"/>
  <c r="G58" i="18"/>
  <c r="H58" i="18"/>
  <c r="I58" i="18"/>
  <c r="J58" i="18"/>
  <c r="K58" i="18"/>
  <c r="M58" i="18"/>
  <c r="F59" i="18"/>
  <c r="G59" i="18"/>
  <c r="H59" i="18"/>
  <c r="I59" i="18"/>
  <c r="J59" i="18"/>
  <c r="K59" i="18"/>
  <c r="M59" i="18"/>
  <c r="F60" i="18"/>
  <c r="G60" i="18"/>
  <c r="H60" i="18"/>
  <c r="I60" i="18"/>
  <c r="J60" i="18"/>
  <c r="K60" i="18"/>
  <c r="M60" i="18"/>
  <c r="F61" i="18"/>
  <c r="G61" i="18"/>
  <c r="H61" i="18"/>
  <c r="I61" i="18"/>
  <c r="J61" i="18"/>
  <c r="K61" i="18"/>
  <c r="M61" i="18"/>
  <c r="F62" i="18"/>
  <c r="G62" i="18"/>
  <c r="H62" i="18"/>
  <c r="I62" i="18"/>
  <c r="J62" i="18"/>
  <c r="K62" i="18"/>
  <c r="M62" i="18"/>
  <c r="F63" i="18"/>
  <c r="G63" i="18"/>
  <c r="H63" i="18"/>
  <c r="I63" i="18"/>
  <c r="J63" i="18"/>
  <c r="K63" i="18"/>
  <c r="M63" i="18"/>
  <c r="F82" i="18"/>
  <c r="G82" i="18"/>
  <c r="H82" i="18"/>
  <c r="I82" i="18"/>
  <c r="J82" i="18"/>
  <c r="K82" i="18"/>
  <c r="M82" i="18"/>
  <c r="F83" i="18"/>
  <c r="G83" i="18"/>
  <c r="H83" i="18"/>
  <c r="I83" i="18"/>
  <c r="J83" i="18"/>
  <c r="K83" i="18"/>
  <c r="M83" i="18"/>
  <c r="F86" i="18"/>
  <c r="G86" i="18"/>
  <c r="H86" i="18"/>
  <c r="I86" i="18"/>
  <c r="J86" i="18"/>
  <c r="K86" i="18"/>
  <c r="M86" i="18"/>
  <c r="F89" i="18"/>
  <c r="G89" i="18"/>
  <c r="H89" i="18"/>
  <c r="I89" i="18"/>
  <c r="J89" i="18"/>
  <c r="K89" i="18"/>
  <c r="M89" i="18"/>
  <c r="F90" i="18"/>
  <c r="G90" i="18"/>
  <c r="H90" i="18"/>
  <c r="I90" i="18"/>
  <c r="J90" i="18"/>
  <c r="K90" i="18"/>
  <c r="M90" i="18"/>
  <c r="F96" i="18"/>
  <c r="G96" i="18"/>
  <c r="H96" i="18"/>
  <c r="I96" i="18"/>
  <c r="J96" i="18"/>
  <c r="K96" i="18"/>
  <c r="M96" i="18"/>
  <c r="F134" i="18"/>
  <c r="G134" i="18"/>
  <c r="H134" i="18"/>
  <c r="I134" i="18"/>
  <c r="J134" i="18"/>
  <c r="K134" i="18"/>
  <c r="M134" i="18"/>
  <c r="F139" i="18"/>
  <c r="G139" i="18"/>
  <c r="H139" i="18"/>
  <c r="I139" i="18"/>
  <c r="J139" i="18"/>
  <c r="K139" i="18"/>
  <c r="M139" i="18"/>
  <c r="F148" i="18"/>
  <c r="G148" i="18"/>
  <c r="H148" i="18"/>
  <c r="I148" i="18"/>
  <c r="J148" i="18"/>
  <c r="K148" i="18"/>
  <c r="M148" i="18"/>
  <c r="F149" i="18"/>
  <c r="G149" i="18"/>
  <c r="H149" i="18"/>
  <c r="I149" i="18"/>
  <c r="J149" i="18"/>
  <c r="K149" i="18"/>
  <c r="M149" i="18"/>
  <c r="F153" i="18"/>
  <c r="G153" i="18"/>
  <c r="H153" i="18"/>
  <c r="I153" i="18"/>
  <c r="J153" i="18"/>
  <c r="K153" i="18"/>
  <c r="M153" i="18"/>
  <c r="F156" i="18"/>
  <c r="G156" i="18"/>
  <c r="H156" i="18"/>
  <c r="I156" i="18"/>
  <c r="J156" i="18"/>
  <c r="K156" i="18"/>
  <c r="M156" i="18"/>
  <c r="F159" i="18"/>
  <c r="G159" i="18"/>
  <c r="H159" i="18"/>
  <c r="I159" i="18"/>
  <c r="J159" i="18"/>
  <c r="K159" i="18"/>
  <c r="M159" i="18"/>
  <c r="F161" i="18"/>
  <c r="G161" i="18"/>
  <c r="H161" i="18"/>
  <c r="I161" i="18"/>
  <c r="J161" i="18"/>
  <c r="K161" i="18"/>
  <c r="M161" i="18"/>
  <c r="F167" i="18"/>
  <c r="G167" i="18"/>
  <c r="H167" i="18"/>
  <c r="I167" i="18"/>
  <c r="J167" i="18"/>
  <c r="K167" i="18"/>
  <c r="M167" i="18"/>
  <c r="F168" i="18"/>
  <c r="G168" i="18"/>
  <c r="H168" i="18"/>
  <c r="I168" i="18"/>
  <c r="J168" i="18"/>
  <c r="K168" i="18"/>
  <c r="M168" i="18"/>
  <c r="F172" i="18"/>
  <c r="G172" i="18"/>
  <c r="H172" i="18"/>
  <c r="I172" i="18"/>
  <c r="J172" i="18"/>
  <c r="K172" i="18"/>
  <c r="M172" i="18"/>
  <c r="F175" i="18"/>
  <c r="G175" i="18"/>
  <c r="H175" i="18"/>
  <c r="I175" i="18"/>
  <c r="J175" i="18"/>
  <c r="K175" i="18"/>
  <c r="M175" i="18"/>
  <c r="F179" i="18"/>
  <c r="G179" i="18"/>
  <c r="H179" i="18"/>
  <c r="I179" i="18"/>
  <c r="J179" i="18"/>
  <c r="K179" i="18"/>
  <c r="M179" i="18"/>
  <c r="F182" i="18"/>
  <c r="G182" i="18"/>
  <c r="H182" i="18"/>
  <c r="I182" i="18"/>
  <c r="J182" i="18"/>
  <c r="K182" i="18"/>
  <c r="M182" i="18"/>
  <c r="F183" i="18"/>
  <c r="G183" i="18"/>
  <c r="H183" i="18"/>
  <c r="I183" i="18"/>
  <c r="J183" i="18"/>
  <c r="K183" i="18"/>
  <c r="M183" i="18"/>
  <c r="F185" i="18"/>
  <c r="G185" i="18"/>
  <c r="H185" i="18"/>
  <c r="I185" i="18"/>
  <c r="J185" i="18"/>
  <c r="K185" i="18"/>
  <c r="M185" i="18"/>
  <c r="F186" i="18"/>
  <c r="G186" i="18"/>
  <c r="H186" i="18"/>
  <c r="I186" i="18"/>
  <c r="J186" i="18"/>
  <c r="K186" i="18"/>
  <c r="M186" i="18"/>
  <c r="F187" i="18"/>
  <c r="G187" i="18"/>
  <c r="H187" i="18"/>
  <c r="I187" i="18"/>
  <c r="J187" i="18"/>
  <c r="K187" i="18"/>
  <c r="M187" i="18"/>
  <c r="F188" i="18"/>
  <c r="G188" i="18"/>
  <c r="H188" i="18"/>
  <c r="I188" i="18"/>
  <c r="J188" i="18"/>
  <c r="K188" i="18"/>
  <c r="M188" i="18"/>
  <c r="F189" i="18"/>
  <c r="G189" i="18"/>
  <c r="H189" i="18"/>
  <c r="I189" i="18"/>
  <c r="J189" i="18"/>
  <c r="K189" i="18"/>
  <c r="M189" i="18"/>
  <c r="F190" i="18"/>
  <c r="G190" i="18"/>
  <c r="H190" i="18"/>
  <c r="I190" i="18"/>
  <c r="J190" i="18"/>
  <c r="K190" i="18"/>
  <c r="M190" i="18"/>
  <c r="F191" i="18"/>
  <c r="G191" i="18"/>
  <c r="H191" i="18"/>
  <c r="I191" i="18"/>
  <c r="J191" i="18"/>
  <c r="K191" i="18"/>
  <c r="M191" i="18"/>
  <c r="F192" i="18"/>
  <c r="G192" i="18"/>
  <c r="H192" i="18"/>
  <c r="I192" i="18"/>
  <c r="J192" i="18"/>
  <c r="K192" i="18"/>
  <c r="M192" i="18"/>
  <c r="F193" i="18"/>
  <c r="G193" i="18"/>
  <c r="H193" i="18"/>
  <c r="I193" i="18"/>
  <c r="J193" i="18"/>
  <c r="K193" i="18"/>
  <c r="M193" i="18"/>
  <c r="F194" i="18"/>
  <c r="G194" i="18"/>
  <c r="H194" i="18"/>
  <c r="I194" i="18"/>
  <c r="J194" i="18"/>
  <c r="K194" i="18"/>
  <c r="M194" i="18"/>
  <c r="F195" i="18"/>
  <c r="G195" i="18"/>
  <c r="H195" i="18"/>
  <c r="I195" i="18"/>
  <c r="J195" i="18"/>
  <c r="K195" i="18"/>
  <c r="M195" i="18"/>
  <c r="F223" i="18"/>
  <c r="G223" i="18"/>
  <c r="H223" i="18"/>
  <c r="I223" i="18"/>
  <c r="J223" i="18"/>
  <c r="K223" i="18"/>
  <c r="M223" i="18"/>
  <c r="F224" i="18"/>
  <c r="G224" i="18"/>
  <c r="H224" i="18"/>
  <c r="I224" i="18"/>
  <c r="J224" i="18"/>
  <c r="K224" i="18"/>
  <c r="M224" i="18"/>
  <c r="F229" i="18"/>
  <c r="G229" i="18"/>
  <c r="H229" i="18"/>
  <c r="I229" i="18"/>
  <c r="J229" i="18"/>
  <c r="K229" i="18"/>
  <c r="M229" i="18"/>
  <c r="F230" i="18"/>
  <c r="G230" i="18"/>
  <c r="H230" i="18"/>
  <c r="I230" i="18"/>
  <c r="J230" i="18"/>
  <c r="K230" i="18"/>
  <c r="M230" i="18"/>
  <c r="F232" i="18"/>
  <c r="G232" i="18"/>
  <c r="H232" i="18"/>
  <c r="I232" i="18"/>
  <c r="J232" i="18"/>
  <c r="K232" i="18"/>
  <c r="M232" i="18"/>
  <c r="F233" i="18"/>
  <c r="G233" i="18"/>
  <c r="H233" i="18"/>
  <c r="I233" i="18"/>
  <c r="J233" i="18"/>
  <c r="K233" i="18"/>
  <c r="M233" i="18"/>
  <c r="F234" i="18"/>
  <c r="G234" i="18"/>
  <c r="H234" i="18"/>
  <c r="I234" i="18"/>
  <c r="J234" i="18"/>
  <c r="K234" i="18"/>
  <c r="M234" i="18"/>
  <c r="F237" i="18"/>
  <c r="G237" i="18"/>
  <c r="H237" i="18"/>
  <c r="I237" i="18"/>
  <c r="J237" i="18"/>
  <c r="K237" i="18"/>
  <c r="M237" i="18"/>
  <c r="F240" i="18"/>
  <c r="G240" i="18"/>
  <c r="H240" i="18"/>
  <c r="I240" i="18"/>
  <c r="J240" i="18"/>
  <c r="K240" i="18"/>
  <c r="M240" i="18"/>
  <c r="F242" i="18"/>
  <c r="G242" i="18"/>
  <c r="H242" i="18"/>
  <c r="I242" i="18"/>
  <c r="J242" i="18"/>
  <c r="K242" i="18"/>
  <c r="M242" i="18"/>
  <c r="F243" i="18"/>
  <c r="G243" i="18"/>
  <c r="H243" i="18"/>
  <c r="I243" i="18"/>
  <c r="J243" i="18"/>
  <c r="K243" i="18"/>
  <c r="M243" i="18"/>
  <c r="F244" i="18"/>
  <c r="G244" i="18"/>
  <c r="H244" i="18"/>
  <c r="I244" i="18"/>
  <c r="J244" i="18"/>
  <c r="K244" i="18"/>
  <c r="M244" i="18"/>
  <c r="F245" i="18"/>
  <c r="G245" i="18"/>
  <c r="H245" i="18"/>
  <c r="I245" i="18"/>
  <c r="J245" i="18"/>
  <c r="K245" i="18"/>
  <c r="M245" i="18"/>
  <c r="F246" i="18"/>
  <c r="G246" i="18"/>
  <c r="H246" i="18"/>
  <c r="I246" i="18"/>
  <c r="J246" i="18"/>
  <c r="K246" i="18"/>
  <c r="M246" i="18"/>
  <c r="F249" i="18"/>
  <c r="G249" i="18"/>
  <c r="H249" i="18"/>
  <c r="I249" i="18"/>
  <c r="J249" i="18"/>
  <c r="K249" i="18"/>
  <c r="M249" i="18"/>
  <c r="F250" i="18"/>
  <c r="G250" i="18"/>
  <c r="H250" i="18"/>
  <c r="I250" i="18"/>
  <c r="J250" i="18"/>
  <c r="K250" i="18"/>
  <c r="M250" i="18"/>
  <c r="F251" i="18"/>
  <c r="G251" i="18"/>
  <c r="H251" i="18"/>
  <c r="I251" i="18"/>
  <c r="J251" i="18"/>
  <c r="K251" i="18"/>
  <c r="M251" i="18"/>
  <c r="F255" i="18"/>
  <c r="G255" i="18"/>
  <c r="H255" i="18"/>
  <c r="I255" i="18"/>
  <c r="J255" i="18"/>
  <c r="K255" i="18"/>
  <c r="M255" i="18"/>
  <c r="F256" i="18"/>
  <c r="G256" i="18"/>
  <c r="H256" i="18"/>
  <c r="I256" i="18"/>
  <c r="J256" i="18"/>
  <c r="K256" i="18"/>
  <c r="M256" i="18"/>
  <c r="F263" i="18"/>
  <c r="G263" i="18"/>
  <c r="H263" i="18"/>
  <c r="I263" i="18"/>
  <c r="J263" i="18"/>
  <c r="K263" i="18"/>
  <c r="M263" i="18"/>
  <c r="F265" i="18"/>
  <c r="G265" i="18"/>
  <c r="H265" i="18"/>
  <c r="I265" i="18"/>
  <c r="J265" i="18"/>
  <c r="K265" i="18"/>
  <c r="M265" i="18"/>
  <c r="F298" i="18"/>
  <c r="G298" i="18"/>
  <c r="H298" i="18"/>
  <c r="I298" i="18"/>
  <c r="J298" i="18"/>
  <c r="K298" i="18"/>
  <c r="M298" i="18"/>
  <c r="F301" i="18"/>
  <c r="G301" i="18"/>
  <c r="H301" i="18"/>
  <c r="I301" i="18"/>
  <c r="J301" i="18"/>
  <c r="K301" i="18"/>
  <c r="M301" i="18"/>
  <c r="F302" i="18"/>
  <c r="G302" i="18"/>
  <c r="H302" i="18"/>
  <c r="I302" i="18"/>
  <c r="J302" i="18"/>
  <c r="K302" i="18"/>
  <c r="M302" i="18"/>
  <c r="F308" i="18"/>
  <c r="G308" i="18"/>
  <c r="H308" i="18"/>
  <c r="I308" i="18"/>
  <c r="J308" i="18"/>
  <c r="K308" i="18"/>
  <c r="M308" i="18"/>
  <c r="F312" i="18"/>
  <c r="G312" i="18"/>
  <c r="H312" i="18"/>
  <c r="I312" i="18"/>
  <c r="J312" i="18"/>
  <c r="K312" i="18"/>
  <c r="M312" i="18"/>
  <c r="F4" i="18"/>
  <c r="G4" i="18"/>
  <c r="H4" i="18"/>
  <c r="I4" i="18"/>
  <c r="J4" i="18"/>
  <c r="K4" i="18"/>
  <c r="M4" i="18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0" i="4"/>
  <c r="H369" i="4"/>
  <c r="L11" i="18" s="1"/>
  <c r="G155" i="3"/>
  <c r="N116" i="7"/>
  <c r="M116" i="7"/>
  <c r="N115" i="7"/>
  <c r="M115" i="7"/>
  <c r="N114" i="7"/>
  <c r="M114" i="7"/>
  <c r="N113" i="7"/>
  <c r="M113" i="7"/>
  <c r="N112" i="7"/>
  <c r="M112" i="7"/>
  <c r="N111" i="7"/>
  <c r="M111" i="7"/>
  <c r="N110" i="7"/>
  <c r="M110" i="7"/>
  <c r="N109" i="7"/>
  <c r="M109" i="7"/>
  <c r="N108" i="7"/>
  <c r="M108" i="7"/>
  <c r="N107" i="7"/>
  <c r="M107" i="7"/>
  <c r="N106" i="7"/>
  <c r="M106" i="7"/>
  <c r="N105" i="7"/>
  <c r="M105" i="7"/>
  <c r="N104" i="7"/>
  <c r="M104" i="7"/>
  <c r="N103" i="7"/>
  <c r="M103" i="7"/>
  <c r="N102" i="7"/>
  <c r="M102" i="7"/>
  <c r="N101" i="7"/>
  <c r="M101" i="7"/>
  <c r="N100" i="7"/>
  <c r="M100" i="7"/>
  <c r="N99" i="7"/>
  <c r="M99" i="7"/>
  <c r="N98" i="7"/>
  <c r="M98" i="7"/>
  <c r="N97" i="7"/>
  <c r="M97" i="7"/>
  <c r="N96" i="7"/>
  <c r="M96" i="7"/>
  <c r="N95" i="7"/>
  <c r="M95" i="7"/>
  <c r="N94" i="7"/>
  <c r="M94" i="7"/>
  <c r="N93" i="7"/>
  <c r="M93" i="7"/>
  <c r="N92" i="7"/>
  <c r="M92" i="7"/>
  <c r="N91" i="7"/>
  <c r="M91" i="7"/>
  <c r="N90" i="7"/>
  <c r="M90" i="7"/>
  <c r="N89" i="7"/>
  <c r="M89" i="7"/>
  <c r="N88" i="7"/>
  <c r="M88" i="7"/>
  <c r="N87" i="7"/>
  <c r="M87" i="7"/>
  <c r="N86" i="7"/>
  <c r="M86" i="7"/>
  <c r="N85" i="7"/>
  <c r="M85" i="7"/>
  <c r="N84" i="7"/>
  <c r="M84" i="7"/>
  <c r="N83" i="7"/>
  <c r="M83" i="7"/>
  <c r="N82" i="7"/>
  <c r="M82" i="7"/>
  <c r="N81" i="7"/>
  <c r="M81" i="7"/>
  <c r="N80" i="7"/>
  <c r="M80" i="7"/>
  <c r="N79" i="7"/>
  <c r="M79" i="7"/>
  <c r="N78" i="7"/>
  <c r="M78" i="7"/>
  <c r="N77" i="7"/>
  <c r="M77" i="7"/>
  <c r="N76" i="7"/>
  <c r="M76" i="7"/>
  <c r="N75" i="7"/>
  <c r="M75" i="7"/>
  <c r="N74" i="7"/>
  <c r="M74" i="7"/>
  <c r="N73" i="7"/>
  <c r="M73" i="7"/>
  <c r="N72" i="7"/>
  <c r="M72" i="7"/>
  <c r="N71" i="7"/>
  <c r="M71" i="7"/>
  <c r="N70" i="7"/>
  <c r="M70" i="7"/>
  <c r="N69" i="7"/>
  <c r="M69" i="7"/>
  <c r="N68" i="7"/>
  <c r="M68" i="7"/>
  <c r="N67" i="7"/>
  <c r="M67" i="7"/>
  <c r="N66" i="7"/>
  <c r="M66" i="7"/>
  <c r="N65" i="7"/>
  <c r="M65" i="7"/>
  <c r="N64" i="7"/>
  <c r="M64" i="7"/>
  <c r="N63" i="7"/>
  <c r="M63" i="7"/>
  <c r="N62" i="7"/>
  <c r="M62" i="7"/>
  <c r="N61" i="7"/>
  <c r="M61" i="7"/>
  <c r="N60" i="7"/>
  <c r="M60" i="7"/>
  <c r="N59" i="7"/>
  <c r="M59" i="7"/>
  <c r="N58" i="7"/>
  <c r="M58" i="7"/>
  <c r="N57" i="7"/>
  <c r="M57" i="7"/>
  <c r="N56" i="7"/>
  <c r="M56" i="7"/>
  <c r="N55" i="7"/>
  <c r="M55" i="7"/>
  <c r="N54" i="7"/>
  <c r="M54" i="7"/>
  <c r="N53" i="7"/>
  <c r="M53" i="7"/>
  <c r="N52" i="7"/>
  <c r="M52" i="7"/>
  <c r="N51" i="7"/>
  <c r="M51" i="7"/>
  <c r="N50" i="7"/>
  <c r="M50" i="7"/>
  <c r="N49" i="7"/>
  <c r="M49" i="7"/>
  <c r="N48" i="7"/>
  <c r="M48" i="7"/>
  <c r="N47" i="7"/>
  <c r="M47" i="7"/>
  <c r="N46" i="7"/>
  <c r="M46" i="7"/>
  <c r="N45" i="7"/>
  <c r="M45" i="7"/>
  <c r="N44" i="7"/>
  <c r="M44" i="7"/>
  <c r="N43" i="7"/>
  <c r="M43" i="7"/>
  <c r="N42" i="7"/>
  <c r="M42" i="7"/>
  <c r="N41" i="7"/>
  <c r="M41" i="7"/>
  <c r="N40" i="7"/>
  <c r="M40" i="7"/>
  <c r="N39" i="7"/>
  <c r="M39" i="7"/>
  <c r="N38" i="7"/>
  <c r="M38" i="7"/>
  <c r="N37" i="7"/>
  <c r="M37" i="7"/>
  <c r="N36" i="7"/>
  <c r="M36" i="7"/>
  <c r="N35" i="7"/>
  <c r="M35" i="7"/>
  <c r="N34" i="7"/>
  <c r="M34" i="7"/>
  <c r="N33" i="7"/>
  <c r="M33" i="7"/>
  <c r="N32" i="7"/>
  <c r="M32" i="7"/>
  <c r="N31" i="7"/>
  <c r="M31" i="7"/>
  <c r="N30" i="7"/>
  <c r="M30" i="7"/>
  <c r="N29" i="7"/>
  <c r="M29" i="7"/>
  <c r="N28" i="7"/>
  <c r="M28" i="7"/>
  <c r="N27" i="7"/>
  <c r="M27" i="7"/>
  <c r="N26" i="7"/>
  <c r="M26" i="7"/>
  <c r="N25" i="7"/>
  <c r="M25" i="7"/>
  <c r="N24" i="7"/>
  <c r="M24" i="7"/>
  <c r="N23" i="7"/>
  <c r="M23" i="7"/>
  <c r="N22" i="7"/>
  <c r="M22" i="7"/>
  <c r="N21" i="7"/>
  <c r="M21" i="7"/>
  <c r="M20" i="7"/>
  <c r="N19" i="7"/>
  <c r="M19" i="7"/>
  <c r="N18" i="7"/>
  <c r="M18" i="7"/>
  <c r="N17" i="7"/>
  <c r="M17" i="7"/>
  <c r="N16" i="7"/>
  <c r="M16" i="7"/>
  <c r="N15" i="7"/>
  <c r="M15" i="7"/>
  <c r="N14" i="7"/>
  <c r="M14" i="7"/>
  <c r="N13" i="7"/>
  <c r="M13" i="7"/>
  <c r="N12" i="7"/>
  <c r="M12" i="7"/>
  <c r="N11" i="7"/>
  <c r="M11" i="7"/>
  <c r="N10" i="7"/>
  <c r="M10" i="7"/>
  <c r="N9" i="7"/>
  <c r="M9" i="7"/>
  <c r="N8" i="7"/>
  <c r="M8" i="7"/>
  <c r="N7" i="7"/>
  <c r="M7" i="7"/>
  <c r="N6" i="7"/>
  <c r="M6" i="7"/>
  <c r="N5" i="7"/>
  <c r="M5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G153" i="3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H96" i="12"/>
  <c r="H106" i="12"/>
  <c r="H51" i="12"/>
  <c r="H50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75" i="4"/>
  <c r="H374" i="4"/>
  <c r="H373" i="4"/>
  <c r="L71" i="18" s="1"/>
  <c r="H377" i="4"/>
  <c r="H372" i="4"/>
  <c r="H371" i="4"/>
  <c r="H376" i="4"/>
  <c r="H198" i="12"/>
  <c r="H197" i="12"/>
  <c r="H196" i="12"/>
  <c r="H195" i="12"/>
  <c r="H194" i="12"/>
  <c r="H193" i="12"/>
  <c r="H191" i="12"/>
  <c r="H190" i="12"/>
  <c r="H189" i="12"/>
  <c r="H188" i="12"/>
  <c r="H187" i="12"/>
  <c r="H186" i="12"/>
  <c r="H185" i="12"/>
  <c r="H184" i="12"/>
  <c r="H183" i="12"/>
  <c r="H182" i="12"/>
  <c r="H155" i="12"/>
  <c r="H154" i="12"/>
  <c r="H153" i="12"/>
  <c r="H152" i="12"/>
  <c r="H151" i="12"/>
  <c r="H150" i="12"/>
  <c r="H149" i="12"/>
  <c r="H146" i="12"/>
  <c r="H145" i="12"/>
  <c r="H144" i="12"/>
  <c r="H143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L300" i="18" s="1"/>
  <c r="H118" i="12"/>
  <c r="H117" i="12"/>
  <c r="H116" i="12"/>
  <c r="H115" i="12"/>
  <c r="L296" i="18" s="1"/>
  <c r="H114" i="12"/>
  <c r="H113" i="12"/>
  <c r="H112" i="12"/>
  <c r="H111" i="12"/>
  <c r="H110" i="12"/>
  <c r="H109" i="12"/>
  <c r="H108" i="12"/>
  <c r="H107" i="12"/>
  <c r="H105" i="12"/>
  <c r="H102" i="12"/>
  <c r="H101" i="12"/>
  <c r="H100" i="12"/>
  <c r="H99" i="12"/>
  <c r="H98" i="12"/>
  <c r="H97" i="12"/>
  <c r="H95" i="12"/>
  <c r="H93" i="12"/>
  <c r="H89" i="12"/>
  <c r="H58" i="12"/>
  <c r="H57" i="12"/>
  <c r="L174" i="18" s="1"/>
  <c r="H56" i="12"/>
  <c r="H55" i="12"/>
  <c r="H53" i="12"/>
  <c r="H49" i="12"/>
  <c r="H48" i="12"/>
  <c r="H45" i="12"/>
  <c r="H44" i="12"/>
  <c r="H43" i="12"/>
  <c r="H42" i="12"/>
  <c r="H41" i="12"/>
  <c r="L85" i="18" s="1"/>
  <c r="H40" i="12"/>
  <c r="H39" i="12"/>
  <c r="H35" i="12"/>
  <c r="H34" i="12"/>
  <c r="H33" i="12"/>
  <c r="H19" i="12"/>
  <c r="H18" i="12"/>
  <c r="H12" i="12"/>
  <c r="H11" i="12"/>
  <c r="H10" i="12"/>
  <c r="H9" i="12"/>
  <c r="H8" i="12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L76" i="18" l="1"/>
  <c r="L261" i="18"/>
  <c r="L208" i="18"/>
  <c r="L77" i="18"/>
  <c r="L214" i="18"/>
  <c r="L235" i="18"/>
  <c r="L321" i="18"/>
  <c r="L74" i="18"/>
  <c r="L16" i="18"/>
  <c r="L213" i="18"/>
  <c r="L204" i="18"/>
  <c r="L15" i="18"/>
  <c r="L203" i="18"/>
  <c r="L222" i="18"/>
  <c r="L260" i="18"/>
  <c r="L80" i="18"/>
  <c r="L141" i="18"/>
  <c r="L259" i="18"/>
  <c r="L157" i="18"/>
  <c r="L248" i="18"/>
  <c r="L269" i="18"/>
  <c r="L220" i="18"/>
  <c r="L170" i="18"/>
  <c r="L327" i="18"/>
  <c r="L239" i="18"/>
  <c r="L262" i="18"/>
  <c r="L297" i="18"/>
  <c r="L304" i="18"/>
  <c r="L178" i="18"/>
  <c r="L306" i="18"/>
  <c r="L78" i="18"/>
  <c r="L313" i="18"/>
  <c r="L152" i="18"/>
  <c r="L209" i="18"/>
  <c r="L324" i="18"/>
  <c r="L181" i="18"/>
  <c r="L147" i="18"/>
  <c r="L299" i="18"/>
  <c r="L146" i="18"/>
  <c r="L151" i="18"/>
  <c r="L72" i="18"/>
  <c r="L73" i="18"/>
  <c r="L219" i="18"/>
  <c r="L177" i="18"/>
  <c r="L254" i="18"/>
  <c r="L162" i="18"/>
  <c r="L227" i="18"/>
  <c r="H296" i="4"/>
  <c r="G139" i="3"/>
  <c r="G140" i="3"/>
  <c r="G115" i="3"/>
  <c r="G95" i="3"/>
  <c r="G105" i="3"/>
  <c r="H211" i="4"/>
  <c r="H209" i="4"/>
  <c r="H208" i="4"/>
  <c r="H214" i="4"/>
  <c r="H207" i="4"/>
  <c r="H363" i="4"/>
  <c r="H349" i="4"/>
  <c r="H348" i="4"/>
  <c r="H347" i="4"/>
  <c r="H180" i="4"/>
  <c r="H171" i="4"/>
  <c r="H213" i="4"/>
  <c r="H318" i="4"/>
  <c r="H361" i="4"/>
  <c r="L319" i="18" s="1"/>
  <c r="H360" i="4"/>
  <c r="H365" i="4"/>
  <c r="H366" i="4"/>
  <c r="H364" i="4"/>
  <c r="H314" i="4"/>
  <c r="H315" i="4"/>
  <c r="H316" i="4"/>
  <c r="H313" i="4"/>
  <c r="L258" i="18" s="1"/>
  <c r="H278" i="4"/>
  <c r="H306" i="4"/>
  <c r="H307" i="4"/>
  <c r="H264" i="4"/>
  <c r="H301" i="4"/>
  <c r="H179" i="4"/>
  <c r="H319" i="4"/>
  <c r="H310" i="4"/>
  <c r="H309" i="4"/>
  <c r="H308" i="4"/>
  <c r="H274" i="4"/>
  <c r="H304" i="4"/>
  <c r="H272" i="4"/>
  <c r="H273" i="4"/>
  <c r="H356" i="4"/>
  <c r="H297" i="4"/>
  <c r="H295" i="4"/>
  <c r="H311" i="4"/>
  <c r="H225" i="4"/>
  <c r="H224" i="4"/>
  <c r="H228" i="4"/>
  <c r="H220" i="4"/>
  <c r="H230" i="4"/>
  <c r="L100" i="18" s="1"/>
  <c r="H223" i="4"/>
  <c r="L95" i="18" s="1"/>
  <c r="H222" i="4"/>
  <c r="H227" i="4"/>
  <c r="L98" i="18" s="1"/>
  <c r="H219" i="4"/>
  <c r="L88" i="18" s="1"/>
  <c r="H229" i="4"/>
  <c r="H221" i="4"/>
  <c r="H226" i="4"/>
  <c r="L97" i="18" s="1"/>
  <c r="H218" i="4"/>
  <c r="L87" i="18" s="1"/>
  <c r="H217" i="4"/>
  <c r="H210" i="4"/>
  <c r="H206" i="4"/>
  <c r="H199" i="4"/>
  <c r="H200" i="4"/>
  <c r="H269" i="4"/>
  <c r="H300" i="4"/>
  <c r="H198" i="4"/>
  <c r="H197" i="4"/>
  <c r="H362" i="4"/>
  <c r="H293" i="4"/>
  <c r="H294" i="4"/>
  <c r="H292" i="4"/>
  <c r="H290" i="4"/>
  <c r="H291" i="4"/>
  <c r="H289" i="4"/>
  <c r="H283" i="4"/>
  <c r="H284" i="4"/>
  <c r="H178" i="4"/>
  <c r="H288" i="4"/>
  <c r="H286" i="4"/>
  <c r="H287" i="4"/>
  <c r="H170" i="4"/>
  <c r="H166" i="4"/>
  <c r="H168" i="4"/>
  <c r="H285" i="4"/>
  <c r="H355" i="4"/>
  <c r="H353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271" i="4"/>
  <c r="H270" i="4"/>
  <c r="H268" i="4"/>
  <c r="H265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16" i="4"/>
  <c r="H205" i="4"/>
  <c r="H203" i="4"/>
  <c r="H202" i="4"/>
  <c r="H201" i="4"/>
  <c r="H193" i="4"/>
  <c r="H192" i="4"/>
  <c r="H191" i="4"/>
  <c r="H190" i="4"/>
  <c r="H189" i="4"/>
  <c r="H188" i="4"/>
  <c r="H187" i="4"/>
  <c r="H186" i="4"/>
  <c r="H185" i="4"/>
  <c r="H184" i="4"/>
  <c r="H182" i="4"/>
  <c r="H181" i="4"/>
  <c r="H177" i="4"/>
  <c r="H176" i="4"/>
  <c r="H175" i="4"/>
  <c r="H174" i="4"/>
  <c r="H173" i="4"/>
  <c r="H172" i="4"/>
  <c r="H167" i="4"/>
  <c r="H367" i="4"/>
  <c r="L328" i="18" s="1"/>
  <c r="H359" i="4"/>
  <c r="L316" i="18" s="1"/>
  <c r="H358" i="4"/>
  <c r="L315" i="18" s="1"/>
  <c r="H357" i="4"/>
  <c r="L314" i="18" s="1"/>
  <c r="H317" i="4"/>
  <c r="L266" i="18" s="1"/>
  <c r="H312" i="4"/>
  <c r="L257" i="18" s="1"/>
  <c r="H276" i="4"/>
  <c r="L158" i="18" s="1"/>
  <c r="H305" i="4"/>
  <c r="L228" i="18" s="1"/>
  <c r="H299" i="4"/>
  <c r="L218" i="18" s="1"/>
  <c r="H282" i="4"/>
  <c r="L166" i="18" s="1"/>
  <c r="H354" i="4"/>
  <c r="L310" i="18" s="1"/>
  <c r="H351" i="4"/>
  <c r="L305" i="18" s="1"/>
  <c r="H261" i="4"/>
  <c r="L131" i="18" s="1"/>
  <c r="H194" i="4"/>
  <c r="L43" i="18" s="1"/>
  <c r="H281" i="4"/>
  <c r="L165" i="18" s="1"/>
  <c r="H280" i="4"/>
  <c r="L164" i="18" s="1"/>
  <c r="H275" i="4"/>
  <c r="L155" i="18" s="1"/>
  <c r="H263" i="4"/>
  <c r="L133" i="18" s="1"/>
  <c r="H262" i="4"/>
  <c r="L132" i="18" s="1"/>
  <c r="H196" i="4"/>
  <c r="L45" i="18" s="1"/>
  <c r="H195" i="4"/>
  <c r="L44" i="18" s="1"/>
  <c r="H368" i="4"/>
  <c r="L329" i="18" s="1"/>
  <c r="H352" i="4"/>
  <c r="L307" i="18" s="1"/>
  <c r="H350" i="4"/>
  <c r="L303" i="18" s="1"/>
  <c r="H169" i="4"/>
  <c r="L12" i="18" s="1"/>
  <c r="H302" i="4"/>
  <c r="L225" i="18" s="1"/>
  <c r="H279" i="4"/>
  <c r="L163" i="18" s="1"/>
  <c r="H215" i="4"/>
  <c r="L79" i="18" s="1"/>
  <c r="H266" i="4"/>
  <c r="L136" i="18" s="1"/>
  <c r="H345" i="4"/>
  <c r="H267" i="4"/>
  <c r="H183" i="4"/>
  <c r="H277" i="4"/>
  <c r="H204" i="4"/>
  <c r="H298" i="4"/>
  <c r="H303" i="4"/>
  <c r="H346" i="4"/>
  <c r="H212" i="4"/>
  <c r="H157" i="4"/>
  <c r="H158" i="4"/>
  <c r="H159" i="4"/>
  <c r="H156" i="4"/>
  <c r="H155" i="4"/>
  <c r="H154" i="4"/>
  <c r="H153" i="4"/>
  <c r="H152" i="4"/>
  <c r="H151" i="4"/>
  <c r="H148" i="4"/>
  <c r="H150" i="4"/>
  <c r="H149" i="4"/>
  <c r="H147" i="4"/>
  <c r="H145" i="4"/>
  <c r="H146" i="4"/>
  <c r="H144" i="4"/>
  <c r="H141" i="4"/>
  <c r="H143" i="4"/>
  <c r="H142" i="4"/>
  <c r="H140" i="4"/>
  <c r="H139" i="4"/>
  <c r="H138" i="4"/>
  <c r="H137" i="4"/>
  <c r="H136" i="4"/>
  <c r="H133" i="4"/>
  <c r="H135" i="4"/>
  <c r="H134" i="4"/>
  <c r="H132" i="4"/>
  <c r="H131" i="4"/>
  <c r="H128" i="4"/>
  <c r="H130" i="4"/>
  <c r="H129" i="4"/>
  <c r="H127" i="4"/>
  <c r="H124" i="4"/>
  <c r="H126" i="4"/>
  <c r="H125" i="4"/>
  <c r="H123" i="4"/>
  <c r="H122" i="4"/>
  <c r="H119" i="4"/>
  <c r="H121" i="4"/>
  <c r="L184" i="18" s="1"/>
  <c r="H120" i="4"/>
  <c r="H118" i="4"/>
  <c r="H117" i="4"/>
  <c r="H116" i="4"/>
  <c r="H115" i="4"/>
  <c r="H114" i="4"/>
  <c r="H113" i="4"/>
  <c r="H112" i="4"/>
  <c r="H111" i="4"/>
  <c r="H110" i="4"/>
  <c r="H109" i="4"/>
  <c r="H107" i="4"/>
  <c r="H108" i="4"/>
  <c r="H106" i="4"/>
  <c r="H105" i="4"/>
  <c r="H103" i="4"/>
  <c r="L92" i="18" s="1"/>
  <c r="H102" i="4"/>
  <c r="H104" i="4"/>
  <c r="H101" i="4"/>
  <c r="H100" i="4"/>
  <c r="H86" i="4"/>
  <c r="H99" i="4"/>
  <c r="H98" i="4"/>
  <c r="L64" i="18" s="1"/>
  <c r="H97" i="4"/>
  <c r="H95" i="4"/>
  <c r="H94" i="4"/>
  <c r="H93" i="4"/>
  <c r="H92" i="4"/>
  <c r="H165" i="4"/>
  <c r="H164" i="4"/>
  <c r="H163" i="4"/>
  <c r="H162" i="4"/>
  <c r="H161" i="4"/>
  <c r="H160" i="4"/>
  <c r="H89" i="4"/>
  <c r="H88" i="4"/>
  <c r="H87" i="4"/>
  <c r="H83" i="4"/>
  <c r="H96" i="4"/>
  <c r="H91" i="4"/>
  <c r="H90" i="4"/>
  <c r="H84" i="4"/>
  <c r="H85" i="4"/>
  <c r="H55" i="4"/>
  <c r="H56" i="4"/>
  <c r="H11" i="4"/>
  <c r="H7" i="4"/>
  <c r="H5" i="4"/>
  <c r="H6" i="4"/>
  <c r="H75" i="4"/>
  <c r="H76" i="4"/>
  <c r="H74" i="4"/>
  <c r="H73" i="4"/>
  <c r="H72" i="4"/>
  <c r="H71" i="4"/>
  <c r="H70" i="4"/>
  <c r="H69" i="4"/>
  <c r="H67" i="4"/>
  <c r="H68" i="4"/>
  <c r="H66" i="4"/>
  <c r="H65" i="4"/>
  <c r="H64" i="4"/>
  <c r="H62" i="4"/>
  <c r="H63" i="4"/>
  <c r="H61" i="4"/>
  <c r="H58" i="4"/>
  <c r="H60" i="4"/>
  <c r="H59" i="4"/>
  <c r="H57" i="4"/>
  <c r="H54" i="4"/>
  <c r="H51" i="4"/>
  <c r="H53" i="4"/>
  <c r="H52" i="4"/>
  <c r="H50" i="4"/>
  <c r="H49" i="4"/>
  <c r="H46" i="4"/>
  <c r="H48" i="4"/>
  <c r="H47" i="4"/>
  <c r="H45" i="4"/>
  <c r="H44" i="4"/>
  <c r="H41" i="4"/>
  <c r="H43" i="4"/>
  <c r="H42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5" i="4"/>
  <c r="L90" i="18" s="1"/>
  <c r="H24" i="4"/>
  <c r="H26" i="4"/>
  <c r="H23" i="4"/>
  <c r="H22" i="4"/>
  <c r="H20" i="4"/>
  <c r="H14" i="4"/>
  <c r="H19" i="4"/>
  <c r="L62" i="18" s="1"/>
  <c r="H18" i="4"/>
  <c r="H17" i="4"/>
  <c r="H16" i="4"/>
  <c r="L59" i="18" s="1"/>
  <c r="H15" i="4"/>
  <c r="H82" i="4"/>
  <c r="H81" i="4"/>
  <c r="H80" i="4"/>
  <c r="H79" i="4"/>
  <c r="H78" i="4"/>
  <c r="H77" i="4"/>
  <c r="H21" i="4"/>
  <c r="H10" i="4"/>
  <c r="H9" i="4"/>
  <c r="H8" i="4"/>
  <c r="H4" i="4"/>
  <c r="H13" i="4"/>
  <c r="H12" i="4"/>
  <c r="L26" i="18" l="1"/>
  <c r="L223" i="18"/>
  <c r="L94" i="18"/>
  <c r="L169" i="18"/>
  <c r="L20" i="18"/>
  <c r="L285" i="18"/>
  <c r="L312" i="18"/>
  <c r="L128" i="18"/>
  <c r="L206" i="18"/>
  <c r="L317" i="18"/>
  <c r="L105" i="18"/>
  <c r="L207" i="18"/>
  <c r="L318" i="18"/>
  <c r="L60" i="18"/>
  <c r="L61" i="18"/>
  <c r="L293" i="18"/>
  <c r="L24" i="18"/>
  <c r="L280" i="18"/>
  <c r="L281" i="18"/>
  <c r="L232" i="18"/>
  <c r="L81" i="18"/>
  <c r="L264" i="18"/>
  <c r="L308" i="18"/>
  <c r="L202" i="18"/>
  <c r="L286" i="18"/>
  <c r="L242" i="18"/>
  <c r="L23" i="18"/>
  <c r="L182" i="18"/>
  <c r="L198" i="18"/>
  <c r="L30" i="18"/>
  <c r="L138" i="18"/>
  <c r="L290" i="18"/>
  <c r="L215" i="18"/>
  <c r="L109" i="18"/>
  <c r="L292" i="18"/>
  <c r="L250" i="18"/>
  <c r="L216" i="18"/>
  <c r="L35" i="18"/>
  <c r="L112" i="18"/>
  <c r="L270" i="18"/>
  <c r="L294" i="18"/>
  <c r="L50" i="18"/>
  <c r="L28" i="18"/>
  <c r="L83" i="18"/>
  <c r="L188" i="18"/>
  <c r="L251" i="18"/>
  <c r="L221" i="18"/>
  <c r="L226" i="18"/>
  <c r="L36" i="18"/>
  <c r="L113" i="18"/>
  <c r="L271" i="18"/>
  <c r="L309" i="18"/>
  <c r="L49" i="18"/>
  <c r="L154" i="18"/>
  <c r="L86" i="18"/>
  <c r="L189" i="18"/>
  <c r="L255" i="18"/>
  <c r="L217" i="18"/>
  <c r="L37" i="18"/>
  <c r="L114" i="18"/>
  <c r="L272" i="18"/>
  <c r="L311" i="18"/>
  <c r="L247" i="18"/>
  <c r="L238" i="18"/>
  <c r="L55" i="18"/>
  <c r="L241" i="18"/>
  <c r="L125" i="18"/>
  <c r="L91" i="18"/>
  <c r="L323" i="18"/>
  <c r="L240" i="18"/>
  <c r="L210" i="18"/>
  <c r="L252" i="18"/>
  <c r="L145" i="18"/>
  <c r="L25" i="18"/>
  <c r="L211" i="18"/>
  <c r="L245" i="18"/>
  <c r="L46" i="18"/>
  <c r="L47" i="18"/>
  <c r="L185" i="18"/>
  <c r="L34" i="18"/>
  <c r="L171" i="18"/>
  <c r="L153" i="18"/>
  <c r="L123" i="18"/>
  <c r="L161" i="18"/>
  <c r="L19" i="18"/>
  <c r="L205" i="18"/>
  <c r="L127" i="18"/>
  <c r="L172" i="18"/>
  <c r="L104" i="18"/>
  <c r="L22" i="18"/>
  <c r="L197" i="18"/>
  <c r="L70" i="18"/>
  <c r="L186" i="18"/>
  <c r="L96" i="18"/>
  <c r="L190" i="18"/>
  <c r="L160" i="18"/>
  <c r="L263" i="18"/>
  <c r="L56" i="18"/>
  <c r="L9" i="18"/>
  <c r="L137" i="18"/>
  <c r="L41" i="18"/>
  <c r="L118" i="18"/>
  <c r="L14" i="18"/>
  <c r="L229" i="18"/>
  <c r="L53" i="18"/>
  <c r="L82" i="18"/>
  <c r="L298" i="18"/>
  <c r="L124" i="18"/>
  <c r="L301" i="18"/>
  <c r="L167" i="18"/>
  <c r="L102" i="18"/>
  <c r="L168" i="18"/>
  <c r="L103" i="18"/>
  <c r="L175" i="18"/>
  <c r="L287" i="18"/>
  <c r="L326" i="18"/>
  <c r="L58" i="18"/>
  <c r="L106" i="18"/>
  <c r="L288" i="18"/>
  <c r="L325" i="18"/>
  <c r="L243" i="18"/>
  <c r="L196" i="18"/>
  <c r="L107" i="18"/>
  <c r="L320" i="18"/>
  <c r="L183" i="18"/>
  <c r="L108" i="18"/>
  <c r="L31" i="18"/>
  <c r="L267" i="18"/>
  <c r="L110" i="18"/>
  <c r="L144" i="18"/>
  <c r="L150" i="18"/>
  <c r="L57" i="18"/>
  <c r="L249" i="18"/>
  <c r="L200" i="18"/>
  <c r="L111" i="18"/>
  <c r="L140" i="18"/>
  <c r="L63" i="18"/>
  <c r="L187" i="18"/>
  <c r="L256" i="18"/>
  <c r="L54" i="18"/>
  <c r="L38" i="18"/>
  <c r="L115" i="18"/>
  <c r="L273" i="18"/>
  <c r="L68" i="18"/>
  <c r="L89" i="18"/>
  <c r="L265" i="18"/>
  <c r="L231" i="18"/>
  <c r="L39" i="18"/>
  <c r="L116" i="18"/>
  <c r="L274" i="18"/>
  <c r="L10" i="18"/>
  <c r="L84" i="18"/>
  <c r="L322" i="18"/>
  <c r="L48" i="18"/>
  <c r="L191" i="18"/>
  <c r="L32" i="18"/>
  <c r="L40" i="18"/>
  <c r="L117" i="18"/>
  <c r="L275" i="18"/>
  <c r="L6" i="18"/>
  <c r="L268" i="18"/>
  <c r="L134" i="18"/>
  <c r="L193" i="18"/>
  <c r="L276" i="18"/>
  <c r="L4" i="18"/>
  <c r="L139" i="18"/>
  <c r="L194" i="18"/>
  <c r="L5" i="18"/>
  <c r="L295" i="18"/>
  <c r="L42" i="18"/>
  <c r="L119" i="18"/>
  <c r="L277" i="18"/>
  <c r="L176" i="18"/>
  <c r="L93" i="18"/>
  <c r="L66" i="18"/>
  <c r="L224" i="18"/>
  <c r="L156" i="18"/>
  <c r="L230" i="18"/>
  <c r="L8" i="18"/>
  <c r="L201" i="18"/>
  <c r="L302" i="18"/>
  <c r="L126" i="18"/>
  <c r="L212" i="18"/>
  <c r="L130" i="18"/>
  <c r="L253" i="18"/>
  <c r="L135" i="18"/>
  <c r="L244" i="18"/>
  <c r="L199" i="18"/>
  <c r="L143" i="18"/>
  <c r="L33" i="18"/>
  <c r="L148" i="18"/>
  <c r="L13" i="18"/>
  <c r="L278" i="18"/>
  <c r="L67" i="18"/>
  <c r="L122" i="18"/>
  <c r="L159" i="18"/>
  <c r="L282" i="18"/>
  <c r="L101" i="18"/>
  <c r="L283" i="18"/>
  <c r="L233" i="18"/>
  <c r="L284" i="18"/>
  <c r="L237" i="18"/>
  <c r="L234" i="18"/>
  <c r="L21" i="18"/>
  <c r="L129" i="18"/>
  <c r="L179" i="18"/>
  <c r="L289" i="18"/>
  <c r="L291" i="18"/>
  <c r="L246" i="18"/>
  <c r="L17" i="18"/>
  <c r="L192" i="18"/>
  <c r="L51" i="18"/>
  <c r="L120" i="18"/>
  <c r="L173" i="18"/>
  <c r="L99" i="18"/>
  <c r="L18" i="18"/>
  <c r="L149" i="18"/>
  <c r="L195" i="18"/>
  <c r="L27" i="18"/>
  <c r="L65" i="18"/>
  <c r="L52" i="18"/>
  <c r="L121" i="18"/>
  <c r="L279" i="18"/>
  <c r="L180" i="18"/>
  <c r="L69" i="18"/>
  <c r="L236" i="18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<sst xmlns="http://schemas.openxmlformats.org/spreadsheetml/2006/main" count="9202" uniqueCount="547">
  <si>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</si>
  <si>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</si>
  <si>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</si>
  <si>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</si>
  <si>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</si>
  <si>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</si>
  <si>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</si>
  <si>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</si>
  <si>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</si>
  <si>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</si>
  <si>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</si>
  <si>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</si>
  <si>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</si>
  <si>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</si>
  <si>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</si>
  <si>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</si>
  <si>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</si>
  <si>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</si>
  <si>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</si>
  <si>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</si>
  <si>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</si>
  <si>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</si>
  <si>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</si>
  <si>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</si>
  <si>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</si>
  <si>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</si>
  <si>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</si>
  <si>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</si>
  <si>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</si>
  <si>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</si>
  <si>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</si>
  <si>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</si>
  <si>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</si>
  <si>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</si>
  <si>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</si>
  <si>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</si>
  <si>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</si>
  <si>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</si>
  <si>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</si>
  <si>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</si>
  <si>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</si>
  <si>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</si>
  <si>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</si>
  <si>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</si>
  <si>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</si>
  <si>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</si>
  <si>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</si>
  <si>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</si>
  <si>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</si>
  <si>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</si>
  <si>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</si>
  <si>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</si>
  <si>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</si>
  <si>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</si>
  <si>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</si>
  <si>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</si>
  <si>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</si>
  <si>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</si>
  <si>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</si>
  <si>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</si>
  <si>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</si>
  <si>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</si>
  <si>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</si>
  <si>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</si>
  <si>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</si>
  <si>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</si>
  <si>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</si>
  <si>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</si>
  <si>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</si>
  <si>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</si>
  <si>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</si>
  <si>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</si>
  <si>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</si>
  <si>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</si>
  <si>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</si>
  <si>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</si>
  <si>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</si>
  <si>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</si>
  <si>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</si>
  <si>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</si>
  <si>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</si>
  <si>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</si>
  <si>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</si>
  <si>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</si>
  <si>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</si>
  <si>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</si>
  <si>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</si>
  <si>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</si>
  <si>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</si>
  <si>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</si>
  <si>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</si>
  <si>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</si>
  <si>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</si>
  <si>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</si>
  <si>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</si>
  <si>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</si>
  <si>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</si>
  <si>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</si>
  <si>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</si>
  <si>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</si>
  <si>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</si>
  <si>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</si>
  <si>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</si>
  <si>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</si>
  <si>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</si>
  <si>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</si>
  <si>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</si>
  <si>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</si>
  <si>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</si>
  <si>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</si>
  <si>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</si>
  <si>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</si>
  <si>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</si>
  <si>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</si>
  <si>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</si>
  <si>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</si>
  <si>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</si>
  <si>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</si>
  <si>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</si>
  <si>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</si>
  <si>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</si>
  <si>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</si>
  <si>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</si>
  <si>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</si>
  <si>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</si>
  <si>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</si>
  <si>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</si>
  <si>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</si>
  <si>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</si>
  <si>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</si>
  <si>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</si>
  <si>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</si>
  <si>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</si>
  <si>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</si>
  <si>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</si>
  <si>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</si>
  <si>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</si>
  <si>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</si>
  <si>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</si>
  <si>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</si>
  <si>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</si>
  <si>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</si>
  <si>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</si>
  <si>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</si>
  <si>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</si>
  <si>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</si>
  <si>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</si>
  <si>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</si>
  <si>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</si>
  <si>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</si>
  <si>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</si>
  <si>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</si>
  <si>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</si>
  <si>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</si>
  <si>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</si>
  <si>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</si>
  <si>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</si>
  <si>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</si>
  <si>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</si>
  <si>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</si>
  <si>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</si>
  <si>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</si>
  <si>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</si>
  <si>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</si>
  <si>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</si>
  <si>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</si>
  <si>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</si>
  <si>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</si>
  <si>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</si>
  <si>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</si>
  <si>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</si>
  <si>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</si>
  <si>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</si>
  <si>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</si>
  <si>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</si>
  <si>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</si>
  <si>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</si>
  <si>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</si>
  <si>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</si>
  <si>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</si>
  <si>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</si>
  <si>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</si>
  <si>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</si>
  <si>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</si>
  <si>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</si>
  <si>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</si>
  <si>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</si>
  <si>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</si>
  <si>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</si>
  <si>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</si>
  <si>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</si>
  <si>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</si>
  <si>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</si>
  <si>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</si>
  <si>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</si>
  <si>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</si>
  <si>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</si>
  <si>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</si>
  <si>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</si>
  <si>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</si>
  <si>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</si>
  <si>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</si>
  <si>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</si>
  <si>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</si>
  <si>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</si>
  <si>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 QMH Event Scripter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</si>
  <si>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</si>
  <si>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</si>
  <si>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</si>
  <si>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</si>
  <si>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</si>
  <si>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</si>
  <si>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</si>
  <si>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</si>
  <si>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</si>
  <si>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</si>
  <si>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</si>
  <si>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</si>
  <si>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</si>
  <si>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</si>
  <si>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</si>
  <si>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</si>
  <si>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</si>
  <si>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</si>
  <si>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</si>
  <si>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</si>
  <si>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</si>
  <si>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</si>
  <si>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</si>
  <si>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</si>
  <si>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</si>
  <si>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</si>
  <si>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</si>
  <si>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</si>
  <si>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</si>
  <si>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</si>
  <si>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</si>
  <si>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</si>
  <si>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</si>
  <si>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</si>
  <si>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</si>
  <si>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</si>
  <si>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</si>
  <si>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</si>
  <si>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</si>
  <si>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</si>
  <si>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</si>
  <si>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</si>
  <si>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</si>
  <si>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</si>
  <si>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</si>
  <si>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</si>
  <si>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</si>
  <si>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</si>
  <si>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</si>
  <si>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</si>
  <si>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</si>
  <si>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</si>
  <si>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</si>
  <si>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</si>
  <si>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</si>
  <si>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</si>
  <si>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</si>
  <si>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</si>
  <si>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</si>
  <si>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</si>
  <si>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</si>
  <si>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</si>
  <si>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</si>
  <si>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</si>
  <si>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</si>
  <si>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</si>
  <si>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</si>
  <si>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</si>
  <si>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</si>
  <si>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</si>
  <si>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</si>
  <si>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</si>
  <si>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</si>
  <si>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</si>
  <si>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</si>
  <si>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</si>
  <si>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</si>
  <si>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</si>
  <si>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</si>
  <si>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</si>
  <si>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</si>
  <si>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</si>
  <si>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</si>
  <si>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</si>
  <si>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</si>
  <si>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</si>
  <si>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</si>
  <si>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</si>
  <si>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</si>
  <si>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</si>
  <si>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</si>
  <si>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</si>
  <si>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</si>
  <si>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</si>
  <si>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</si>
  <si>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</si>
  <si>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</si>
  <si>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</si>
  <si>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</si>
  <si>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</si>
  <si>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</si>
  <si>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</si>
  <si>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</si>
  <si>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</si>
  <si>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</si>
  <si>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</si>
  <si>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</si>
  <si>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</si>
  <si>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</si>
  <si>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</si>
  <si>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</si>
  <si>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</si>
  <si>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</si>
  <si>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</si>
  <si>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</si>
  <si>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</si>
  <si>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</si>
  <si>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</si>
  <si>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</si>
  <si>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</si>
  <si>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</si>
  <si>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</si>
  <si>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</si>
  <si>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</si>
  <si>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</si>
  <si>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</si>
  <si>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</si>
  <si>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</si>
  <si>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</si>
  <si>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</si>
  <si>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</si>
  <si>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</si>
  <si>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</si>
  <si>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</si>
  <si>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</si>
  <si>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</si>
  <si>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</si>
  <si>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</si>
  <si>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</si>
  <si>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</si>
  <si>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</si>
  <si>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</si>
  <si>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</si>
  <si>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</si>
  <si>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</si>
  <si>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</si>
  <si>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</si>
  <si>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</si>
  <si>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</si>
  <si>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</si>
  <si>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</si>
  <si>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</si>
  <si>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</si>
  <si>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</si>
  <si>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</si>
  <si>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</si>
  <si>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</si>
  <si>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</si>
  <si>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</si>
  <si>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</si>
  <si>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</si>
  <si>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</si>
  <si>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</si>
  <si>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</si>
  <si>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</si>
  <si>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</si>
  <si>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</si>
  <si>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</si>
  <si>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</si>
  <si>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</si>
  <si>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</si>
  <si>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</si>
  <si>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</si>
  <si>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</si>
  <si>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</si>
  <si>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</si>
  <si>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</si>
  <si>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</si>
  <si>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</si>
  <si>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</si>
  <si>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</si>
  <si>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</si>
  <si>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</si>
  <si>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</si>
  <si>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</si>
  <si>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</si>
  <si>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</si>
  <si>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</si>
  <si>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</si>
  <si>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</si>
  <si>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</si>
  <si>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</si>
  <si>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</si>
  <si>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</si>
  <si>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</si>
  <si>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</si>
  <si>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</si>
  <si>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</si>
  <si>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</si>
  <si>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</si>
  <si>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</si>
  <si>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</si>
  <si>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</si>
  <si>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</si>
  <si>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</si>
  <si>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</si>
  <si>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</si>
  <si>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</si>
  <si>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</si>
  <si>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</si>
  <si>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</si>
  <si>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</si>
  <si>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</si>
  <si>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</si>
  <si>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</si>
  <si>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</si>
  <si>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</si>
  <si>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</si>
  <si>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</si>
  <si>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</si>
  <si>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</si>
  <si>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</si>
  <si>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</si>
  <si>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</si>
  <si>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</si>
  <si>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</si>
  <si>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</si>
  <si>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</si>
  <si>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</si>
  <si>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</si>
  <si>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</si>
  <si>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</si>
  <si>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</si>
  <si>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</si>
  <si>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</si>
  <si>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</si>
  <si>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</si>
  <si>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</si>
  <si>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</si>
  <si>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</si>
  <si>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</si>
  <si>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</si>
  <si>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</si>
  <si>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</si>
  <si>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</si>
  <si>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</si>
  <si>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</si>
  <si>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</si>
  <si>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</si>
  <si>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</si>
  <si>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</si>
  <si>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</si>
  <si>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</si>
  <si>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</si>
  <si>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</si>
  <si>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</si>
  <si>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</si>
  <si>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</si>
  <si>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</si>
  <si>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</si>
  <si>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</si>
  <si>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</si>
  <si>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</si>
  <si>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</si>
  <si>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</si>
  <si>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</si>
  <si>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</si>
  <si>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</si>
  <si>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</si>
  <si>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</si>
  <si>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</si>
  <si>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</si>
  <si>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</si>
  <si>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</si>
  <si>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</si>
  <si>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</si>
  <si>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</si>
  <si>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</si>
  <si>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</si>
  <si>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</si>
  <si>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</si>
  <si>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</si>
  <si>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</si>
  <si>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</si>
  <si>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</si>
  <si>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</si>
  <si>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</si>
  <si>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</si>
  <si>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</si>
  <si>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</si>
  <si>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</si>
  <si>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 xml:space="preserve">**Cross-Reference is both Runtime and Development Software Versions with Duplicates Removed.  </t>
  </si>
  <si>
    <t xml:space="preserve">**Install Difference shows the difference between installs.  </t>
  </si>
  <si>
    <t>EtherCAT Update Service</t>
  </si>
  <si>
    <t>NI-Sync Runtime</t>
  </si>
  <si>
    <t>LabVIEW Runtime 2017 SP1 f3</t>
  </si>
  <si>
    <t>1-Corey</t>
  </si>
  <si>
    <t>2-Spencer</t>
  </si>
  <si>
    <t>5-Confluence</t>
  </si>
  <si>
    <t>**Combined Run is Combine of Originals and Scott with only Development Software Selected. Duplicates are Removed.</t>
  </si>
  <si>
    <t>**Combined Run is Combine of Originals and Scott with only Runtime Software Selected.  Duplicates are removed.</t>
  </si>
  <si>
    <t>Y</t>
  </si>
  <si>
    <t>Only</t>
  </si>
  <si>
    <t>VInnie</t>
  </si>
  <si>
    <t>N</t>
  </si>
  <si>
    <t xml:space="preserve">**Cross-Reference is both Runtime and Development Software Versions with Duplicates Manually Removed. </t>
  </si>
  <si>
    <t>OpenG Application Control Library 4.1.0.7</t>
  </si>
  <si>
    <t>OpenG Array Library 4.1.1.14</t>
  </si>
  <si>
    <t>OpenG Boolean Library 4.0.0.7</t>
  </si>
  <si>
    <t>OpenG Builder 3.0.1-2</t>
  </si>
  <si>
    <t>OpenG Buttons Library 4.0.0.7</t>
  </si>
  <si>
    <t>OpenG Compare VI To Disk Tool 4.0.0.9</t>
  </si>
  <si>
    <t>OpenG Comparison Library 4.0.0.3</t>
  </si>
  <si>
    <t>OpenG Dictionary Library 4.0.0.4</t>
  </si>
  <si>
    <t>OpenG Error Library 4.2.0.23</t>
  </si>
  <si>
    <t>OpenG File Library 4.0.1.22</t>
  </si>
  <si>
    <t>OpenG LabPython Library 4.0.0.4</t>
  </si>
  <si>
    <t>OpenG LabVIEW Data Library 4.2.0.21</t>
  </si>
  <si>
    <t>OpenG LabVIEW ZIP Library 4.0.0-2</t>
  </si>
  <si>
    <t>OpenG Large File Library 4.0.0.3</t>
  </si>
  <si>
    <t>OpenG Locate File In Project Tool 4.0.0.7</t>
  </si>
  <si>
    <t>OpenG MD5 Digest Library 4.1.1.10</t>
  </si>
  <si>
    <t>OpenG Message Queue Library 4.0.0.15</t>
  </si>
  <si>
    <t>OpenG Numeric Library 4.1.0.8</t>
  </si>
  <si>
    <t>OpenG Picture Library 4.0.0.13</t>
  </si>
  <si>
    <t>OpenG Port IO 4.0.0-2</t>
  </si>
  <si>
    <t>OpenG Rename Folder of VIs Tool 4.0.0.15</t>
  </si>
  <si>
    <t>OpenG String Library 4.1.0.12</t>
  </si>
  <si>
    <t>OpenG Toolkit 4.0.1.9</t>
  </si>
  <si>
    <t>OpenG Variant Configuration File Library 4.0.0.5</t>
  </si>
  <si>
    <t>vipm-22.0.2371-windows-setup</t>
  </si>
  <si>
    <t>4.0.0.68</t>
  </si>
  <si>
    <t>NI Asynchronous Message Communication (AMC) Library 3.3.1.22</t>
  </si>
  <si>
    <t>NI CompactRIO Information (CRI) Library 2015.0.0.1</t>
  </si>
  <si>
    <t>DQMH Consortium</t>
  </si>
  <si>
    <t>Openg.org</t>
  </si>
  <si>
    <t>4-Vinnie</t>
  </si>
  <si>
    <t>3-Scott</t>
  </si>
  <si>
    <t>NI-Industrial Communications for EtherCAT 15.0.0</t>
  </si>
  <si>
    <t>NI CAN 15.0</t>
  </si>
  <si>
    <t>NI-CAN 15.0.0f0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</si>
</sst>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theme="0"/>
      <name val="Aptos Narrow"/>
      <family val="2"/>
      <scheme val="minor"/>
    </font>
    <font>
      <sz val="10"/>
      <color rgb="FF00B050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545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8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6" fillId="1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3" fillId="16" borderId="0" xfId="0" applyFont="1" applyFill="1" applyAlignment="1">
      <alignment horizontal="left" vertical="center" wrapText="1"/>
    </xf>
    <xf numFmtId="0" fontId="0" fillId="16" borderId="1" xfId="0" applyFill="1" applyBorder="1" applyAlignment="1">
      <alignment horizontal="left" wrapText="1"/>
    </xf>
    <xf numFmtId="0" fontId="3" fillId="17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3" fillId="5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49" fontId="0" fillId="4" borderId="1" xfId="0" applyNumberFormat="1" applyFill="1" applyBorder="1" applyAlignment="1">
      <alignment horizontal="left" wrapText="1"/>
    </xf>
    <xf numFmtId="49" fontId="0" fillId="5" borderId="1" xfId="0" applyNumberFormat="1" applyFill="1" applyBorder="1" applyAlignment="1">
      <alignment horizontal="left" wrapText="1"/>
    </xf>
    <xf numFmtId="49" fontId="0" fillId="10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 wrapText="1"/>
    </xf>
    <xf numFmtId="0" fontId="6" fillId="16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6" fillId="17" borderId="3" xfId="0" applyFont="1" applyFill="1" applyBorder="1" applyAlignment="1">
      <alignment horizontal="left" vertical="center" wrapText="1"/>
    </xf>
    <xf numFmtId="0" fontId="0" fillId="0" borderId="16" xfId="0" applyBorder="1"/>
    <xf numFmtId="0" fontId="6" fillId="17" borderId="17" xfId="0" applyFont="1" applyFill="1" applyBorder="1" applyAlignment="1">
      <alignment horizontal="left" vertical="center" wrapText="1"/>
    </xf>
    <xf numFmtId="0" fontId="6" fillId="16" borderId="17" xfId="0" applyFont="1" applyFill="1" applyBorder="1" applyAlignment="1">
      <alignment horizontal="center" vertical="center" wrapText="1"/>
    </xf>
    <xf numFmtId="0" fontId="6" fillId="16" borderId="20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6" fillId="14" borderId="17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11" borderId="20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49" fontId="3" fillId="4" borderId="17" xfId="0" applyNumberFormat="1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left" wrapText="1"/>
    </xf>
    <xf numFmtId="0" fontId="4" fillId="16" borderId="3" xfId="0" applyFont="1" applyFill="1" applyBorder="1" applyAlignment="1">
      <alignment horizontal="center" vertical="center"/>
    </xf>
    <xf numFmtId="49" fontId="4" fillId="16" borderId="3" xfId="0" applyNumberFormat="1" applyFont="1" applyFill="1" applyBorder="1" applyAlignment="1">
      <alignment horizontal="center" vertical="center" wrapText="1"/>
    </xf>
    <xf numFmtId="49" fontId="4" fillId="16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wrapText="1"/>
    </xf>
    <xf numFmtId="49" fontId="4" fillId="17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7" fillId="2" borderId="6" xfId="0" applyFont="1" applyFill="1" applyBorder="1" applyAlignment="1">
      <alignment horizontal="left" vertical="center"/>
    </xf>
    <xf numFmtId="49" fontId="7" fillId="2" borderId="4" xfId="0" applyNumberFormat="1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15" borderId="1" xfId="0" applyFont="1" applyFill="1" applyBorder="1" applyAlignment="1">
      <alignment horizontal="left"/>
    </xf>
    <xf numFmtId="0" fontId="2" fillId="15" borderId="1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left"/>
    </xf>
    <xf numFmtId="0" fontId="2" fillId="8" borderId="1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/>
    <xf numFmtId="0" fontId="2" fillId="0" borderId="0" xfId="0" applyFont="1" applyAlignment="1">
      <alignment horizontal="left"/>
    </xf>
    <xf numFmtId="0" fontId="2" fillId="15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49" fontId="10" fillId="18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17" borderId="18" xfId="0" applyFont="1" applyFill="1" applyBorder="1" applyAlignment="1">
      <alignment horizontal="center" vertical="center" wrapText="1"/>
    </xf>
    <xf numFmtId="0" fontId="3" fillId="17" borderId="19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3" fillId="16" borderId="21" xfId="0" applyFont="1" applyFill="1" applyBorder="1" applyAlignment="1">
      <alignment horizontal="center" wrapText="1"/>
    </xf>
    <xf numFmtId="0" fontId="3" fillId="16" borderId="22" xfId="0" applyFont="1" applyFill="1" applyBorder="1" applyAlignment="1">
      <alignment horizontal="center" wrapText="1"/>
    </xf>
    <xf numFmtId="0" fontId="3" fillId="14" borderId="18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3" fillId="17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6" borderId="3" xfId="0" applyFont="1" applyFill="1" applyBorder="1" applyAlignment="1">
      <alignment horizontal="center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0" fontId="10" fillId="18" borderId="10" xfId="0" applyFont="1" applyFill="1" applyBorder="1" applyAlignment="1">
      <alignment horizontal="center" vertical="center"/>
    </xf>
    <xf numFmtId="49" fontId="10" fillId="18" borderId="10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wrapText="1"/>
    </xf>
    <xf numFmtId="49" fontId="4" fillId="19" borderId="3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0" fontId="3" fillId="20" borderId="18" xfId="0" applyFont="1" applyFill="1" applyBorder="1" applyAlignment="1">
      <alignment horizontal="center" vertical="center" wrapText="1"/>
    </xf>
    <xf numFmtId="0" fontId="3" fillId="20" borderId="19" xfId="0" applyFont="1" applyFill="1" applyBorder="1" applyAlignment="1">
      <alignment horizontal="center" vertical="center" wrapText="1"/>
    </xf>
    <xf numFmtId="49" fontId="4" fillId="20" borderId="3" xfId="0" applyNumberFormat="1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0" borderId="0" xfId="0" applyFont="1" applyFill="1" applyAlignment="1">
      <alignment horizontal="left" vertical="center" wrapText="1"/>
    </xf>
    <xf numFmtId="0" fontId="0" fillId="20" borderId="1" xfId="0" applyFill="1" applyBorder="1" applyAlignment="1">
      <alignment horizontal="left" wrapText="1"/>
    </xf>
    <xf numFmtId="0" fontId="0" fillId="20" borderId="1" xfId="0" applyFill="1" applyBorder="1"/>
    <xf numFmtId="0" fontId="2" fillId="21" borderId="1" xfId="0" applyFont="1" applyFill="1" applyBorder="1" applyAlignment="1">
      <alignment horizontal="left"/>
    </xf>
    <xf numFmtId="0" fontId="2" fillId="21" borderId="1" xfId="0" applyFont="1" applyFill="1" applyBorder="1"/>
    <xf numFmtId="0" fontId="6" fillId="17" borderId="20" xfId="0" applyFont="1" applyFill="1" applyBorder="1" applyAlignment="1">
      <alignment horizontal="left" vertical="center" wrapText="1"/>
    </xf>
    <xf numFmtId="0" fontId="6" fillId="17" borderId="11" xfId="0" applyFont="1" applyFill="1" applyBorder="1" applyAlignment="1">
      <alignment horizontal="left" vertical="center" wrapText="1"/>
    </xf>
    <xf numFmtId="0" fontId="0" fillId="0" borderId="23" xfId="0" applyBorder="1"/>
    <xf numFmtId="0" fontId="3" fillId="20" borderId="24" xfId="0" applyFont="1" applyFill="1" applyBorder="1" applyAlignment="1">
      <alignment horizontal="center" vertical="center" wrapText="1"/>
    </xf>
    <xf numFmtId="0" fontId="3" fillId="20" borderId="25" xfId="0" applyFont="1" applyFill="1" applyBorder="1" applyAlignment="1">
      <alignment horizontal="center" vertical="center" wrapText="1"/>
    </xf>
    <xf numFmtId="0" fontId="0" fillId="20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5450"/>
      <color rgb="FFFF3300"/>
      <color rgb="FFF6D1C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6"/>
  <sheetViews>
    <sheetView zoomScaleNormal="100" workbookViewId="0">
      <pane ySplit="3" topLeftCell="A4" activePane="bottomLeft" state="frozen"/>
      <selection pane="bottomLeft" activeCell="B285" sqref="B285:H285"/>
    </sheetView>
  </sheetViews>
  <sheetFormatPr defaultColWidth="9.28515625" defaultRowHeight="13.5" x14ac:dyDescent="0.25"/>
  <cols>
    <col min="1" max="1" width="11.2851562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122" t="s">
        <v>416</v>
      </c>
      <c r="B1" s="123"/>
      <c r="C1" s="123"/>
      <c r="D1" s="123"/>
      <c r="E1" s="123"/>
      <c r="F1" s="123"/>
      <c r="G1" s="123"/>
      <c r="H1" s="123"/>
      <c r="I1" s="124"/>
    </row>
    <row r="2" spans="1:10" ht="14.25" thickBot="1" x14ac:dyDescent="0.3">
      <c r="A2" s="125"/>
      <c r="B2" s="125"/>
      <c r="C2" s="125"/>
      <c r="D2" s="125"/>
      <c r="E2" s="125"/>
      <c r="F2" s="125"/>
      <c r="G2" s="125"/>
      <c r="H2" s="125"/>
      <c r="I2" s="126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hidden="1" x14ac:dyDescent="0.25">
      <c r="A4" s="30" t="s">
        <v>502</v>
      </c>
      <c r="B4" s="30" t="s">
        <v>8</v>
      </c>
      <c r="C4" s="35" t="s">
        <v>9</v>
      </c>
      <c r="D4" s="35" t="s">
        <v>10</v>
      </c>
      <c r="E4" s="35" t="s">
        <v>11</v>
      </c>
      <c r="F4" s="35" t="s">
        <v>12</v>
      </c>
      <c r="G4" s="35" t="s">
        <v>13</v>
      </c>
      <c r="H4" s="30" t="str">
        <f t="shared" ref="H4:H12" si="0">B4&amp;" "&amp;C4</f>
        <v>Advanced Signal Processing Toolkit 15.0.0</v>
      </c>
      <c r="I4" s="36" t="s">
        <v>42</v>
      </c>
      <c r="J4" s="7"/>
    </row>
    <row r="5" spans="1:10" hidden="1" x14ac:dyDescent="0.25">
      <c r="A5" s="30" t="s">
        <v>502</v>
      </c>
      <c r="B5" s="38" t="s">
        <v>15</v>
      </c>
      <c r="C5" s="35" t="s">
        <v>9</v>
      </c>
      <c r="D5" s="35" t="s">
        <v>10</v>
      </c>
      <c r="E5" s="35" t="s">
        <v>11</v>
      </c>
      <c r="F5" s="35" t="s">
        <v>12</v>
      </c>
      <c r="G5" s="35" t="s">
        <v>13</v>
      </c>
      <c r="H5" s="30" t="str">
        <f t="shared" si="0"/>
        <v>C Series Module Support 15.0.0</v>
      </c>
      <c r="I5" s="36" t="s">
        <v>42</v>
      </c>
      <c r="J5" s="7"/>
    </row>
    <row r="6" spans="1:10" hidden="1" x14ac:dyDescent="0.25">
      <c r="A6" s="30" t="s">
        <v>502</v>
      </c>
      <c r="B6" s="30" t="s">
        <v>14</v>
      </c>
      <c r="C6" s="35" t="s">
        <v>9</v>
      </c>
      <c r="D6" s="35" t="s">
        <v>10</v>
      </c>
      <c r="E6" s="35" t="s">
        <v>11</v>
      </c>
      <c r="F6" s="35" t="s">
        <v>12</v>
      </c>
      <c r="G6" s="35" t="s">
        <v>13</v>
      </c>
      <c r="H6" s="30" t="str">
        <f t="shared" si="0"/>
        <v>CompactRIO 15.0.0</v>
      </c>
      <c r="I6" s="36" t="s">
        <v>42</v>
      </c>
      <c r="J6" s="7"/>
    </row>
    <row r="7" spans="1:10" hidden="1" x14ac:dyDescent="0.25">
      <c r="A7" s="30" t="s">
        <v>502</v>
      </c>
      <c r="B7" s="30" t="s">
        <v>75</v>
      </c>
      <c r="C7" s="35" t="s">
        <v>87</v>
      </c>
      <c r="D7" s="35" t="s">
        <v>10</v>
      </c>
      <c r="E7" s="35" t="s">
        <v>11</v>
      </c>
      <c r="F7" s="35" t="s">
        <v>24</v>
      </c>
      <c r="G7" s="35" t="s">
        <v>13</v>
      </c>
      <c r="H7" s="30" t="str">
        <f t="shared" si="0"/>
        <v>CVI 15.0.0.408</v>
      </c>
      <c r="I7" s="37" t="s">
        <v>91</v>
      </c>
      <c r="J7" s="7"/>
    </row>
    <row r="8" spans="1:10" hidden="1" x14ac:dyDescent="0.25">
      <c r="A8" s="30" t="s">
        <v>502</v>
      </c>
      <c r="B8" s="30" t="s">
        <v>33</v>
      </c>
      <c r="C8" s="35" t="s">
        <v>9</v>
      </c>
      <c r="D8" s="35" t="s">
        <v>10</v>
      </c>
      <c r="E8" s="35" t="s">
        <v>11</v>
      </c>
      <c r="F8" s="35" t="s">
        <v>12</v>
      </c>
      <c r="G8" s="35" t="s">
        <v>13</v>
      </c>
      <c r="H8" s="30" t="str">
        <f t="shared" si="0"/>
        <v>Database Connectivity Toolkit 15.0.0</v>
      </c>
      <c r="I8" s="36" t="s">
        <v>42</v>
      </c>
      <c r="J8" s="7"/>
    </row>
    <row r="9" spans="1:10" hidden="1" x14ac:dyDescent="0.25">
      <c r="A9" s="30" t="s">
        <v>502</v>
      </c>
      <c r="B9" s="30" t="s">
        <v>88</v>
      </c>
      <c r="C9" s="35" t="s">
        <v>89</v>
      </c>
      <c r="D9" s="35" t="s">
        <v>10</v>
      </c>
      <c r="E9" s="35" t="s">
        <v>11</v>
      </c>
      <c r="F9" s="35" t="s">
        <v>12</v>
      </c>
      <c r="G9" s="35" t="s">
        <v>13</v>
      </c>
      <c r="H9" s="30" t="str">
        <f t="shared" si="0"/>
        <v>DataFinder Toolkit 15.0.06020</v>
      </c>
      <c r="I9" s="36" t="s">
        <v>42</v>
      </c>
      <c r="J9" s="7"/>
    </row>
    <row r="10" spans="1:10" hidden="1" x14ac:dyDescent="0.25">
      <c r="A10" s="30" t="s">
        <v>502</v>
      </c>
      <c r="B10" s="30" t="s">
        <v>34</v>
      </c>
      <c r="C10" s="35" t="s">
        <v>9</v>
      </c>
      <c r="D10" s="35" t="s">
        <v>10</v>
      </c>
      <c r="E10" s="35" t="s">
        <v>11</v>
      </c>
      <c r="F10" s="35" t="s">
        <v>12</v>
      </c>
      <c r="G10" s="35" t="s">
        <v>13</v>
      </c>
      <c r="H10" s="30" t="str">
        <f t="shared" si="0"/>
        <v>Digital Filter Design Toolkit 15.0.0</v>
      </c>
      <c r="I10" s="36" t="s">
        <v>42</v>
      </c>
      <c r="J10" s="7"/>
    </row>
    <row r="11" spans="1:10" hidden="1" x14ac:dyDescent="0.25">
      <c r="A11" s="30" t="s">
        <v>502</v>
      </c>
      <c r="B11" s="30" t="s">
        <v>58</v>
      </c>
      <c r="C11" s="35" t="s">
        <v>134</v>
      </c>
      <c r="D11" s="35" t="s">
        <v>10</v>
      </c>
      <c r="E11" s="35" t="s">
        <v>11</v>
      </c>
      <c r="F11" s="35" t="s">
        <v>12</v>
      </c>
      <c r="G11" s="35" t="s">
        <v>13</v>
      </c>
      <c r="H11" s="30" t="str">
        <f t="shared" si="0"/>
        <v xml:space="preserve">FlexRIO 15.0.0f0 </v>
      </c>
      <c r="I11" s="36" t="s">
        <v>42</v>
      </c>
      <c r="J11" s="7"/>
    </row>
    <row r="12" spans="1:10" hidden="1" x14ac:dyDescent="0.25">
      <c r="A12" s="30" t="s">
        <v>502</v>
      </c>
      <c r="B12" s="30" t="s">
        <v>31</v>
      </c>
      <c r="C12" s="35" t="s">
        <v>102</v>
      </c>
      <c r="D12" s="35" t="s">
        <v>10</v>
      </c>
      <c r="E12" s="35" t="s">
        <v>11</v>
      </c>
      <c r="F12" s="35" t="s">
        <v>12</v>
      </c>
      <c r="G12" s="35" t="s">
        <v>13</v>
      </c>
      <c r="H12" s="30" t="str">
        <f t="shared" si="0"/>
        <v>IVI Compliance Package 15.0</v>
      </c>
      <c r="I12" s="36" t="s">
        <v>42</v>
      </c>
      <c r="J12" s="7"/>
    </row>
    <row r="13" spans="1:10" hidden="1" x14ac:dyDescent="0.25">
      <c r="A13" s="30" t="s">
        <v>502</v>
      </c>
      <c r="B13" s="30" t="s">
        <v>32</v>
      </c>
      <c r="C13" s="35" t="s">
        <v>92</v>
      </c>
      <c r="D13" s="35" t="s">
        <v>10</v>
      </c>
      <c r="E13" s="35" t="s">
        <v>103</v>
      </c>
      <c r="F13" s="35" t="s">
        <v>12</v>
      </c>
      <c r="G13" s="35" t="s">
        <v>13</v>
      </c>
      <c r="H13" s="30" t="str">
        <f t="shared" ref="H13:H20" si="1">B13&amp;" "&amp;E13&amp;" "&amp;C13</f>
        <v>LabVIEW 2015 SP1 f10 15.0.1</v>
      </c>
      <c r="I13" s="40" t="s">
        <v>465</v>
      </c>
      <c r="J13" s="7"/>
    </row>
    <row r="14" spans="1:10" hidden="1" x14ac:dyDescent="0.25">
      <c r="A14" s="30" t="s">
        <v>502</v>
      </c>
      <c r="B14" s="30" t="s">
        <v>32</v>
      </c>
      <c r="C14" s="35" t="s">
        <v>92</v>
      </c>
      <c r="D14" s="35" t="s">
        <v>10</v>
      </c>
      <c r="E14" s="35" t="s">
        <v>111</v>
      </c>
      <c r="F14" s="35" t="s">
        <v>24</v>
      </c>
      <c r="G14" s="35" t="s">
        <v>13</v>
      </c>
      <c r="H14" s="30" t="str">
        <f t="shared" si="1"/>
        <v>LabVIEW 2015 SP1 15.0.1</v>
      </c>
      <c r="I14" s="37" t="s">
        <v>91</v>
      </c>
      <c r="J14" s="7"/>
    </row>
    <row r="15" spans="1:10" hidden="1" x14ac:dyDescent="0.25">
      <c r="A15" s="30" t="s">
        <v>502</v>
      </c>
      <c r="B15" s="30" t="s">
        <v>32</v>
      </c>
      <c r="C15" s="35" t="s">
        <v>105</v>
      </c>
      <c r="D15" s="35" t="s">
        <v>10</v>
      </c>
      <c r="E15" s="35" t="s">
        <v>106</v>
      </c>
      <c r="F15" s="35" t="s">
        <v>24</v>
      </c>
      <c r="G15" s="35" t="s">
        <v>13</v>
      </c>
      <c r="H15" s="30" t="str">
        <f t="shared" si="1"/>
        <v>LabVIEW 2012 SP1 f9 12.0.1</v>
      </c>
      <c r="I15" s="36" t="s">
        <v>42</v>
      </c>
      <c r="J15" s="7"/>
    </row>
    <row r="16" spans="1:10" hidden="1" x14ac:dyDescent="0.25">
      <c r="A16" s="30" t="s">
        <v>502</v>
      </c>
      <c r="B16" s="30" t="s">
        <v>32</v>
      </c>
      <c r="C16" s="35" t="s">
        <v>105</v>
      </c>
      <c r="D16" s="35" t="s">
        <v>107</v>
      </c>
      <c r="E16" s="35" t="s">
        <v>106</v>
      </c>
      <c r="F16" s="35" t="s">
        <v>24</v>
      </c>
      <c r="G16" s="35" t="s">
        <v>13</v>
      </c>
      <c r="H16" s="30" t="str">
        <f t="shared" si="1"/>
        <v>LabVIEW 2012 SP1 f9 12.0.1</v>
      </c>
      <c r="I16" s="36" t="s">
        <v>42</v>
      </c>
      <c r="J16" s="7"/>
    </row>
    <row r="17" spans="1:10" hidden="1" x14ac:dyDescent="0.25">
      <c r="A17" s="30" t="s">
        <v>502</v>
      </c>
      <c r="B17" s="30" t="s">
        <v>32</v>
      </c>
      <c r="C17" s="35" t="s">
        <v>137</v>
      </c>
      <c r="D17" s="35" t="s">
        <v>10</v>
      </c>
      <c r="E17" s="35" t="s">
        <v>108</v>
      </c>
      <c r="F17" s="35" t="s">
        <v>24</v>
      </c>
      <c r="G17" s="35" t="s">
        <v>13</v>
      </c>
      <c r="H17" s="30" t="str">
        <f t="shared" si="1"/>
        <v>LabVIEW 2013 SP1 f6 13.0.1</v>
      </c>
      <c r="I17" s="36" t="s">
        <v>42</v>
      </c>
      <c r="J17" s="7"/>
    </row>
    <row r="18" spans="1:10" hidden="1" x14ac:dyDescent="0.25">
      <c r="A18" s="30" t="s">
        <v>502</v>
      </c>
      <c r="B18" s="30" t="s">
        <v>32</v>
      </c>
      <c r="C18" s="35" t="s">
        <v>110</v>
      </c>
      <c r="D18" s="35" t="s">
        <v>10</v>
      </c>
      <c r="E18" s="35" t="s">
        <v>109</v>
      </c>
      <c r="F18" s="35" t="s">
        <v>24</v>
      </c>
      <c r="G18" s="35" t="s">
        <v>13</v>
      </c>
      <c r="H18" s="30" t="str">
        <f t="shared" si="1"/>
        <v>LabVIEW 2014 SP1 f11 14.0.1</v>
      </c>
      <c r="I18" s="40" t="s">
        <v>465</v>
      </c>
      <c r="J18" s="7"/>
    </row>
    <row r="19" spans="1:10" hidden="1" x14ac:dyDescent="0.25">
      <c r="A19" s="30" t="s">
        <v>502</v>
      </c>
      <c r="B19" s="30" t="s">
        <v>32</v>
      </c>
      <c r="C19" s="35" t="s">
        <v>110</v>
      </c>
      <c r="D19" s="35" t="s">
        <v>107</v>
      </c>
      <c r="E19" s="35" t="s">
        <v>109</v>
      </c>
      <c r="F19" s="35" t="s">
        <v>24</v>
      </c>
      <c r="G19" s="35" t="s">
        <v>13</v>
      </c>
      <c r="H19" s="30" t="str">
        <f t="shared" si="1"/>
        <v>LabVIEW 2014 SP1 f11 14.0.1</v>
      </c>
      <c r="I19" s="40" t="s">
        <v>465</v>
      </c>
      <c r="J19" s="7"/>
    </row>
    <row r="20" spans="1:10" hidden="1" x14ac:dyDescent="0.25">
      <c r="A20" s="30" t="s">
        <v>502</v>
      </c>
      <c r="B20" s="30" t="s">
        <v>32</v>
      </c>
      <c r="C20" s="35" t="s">
        <v>112</v>
      </c>
      <c r="D20" s="35" t="s">
        <v>10</v>
      </c>
      <c r="E20" s="35" t="s">
        <v>113</v>
      </c>
      <c r="F20" s="35" t="s">
        <v>24</v>
      </c>
      <c r="G20" s="35" t="s">
        <v>13</v>
      </c>
      <c r="H20" s="30" t="str">
        <f t="shared" si="1"/>
        <v>LabVIEW 2019 SP1 f3 19.0.1</v>
      </c>
      <c r="I20" s="30"/>
      <c r="J20" s="7"/>
    </row>
    <row r="21" spans="1:10" hidden="1" x14ac:dyDescent="0.25">
      <c r="A21" s="30" t="s">
        <v>502</v>
      </c>
      <c r="B21" s="30" t="s">
        <v>104</v>
      </c>
      <c r="C21" s="35" t="s">
        <v>9</v>
      </c>
      <c r="D21" s="35" t="s">
        <v>10</v>
      </c>
      <c r="E21" s="35" t="s">
        <v>11</v>
      </c>
      <c r="F21" s="35" t="s">
        <v>12</v>
      </c>
      <c r="G21" s="35" t="s">
        <v>13</v>
      </c>
      <c r="H21" s="30" t="str">
        <f t="shared" ref="H21:H52" si="2">B21&amp;" "&amp;C21</f>
        <v>MathScript RT Module 15.0.0</v>
      </c>
      <c r="I21" s="36" t="s">
        <v>42</v>
      </c>
      <c r="J21" s="7"/>
    </row>
    <row r="22" spans="1:10" hidden="1" x14ac:dyDescent="0.25">
      <c r="A22" s="30" t="s">
        <v>502</v>
      </c>
      <c r="B22" s="30" t="s">
        <v>41</v>
      </c>
      <c r="C22" s="35" t="s">
        <v>94</v>
      </c>
      <c r="D22" s="35" t="s">
        <v>10</v>
      </c>
      <c r="E22" s="35" t="s">
        <v>11</v>
      </c>
      <c r="F22" s="35" t="s">
        <v>12</v>
      </c>
      <c r="G22" s="35" t="s">
        <v>13</v>
      </c>
      <c r="H22" s="30" t="str">
        <f t="shared" si="2"/>
        <v>Measurement &amp; Automation Explorer 15.3.0f0</v>
      </c>
      <c r="I22" s="37" t="s">
        <v>91</v>
      </c>
      <c r="J22" s="7"/>
    </row>
    <row r="23" spans="1:10" hidden="1" x14ac:dyDescent="0.25">
      <c r="A23" s="30" t="s">
        <v>502</v>
      </c>
      <c r="B23" s="30" t="s">
        <v>43</v>
      </c>
      <c r="C23" s="35"/>
      <c r="D23" s="35" t="s">
        <v>10</v>
      </c>
      <c r="E23" s="35" t="s">
        <v>114</v>
      </c>
      <c r="F23" s="35" t="s">
        <v>12</v>
      </c>
      <c r="G23" s="35" t="s">
        <v>13</v>
      </c>
      <c r="H23" s="30" t="str">
        <f t="shared" si="2"/>
        <v xml:space="preserve">Measurement Studio </v>
      </c>
      <c r="I23" s="36" t="s">
        <v>42</v>
      </c>
      <c r="J23" s="7"/>
    </row>
    <row r="24" spans="1:10" hidden="1" x14ac:dyDescent="0.25">
      <c r="A24" s="30" t="s">
        <v>502</v>
      </c>
      <c r="B24" s="30" t="s">
        <v>116</v>
      </c>
      <c r="C24" s="35" t="s">
        <v>45</v>
      </c>
      <c r="D24" s="35" t="s">
        <v>10</v>
      </c>
      <c r="E24" s="35" t="s">
        <v>11</v>
      </c>
      <c r="F24" s="35" t="s">
        <v>12</v>
      </c>
      <c r="G24" s="35" t="s">
        <v>13</v>
      </c>
      <c r="H24" s="30" t="str">
        <f t="shared" si="2"/>
        <v>Measurement Studio Common 15.0.40.49154</v>
      </c>
      <c r="I24" s="36" t="s">
        <v>42</v>
      </c>
      <c r="J24" s="7"/>
    </row>
    <row r="25" spans="1:10" hidden="1" x14ac:dyDescent="0.25">
      <c r="A25" s="30" t="s">
        <v>502</v>
      </c>
      <c r="B25" s="30" t="s">
        <v>116</v>
      </c>
      <c r="C25" s="35" t="s">
        <v>45</v>
      </c>
      <c r="D25" s="35" t="s">
        <v>107</v>
      </c>
      <c r="E25" s="35" t="s">
        <v>11</v>
      </c>
      <c r="F25" s="35" t="s">
        <v>12</v>
      </c>
      <c r="G25" s="35" t="s">
        <v>13</v>
      </c>
      <c r="H25" s="30" t="str">
        <f t="shared" si="2"/>
        <v>Measurement Studio Common 15.0.40.49154</v>
      </c>
      <c r="I25" s="36" t="s">
        <v>42</v>
      </c>
      <c r="J25" s="7"/>
    </row>
    <row r="26" spans="1:10" hidden="1" x14ac:dyDescent="0.25">
      <c r="A26" s="30" t="s">
        <v>502</v>
      </c>
      <c r="B26" s="30" t="s">
        <v>115</v>
      </c>
      <c r="C26" s="35"/>
      <c r="D26" s="35" t="s">
        <v>10</v>
      </c>
      <c r="E26" s="35" t="s">
        <v>114</v>
      </c>
      <c r="F26" s="35" t="s">
        <v>12</v>
      </c>
      <c r="G26" s="35" t="s">
        <v>13</v>
      </c>
      <c r="H26" s="30" t="str">
        <f t="shared" si="2"/>
        <v xml:space="preserve">Measurement Studio DotNET </v>
      </c>
      <c r="I26" s="36" t="s">
        <v>42</v>
      </c>
      <c r="J26" s="7"/>
    </row>
    <row r="27" spans="1:10" hidden="1" x14ac:dyDescent="0.25">
      <c r="A27" s="30" t="s">
        <v>502</v>
      </c>
      <c r="B27" s="30" t="s">
        <v>60</v>
      </c>
      <c r="C27" s="35" t="s">
        <v>30</v>
      </c>
      <c r="D27" s="35" t="s">
        <v>10</v>
      </c>
      <c r="E27" s="35" t="s">
        <v>11</v>
      </c>
      <c r="F27" s="35" t="s">
        <v>12</v>
      </c>
      <c r="G27" s="35" t="s">
        <v>13</v>
      </c>
      <c r="H27" s="30" t="str">
        <f t="shared" si="2"/>
        <v>NI 1588-2008 Network Management 15.0.0f0</v>
      </c>
      <c r="I27" s="36" t="s">
        <v>42</v>
      </c>
      <c r="J27" s="7"/>
    </row>
    <row r="28" spans="1:10" hidden="1" x14ac:dyDescent="0.25">
      <c r="A28" s="30" t="s">
        <v>502</v>
      </c>
      <c r="B28" s="30" t="s">
        <v>29</v>
      </c>
      <c r="C28" s="35" t="s">
        <v>30</v>
      </c>
      <c r="D28" s="35" t="s">
        <v>10</v>
      </c>
      <c r="E28" s="35" t="s">
        <v>11</v>
      </c>
      <c r="F28" s="35" t="s">
        <v>12</v>
      </c>
      <c r="G28" s="35" t="s">
        <v>13</v>
      </c>
      <c r="H28" s="30" t="str">
        <f t="shared" si="2"/>
        <v>NI I/O Trace 15.0.0f0</v>
      </c>
      <c r="I28" s="36" t="s">
        <v>42</v>
      </c>
      <c r="J28" s="7"/>
    </row>
    <row r="29" spans="1:10" hidden="1" x14ac:dyDescent="0.25">
      <c r="A29" s="30" t="s">
        <v>502</v>
      </c>
      <c r="B29" s="30" t="s">
        <v>52</v>
      </c>
      <c r="C29" s="35" t="s">
        <v>53</v>
      </c>
      <c r="D29" s="35" t="s">
        <v>10</v>
      </c>
      <c r="E29" s="35" t="s">
        <v>11</v>
      </c>
      <c r="F29" s="35" t="s">
        <v>12</v>
      </c>
      <c r="G29" s="35" t="s">
        <v>13</v>
      </c>
      <c r="H29" s="30" t="str">
        <f t="shared" si="2"/>
        <v>NI PXI Platform Services Configuration 15.0.0f1</v>
      </c>
      <c r="I29" s="36" t="s">
        <v>42</v>
      </c>
      <c r="J29" s="7"/>
    </row>
    <row r="30" spans="1:10" hidden="1" x14ac:dyDescent="0.25">
      <c r="A30" s="30" t="s">
        <v>502</v>
      </c>
      <c r="B30" s="30" t="s">
        <v>52</v>
      </c>
      <c r="C30" s="35" t="s">
        <v>117</v>
      </c>
      <c r="D30" s="35" t="s">
        <v>10</v>
      </c>
      <c r="E30" s="35" t="s">
        <v>119</v>
      </c>
      <c r="F30" s="35" t="s">
        <v>12</v>
      </c>
      <c r="G30" s="35" t="s">
        <v>13</v>
      </c>
      <c r="H30" s="30" t="str">
        <f t="shared" si="2"/>
        <v>NI PXI Platform Services Configuration 19.5.0f0</v>
      </c>
      <c r="I30" s="30"/>
      <c r="J30" s="7"/>
    </row>
    <row r="31" spans="1:10" hidden="1" x14ac:dyDescent="0.25">
      <c r="A31" s="30" t="s">
        <v>502</v>
      </c>
      <c r="B31" s="30" t="s">
        <v>55</v>
      </c>
      <c r="C31" s="35" t="s">
        <v>9</v>
      </c>
      <c r="D31" s="35" t="s">
        <v>10</v>
      </c>
      <c r="E31" s="35" t="s">
        <v>11</v>
      </c>
      <c r="F31" s="35" t="s">
        <v>12</v>
      </c>
      <c r="G31" s="35" t="s">
        <v>13</v>
      </c>
      <c r="H31" s="30" t="str">
        <f t="shared" si="2"/>
        <v>NI R Series Multifunction RIO 15.0.0</v>
      </c>
      <c r="I31" s="36" t="s">
        <v>42</v>
      </c>
      <c r="J31" s="7"/>
    </row>
    <row r="32" spans="1:10" hidden="1" x14ac:dyDescent="0.25">
      <c r="A32" s="30" t="s">
        <v>502</v>
      </c>
      <c r="B32" s="30" t="s">
        <v>20</v>
      </c>
      <c r="C32" s="35" t="s">
        <v>118</v>
      </c>
      <c r="D32" s="35" t="s">
        <v>10</v>
      </c>
      <c r="E32" s="35" t="s">
        <v>93</v>
      </c>
      <c r="F32" s="35" t="s">
        <v>12</v>
      </c>
      <c r="G32" s="35" t="s">
        <v>13</v>
      </c>
      <c r="H32" s="30" t="str">
        <f t="shared" si="2"/>
        <v>NI Script Editor 14.0</v>
      </c>
      <c r="I32" s="36" t="s">
        <v>42</v>
      </c>
      <c r="J32" s="7"/>
    </row>
    <row r="33" spans="1:10" hidden="1" x14ac:dyDescent="0.25">
      <c r="A33" s="30" t="s">
        <v>502</v>
      </c>
      <c r="B33" s="30" t="s">
        <v>65</v>
      </c>
      <c r="C33" s="35"/>
      <c r="D33" s="35" t="s">
        <v>10</v>
      </c>
      <c r="E33" s="35" t="s">
        <v>11</v>
      </c>
      <c r="F33" s="35" t="s">
        <v>12</v>
      </c>
      <c r="G33" s="35" t="s">
        <v>13</v>
      </c>
      <c r="H33" s="30" t="str">
        <f t="shared" si="2"/>
        <v xml:space="preserve">NI SignalExpress </v>
      </c>
      <c r="I33" s="36" t="s">
        <v>42</v>
      </c>
      <c r="J33" s="7"/>
    </row>
    <row r="34" spans="1:10" hidden="1" x14ac:dyDescent="0.25">
      <c r="A34" s="30" t="s">
        <v>502</v>
      </c>
      <c r="B34" s="30" t="s">
        <v>68</v>
      </c>
      <c r="C34" s="35" t="s">
        <v>117</v>
      </c>
      <c r="D34" s="35" t="s">
        <v>10</v>
      </c>
      <c r="E34" s="35" t="s">
        <v>119</v>
      </c>
      <c r="F34" s="35" t="s">
        <v>12</v>
      </c>
      <c r="G34" s="35" t="s">
        <v>13</v>
      </c>
      <c r="H34" s="30" t="str">
        <f t="shared" si="2"/>
        <v>NI System Configuration 19.5.0f0</v>
      </c>
      <c r="I34" s="30"/>
      <c r="J34" s="7"/>
    </row>
    <row r="35" spans="1:10" hidden="1" x14ac:dyDescent="0.25">
      <c r="A35" s="30" t="s">
        <v>502</v>
      </c>
      <c r="B35" s="30" t="s">
        <v>28</v>
      </c>
      <c r="C35" s="35" t="s">
        <v>9</v>
      </c>
      <c r="D35" s="35" t="s">
        <v>10</v>
      </c>
      <c r="E35" s="35" t="s">
        <v>11</v>
      </c>
      <c r="F35" s="35" t="s">
        <v>12</v>
      </c>
      <c r="G35" s="35" t="s">
        <v>13</v>
      </c>
      <c r="H35" s="30" t="str">
        <f t="shared" si="2"/>
        <v>NI-488.2 15.0.0</v>
      </c>
      <c r="I35" s="36" t="s">
        <v>42</v>
      </c>
      <c r="J35" s="7"/>
    </row>
    <row r="36" spans="1:10" hidden="1" x14ac:dyDescent="0.25">
      <c r="A36" s="30" t="s">
        <v>502</v>
      </c>
      <c r="B36" s="30" t="s">
        <v>28</v>
      </c>
      <c r="C36" s="35" t="s">
        <v>141</v>
      </c>
      <c r="D36" s="35" t="s">
        <v>10</v>
      </c>
      <c r="E36" s="35" t="s">
        <v>119</v>
      </c>
      <c r="F36" s="35" t="s">
        <v>24</v>
      </c>
      <c r="G36" s="35" t="s">
        <v>13</v>
      </c>
      <c r="H36" s="30" t="str">
        <f t="shared" si="2"/>
        <v>NI-488.2 19.5.0</v>
      </c>
      <c r="I36" s="30"/>
      <c r="J36" s="7"/>
    </row>
    <row r="37" spans="1:10" hidden="1" x14ac:dyDescent="0.25">
      <c r="A37" s="30" t="s">
        <v>502</v>
      </c>
      <c r="B37" s="30" t="s">
        <v>18</v>
      </c>
      <c r="C37" s="35" t="s">
        <v>9</v>
      </c>
      <c r="D37" s="35" t="s">
        <v>10</v>
      </c>
      <c r="E37" s="35" t="s">
        <v>11</v>
      </c>
      <c r="F37" s="35" t="s">
        <v>12</v>
      </c>
      <c r="G37" s="35" t="s">
        <v>13</v>
      </c>
      <c r="H37" s="30" t="str">
        <f t="shared" si="2"/>
        <v>NI-DAQmx ADE Support 15.0.0</v>
      </c>
      <c r="I37" s="36" t="s">
        <v>42</v>
      </c>
      <c r="J37" s="7"/>
    </row>
    <row r="38" spans="1:10" hidden="1" x14ac:dyDescent="0.25">
      <c r="A38" s="30" t="s">
        <v>502</v>
      </c>
      <c r="B38" s="30" t="s">
        <v>16</v>
      </c>
      <c r="C38" s="35" t="s">
        <v>17</v>
      </c>
      <c r="D38" s="35" t="s">
        <v>10</v>
      </c>
      <c r="E38" s="35" t="s">
        <v>11</v>
      </c>
      <c r="F38" s="35" t="s">
        <v>12</v>
      </c>
      <c r="G38" s="35" t="s">
        <v>13</v>
      </c>
      <c r="H38" s="30" t="str">
        <f t="shared" si="2"/>
        <v>NI-DAQmx Device Driver 15.0.0f2</v>
      </c>
      <c r="I38" s="36" t="s">
        <v>42</v>
      </c>
      <c r="J38" s="7"/>
    </row>
    <row r="39" spans="1:10" hidden="1" x14ac:dyDescent="0.25">
      <c r="A39" s="30" t="s">
        <v>502</v>
      </c>
      <c r="B39" s="30" t="s">
        <v>19</v>
      </c>
      <c r="C39" s="35" t="s">
        <v>9</v>
      </c>
      <c r="D39" s="35" t="s">
        <v>10</v>
      </c>
      <c r="E39" s="35" t="s">
        <v>11</v>
      </c>
      <c r="F39" s="35" t="s">
        <v>12</v>
      </c>
      <c r="G39" s="35" t="s">
        <v>13</v>
      </c>
      <c r="H39" s="30" t="str">
        <f t="shared" si="2"/>
        <v>NI-DAQmx MAX Configuration 15.0.0</v>
      </c>
      <c r="I39" s="36" t="s">
        <v>42</v>
      </c>
      <c r="J39" s="7"/>
    </row>
    <row r="40" spans="1:10" hidden="1" x14ac:dyDescent="0.25">
      <c r="A40" s="30" t="s">
        <v>502</v>
      </c>
      <c r="B40" s="30" t="s">
        <v>48</v>
      </c>
      <c r="C40" s="35" t="s">
        <v>102</v>
      </c>
      <c r="D40" s="35" t="s">
        <v>10</v>
      </c>
      <c r="E40" s="35" t="s">
        <v>11</v>
      </c>
      <c r="F40" s="35" t="s">
        <v>12</v>
      </c>
      <c r="G40" s="35" t="s">
        <v>13</v>
      </c>
      <c r="H40" s="30" t="str">
        <f t="shared" si="2"/>
        <v>NI-DCPower 15.0</v>
      </c>
      <c r="I40" s="36" t="s">
        <v>42</v>
      </c>
      <c r="J40" s="7"/>
    </row>
    <row r="41" spans="1:10" hidden="1" x14ac:dyDescent="0.25">
      <c r="A41" s="30" t="s">
        <v>502</v>
      </c>
      <c r="B41" s="30" t="s">
        <v>48</v>
      </c>
      <c r="C41" s="35" t="s">
        <v>102</v>
      </c>
      <c r="D41" s="35" t="s">
        <v>10</v>
      </c>
      <c r="E41" s="35" t="s">
        <v>11</v>
      </c>
      <c r="F41" s="35" t="s">
        <v>24</v>
      </c>
      <c r="G41" s="35" t="s">
        <v>13</v>
      </c>
      <c r="H41" s="30" t="str">
        <f t="shared" si="2"/>
        <v>NI-DCPower 15.0</v>
      </c>
      <c r="I41" s="36" t="s">
        <v>42</v>
      </c>
      <c r="J41" s="7"/>
    </row>
    <row r="42" spans="1:10" hidden="1" x14ac:dyDescent="0.25">
      <c r="A42" s="30" t="s">
        <v>502</v>
      </c>
      <c r="B42" s="30" t="s">
        <v>121</v>
      </c>
      <c r="C42" s="35" t="s">
        <v>102</v>
      </c>
      <c r="D42" s="35" t="s">
        <v>10</v>
      </c>
      <c r="E42" s="35" t="s">
        <v>11</v>
      </c>
      <c r="F42" s="35" t="s">
        <v>12</v>
      </c>
      <c r="G42" s="35" t="s">
        <v>13</v>
      </c>
      <c r="H42" s="30" t="str">
        <f t="shared" si="2"/>
        <v>NI-DCPower Configuration Support 15.0</v>
      </c>
      <c r="I42" s="36" t="s">
        <v>42</v>
      </c>
      <c r="J42" s="7"/>
    </row>
    <row r="43" spans="1:10" hidden="1" x14ac:dyDescent="0.25">
      <c r="A43" s="30" t="s">
        <v>502</v>
      </c>
      <c r="B43" s="30" t="s">
        <v>122</v>
      </c>
      <c r="C43" s="35" t="s">
        <v>102</v>
      </c>
      <c r="D43" s="35" t="s">
        <v>10</v>
      </c>
      <c r="E43" s="35" t="s">
        <v>11</v>
      </c>
      <c r="F43" s="35" t="s">
        <v>12</v>
      </c>
      <c r="G43" s="35" t="s">
        <v>13</v>
      </c>
      <c r="H43" s="30" t="str">
        <f t="shared" si="2"/>
        <v>NI-DCPower Development Support 15.0</v>
      </c>
      <c r="I43" s="36" t="s">
        <v>42</v>
      </c>
      <c r="J43" s="7"/>
    </row>
    <row r="44" spans="1:10" hidden="1" x14ac:dyDescent="0.25">
      <c r="A44" s="30" t="s">
        <v>502</v>
      </c>
      <c r="B44" s="30" t="s">
        <v>49</v>
      </c>
      <c r="C44" s="35" t="s">
        <v>102</v>
      </c>
      <c r="D44" s="35" t="s">
        <v>10</v>
      </c>
      <c r="E44" s="35" t="s">
        <v>11</v>
      </c>
      <c r="F44" s="35" t="s">
        <v>12</v>
      </c>
      <c r="G44" s="35" t="s">
        <v>13</v>
      </c>
      <c r="H44" s="30" t="str">
        <f t="shared" si="2"/>
        <v>NI-DCPower Soft Front Panel 15.0</v>
      </c>
      <c r="I44" s="36" t="s">
        <v>42</v>
      </c>
      <c r="J44" s="7"/>
    </row>
    <row r="45" spans="1:10" hidden="1" x14ac:dyDescent="0.25">
      <c r="A45" s="30" t="s">
        <v>502</v>
      </c>
      <c r="B45" s="38" t="s">
        <v>21</v>
      </c>
      <c r="C45" s="35" t="s">
        <v>102</v>
      </c>
      <c r="D45" s="35" t="s">
        <v>10</v>
      </c>
      <c r="E45" s="35" t="s">
        <v>11</v>
      </c>
      <c r="F45" s="35" t="s">
        <v>12</v>
      </c>
      <c r="G45" s="35" t="s">
        <v>13</v>
      </c>
      <c r="H45" s="30" t="str">
        <f t="shared" si="2"/>
        <v>NI-DMM 15.0</v>
      </c>
      <c r="I45" s="36" t="s">
        <v>42</v>
      </c>
      <c r="J45" s="7"/>
    </row>
    <row r="46" spans="1:10" hidden="1" x14ac:dyDescent="0.25">
      <c r="A46" s="30" t="s">
        <v>502</v>
      </c>
      <c r="B46" s="35" t="s">
        <v>21</v>
      </c>
      <c r="C46" s="35" t="s">
        <v>102</v>
      </c>
      <c r="D46" s="35" t="s">
        <v>10</v>
      </c>
      <c r="E46" s="35" t="s">
        <v>11</v>
      </c>
      <c r="F46" s="35" t="s">
        <v>24</v>
      </c>
      <c r="G46" s="35" t="s">
        <v>13</v>
      </c>
      <c r="H46" s="30" t="str">
        <f t="shared" si="2"/>
        <v>NI-DMM 15.0</v>
      </c>
      <c r="I46" s="36" t="s">
        <v>42</v>
      </c>
      <c r="J46" s="7"/>
    </row>
    <row r="47" spans="1:10" hidden="1" x14ac:dyDescent="0.25">
      <c r="A47" s="30" t="s">
        <v>502</v>
      </c>
      <c r="B47" s="30" t="s">
        <v>123</v>
      </c>
      <c r="C47" s="35" t="s">
        <v>102</v>
      </c>
      <c r="D47" s="35" t="s">
        <v>10</v>
      </c>
      <c r="E47" s="35" t="s">
        <v>11</v>
      </c>
      <c r="F47" s="35" t="s">
        <v>12</v>
      </c>
      <c r="G47" s="35" t="s">
        <v>13</v>
      </c>
      <c r="H47" s="30" t="str">
        <f t="shared" si="2"/>
        <v>NI-DMM Configuration Support 15.0</v>
      </c>
      <c r="I47" s="36" t="s">
        <v>42</v>
      </c>
      <c r="J47" s="7"/>
    </row>
    <row r="48" spans="1:10" hidden="1" x14ac:dyDescent="0.25">
      <c r="A48" s="30" t="s">
        <v>502</v>
      </c>
      <c r="B48" s="30" t="s">
        <v>124</v>
      </c>
      <c r="C48" s="35" t="s">
        <v>102</v>
      </c>
      <c r="D48" s="35" t="s">
        <v>10</v>
      </c>
      <c r="E48" s="35" t="s">
        <v>11</v>
      </c>
      <c r="F48" s="35" t="s">
        <v>12</v>
      </c>
      <c r="G48" s="35" t="s">
        <v>13</v>
      </c>
      <c r="H48" s="30" t="str">
        <f t="shared" si="2"/>
        <v>NI-DMM Development Support 15.0</v>
      </c>
      <c r="I48" s="36" t="s">
        <v>42</v>
      </c>
      <c r="J48" s="7"/>
    </row>
    <row r="49" spans="1:10" hidden="1" x14ac:dyDescent="0.25">
      <c r="A49" s="30" t="s">
        <v>502</v>
      </c>
      <c r="B49" s="30" t="s">
        <v>399</v>
      </c>
      <c r="C49" s="35" t="s">
        <v>102</v>
      </c>
      <c r="D49" s="35" t="s">
        <v>10</v>
      </c>
      <c r="E49" s="35" t="s">
        <v>11</v>
      </c>
      <c r="F49" s="35" t="s">
        <v>12</v>
      </c>
      <c r="G49" s="35" t="s">
        <v>13</v>
      </c>
      <c r="H49" s="30" t="str">
        <f t="shared" si="2"/>
        <v>NI-DMM Soft Front Panel 15.0</v>
      </c>
      <c r="I49" s="36" t="s">
        <v>42</v>
      </c>
      <c r="J49" s="7"/>
    </row>
    <row r="50" spans="1:10" hidden="1" x14ac:dyDescent="0.25">
      <c r="A50" s="30" t="s">
        <v>502</v>
      </c>
      <c r="B50" s="30" t="s">
        <v>26</v>
      </c>
      <c r="C50" s="35" t="s">
        <v>102</v>
      </c>
      <c r="D50" s="35" t="s">
        <v>10</v>
      </c>
      <c r="E50" s="35" t="s">
        <v>11</v>
      </c>
      <c r="F50" s="35" t="s">
        <v>12</v>
      </c>
      <c r="G50" s="35" t="s">
        <v>13</v>
      </c>
      <c r="H50" s="30" t="str">
        <f t="shared" si="2"/>
        <v>NI-FGEN 15.0</v>
      </c>
      <c r="I50" s="36" t="s">
        <v>42</v>
      </c>
      <c r="J50" s="7"/>
    </row>
    <row r="51" spans="1:10" hidden="1" x14ac:dyDescent="0.25">
      <c r="A51" s="30" t="s">
        <v>502</v>
      </c>
      <c r="B51" s="30" t="s">
        <v>26</v>
      </c>
      <c r="C51" s="35" t="s">
        <v>102</v>
      </c>
      <c r="D51" s="35" t="s">
        <v>10</v>
      </c>
      <c r="E51" s="35" t="s">
        <v>11</v>
      </c>
      <c r="F51" s="35" t="s">
        <v>24</v>
      </c>
      <c r="G51" s="35" t="s">
        <v>13</v>
      </c>
      <c r="H51" s="30" t="str">
        <f t="shared" si="2"/>
        <v>NI-FGEN 15.0</v>
      </c>
      <c r="I51" s="36" t="s">
        <v>42</v>
      </c>
      <c r="J51" s="7"/>
    </row>
    <row r="52" spans="1:10" hidden="1" x14ac:dyDescent="0.25">
      <c r="A52" s="30" t="s">
        <v>502</v>
      </c>
      <c r="B52" s="30" t="s">
        <v>125</v>
      </c>
      <c r="C52" s="35" t="s">
        <v>102</v>
      </c>
      <c r="D52" s="35" t="s">
        <v>10</v>
      </c>
      <c r="E52" s="35" t="s">
        <v>11</v>
      </c>
      <c r="F52" s="35" t="s">
        <v>12</v>
      </c>
      <c r="G52" s="35" t="s">
        <v>13</v>
      </c>
      <c r="H52" s="30" t="str">
        <f t="shared" si="2"/>
        <v>NI-FGEN Configuration Support 15.0</v>
      </c>
      <c r="I52" s="36" t="s">
        <v>42</v>
      </c>
      <c r="J52" s="7"/>
    </row>
    <row r="53" spans="1:10" hidden="1" x14ac:dyDescent="0.25">
      <c r="A53" s="30" t="s">
        <v>502</v>
      </c>
      <c r="B53" s="30" t="s">
        <v>126</v>
      </c>
      <c r="C53" s="35" t="s">
        <v>102</v>
      </c>
      <c r="D53" s="35" t="s">
        <v>10</v>
      </c>
      <c r="E53" s="35" t="s">
        <v>11</v>
      </c>
      <c r="F53" s="35" t="s">
        <v>12</v>
      </c>
      <c r="G53" s="35" t="s">
        <v>13</v>
      </c>
      <c r="H53" s="30" t="str">
        <f t="shared" ref="H53:H84" si="3">B53&amp;" "&amp;C53</f>
        <v>NI-FGEN Development Support 15.0</v>
      </c>
      <c r="I53" s="36" t="s">
        <v>42</v>
      </c>
      <c r="J53" s="7"/>
    </row>
    <row r="54" spans="1:10" hidden="1" x14ac:dyDescent="0.25">
      <c r="A54" s="30" t="s">
        <v>502</v>
      </c>
      <c r="B54" s="30" t="s">
        <v>401</v>
      </c>
      <c r="C54" s="35" t="s">
        <v>102</v>
      </c>
      <c r="D54" s="35" t="s">
        <v>10</v>
      </c>
      <c r="E54" s="35" t="s">
        <v>11</v>
      </c>
      <c r="F54" s="35" t="s">
        <v>12</v>
      </c>
      <c r="G54" s="35" t="s">
        <v>13</v>
      </c>
      <c r="H54" s="30" t="str">
        <f t="shared" si="3"/>
        <v>NI-FGEN Soft Front Panel 15.0</v>
      </c>
      <c r="I54" s="36" t="s">
        <v>42</v>
      </c>
      <c r="J54" s="7"/>
    </row>
    <row r="55" spans="1:10" hidden="1" x14ac:dyDescent="0.25">
      <c r="A55" s="30" t="s">
        <v>502</v>
      </c>
      <c r="B55" s="30" t="s">
        <v>59</v>
      </c>
      <c r="C55" s="35" t="s">
        <v>135</v>
      </c>
      <c r="D55" s="35" t="s">
        <v>10</v>
      </c>
      <c r="E55" s="35" t="s">
        <v>119</v>
      </c>
      <c r="F55" s="35" t="s">
        <v>12</v>
      </c>
      <c r="G55" s="35" t="s">
        <v>13</v>
      </c>
      <c r="H55" s="30" t="str">
        <f t="shared" si="3"/>
        <v>NI-PAL Software 19.0.0</v>
      </c>
      <c r="I55" s="39" t="s">
        <v>424</v>
      </c>
      <c r="J55" s="7"/>
    </row>
    <row r="56" spans="1:10" hidden="1" x14ac:dyDescent="0.25">
      <c r="A56" s="30" t="s">
        <v>502</v>
      </c>
      <c r="B56" s="38" t="s">
        <v>54</v>
      </c>
      <c r="C56" s="35" t="s">
        <v>9</v>
      </c>
      <c r="D56" s="35" t="s">
        <v>10</v>
      </c>
      <c r="E56" s="35" t="s">
        <v>11</v>
      </c>
      <c r="F56" s="35" t="s">
        <v>12</v>
      </c>
      <c r="G56" s="35" t="s">
        <v>13</v>
      </c>
      <c r="H56" s="30" t="str">
        <f t="shared" si="3"/>
        <v>NI-RIO 15.0.0</v>
      </c>
      <c r="I56" s="36" t="s">
        <v>42</v>
      </c>
      <c r="J56" s="7"/>
    </row>
    <row r="57" spans="1:10" hidden="1" x14ac:dyDescent="0.25">
      <c r="A57" s="30" t="s">
        <v>502</v>
      </c>
      <c r="B57" s="30" t="s">
        <v>61</v>
      </c>
      <c r="C57" s="35" t="s">
        <v>102</v>
      </c>
      <c r="D57" s="35" t="s">
        <v>10</v>
      </c>
      <c r="E57" s="35" t="s">
        <v>11</v>
      </c>
      <c r="F57" s="35" t="s">
        <v>12</v>
      </c>
      <c r="G57" s="35" t="s">
        <v>13</v>
      </c>
      <c r="H57" s="30" t="str">
        <f t="shared" si="3"/>
        <v>NI-SCOPE 15.0</v>
      </c>
      <c r="I57" s="36" t="s">
        <v>42</v>
      </c>
      <c r="J57" s="7"/>
    </row>
    <row r="58" spans="1:10" hidden="1" x14ac:dyDescent="0.25">
      <c r="A58" s="30" t="s">
        <v>502</v>
      </c>
      <c r="B58" s="30" t="s">
        <v>61</v>
      </c>
      <c r="C58" s="35" t="s">
        <v>102</v>
      </c>
      <c r="D58" s="35" t="s">
        <v>10</v>
      </c>
      <c r="E58" s="35" t="s">
        <v>11</v>
      </c>
      <c r="F58" s="35" t="s">
        <v>24</v>
      </c>
      <c r="G58" s="35" t="s">
        <v>13</v>
      </c>
      <c r="H58" s="30" t="str">
        <f t="shared" si="3"/>
        <v>NI-SCOPE 15.0</v>
      </c>
      <c r="I58" s="36" t="s">
        <v>42</v>
      </c>
      <c r="J58" s="7"/>
    </row>
    <row r="59" spans="1:10" hidden="1" x14ac:dyDescent="0.25">
      <c r="A59" s="30" t="s">
        <v>502</v>
      </c>
      <c r="B59" s="30" t="s">
        <v>127</v>
      </c>
      <c r="C59" s="35" t="s">
        <v>102</v>
      </c>
      <c r="D59" s="35" t="s">
        <v>10</v>
      </c>
      <c r="E59" s="35" t="s">
        <v>11</v>
      </c>
      <c r="F59" s="35" t="s">
        <v>12</v>
      </c>
      <c r="G59" s="35" t="s">
        <v>13</v>
      </c>
      <c r="H59" s="30" t="str">
        <f t="shared" si="3"/>
        <v>NI-SCOPE Configuration Support  15.0</v>
      </c>
      <c r="I59" s="36" t="s">
        <v>42</v>
      </c>
      <c r="J59" s="7"/>
    </row>
    <row r="60" spans="1:10" hidden="1" x14ac:dyDescent="0.25">
      <c r="A60" s="30" t="s">
        <v>502</v>
      </c>
      <c r="B60" s="30" t="s">
        <v>128</v>
      </c>
      <c r="C60" s="35" t="s">
        <v>102</v>
      </c>
      <c r="D60" s="35" t="s">
        <v>10</v>
      </c>
      <c r="E60" s="35" t="s">
        <v>11</v>
      </c>
      <c r="F60" s="35" t="s">
        <v>12</v>
      </c>
      <c r="G60" s="35" t="s">
        <v>13</v>
      </c>
      <c r="H60" s="30" t="str">
        <f t="shared" si="3"/>
        <v>NI-SCOPE Development Support 15.0</v>
      </c>
      <c r="I60" s="36" t="s">
        <v>42</v>
      </c>
      <c r="J60" s="7"/>
    </row>
    <row r="61" spans="1:10" hidden="1" x14ac:dyDescent="0.25">
      <c r="A61" s="30" t="s">
        <v>502</v>
      </c>
      <c r="B61" s="30" t="s">
        <v>400</v>
      </c>
      <c r="C61" s="35" t="s">
        <v>102</v>
      </c>
      <c r="D61" s="35" t="s">
        <v>10</v>
      </c>
      <c r="E61" s="35" t="s">
        <v>11</v>
      </c>
      <c r="F61" s="35" t="s">
        <v>12</v>
      </c>
      <c r="G61" s="35" t="s">
        <v>13</v>
      </c>
      <c r="H61" s="30" t="str">
        <f t="shared" si="3"/>
        <v>NI-SCOPE Soft Front Panel 15.0</v>
      </c>
      <c r="I61" s="36" t="s">
        <v>42</v>
      </c>
      <c r="J61" s="7"/>
    </row>
    <row r="62" spans="1:10" hidden="1" x14ac:dyDescent="0.25">
      <c r="A62" s="30" t="s">
        <v>502</v>
      </c>
      <c r="B62" s="30" t="s">
        <v>129</v>
      </c>
      <c r="C62" s="35" t="s">
        <v>146</v>
      </c>
      <c r="D62" s="35" t="s">
        <v>10</v>
      </c>
      <c r="E62" s="35" t="s">
        <v>130</v>
      </c>
      <c r="F62" s="35" t="s">
        <v>24</v>
      </c>
      <c r="G62" s="35" t="s">
        <v>13</v>
      </c>
      <c r="H62" s="30" t="str">
        <f t="shared" si="3"/>
        <v>NI-Serial 18.5.0f0</v>
      </c>
      <c r="I62" s="30"/>
      <c r="J62" s="7"/>
    </row>
    <row r="63" spans="1:10" hidden="1" x14ac:dyDescent="0.25">
      <c r="A63" s="30" t="s">
        <v>502</v>
      </c>
      <c r="B63" s="30" t="s">
        <v>64</v>
      </c>
      <c r="C63" s="35" t="s">
        <v>30</v>
      </c>
      <c r="D63" s="35" t="s">
        <v>10</v>
      </c>
      <c r="E63" s="35" t="s">
        <v>11</v>
      </c>
      <c r="F63" s="35" t="s">
        <v>12</v>
      </c>
      <c r="G63" s="35" t="s">
        <v>13</v>
      </c>
      <c r="H63" s="30" t="str">
        <f t="shared" si="3"/>
        <v>NI-Serial Configuration 15.0.0f0</v>
      </c>
      <c r="I63" s="36" t="s">
        <v>42</v>
      </c>
      <c r="J63" s="7"/>
    </row>
    <row r="64" spans="1:10" hidden="1" x14ac:dyDescent="0.25">
      <c r="A64" s="30" t="s">
        <v>502</v>
      </c>
      <c r="B64" s="30" t="s">
        <v>66</v>
      </c>
      <c r="C64" s="35" t="s">
        <v>102</v>
      </c>
      <c r="D64" s="35" t="s">
        <v>10</v>
      </c>
      <c r="E64" s="35" t="s">
        <v>11</v>
      </c>
      <c r="F64" s="35" t="s">
        <v>12</v>
      </c>
      <c r="G64" s="35" t="s">
        <v>13</v>
      </c>
      <c r="H64" s="30" t="str">
        <f t="shared" si="3"/>
        <v>NI-SWITCH 15.0</v>
      </c>
      <c r="I64" s="36" t="s">
        <v>42</v>
      </c>
      <c r="J64" s="7"/>
    </row>
    <row r="65" spans="1:10" hidden="1" x14ac:dyDescent="0.25">
      <c r="A65" s="30" t="s">
        <v>502</v>
      </c>
      <c r="B65" s="30" t="s">
        <v>131</v>
      </c>
      <c r="C65" s="35" t="s">
        <v>102</v>
      </c>
      <c r="D65" s="35" t="s">
        <v>10</v>
      </c>
      <c r="E65" s="35" t="s">
        <v>11</v>
      </c>
      <c r="F65" s="35" t="s">
        <v>12</v>
      </c>
      <c r="G65" s="35" t="s">
        <v>13</v>
      </c>
      <c r="H65" s="30" t="str">
        <f t="shared" si="3"/>
        <v>NI-SWITCH Configuration Support 15.0</v>
      </c>
      <c r="I65" s="36" t="s">
        <v>42</v>
      </c>
      <c r="J65" s="7"/>
    </row>
    <row r="66" spans="1:10" hidden="1" x14ac:dyDescent="0.25">
      <c r="A66" s="30" t="s">
        <v>502</v>
      </c>
      <c r="B66" s="30" t="s">
        <v>132</v>
      </c>
      <c r="C66" s="35" t="s">
        <v>102</v>
      </c>
      <c r="D66" s="35" t="s">
        <v>10</v>
      </c>
      <c r="E66" s="35" t="s">
        <v>11</v>
      </c>
      <c r="F66" s="35" t="s">
        <v>12</v>
      </c>
      <c r="G66" s="35" t="s">
        <v>13</v>
      </c>
      <c r="H66" s="30" t="str">
        <f t="shared" si="3"/>
        <v>NI-SWITCH Development Support 15.0</v>
      </c>
      <c r="I66" s="36" t="s">
        <v>42</v>
      </c>
      <c r="J66" s="7"/>
    </row>
    <row r="67" spans="1:10" hidden="1" x14ac:dyDescent="0.25">
      <c r="A67" s="30" t="s">
        <v>502</v>
      </c>
      <c r="B67" s="30" t="s">
        <v>67</v>
      </c>
      <c r="C67" s="35" t="s">
        <v>9</v>
      </c>
      <c r="D67" s="35" t="s">
        <v>10</v>
      </c>
      <c r="E67" s="35" t="s">
        <v>11</v>
      </c>
      <c r="F67" s="35" t="s">
        <v>12</v>
      </c>
      <c r="G67" s="35" t="s">
        <v>13</v>
      </c>
      <c r="H67" s="30" t="str">
        <f t="shared" si="3"/>
        <v>NI-SWITCH Soft Front Panel 15.0.0</v>
      </c>
      <c r="I67" s="36" t="s">
        <v>42</v>
      </c>
      <c r="J67" s="7"/>
    </row>
    <row r="68" spans="1:10" hidden="1" x14ac:dyDescent="0.25">
      <c r="A68" s="30" t="s">
        <v>502</v>
      </c>
      <c r="B68" s="30" t="s">
        <v>133</v>
      </c>
      <c r="C68" s="35" t="s">
        <v>102</v>
      </c>
      <c r="D68" s="35" t="s">
        <v>10</v>
      </c>
      <c r="E68" s="35" t="s">
        <v>11</v>
      </c>
      <c r="F68" s="35" t="s">
        <v>24</v>
      </c>
      <c r="G68" s="35" t="s">
        <v>13</v>
      </c>
      <c r="H68" s="30" t="str">
        <f t="shared" si="3"/>
        <v>NI-SWITCH Support 15.0</v>
      </c>
      <c r="I68" s="36" t="s">
        <v>42</v>
      </c>
      <c r="J68" s="7"/>
    </row>
    <row r="69" spans="1:10" hidden="1" x14ac:dyDescent="0.25">
      <c r="A69" s="30" t="s">
        <v>502</v>
      </c>
      <c r="B69" s="30" t="s">
        <v>56</v>
      </c>
      <c r="C69" s="35" t="s">
        <v>30</v>
      </c>
      <c r="D69" s="35" t="s">
        <v>10</v>
      </c>
      <c r="E69" s="35" t="s">
        <v>11</v>
      </c>
      <c r="F69" s="35" t="s">
        <v>12</v>
      </c>
      <c r="G69" s="35" t="s">
        <v>13</v>
      </c>
      <c r="H69" s="30" t="str">
        <f t="shared" si="3"/>
        <v>NI-Sync 15.0.0f0</v>
      </c>
      <c r="I69" s="36" t="s">
        <v>42</v>
      </c>
      <c r="J69" s="7"/>
    </row>
    <row r="70" spans="1:10" hidden="1" x14ac:dyDescent="0.25">
      <c r="A70" s="30" t="s">
        <v>502</v>
      </c>
      <c r="B70" s="30" t="s">
        <v>69</v>
      </c>
      <c r="C70" s="35" t="s">
        <v>102</v>
      </c>
      <c r="D70" s="35" t="s">
        <v>10</v>
      </c>
      <c r="E70" s="35" t="s">
        <v>11</v>
      </c>
      <c r="F70" s="35" t="s">
        <v>12</v>
      </c>
      <c r="G70" s="35" t="s">
        <v>13</v>
      </c>
      <c r="H70" s="30" t="str">
        <f t="shared" si="3"/>
        <v>NI-TClk 15.0</v>
      </c>
      <c r="I70" s="36" t="s">
        <v>42</v>
      </c>
      <c r="J70" s="7"/>
    </row>
    <row r="71" spans="1:10" hidden="1" x14ac:dyDescent="0.25">
      <c r="A71" s="30" t="s">
        <v>502</v>
      </c>
      <c r="B71" s="30" t="s">
        <v>57</v>
      </c>
      <c r="C71" s="35" t="s">
        <v>30</v>
      </c>
      <c r="D71" s="35" t="s">
        <v>10</v>
      </c>
      <c r="E71" s="35" t="s">
        <v>11</v>
      </c>
      <c r="F71" s="35" t="s">
        <v>12</v>
      </c>
      <c r="G71" s="35" t="s">
        <v>13</v>
      </c>
      <c r="H71" s="30" t="str">
        <f t="shared" si="3"/>
        <v>NI-TimeSync 15.0.0f0</v>
      </c>
      <c r="I71" s="36" t="s">
        <v>42</v>
      </c>
      <c r="J71" s="7"/>
    </row>
    <row r="72" spans="1:10" hidden="1" x14ac:dyDescent="0.25">
      <c r="A72" s="30" t="s">
        <v>502</v>
      </c>
      <c r="B72" s="30" t="s">
        <v>46</v>
      </c>
      <c r="C72" s="35" t="s">
        <v>95</v>
      </c>
      <c r="D72" s="35" t="s">
        <v>10</v>
      </c>
      <c r="E72" s="35" t="s">
        <v>11</v>
      </c>
      <c r="F72" s="35" t="s">
        <v>12</v>
      </c>
      <c r="G72" s="35" t="s">
        <v>13</v>
      </c>
      <c r="H72" s="30" t="str">
        <f t="shared" si="3"/>
        <v>NI-USI 15.0.1.6118</v>
      </c>
      <c r="I72" s="37" t="s">
        <v>91</v>
      </c>
      <c r="J72" s="7"/>
    </row>
    <row r="73" spans="1:10" hidden="1" x14ac:dyDescent="0.25">
      <c r="A73" s="30" t="s">
        <v>502</v>
      </c>
      <c r="B73" s="30" t="s">
        <v>70</v>
      </c>
      <c r="C73" s="35" t="s">
        <v>120</v>
      </c>
      <c r="D73" s="35" t="s">
        <v>10</v>
      </c>
      <c r="E73" s="35" t="s">
        <v>119</v>
      </c>
      <c r="F73" s="35" t="s">
        <v>12</v>
      </c>
      <c r="G73" s="35" t="s">
        <v>13</v>
      </c>
      <c r="H73" s="30" t="str">
        <f t="shared" si="3"/>
        <v>NI-VISA 19.5</v>
      </c>
      <c r="I73" s="30"/>
      <c r="J73" s="7"/>
    </row>
    <row r="74" spans="1:10" hidden="1" x14ac:dyDescent="0.25">
      <c r="A74" s="30" t="s">
        <v>502</v>
      </c>
      <c r="B74" s="30" t="s">
        <v>70</v>
      </c>
      <c r="C74" s="35" t="s">
        <v>120</v>
      </c>
      <c r="D74" s="35" t="s">
        <v>10</v>
      </c>
      <c r="E74" s="35" t="s">
        <v>119</v>
      </c>
      <c r="F74" s="35" t="s">
        <v>24</v>
      </c>
      <c r="G74" s="35" t="s">
        <v>13</v>
      </c>
      <c r="H74" s="30" t="str">
        <f t="shared" si="3"/>
        <v>NI-VISA 19.5</v>
      </c>
      <c r="I74" s="30"/>
      <c r="J74" s="7"/>
    </row>
    <row r="75" spans="1:10" hidden="1" x14ac:dyDescent="0.25">
      <c r="A75" s="30" t="s">
        <v>502</v>
      </c>
      <c r="B75" s="30" t="s">
        <v>73</v>
      </c>
      <c r="C75" s="35" t="s">
        <v>72</v>
      </c>
      <c r="D75" s="35" t="s">
        <v>10</v>
      </c>
      <c r="E75" s="35" t="s">
        <v>119</v>
      </c>
      <c r="F75" s="35" t="s">
        <v>12</v>
      </c>
      <c r="G75" s="35" t="s">
        <v>13</v>
      </c>
      <c r="H75" s="30" t="str">
        <f t="shared" si="3"/>
        <v>NIvisaic.exe 15.0.0.49152</v>
      </c>
      <c r="I75" s="36" t="s">
        <v>42</v>
      </c>
      <c r="J75" s="7"/>
    </row>
    <row r="76" spans="1:10" hidden="1" x14ac:dyDescent="0.25">
      <c r="A76" s="30" t="s">
        <v>502</v>
      </c>
      <c r="B76" s="30" t="s">
        <v>71</v>
      </c>
      <c r="C76" s="35" t="s">
        <v>72</v>
      </c>
      <c r="D76" s="35" t="s">
        <v>10</v>
      </c>
      <c r="E76" s="35" t="s">
        <v>119</v>
      </c>
      <c r="F76" s="35" t="s">
        <v>12</v>
      </c>
      <c r="G76" s="35" t="s">
        <v>13</v>
      </c>
      <c r="H76" s="30" t="str">
        <f t="shared" si="3"/>
        <v>NiVisaServer.exe 15.0.0.49152</v>
      </c>
      <c r="I76" s="36" t="s">
        <v>42</v>
      </c>
      <c r="J76" s="7"/>
    </row>
    <row r="77" spans="1:10" hidden="1" x14ac:dyDescent="0.25">
      <c r="A77" s="30" t="s">
        <v>502</v>
      </c>
      <c r="B77" s="30" t="s">
        <v>35</v>
      </c>
      <c r="C77" s="35" t="s">
        <v>92</v>
      </c>
      <c r="D77" s="35" t="s">
        <v>10</v>
      </c>
      <c r="E77" s="35" t="s">
        <v>11</v>
      </c>
      <c r="F77" s="35" t="s">
        <v>12</v>
      </c>
      <c r="G77" s="35" t="s">
        <v>13</v>
      </c>
      <c r="H77" s="30" t="str">
        <f t="shared" si="3"/>
        <v>Real-Time 15.0.1</v>
      </c>
      <c r="I77" s="40" t="s">
        <v>465</v>
      </c>
      <c r="J77" s="7"/>
    </row>
    <row r="78" spans="1:10" hidden="1" x14ac:dyDescent="0.25">
      <c r="A78" s="30" t="s">
        <v>502</v>
      </c>
      <c r="B78" s="30" t="s">
        <v>36</v>
      </c>
      <c r="C78" s="35" t="s">
        <v>92</v>
      </c>
      <c r="D78" s="35" t="s">
        <v>10</v>
      </c>
      <c r="E78" s="35" t="s">
        <v>11</v>
      </c>
      <c r="F78" s="35" t="s">
        <v>12</v>
      </c>
      <c r="G78" s="35" t="s">
        <v>13</v>
      </c>
      <c r="H78" s="30" t="str">
        <f t="shared" si="3"/>
        <v>Real-Time Trace Viewer - LabVIEW 2015 Support 15.0.1</v>
      </c>
      <c r="I78" s="40" t="s">
        <v>465</v>
      </c>
      <c r="J78" s="7"/>
    </row>
    <row r="79" spans="1:10" hidden="1" x14ac:dyDescent="0.25">
      <c r="A79" s="30" t="s">
        <v>502</v>
      </c>
      <c r="B79" s="30" t="s">
        <v>37</v>
      </c>
      <c r="C79" s="35" t="s">
        <v>9</v>
      </c>
      <c r="D79" s="35" t="s">
        <v>10</v>
      </c>
      <c r="E79" s="35" t="s">
        <v>11</v>
      </c>
      <c r="F79" s="35" t="s">
        <v>12</v>
      </c>
      <c r="G79" s="35" t="s">
        <v>13</v>
      </c>
      <c r="H79" s="30" t="str">
        <f t="shared" si="3"/>
        <v>Report Generation Toolkit For Microsoft Office 15.0.0</v>
      </c>
      <c r="I79" s="36" t="s">
        <v>42</v>
      </c>
      <c r="J79" s="7"/>
    </row>
    <row r="80" spans="1:10" hidden="1" x14ac:dyDescent="0.25">
      <c r="A80" s="30" t="s">
        <v>502</v>
      </c>
      <c r="B80" s="30" t="s">
        <v>38</v>
      </c>
      <c r="C80" s="35" t="s">
        <v>102</v>
      </c>
      <c r="D80" s="35" t="s">
        <v>10</v>
      </c>
      <c r="E80" s="35" t="s">
        <v>11</v>
      </c>
      <c r="F80" s="35" t="s">
        <v>12</v>
      </c>
      <c r="G80" s="35" t="s">
        <v>13</v>
      </c>
      <c r="H80" s="30" t="str">
        <f t="shared" si="3"/>
        <v>Statechart Module 15.0</v>
      </c>
      <c r="I80" s="36" t="s">
        <v>42</v>
      </c>
      <c r="J80" s="7"/>
    </row>
    <row r="81" spans="1:10" hidden="1" x14ac:dyDescent="0.25">
      <c r="A81" s="30" t="s">
        <v>502</v>
      </c>
      <c r="B81" s="30" t="s">
        <v>39</v>
      </c>
      <c r="C81" s="35" t="s">
        <v>9</v>
      </c>
      <c r="D81" s="35" t="s">
        <v>10</v>
      </c>
      <c r="E81" s="35" t="s">
        <v>11</v>
      </c>
      <c r="F81" s="35" t="s">
        <v>12</v>
      </c>
      <c r="G81" s="35" t="s">
        <v>13</v>
      </c>
      <c r="H81" s="30" t="str">
        <f t="shared" si="3"/>
        <v>Unit Test Framework Toolkit 15.0.0</v>
      </c>
      <c r="I81" s="36" t="s">
        <v>42</v>
      </c>
      <c r="J81" s="7"/>
    </row>
    <row r="82" spans="1:10" hidden="1" x14ac:dyDescent="0.25">
      <c r="A82" s="30" t="s">
        <v>502</v>
      </c>
      <c r="B82" s="30" t="s">
        <v>40</v>
      </c>
      <c r="C82" s="35" t="s">
        <v>9</v>
      </c>
      <c r="D82" s="35" t="s">
        <v>10</v>
      </c>
      <c r="E82" s="35" t="s">
        <v>11</v>
      </c>
      <c r="F82" s="35" t="s">
        <v>12</v>
      </c>
      <c r="G82" s="35" t="s">
        <v>13</v>
      </c>
      <c r="H82" s="30" t="str">
        <f t="shared" si="3"/>
        <v>VI Analyzer Toolkit 15.0.0</v>
      </c>
      <c r="I82" s="36" t="s">
        <v>42</v>
      </c>
      <c r="J82" s="7"/>
    </row>
    <row r="83" spans="1:10" hidden="1" x14ac:dyDescent="0.25">
      <c r="A83" s="28" t="s">
        <v>503</v>
      </c>
      <c r="B83" s="28" t="s">
        <v>8</v>
      </c>
      <c r="C83" s="29" t="s">
        <v>9</v>
      </c>
      <c r="D83" s="29" t="s">
        <v>10</v>
      </c>
      <c r="E83" s="29" t="s">
        <v>11</v>
      </c>
      <c r="F83" s="29" t="s">
        <v>12</v>
      </c>
      <c r="G83" s="29" t="s">
        <v>13</v>
      </c>
      <c r="H83" s="28" t="str">
        <f t="shared" si="3"/>
        <v>Advanced Signal Processing Toolkit 15.0.0</v>
      </c>
      <c r="I83" s="36" t="s">
        <v>42</v>
      </c>
      <c r="J83" s="7"/>
    </row>
    <row r="84" spans="1:10" hidden="1" x14ac:dyDescent="0.25">
      <c r="A84" s="28" t="s">
        <v>503</v>
      </c>
      <c r="B84" s="28" t="s">
        <v>15</v>
      </c>
      <c r="C84" s="29" t="s">
        <v>9</v>
      </c>
      <c r="D84" s="29" t="s">
        <v>10</v>
      </c>
      <c r="E84" s="29" t="s">
        <v>11</v>
      </c>
      <c r="F84" s="29" t="s">
        <v>12</v>
      </c>
      <c r="G84" s="29" t="s">
        <v>13</v>
      </c>
      <c r="H84" s="28" t="str">
        <f t="shared" si="3"/>
        <v>C Series Module Support 15.0.0</v>
      </c>
      <c r="I84" s="36" t="s">
        <v>42</v>
      </c>
      <c r="J84" s="7"/>
    </row>
    <row r="85" spans="1:10" hidden="1" x14ac:dyDescent="0.25">
      <c r="A85" s="28" t="s">
        <v>503</v>
      </c>
      <c r="B85" s="28" t="s">
        <v>14</v>
      </c>
      <c r="C85" s="29" t="s">
        <v>9</v>
      </c>
      <c r="D85" s="29" t="s">
        <v>10</v>
      </c>
      <c r="E85" s="29" t="s">
        <v>11</v>
      </c>
      <c r="F85" s="29" t="s">
        <v>12</v>
      </c>
      <c r="G85" s="29" t="s">
        <v>13</v>
      </c>
      <c r="H85" s="28" t="str">
        <f t="shared" ref="H85:H91" si="4">B85&amp;" "&amp;C85</f>
        <v>CompactRIO 15.0.0</v>
      </c>
      <c r="I85" s="36" t="s">
        <v>42</v>
      </c>
      <c r="J85" s="7"/>
    </row>
    <row r="86" spans="1:10" hidden="1" x14ac:dyDescent="0.25">
      <c r="A86" s="28" t="s">
        <v>503</v>
      </c>
      <c r="B86" s="28" t="s">
        <v>75</v>
      </c>
      <c r="C86" s="29" t="s">
        <v>87</v>
      </c>
      <c r="D86" s="29" t="s">
        <v>10</v>
      </c>
      <c r="E86" s="29" t="s">
        <v>11</v>
      </c>
      <c r="F86" s="29" t="s">
        <v>24</v>
      </c>
      <c r="G86" s="29" t="s">
        <v>13</v>
      </c>
      <c r="H86" s="28" t="str">
        <f t="shared" si="4"/>
        <v>CVI 15.0.0.408</v>
      </c>
      <c r="I86" s="37" t="s">
        <v>91</v>
      </c>
      <c r="J86" s="7"/>
    </row>
    <row r="87" spans="1:10" hidden="1" x14ac:dyDescent="0.25">
      <c r="A87" s="28" t="s">
        <v>503</v>
      </c>
      <c r="B87" s="28" t="s">
        <v>33</v>
      </c>
      <c r="C87" s="29" t="s">
        <v>9</v>
      </c>
      <c r="D87" s="29" t="s">
        <v>10</v>
      </c>
      <c r="E87" s="29" t="s">
        <v>11</v>
      </c>
      <c r="F87" s="29" t="s">
        <v>12</v>
      </c>
      <c r="G87" s="29" t="s">
        <v>13</v>
      </c>
      <c r="H87" s="28" t="str">
        <f t="shared" si="4"/>
        <v>Database Connectivity Toolkit 15.0.0</v>
      </c>
      <c r="I87" s="36" t="s">
        <v>42</v>
      </c>
      <c r="J87" s="7"/>
    </row>
    <row r="88" spans="1:10" hidden="1" x14ac:dyDescent="0.25">
      <c r="A88" s="28" t="s">
        <v>503</v>
      </c>
      <c r="B88" s="28" t="s">
        <v>88</v>
      </c>
      <c r="C88" s="29" t="s">
        <v>89</v>
      </c>
      <c r="D88" s="29" t="s">
        <v>10</v>
      </c>
      <c r="E88" s="29" t="s">
        <v>11</v>
      </c>
      <c r="F88" s="29" t="s">
        <v>12</v>
      </c>
      <c r="G88" s="29" t="s">
        <v>13</v>
      </c>
      <c r="H88" s="28" t="str">
        <f t="shared" si="4"/>
        <v>DataFinder Toolkit 15.0.06020</v>
      </c>
      <c r="I88" s="36" t="s">
        <v>42</v>
      </c>
      <c r="J88" s="7"/>
    </row>
    <row r="89" spans="1:10" hidden="1" x14ac:dyDescent="0.25">
      <c r="A89" s="28" t="s">
        <v>503</v>
      </c>
      <c r="B89" s="28" t="s">
        <v>34</v>
      </c>
      <c r="C89" s="29" t="s">
        <v>9</v>
      </c>
      <c r="D89" s="29" t="s">
        <v>10</v>
      </c>
      <c r="E89" s="29" t="s">
        <v>11</v>
      </c>
      <c r="F89" s="29" t="s">
        <v>12</v>
      </c>
      <c r="G89" s="29" t="s">
        <v>13</v>
      </c>
      <c r="H89" s="28" t="str">
        <f t="shared" si="4"/>
        <v>Digital Filter Design Toolkit 15.0.0</v>
      </c>
      <c r="I89" s="36" t="s">
        <v>42</v>
      </c>
      <c r="J89" s="7"/>
    </row>
    <row r="90" spans="1:10" hidden="1" x14ac:dyDescent="0.25">
      <c r="A90" s="28" t="s">
        <v>503</v>
      </c>
      <c r="B90" s="28" t="s">
        <v>58</v>
      </c>
      <c r="C90" s="29" t="s">
        <v>30</v>
      </c>
      <c r="D90" s="29" t="s">
        <v>10</v>
      </c>
      <c r="E90" s="29" t="s">
        <v>11</v>
      </c>
      <c r="F90" s="29" t="s">
        <v>12</v>
      </c>
      <c r="G90" s="29" t="s">
        <v>13</v>
      </c>
      <c r="H90" s="28" t="str">
        <f t="shared" si="4"/>
        <v>FlexRIO 15.0.0f0</v>
      </c>
      <c r="I90" s="36" t="s">
        <v>42</v>
      </c>
      <c r="J90" s="7"/>
    </row>
    <row r="91" spans="1:10" hidden="1" x14ac:dyDescent="0.25">
      <c r="A91" s="28" t="s">
        <v>503</v>
      </c>
      <c r="B91" s="28" t="s">
        <v>31</v>
      </c>
      <c r="C91" s="29" t="s">
        <v>102</v>
      </c>
      <c r="D91" s="29" t="s">
        <v>10</v>
      </c>
      <c r="E91" s="29" t="s">
        <v>11</v>
      </c>
      <c r="F91" s="29" t="s">
        <v>12</v>
      </c>
      <c r="G91" s="29" t="s">
        <v>13</v>
      </c>
      <c r="H91" s="28" t="str">
        <f t="shared" si="4"/>
        <v>IVI Compliance Package 15.0</v>
      </c>
      <c r="I91" s="36" t="s">
        <v>42</v>
      </c>
      <c r="J91" s="7"/>
    </row>
    <row r="92" spans="1:10" hidden="1" x14ac:dyDescent="0.25">
      <c r="A92" s="28" t="s">
        <v>503</v>
      </c>
      <c r="B92" s="28" t="s">
        <v>32</v>
      </c>
      <c r="C92" s="29" t="s">
        <v>105</v>
      </c>
      <c r="D92" s="29" t="s">
        <v>10</v>
      </c>
      <c r="E92" s="29" t="s">
        <v>106</v>
      </c>
      <c r="F92" s="29" t="s">
        <v>24</v>
      </c>
      <c r="G92" s="29" t="s">
        <v>13</v>
      </c>
      <c r="H92" s="28" t="str">
        <f t="shared" ref="H92:H99" si="5">B92&amp;" "&amp;E92&amp;" "&amp;C92</f>
        <v>LabVIEW 2012 SP1 f9 12.0.1</v>
      </c>
      <c r="I92" s="36" t="s">
        <v>42</v>
      </c>
      <c r="J92" s="7"/>
    </row>
    <row r="93" spans="1:10" hidden="1" x14ac:dyDescent="0.25">
      <c r="A93" s="28" t="s">
        <v>503</v>
      </c>
      <c r="B93" s="28" t="s">
        <v>32</v>
      </c>
      <c r="C93" s="29" t="s">
        <v>105</v>
      </c>
      <c r="D93" s="29" t="s">
        <v>107</v>
      </c>
      <c r="E93" s="29" t="s">
        <v>106</v>
      </c>
      <c r="F93" s="29" t="s">
        <v>24</v>
      </c>
      <c r="G93" s="29" t="s">
        <v>13</v>
      </c>
      <c r="H93" s="28" t="str">
        <f t="shared" si="5"/>
        <v>LabVIEW 2012 SP1 f9 12.0.1</v>
      </c>
      <c r="I93" s="36" t="s">
        <v>42</v>
      </c>
      <c r="J93" s="7"/>
    </row>
    <row r="94" spans="1:10" hidden="1" x14ac:dyDescent="0.25">
      <c r="A94" s="28" t="s">
        <v>503</v>
      </c>
      <c r="B94" s="28" t="s">
        <v>32</v>
      </c>
      <c r="C94" s="29" t="s">
        <v>137</v>
      </c>
      <c r="D94" s="29" t="s">
        <v>10</v>
      </c>
      <c r="E94" s="29" t="s">
        <v>108</v>
      </c>
      <c r="F94" s="29" t="s">
        <v>24</v>
      </c>
      <c r="G94" s="29" t="s">
        <v>13</v>
      </c>
      <c r="H94" s="28" t="str">
        <f t="shared" si="5"/>
        <v>LabVIEW 2013 SP1 f6 13.0.1</v>
      </c>
      <c r="I94" s="36" t="s">
        <v>42</v>
      </c>
      <c r="J94" s="7"/>
    </row>
    <row r="95" spans="1:10" hidden="1" x14ac:dyDescent="0.25">
      <c r="A95" s="28" t="s">
        <v>503</v>
      </c>
      <c r="B95" s="28" t="s">
        <v>32</v>
      </c>
      <c r="C95" s="29" t="s">
        <v>110</v>
      </c>
      <c r="D95" s="29" t="s">
        <v>10</v>
      </c>
      <c r="E95" s="29" t="s">
        <v>109</v>
      </c>
      <c r="F95" s="29" t="s">
        <v>24</v>
      </c>
      <c r="G95" s="29" t="s">
        <v>13</v>
      </c>
      <c r="H95" s="28" t="str">
        <f t="shared" si="5"/>
        <v>LabVIEW 2014 SP1 f11 14.0.1</v>
      </c>
      <c r="I95" s="40" t="s">
        <v>465</v>
      </c>
      <c r="J95" s="7"/>
    </row>
    <row r="96" spans="1:10" hidden="1" x14ac:dyDescent="0.25">
      <c r="A96" s="28" t="s">
        <v>503</v>
      </c>
      <c r="B96" s="28" t="s">
        <v>32</v>
      </c>
      <c r="C96" s="29" t="s">
        <v>92</v>
      </c>
      <c r="D96" s="29" t="s">
        <v>10</v>
      </c>
      <c r="E96" s="29" t="s">
        <v>103</v>
      </c>
      <c r="F96" s="29" t="s">
        <v>12</v>
      </c>
      <c r="G96" s="29" t="s">
        <v>13</v>
      </c>
      <c r="H96" s="28" t="str">
        <f t="shared" si="5"/>
        <v>LabVIEW 2015 SP1 f10 15.0.1</v>
      </c>
      <c r="I96" s="40" t="s">
        <v>465</v>
      </c>
      <c r="J96" s="7"/>
    </row>
    <row r="97" spans="1:10" hidden="1" x14ac:dyDescent="0.25">
      <c r="A97" s="28" t="s">
        <v>503</v>
      </c>
      <c r="B97" s="28" t="s">
        <v>32</v>
      </c>
      <c r="C97" s="29" t="s">
        <v>110</v>
      </c>
      <c r="D97" s="29" t="s">
        <v>107</v>
      </c>
      <c r="E97" s="29" t="s">
        <v>109</v>
      </c>
      <c r="F97" s="29" t="s">
        <v>24</v>
      </c>
      <c r="G97" s="29" t="s">
        <v>13</v>
      </c>
      <c r="H97" s="28" t="str">
        <f t="shared" si="5"/>
        <v>LabVIEW 2014 SP1 f11 14.0.1</v>
      </c>
      <c r="I97" s="40" t="s">
        <v>465</v>
      </c>
      <c r="J97" s="7"/>
    </row>
    <row r="98" spans="1:10" hidden="1" x14ac:dyDescent="0.25">
      <c r="A98" s="28" t="s">
        <v>503</v>
      </c>
      <c r="B98" s="28" t="s">
        <v>32</v>
      </c>
      <c r="C98" s="29" t="s">
        <v>92</v>
      </c>
      <c r="D98" s="29" t="s">
        <v>10</v>
      </c>
      <c r="E98" s="29" t="s">
        <v>111</v>
      </c>
      <c r="F98" s="29" t="s">
        <v>24</v>
      </c>
      <c r="G98" s="29" t="s">
        <v>13</v>
      </c>
      <c r="H98" s="28" t="str">
        <f t="shared" si="5"/>
        <v>LabVIEW 2015 SP1 15.0.1</v>
      </c>
      <c r="I98" s="37" t="s">
        <v>91</v>
      </c>
      <c r="J98" s="7"/>
    </row>
    <row r="99" spans="1:10" hidden="1" x14ac:dyDescent="0.25">
      <c r="A99" s="28" t="s">
        <v>503</v>
      </c>
      <c r="B99" s="28" t="s">
        <v>32</v>
      </c>
      <c r="C99" s="29" t="s">
        <v>112</v>
      </c>
      <c r="D99" s="29" t="s">
        <v>10</v>
      </c>
      <c r="E99" s="29" t="s">
        <v>148</v>
      </c>
      <c r="F99" s="29" t="s">
        <v>24</v>
      </c>
      <c r="G99" s="29" t="s">
        <v>13</v>
      </c>
      <c r="H99" s="28" t="str">
        <f t="shared" si="5"/>
        <v>LabVIEW 2019 SP1 f5 19.0.1</v>
      </c>
      <c r="I99" s="28"/>
      <c r="J99" s="7"/>
    </row>
    <row r="100" spans="1:10" hidden="1" x14ac:dyDescent="0.25">
      <c r="A100" s="28" t="s">
        <v>503</v>
      </c>
      <c r="B100" s="28" t="s">
        <v>41</v>
      </c>
      <c r="C100" s="29" t="s">
        <v>94</v>
      </c>
      <c r="D100" s="29" t="s">
        <v>10</v>
      </c>
      <c r="E100" s="29" t="s">
        <v>11</v>
      </c>
      <c r="F100" s="29" t="s">
        <v>12</v>
      </c>
      <c r="G100" s="29" t="s">
        <v>13</v>
      </c>
      <c r="H100" s="28" t="str">
        <f t="shared" ref="H100:H131" si="6">B100&amp;" "&amp;C100</f>
        <v>Measurement &amp; Automation Explorer 15.3.0f0</v>
      </c>
      <c r="I100" s="37" t="s">
        <v>91</v>
      </c>
      <c r="J100" s="7"/>
    </row>
    <row r="101" spans="1:10" hidden="1" x14ac:dyDescent="0.25">
      <c r="A101" s="28" t="s">
        <v>503</v>
      </c>
      <c r="B101" s="28" t="s">
        <v>43</v>
      </c>
      <c r="C101" s="29"/>
      <c r="D101" s="29" t="s">
        <v>10</v>
      </c>
      <c r="E101" s="29" t="s">
        <v>114</v>
      </c>
      <c r="F101" s="29" t="s">
        <v>12</v>
      </c>
      <c r="G101" s="29" t="s">
        <v>13</v>
      </c>
      <c r="H101" s="28" t="str">
        <f t="shared" si="6"/>
        <v xml:space="preserve">Measurement Studio </v>
      </c>
      <c r="I101" s="36" t="s">
        <v>42</v>
      </c>
      <c r="J101" s="7"/>
    </row>
    <row r="102" spans="1:10" hidden="1" x14ac:dyDescent="0.25">
      <c r="A102" s="28" t="s">
        <v>503</v>
      </c>
      <c r="B102" s="28" t="s">
        <v>116</v>
      </c>
      <c r="C102" s="29" t="s">
        <v>149</v>
      </c>
      <c r="D102" s="29" t="s">
        <v>10</v>
      </c>
      <c r="E102" s="29" t="s">
        <v>11</v>
      </c>
      <c r="F102" s="29" t="s">
        <v>12</v>
      </c>
      <c r="G102" s="29" t="s">
        <v>13</v>
      </c>
      <c r="H102" s="28" t="str">
        <f t="shared" si="6"/>
        <v>Measurement Studio Common 15.1.40.49152</v>
      </c>
      <c r="I102" s="28"/>
      <c r="J102" s="7"/>
    </row>
    <row r="103" spans="1:10" hidden="1" x14ac:dyDescent="0.25">
      <c r="A103" s="28" t="s">
        <v>503</v>
      </c>
      <c r="B103" s="28" t="s">
        <v>116</v>
      </c>
      <c r="C103" s="29" t="s">
        <v>149</v>
      </c>
      <c r="D103" s="29" t="s">
        <v>107</v>
      </c>
      <c r="E103" s="29" t="s">
        <v>11</v>
      </c>
      <c r="F103" s="29" t="s">
        <v>12</v>
      </c>
      <c r="G103" s="29" t="s">
        <v>13</v>
      </c>
      <c r="H103" s="28" t="str">
        <f t="shared" si="6"/>
        <v>Measurement Studio Common 15.1.40.49152</v>
      </c>
      <c r="I103" s="28"/>
      <c r="J103" s="7"/>
    </row>
    <row r="104" spans="1:10" hidden="1" x14ac:dyDescent="0.25">
      <c r="A104" s="28" t="s">
        <v>503</v>
      </c>
      <c r="B104" s="28" t="s">
        <v>115</v>
      </c>
      <c r="C104" s="29"/>
      <c r="D104" s="29" t="s">
        <v>10</v>
      </c>
      <c r="E104" s="29" t="s">
        <v>114</v>
      </c>
      <c r="F104" s="29" t="s">
        <v>12</v>
      </c>
      <c r="G104" s="29" t="s">
        <v>13</v>
      </c>
      <c r="H104" s="28" t="str">
        <f t="shared" si="6"/>
        <v xml:space="preserve">Measurement Studio DotNET </v>
      </c>
      <c r="I104" s="36" t="s">
        <v>42</v>
      </c>
      <c r="J104" s="7"/>
    </row>
    <row r="105" spans="1:10" hidden="1" x14ac:dyDescent="0.25">
      <c r="A105" s="28" t="s">
        <v>503</v>
      </c>
      <c r="B105" s="28" t="s">
        <v>60</v>
      </c>
      <c r="C105" s="29" t="s">
        <v>30</v>
      </c>
      <c r="D105" s="29" t="s">
        <v>10</v>
      </c>
      <c r="E105" s="29" t="s">
        <v>11</v>
      </c>
      <c r="F105" s="29" t="s">
        <v>12</v>
      </c>
      <c r="G105" s="29" t="s">
        <v>13</v>
      </c>
      <c r="H105" s="28" t="str">
        <f t="shared" si="6"/>
        <v>NI 1588-2008 Network Management 15.0.0f0</v>
      </c>
      <c r="I105" s="36" t="s">
        <v>42</v>
      </c>
      <c r="J105" s="7"/>
    </row>
    <row r="106" spans="1:10" hidden="1" x14ac:dyDescent="0.25">
      <c r="A106" s="28" t="s">
        <v>503</v>
      </c>
      <c r="B106" s="28" t="s">
        <v>29</v>
      </c>
      <c r="C106" s="29" t="s">
        <v>30</v>
      </c>
      <c r="D106" s="29" t="s">
        <v>10</v>
      </c>
      <c r="E106" s="29" t="s">
        <v>11</v>
      </c>
      <c r="F106" s="29" t="s">
        <v>12</v>
      </c>
      <c r="G106" s="29" t="s">
        <v>13</v>
      </c>
      <c r="H106" s="28" t="str">
        <f t="shared" si="6"/>
        <v>NI I/O Trace 15.0.0f0</v>
      </c>
      <c r="I106" s="36" t="s">
        <v>42</v>
      </c>
      <c r="J106" s="7"/>
    </row>
    <row r="107" spans="1:10" hidden="1" x14ac:dyDescent="0.25">
      <c r="A107" s="28" t="s">
        <v>503</v>
      </c>
      <c r="B107" s="28" t="s">
        <v>140</v>
      </c>
      <c r="C107" s="29" t="s">
        <v>117</v>
      </c>
      <c r="D107" s="29" t="s">
        <v>10</v>
      </c>
      <c r="E107" s="29" t="s">
        <v>119</v>
      </c>
      <c r="F107" s="29" t="s">
        <v>24</v>
      </c>
      <c r="G107" s="29" t="s">
        <v>13</v>
      </c>
      <c r="H107" s="28" t="str">
        <f t="shared" si="6"/>
        <v>NI PXI Platform Services 19.5.0f0</v>
      </c>
      <c r="I107" s="28"/>
      <c r="J107" s="7"/>
    </row>
    <row r="108" spans="1:10" hidden="1" x14ac:dyDescent="0.25">
      <c r="A108" s="28" t="s">
        <v>503</v>
      </c>
      <c r="B108" s="28" t="s">
        <v>52</v>
      </c>
      <c r="C108" s="29" t="s">
        <v>53</v>
      </c>
      <c r="D108" s="29" t="s">
        <v>10</v>
      </c>
      <c r="E108" s="29" t="s">
        <v>11</v>
      </c>
      <c r="F108" s="29" t="s">
        <v>12</v>
      </c>
      <c r="G108" s="29" t="s">
        <v>13</v>
      </c>
      <c r="H108" s="28" t="str">
        <f t="shared" si="6"/>
        <v>NI PXI Platform Services Configuration 15.0.0f1</v>
      </c>
      <c r="I108" s="36" t="s">
        <v>42</v>
      </c>
      <c r="J108" s="7"/>
    </row>
    <row r="109" spans="1:10" hidden="1" x14ac:dyDescent="0.25">
      <c r="A109" s="28" t="s">
        <v>503</v>
      </c>
      <c r="B109" s="28" t="s">
        <v>55</v>
      </c>
      <c r="C109" s="29" t="s">
        <v>9</v>
      </c>
      <c r="D109" s="29" t="s">
        <v>10</v>
      </c>
      <c r="E109" s="29" t="s">
        <v>11</v>
      </c>
      <c r="F109" s="29" t="s">
        <v>12</v>
      </c>
      <c r="G109" s="29" t="s">
        <v>13</v>
      </c>
      <c r="H109" s="28" t="str">
        <f t="shared" si="6"/>
        <v>NI R Series Multifunction RIO 15.0.0</v>
      </c>
      <c r="I109" s="36" t="s">
        <v>42</v>
      </c>
      <c r="J109" s="7"/>
    </row>
    <row r="110" spans="1:10" hidden="1" x14ac:dyDescent="0.25">
      <c r="A110" s="28" t="s">
        <v>503</v>
      </c>
      <c r="B110" s="28" t="s">
        <v>20</v>
      </c>
      <c r="C110" s="29" t="s">
        <v>118</v>
      </c>
      <c r="D110" s="29" t="s">
        <v>10</v>
      </c>
      <c r="E110" s="29" t="s">
        <v>93</v>
      </c>
      <c r="F110" s="29" t="s">
        <v>12</v>
      </c>
      <c r="G110" s="29" t="s">
        <v>13</v>
      </c>
      <c r="H110" s="28" t="str">
        <f t="shared" si="6"/>
        <v>NI Script Editor 14.0</v>
      </c>
      <c r="I110" s="36" t="s">
        <v>42</v>
      </c>
      <c r="J110" s="7"/>
    </row>
    <row r="111" spans="1:10" hidden="1" x14ac:dyDescent="0.25">
      <c r="A111" s="28" t="s">
        <v>503</v>
      </c>
      <c r="B111" s="28" t="s">
        <v>65</v>
      </c>
      <c r="C111" s="29" t="s">
        <v>102</v>
      </c>
      <c r="D111" s="29" t="s">
        <v>10</v>
      </c>
      <c r="E111" s="29" t="s">
        <v>11</v>
      </c>
      <c r="F111" s="29" t="s">
        <v>12</v>
      </c>
      <c r="G111" s="29" t="s">
        <v>13</v>
      </c>
      <c r="H111" s="28" t="str">
        <f t="shared" si="6"/>
        <v>NI SignalExpress 15.0</v>
      </c>
      <c r="I111" s="36" t="s">
        <v>42</v>
      </c>
      <c r="J111" s="7"/>
    </row>
    <row r="112" spans="1:10" hidden="1" x14ac:dyDescent="0.25">
      <c r="A112" s="28" t="s">
        <v>503</v>
      </c>
      <c r="B112" s="28" t="s">
        <v>68</v>
      </c>
      <c r="C112" s="29" t="s">
        <v>117</v>
      </c>
      <c r="D112" s="29" t="s">
        <v>10</v>
      </c>
      <c r="E112" s="29" t="s">
        <v>119</v>
      </c>
      <c r="F112" s="29" t="s">
        <v>12</v>
      </c>
      <c r="G112" s="29" t="s">
        <v>13</v>
      </c>
      <c r="H112" s="28" t="str">
        <f t="shared" si="6"/>
        <v>NI System Configuration 19.5.0f0</v>
      </c>
      <c r="I112" s="28"/>
      <c r="J112" s="7"/>
    </row>
    <row r="113" spans="1:10" hidden="1" x14ac:dyDescent="0.25">
      <c r="A113" s="28" t="s">
        <v>503</v>
      </c>
      <c r="B113" s="28" t="s">
        <v>28</v>
      </c>
      <c r="C113" s="29" t="s">
        <v>9</v>
      </c>
      <c r="D113" s="29" t="s">
        <v>10</v>
      </c>
      <c r="E113" s="29" t="s">
        <v>11</v>
      </c>
      <c r="F113" s="29" t="s">
        <v>12</v>
      </c>
      <c r="G113" s="29" t="s">
        <v>13</v>
      </c>
      <c r="H113" s="28" t="str">
        <f t="shared" si="6"/>
        <v>NI-488.2 15.0.0</v>
      </c>
      <c r="I113" s="36" t="s">
        <v>42</v>
      </c>
      <c r="J113" s="7"/>
    </row>
    <row r="114" spans="1:10" hidden="1" x14ac:dyDescent="0.25">
      <c r="A114" s="28" t="s">
        <v>503</v>
      </c>
      <c r="B114" s="28" t="s">
        <v>28</v>
      </c>
      <c r="C114" s="29" t="s">
        <v>141</v>
      </c>
      <c r="D114" s="29" t="s">
        <v>10</v>
      </c>
      <c r="E114" s="29" t="s">
        <v>119</v>
      </c>
      <c r="F114" s="29" t="s">
        <v>24</v>
      </c>
      <c r="G114" s="29" t="s">
        <v>13</v>
      </c>
      <c r="H114" s="28" t="str">
        <f t="shared" si="6"/>
        <v>NI-488.2 19.5.0</v>
      </c>
      <c r="I114" s="28"/>
      <c r="J114" s="7"/>
    </row>
    <row r="115" spans="1:10" hidden="1" x14ac:dyDescent="0.25">
      <c r="A115" s="28" t="s">
        <v>503</v>
      </c>
      <c r="B115" s="28" t="s">
        <v>18</v>
      </c>
      <c r="C115" s="29" t="s">
        <v>9</v>
      </c>
      <c r="D115" s="29" t="s">
        <v>10</v>
      </c>
      <c r="E115" s="29" t="s">
        <v>11</v>
      </c>
      <c r="F115" s="29" t="s">
        <v>12</v>
      </c>
      <c r="G115" s="29" t="s">
        <v>13</v>
      </c>
      <c r="H115" s="28" t="str">
        <f t="shared" si="6"/>
        <v>NI-DAQmx ADE Support 15.0.0</v>
      </c>
      <c r="I115" s="36" t="s">
        <v>42</v>
      </c>
      <c r="J115" s="7"/>
    </row>
    <row r="116" spans="1:10" hidden="1" x14ac:dyDescent="0.25">
      <c r="A116" s="28" t="s">
        <v>503</v>
      </c>
      <c r="B116" s="28" t="s">
        <v>16</v>
      </c>
      <c r="C116" s="29" t="s">
        <v>17</v>
      </c>
      <c r="D116" s="29" t="s">
        <v>10</v>
      </c>
      <c r="E116" s="29" t="s">
        <v>11</v>
      </c>
      <c r="F116" s="29" t="s">
        <v>12</v>
      </c>
      <c r="G116" s="29" t="s">
        <v>13</v>
      </c>
      <c r="H116" s="28" t="str">
        <f t="shared" si="6"/>
        <v>NI-DAQmx Device Driver 15.0.0f2</v>
      </c>
      <c r="I116" s="36" t="s">
        <v>42</v>
      </c>
      <c r="J116" s="7"/>
    </row>
    <row r="117" spans="1:10" hidden="1" x14ac:dyDescent="0.25">
      <c r="A117" s="28" t="s">
        <v>503</v>
      </c>
      <c r="B117" s="28" t="s">
        <v>19</v>
      </c>
      <c r="C117" s="29" t="s">
        <v>9</v>
      </c>
      <c r="D117" s="29" t="s">
        <v>10</v>
      </c>
      <c r="E117" s="29" t="s">
        <v>11</v>
      </c>
      <c r="F117" s="29" t="s">
        <v>12</v>
      </c>
      <c r="G117" s="29" t="s">
        <v>13</v>
      </c>
      <c r="H117" s="28" t="str">
        <f t="shared" si="6"/>
        <v>NI-DAQmx MAX Configuration 15.0.0</v>
      </c>
      <c r="I117" s="36" t="s">
        <v>42</v>
      </c>
      <c r="J117" s="7"/>
    </row>
    <row r="118" spans="1:10" hidden="1" x14ac:dyDescent="0.25">
      <c r="A118" s="28" t="s">
        <v>503</v>
      </c>
      <c r="B118" s="28" t="s">
        <v>48</v>
      </c>
      <c r="C118" s="29"/>
      <c r="D118" s="29" t="s">
        <v>10</v>
      </c>
      <c r="E118" s="29" t="s">
        <v>11</v>
      </c>
      <c r="F118" s="29" t="s">
        <v>12</v>
      </c>
      <c r="G118" s="29" t="s">
        <v>13</v>
      </c>
      <c r="H118" s="28" t="str">
        <f t="shared" si="6"/>
        <v xml:space="preserve">NI-DCPower </v>
      </c>
      <c r="I118" s="36" t="s">
        <v>42</v>
      </c>
      <c r="J118" s="7"/>
    </row>
    <row r="119" spans="1:10" hidden="1" x14ac:dyDescent="0.25">
      <c r="A119" s="28" t="s">
        <v>503</v>
      </c>
      <c r="B119" s="28" t="s">
        <v>48</v>
      </c>
      <c r="C119" s="29" t="s">
        <v>102</v>
      </c>
      <c r="D119" s="29" t="s">
        <v>10</v>
      </c>
      <c r="E119" s="29" t="s">
        <v>11</v>
      </c>
      <c r="F119" s="29" t="s">
        <v>24</v>
      </c>
      <c r="G119" s="29" t="s">
        <v>13</v>
      </c>
      <c r="H119" s="28" t="str">
        <f t="shared" si="6"/>
        <v>NI-DCPower 15.0</v>
      </c>
      <c r="I119" s="36" t="s">
        <v>42</v>
      </c>
      <c r="J119" s="7"/>
    </row>
    <row r="120" spans="1:10" hidden="1" x14ac:dyDescent="0.25">
      <c r="A120" s="28" t="s">
        <v>503</v>
      </c>
      <c r="B120" s="28" t="s">
        <v>121</v>
      </c>
      <c r="C120" s="29" t="s">
        <v>102</v>
      </c>
      <c r="D120" s="29" t="s">
        <v>10</v>
      </c>
      <c r="E120" s="29" t="s">
        <v>11</v>
      </c>
      <c r="F120" s="29" t="s">
        <v>12</v>
      </c>
      <c r="G120" s="29" t="s">
        <v>13</v>
      </c>
      <c r="H120" s="28" t="str">
        <f t="shared" si="6"/>
        <v>NI-DCPower Configuration Support 15.0</v>
      </c>
      <c r="I120" s="36" t="s">
        <v>42</v>
      </c>
      <c r="J120" s="7"/>
    </row>
    <row r="121" spans="1:10" hidden="1" x14ac:dyDescent="0.25">
      <c r="A121" s="28" t="s">
        <v>503</v>
      </c>
      <c r="B121" s="28" t="s">
        <v>122</v>
      </c>
      <c r="C121" s="29" t="s">
        <v>102</v>
      </c>
      <c r="D121" s="29" t="s">
        <v>10</v>
      </c>
      <c r="E121" s="29" t="s">
        <v>11</v>
      </c>
      <c r="F121" s="29" t="s">
        <v>12</v>
      </c>
      <c r="G121" s="29" t="s">
        <v>13</v>
      </c>
      <c r="H121" s="28" t="str">
        <f t="shared" si="6"/>
        <v>NI-DCPower Development Support 15.0</v>
      </c>
      <c r="I121" s="36" t="s">
        <v>42</v>
      </c>
      <c r="J121" s="7"/>
    </row>
    <row r="122" spans="1:10" hidden="1" x14ac:dyDescent="0.25">
      <c r="A122" s="28" t="s">
        <v>503</v>
      </c>
      <c r="B122" s="28" t="s">
        <v>49</v>
      </c>
      <c r="C122" s="29" t="s">
        <v>102</v>
      </c>
      <c r="D122" s="29" t="s">
        <v>10</v>
      </c>
      <c r="E122" s="29" t="s">
        <v>11</v>
      </c>
      <c r="F122" s="29" t="s">
        <v>12</v>
      </c>
      <c r="G122" s="29" t="s">
        <v>13</v>
      </c>
      <c r="H122" s="28" t="str">
        <f t="shared" si="6"/>
        <v>NI-DCPower Soft Front Panel 15.0</v>
      </c>
      <c r="I122" s="36" t="s">
        <v>42</v>
      </c>
      <c r="J122" s="7"/>
    </row>
    <row r="123" spans="1:10" hidden="1" x14ac:dyDescent="0.25">
      <c r="A123" s="28" t="s">
        <v>503</v>
      </c>
      <c r="B123" s="28" t="s">
        <v>21</v>
      </c>
      <c r="C123" s="29"/>
      <c r="D123" s="29" t="s">
        <v>10</v>
      </c>
      <c r="E123" s="29" t="s">
        <v>11</v>
      </c>
      <c r="F123" s="29" t="s">
        <v>12</v>
      </c>
      <c r="G123" s="29" t="s">
        <v>13</v>
      </c>
      <c r="H123" s="28" t="str">
        <f t="shared" si="6"/>
        <v xml:space="preserve">NI-DMM </v>
      </c>
      <c r="I123" s="36" t="s">
        <v>42</v>
      </c>
      <c r="J123" s="7"/>
    </row>
    <row r="124" spans="1:10" hidden="1" x14ac:dyDescent="0.25">
      <c r="A124" s="28" t="s">
        <v>503</v>
      </c>
      <c r="B124" s="28" t="s">
        <v>21</v>
      </c>
      <c r="C124" s="29" t="s">
        <v>102</v>
      </c>
      <c r="D124" s="29" t="s">
        <v>10</v>
      </c>
      <c r="E124" s="29" t="s">
        <v>11</v>
      </c>
      <c r="F124" s="29" t="s">
        <v>24</v>
      </c>
      <c r="G124" s="29" t="s">
        <v>13</v>
      </c>
      <c r="H124" s="28" t="str">
        <f t="shared" si="6"/>
        <v>NI-DMM 15.0</v>
      </c>
      <c r="I124" s="36" t="s">
        <v>42</v>
      </c>
      <c r="J124" s="7"/>
    </row>
    <row r="125" spans="1:10" hidden="1" x14ac:dyDescent="0.25">
      <c r="A125" s="28" t="s">
        <v>503</v>
      </c>
      <c r="B125" s="28" t="s">
        <v>123</v>
      </c>
      <c r="C125" s="29" t="s">
        <v>102</v>
      </c>
      <c r="D125" s="29" t="s">
        <v>10</v>
      </c>
      <c r="E125" s="29" t="s">
        <v>11</v>
      </c>
      <c r="F125" s="29" t="s">
        <v>12</v>
      </c>
      <c r="G125" s="29" t="s">
        <v>13</v>
      </c>
      <c r="H125" s="28" t="str">
        <f t="shared" si="6"/>
        <v>NI-DMM Configuration Support 15.0</v>
      </c>
      <c r="I125" s="36" t="s">
        <v>42</v>
      </c>
      <c r="J125" s="7"/>
    </row>
    <row r="126" spans="1:10" hidden="1" x14ac:dyDescent="0.25">
      <c r="A126" s="28" t="s">
        <v>503</v>
      </c>
      <c r="B126" s="28" t="s">
        <v>124</v>
      </c>
      <c r="C126" s="29" t="s">
        <v>102</v>
      </c>
      <c r="D126" s="29" t="s">
        <v>10</v>
      </c>
      <c r="E126" s="29" t="s">
        <v>11</v>
      </c>
      <c r="F126" s="29" t="s">
        <v>12</v>
      </c>
      <c r="G126" s="29" t="s">
        <v>13</v>
      </c>
      <c r="H126" s="28" t="str">
        <f t="shared" si="6"/>
        <v>NI-DMM Development Support 15.0</v>
      </c>
      <c r="I126" s="36" t="s">
        <v>42</v>
      </c>
      <c r="J126" s="7"/>
    </row>
    <row r="127" spans="1:10" hidden="1" x14ac:dyDescent="0.25">
      <c r="A127" s="28" t="s">
        <v>503</v>
      </c>
      <c r="B127" s="28" t="s">
        <v>26</v>
      </c>
      <c r="C127" s="29"/>
      <c r="D127" s="29" t="s">
        <v>10</v>
      </c>
      <c r="E127" s="29" t="s">
        <v>11</v>
      </c>
      <c r="F127" s="29" t="s">
        <v>12</v>
      </c>
      <c r="G127" s="29" t="s">
        <v>13</v>
      </c>
      <c r="H127" s="28" t="str">
        <f t="shared" si="6"/>
        <v xml:space="preserve">NI-FGEN </v>
      </c>
      <c r="I127" s="36" t="s">
        <v>42</v>
      </c>
      <c r="J127" s="7"/>
    </row>
    <row r="128" spans="1:10" hidden="1" x14ac:dyDescent="0.25">
      <c r="A128" s="28" t="s">
        <v>503</v>
      </c>
      <c r="B128" s="28" t="s">
        <v>26</v>
      </c>
      <c r="C128" s="29" t="s">
        <v>102</v>
      </c>
      <c r="D128" s="29" t="s">
        <v>10</v>
      </c>
      <c r="E128" s="29" t="s">
        <v>11</v>
      </c>
      <c r="F128" s="29" t="s">
        <v>24</v>
      </c>
      <c r="G128" s="29" t="s">
        <v>13</v>
      </c>
      <c r="H128" s="28" t="str">
        <f t="shared" si="6"/>
        <v>NI-FGEN 15.0</v>
      </c>
      <c r="I128" s="36" t="s">
        <v>42</v>
      </c>
      <c r="J128" s="7"/>
    </row>
    <row r="129" spans="1:10" hidden="1" x14ac:dyDescent="0.25">
      <c r="A129" s="28" t="s">
        <v>503</v>
      </c>
      <c r="B129" s="28" t="s">
        <v>125</v>
      </c>
      <c r="C129" s="29" t="s">
        <v>102</v>
      </c>
      <c r="D129" s="29" t="s">
        <v>10</v>
      </c>
      <c r="E129" s="29" t="s">
        <v>11</v>
      </c>
      <c r="F129" s="29" t="s">
        <v>12</v>
      </c>
      <c r="G129" s="29" t="s">
        <v>13</v>
      </c>
      <c r="H129" s="28" t="str">
        <f t="shared" si="6"/>
        <v>NI-FGEN Configuration Support 15.0</v>
      </c>
      <c r="I129" s="36" t="s">
        <v>42</v>
      </c>
      <c r="J129" s="7"/>
    </row>
    <row r="130" spans="1:10" hidden="1" x14ac:dyDescent="0.25">
      <c r="A130" s="28" t="s">
        <v>503</v>
      </c>
      <c r="B130" s="28" t="s">
        <v>126</v>
      </c>
      <c r="C130" s="29" t="s">
        <v>102</v>
      </c>
      <c r="D130" s="29" t="s">
        <v>10</v>
      </c>
      <c r="E130" s="29" t="s">
        <v>11</v>
      </c>
      <c r="F130" s="29" t="s">
        <v>12</v>
      </c>
      <c r="G130" s="29" t="s">
        <v>13</v>
      </c>
      <c r="H130" s="28" t="str">
        <f t="shared" si="6"/>
        <v>NI-FGEN Development Support 15.0</v>
      </c>
      <c r="I130" s="36" t="s">
        <v>42</v>
      </c>
      <c r="J130" s="7"/>
    </row>
    <row r="131" spans="1:10" hidden="1" x14ac:dyDescent="0.25">
      <c r="A131" s="28" t="s">
        <v>503</v>
      </c>
      <c r="B131" s="28" t="s">
        <v>401</v>
      </c>
      <c r="C131" s="29" t="s">
        <v>102</v>
      </c>
      <c r="D131" s="29" t="s">
        <v>10</v>
      </c>
      <c r="E131" s="29" t="s">
        <v>11</v>
      </c>
      <c r="F131" s="29" t="s">
        <v>12</v>
      </c>
      <c r="G131" s="29" t="s">
        <v>13</v>
      </c>
      <c r="H131" s="28" t="str">
        <f t="shared" si="6"/>
        <v>NI-FGEN Soft Front Panel 15.0</v>
      </c>
      <c r="I131" s="36" t="s">
        <v>42</v>
      </c>
      <c r="J131" s="7"/>
    </row>
    <row r="132" spans="1:10" hidden="1" x14ac:dyDescent="0.25">
      <c r="A132" s="28" t="s">
        <v>503</v>
      </c>
      <c r="B132" s="28" t="s">
        <v>50</v>
      </c>
      <c r="C132" s="29"/>
      <c r="D132" s="29" t="s">
        <v>10</v>
      </c>
      <c r="E132" s="29" t="s">
        <v>11</v>
      </c>
      <c r="F132" s="29" t="s">
        <v>12</v>
      </c>
      <c r="G132" s="29" t="s">
        <v>13</v>
      </c>
      <c r="H132" s="28" t="str">
        <f t="shared" ref="H132:H163" si="7">B132&amp;" "&amp;C132</f>
        <v xml:space="preserve">NI-HSDIO </v>
      </c>
      <c r="I132" s="36" t="s">
        <v>42</v>
      </c>
      <c r="J132" s="7"/>
    </row>
    <row r="133" spans="1:10" hidden="1" x14ac:dyDescent="0.25">
      <c r="A133" s="28" t="s">
        <v>503</v>
      </c>
      <c r="B133" s="28" t="s">
        <v>50</v>
      </c>
      <c r="C133" s="29" t="s">
        <v>102</v>
      </c>
      <c r="D133" s="29" t="s">
        <v>10</v>
      </c>
      <c r="E133" s="29" t="s">
        <v>11</v>
      </c>
      <c r="F133" s="29" t="s">
        <v>24</v>
      </c>
      <c r="G133" s="29" t="s">
        <v>13</v>
      </c>
      <c r="H133" s="28" t="str">
        <f t="shared" si="7"/>
        <v>NI-HSDIO 15.0</v>
      </c>
      <c r="I133" s="36" t="s">
        <v>42</v>
      </c>
      <c r="J133" s="7"/>
    </row>
    <row r="134" spans="1:10" hidden="1" x14ac:dyDescent="0.25">
      <c r="A134" s="28" t="s">
        <v>503</v>
      </c>
      <c r="B134" s="28" t="s">
        <v>150</v>
      </c>
      <c r="C134" s="29" t="s">
        <v>102</v>
      </c>
      <c r="D134" s="29" t="s">
        <v>10</v>
      </c>
      <c r="E134" s="29" t="s">
        <v>11</v>
      </c>
      <c r="F134" s="29" t="s">
        <v>12</v>
      </c>
      <c r="G134" s="29" t="s">
        <v>13</v>
      </c>
      <c r="H134" s="28" t="str">
        <f t="shared" si="7"/>
        <v>NI-HSDIO Configuration Support 15.0</v>
      </c>
      <c r="I134" s="36" t="s">
        <v>42</v>
      </c>
      <c r="J134" s="7"/>
    </row>
    <row r="135" spans="1:10" hidden="1" x14ac:dyDescent="0.25">
      <c r="A135" s="28" t="s">
        <v>503</v>
      </c>
      <c r="B135" s="28" t="s">
        <v>142</v>
      </c>
      <c r="C135" s="29" t="s">
        <v>102</v>
      </c>
      <c r="D135" s="29" t="s">
        <v>10</v>
      </c>
      <c r="E135" s="29" t="s">
        <v>11</v>
      </c>
      <c r="F135" s="29" t="s">
        <v>12</v>
      </c>
      <c r="G135" s="29" t="s">
        <v>13</v>
      </c>
      <c r="H135" s="28" t="str">
        <f t="shared" si="7"/>
        <v>NI-HSDIO Development Support 15.0</v>
      </c>
      <c r="I135" s="36" t="s">
        <v>42</v>
      </c>
      <c r="J135" s="7"/>
    </row>
    <row r="136" spans="1:10" hidden="1" x14ac:dyDescent="0.25">
      <c r="A136" s="28" t="s">
        <v>503</v>
      </c>
      <c r="B136" s="28" t="s">
        <v>51</v>
      </c>
      <c r="C136" s="29" t="s">
        <v>9</v>
      </c>
      <c r="D136" s="29" t="s">
        <v>10</v>
      </c>
      <c r="E136" s="29" t="s">
        <v>11</v>
      </c>
      <c r="F136" s="29" t="s">
        <v>12</v>
      </c>
      <c r="G136" s="29" t="s">
        <v>13</v>
      </c>
      <c r="H136" s="28" t="str">
        <f t="shared" si="7"/>
        <v>NI-HWS 15.0.0</v>
      </c>
      <c r="I136" s="36" t="s">
        <v>42</v>
      </c>
      <c r="J136" s="7"/>
    </row>
    <row r="137" spans="1:10" hidden="1" x14ac:dyDescent="0.25">
      <c r="A137" s="28" t="s">
        <v>503</v>
      </c>
      <c r="B137" s="28" t="s">
        <v>143</v>
      </c>
      <c r="C137" s="29" t="s">
        <v>144</v>
      </c>
      <c r="D137" s="29" t="s">
        <v>10</v>
      </c>
      <c r="E137" s="29" t="s">
        <v>11</v>
      </c>
      <c r="F137" s="29" t="s">
        <v>12</v>
      </c>
      <c r="G137" s="29" t="s">
        <v>13</v>
      </c>
      <c r="H137" s="28" t="str">
        <f t="shared" si="7"/>
        <v>NI-Industrial Communications for EtherCAT 15.0.0f3</v>
      </c>
      <c r="I137" s="41" t="s">
        <v>415</v>
      </c>
      <c r="J137" s="7"/>
    </row>
    <row r="138" spans="1:10" hidden="1" x14ac:dyDescent="0.25">
      <c r="A138" s="28" t="s">
        <v>503</v>
      </c>
      <c r="B138" s="28" t="s">
        <v>145</v>
      </c>
      <c r="C138" s="29" t="s">
        <v>135</v>
      </c>
      <c r="D138" s="29" t="s">
        <v>10</v>
      </c>
      <c r="E138" s="29" t="s">
        <v>119</v>
      </c>
      <c r="F138" s="29" t="s">
        <v>12</v>
      </c>
      <c r="G138" s="29" t="s">
        <v>13</v>
      </c>
      <c r="H138" s="28" t="str">
        <f t="shared" si="7"/>
        <v>NI-PAL 19.0.0</v>
      </c>
      <c r="I138" s="28"/>
      <c r="J138" s="7"/>
    </row>
    <row r="139" spans="1:10" hidden="1" x14ac:dyDescent="0.25">
      <c r="A139" s="28" t="s">
        <v>503</v>
      </c>
      <c r="B139" s="28" t="s">
        <v>54</v>
      </c>
      <c r="C139" s="29" t="s">
        <v>9</v>
      </c>
      <c r="D139" s="29" t="s">
        <v>10</v>
      </c>
      <c r="E139" s="29" t="s">
        <v>11</v>
      </c>
      <c r="F139" s="29" t="s">
        <v>12</v>
      </c>
      <c r="G139" s="29" t="s">
        <v>13</v>
      </c>
      <c r="H139" s="28" t="str">
        <f t="shared" si="7"/>
        <v>NI-RIO 15.0.0</v>
      </c>
      <c r="I139" s="36" t="s">
        <v>42</v>
      </c>
      <c r="J139" s="7"/>
    </row>
    <row r="140" spans="1:10" hidden="1" x14ac:dyDescent="0.25">
      <c r="A140" s="28" t="s">
        <v>503</v>
      </c>
      <c r="B140" s="28" t="s">
        <v>61</v>
      </c>
      <c r="C140" s="29" t="s">
        <v>102</v>
      </c>
      <c r="D140" s="29" t="s">
        <v>10</v>
      </c>
      <c r="E140" s="29" t="s">
        <v>11</v>
      </c>
      <c r="F140" s="29" t="s">
        <v>12</v>
      </c>
      <c r="G140" s="29" t="s">
        <v>13</v>
      </c>
      <c r="H140" s="28" t="str">
        <f t="shared" si="7"/>
        <v>NI-SCOPE 15.0</v>
      </c>
      <c r="I140" s="36" t="s">
        <v>42</v>
      </c>
      <c r="J140" s="7"/>
    </row>
    <row r="141" spans="1:10" hidden="1" x14ac:dyDescent="0.25">
      <c r="A141" s="28" t="s">
        <v>503</v>
      </c>
      <c r="B141" s="28" t="s">
        <v>61</v>
      </c>
      <c r="C141" s="29" t="s">
        <v>102</v>
      </c>
      <c r="D141" s="29" t="s">
        <v>10</v>
      </c>
      <c r="E141" s="29" t="s">
        <v>11</v>
      </c>
      <c r="F141" s="29" t="s">
        <v>24</v>
      </c>
      <c r="G141" s="29" t="s">
        <v>13</v>
      </c>
      <c r="H141" s="28" t="str">
        <f t="shared" si="7"/>
        <v>NI-SCOPE 15.0</v>
      </c>
      <c r="I141" s="36" t="s">
        <v>42</v>
      </c>
      <c r="J141" s="7"/>
    </row>
    <row r="142" spans="1:10" hidden="1" x14ac:dyDescent="0.25">
      <c r="A142" s="28" t="s">
        <v>503</v>
      </c>
      <c r="B142" s="28" t="s">
        <v>151</v>
      </c>
      <c r="C142" s="29" t="s">
        <v>102</v>
      </c>
      <c r="D142" s="29" t="s">
        <v>10</v>
      </c>
      <c r="E142" s="29" t="s">
        <v>11</v>
      </c>
      <c r="F142" s="29" t="s">
        <v>12</v>
      </c>
      <c r="G142" s="29" t="s">
        <v>13</v>
      </c>
      <c r="H142" s="28" t="str">
        <f t="shared" si="7"/>
        <v>NI-SCOPE Configuration Support 15.0</v>
      </c>
      <c r="I142" s="36" t="s">
        <v>42</v>
      </c>
      <c r="J142" s="7"/>
    </row>
    <row r="143" spans="1:10" hidden="1" x14ac:dyDescent="0.25">
      <c r="A143" s="28" t="s">
        <v>503</v>
      </c>
      <c r="B143" s="28" t="s">
        <v>128</v>
      </c>
      <c r="C143" s="29" t="s">
        <v>102</v>
      </c>
      <c r="D143" s="29" t="s">
        <v>10</v>
      </c>
      <c r="E143" s="29" t="s">
        <v>11</v>
      </c>
      <c r="F143" s="29" t="s">
        <v>12</v>
      </c>
      <c r="G143" s="29" t="s">
        <v>13</v>
      </c>
      <c r="H143" s="28" t="str">
        <f t="shared" si="7"/>
        <v>NI-SCOPE Development Support 15.0</v>
      </c>
      <c r="I143" s="36" t="s">
        <v>42</v>
      </c>
      <c r="J143" s="7"/>
    </row>
    <row r="144" spans="1:10" hidden="1" x14ac:dyDescent="0.25">
      <c r="A144" s="28" t="s">
        <v>503</v>
      </c>
      <c r="B144" s="28" t="s">
        <v>400</v>
      </c>
      <c r="C144" s="29" t="s">
        <v>102</v>
      </c>
      <c r="D144" s="29" t="s">
        <v>10</v>
      </c>
      <c r="E144" s="29" t="s">
        <v>11</v>
      </c>
      <c r="F144" s="29" t="s">
        <v>12</v>
      </c>
      <c r="G144" s="29" t="s">
        <v>13</v>
      </c>
      <c r="H144" s="28" t="str">
        <f t="shared" si="7"/>
        <v>NI-SCOPE Soft Front Panel 15.0</v>
      </c>
      <c r="I144" s="36" t="s">
        <v>42</v>
      </c>
      <c r="J144" s="7"/>
    </row>
    <row r="145" spans="1:10" hidden="1" x14ac:dyDescent="0.25">
      <c r="A145" s="28" t="s">
        <v>503</v>
      </c>
      <c r="B145" s="28" t="s">
        <v>129</v>
      </c>
      <c r="C145" s="29" t="s">
        <v>146</v>
      </c>
      <c r="D145" s="29" t="s">
        <v>10</v>
      </c>
      <c r="E145" s="29" t="s">
        <v>130</v>
      </c>
      <c r="F145" s="29" t="s">
        <v>24</v>
      </c>
      <c r="G145" s="29" t="s">
        <v>13</v>
      </c>
      <c r="H145" s="28" t="str">
        <f t="shared" si="7"/>
        <v>NI-Serial 18.5.0f0</v>
      </c>
      <c r="I145" s="28"/>
      <c r="J145" s="7"/>
    </row>
    <row r="146" spans="1:10" hidden="1" x14ac:dyDescent="0.25">
      <c r="A146" s="28" t="s">
        <v>503</v>
      </c>
      <c r="B146" s="28" t="s">
        <v>64</v>
      </c>
      <c r="C146" s="29" t="s">
        <v>30</v>
      </c>
      <c r="D146" s="29" t="s">
        <v>10</v>
      </c>
      <c r="E146" s="29" t="s">
        <v>11</v>
      </c>
      <c r="F146" s="29" t="s">
        <v>12</v>
      </c>
      <c r="G146" s="29" t="s">
        <v>13</v>
      </c>
      <c r="H146" s="28" t="str">
        <f t="shared" si="7"/>
        <v>NI-Serial Configuration 15.0.0f0</v>
      </c>
      <c r="I146" s="36" t="s">
        <v>42</v>
      </c>
      <c r="J146" s="7"/>
    </row>
    <row r="147" spans="1:10" hidden="1" x14ac:dyDescent="0.25">
      <c r="A147" s="28" t="s">
        <v>503</v>
      </c>
      <c r="B147" s="28" t="s">
        <v>66</v>
      </c>
      <c r="C147" s="29" t="s">
        <v>102</v>
      </c>
      <c r="D147" s="29" t="s">
        <v>10</v>
      </c>
      <c r="E147" s="29" t="s">
        <v>11</v>
      </c>
      <c r="F147" s="29" t="s">
        <v>12</v>
      </c>
      <c r="G147" s="29" t="s">
        <v>13</v>
      </c>
      <c r="H147" s="28" t="str">
        <f t="shared" si="7"/>
        <v>NI-SWITCH 15.0</v>
      </c>
      <c r="I147" s="36" t="s">
        <v>42</v>
      </c>
      <c r="J147" s="7"/>
    </row>
    <row r="148" spans="1:10" hidden="1" x14ac:dyDescent="0.25">
      <c r="A148" s="28" t="s">
        <v>503</v>
      </c>
      <c r="B148" s="28" t="s">
        <v>66</v>
      </c>
      <c r="C148" s="29" t="s">
        <v>102</v>
      </c>
      <c r="D148" s="29" t="s">
        <v>10</v>
      </c>
      <c r="E148" s="29" t="s">
        <v>11</v>
      </c>
      <c r="F148" s="29" t="s">
        <v>24</v>
      </c>
      <c r="G148" s="29" t="s">
        <v>13</v>
      </c>
      <c r="H148" s="28" t="str">
        <f t="shared" si="7"/>
        <v>NI-SWITCH 15.0</v>
      </c>
      <c r="I148" s="36" t="s">
        <v>42</v>
      </c>
      <c r="J148" s="7"/>
    </row>
    <row r="149" spans="1:10" hidden="1" x14ac:dyDescent="0.25">
      <c r="A149" s="28" t="s">
        <v>503</v>
      </c>
      <c r="B149" s="28" t="s">
        <v>131</v>
      </c>
      <c r="C149" s="29" t="s">
        <v>102</v>
      </c>
      <c r="D149" s="29" t="s">
        <v>10</v>
      </c>
      <c r="E149" s="29" t="s">
        <v>11</v>
      </c>
      <c r="F149" s="29" t="s">
        <v>12</v>
      </c>
      <c r="G149" s="29" t="s">
        <v>13</v>
      </c>
      <c r="H149" s="28" t="str">
        <f t="shared" si="7"/>
        <v>NI-SWITCH Configuration Support 15.0</v>
      </c>
      <c r="I149" s="36" t="s">
        <v>42</v>
      </c>
      <c r="J149" s="7"/>
    </row>
    <row r="150" spans="1:10" hidden="1" x14ac:dyDescent="0.25">
      <c r="A150" s="28" t="s">
        <v>503</v>
      </c>
      <c r="B150" s="28" t="s">
        <v>132</v>
      </c>
      <c r="C150" s="29" t="s">
        <v>102</v>
      </c>
      <c r="D150" s="29" t="s">
        <v>10</v>
      </c>
      <c r="E150" s="29" t="s">
        <v>11</v>
      </c>
      <c r="F150" s="29" t="s">
        <v>12</v>
      </c>
      <c r="G150" s="29" t="s">
        <v>13</v>
      </c>
      <c r="H150" s="28" t="str">
        <f t="shared" si="7"/>
        <v>NI-SWITCH Development Support 15.0</v>
      </c>
      <c r="I150" s="36" t="s">
        <v>42</v>
      </c>
      <c r="J150" s="7"/>
    </row>
    <row r="151" spans="1:10" hidden="1" x14ac:dyDescent="0.25">
      <c r="A151" s="28" t="s">
        <v>503</v>
      </c>
      <c r="B151" s="28" t="s">
        <v>67</v>
      </c>
      <c r="C151" s="29" t="s">
        <v>9</v>
      </c>
      <c r="D151" s="29" t="s">
        <v>10</v>
      </c>
      <c r="E151" s="29" t="s">
        <v>11</v>
      </c>
      <c r="F151" s="29" t="s">
        <v>12</v>
      </c>
      <c r="G151" s="29" t="s">
        <v>13</v>
      </c>
      <c r="H151" s="28" t="str">
        <f t="shared" si="7"/>
        <v>NI-SWITCH Soft Front Panel 15.0.0</v>
      </c>
      <c r="I151" s="36" t="s">
        <v>42</v>
      </c>
      <c r="J151" s="7"/>
    </row>
    <row r="152" spans="1:10" hidden="1" x14ac:dyDescent="0.25">
      <c r="A152" s="28" t="s">
        <v>503</v>
      </c>
      <c r="B152" s="28" t="s">
        <v>56</v>
      </c>
      <c r="C152" s="29" t="s">
        <v>30</v>
      </c>
      <c r="D152" s="29" t="s">
        <v>10</v>
      </c>
      <c r="E152" s="29" t="s">
        <v>11</v>
      </c>
      <c r="F152" s="29" t="s">
        <v>12</v>
      </c>
      <c r="G152" s="29" t="s">
        <v>13</v>
      </c>
      <c r="H152" s="28" t="str">
        <f t="shared" si="7"/>
        <v>NI-Sync 15.0.0f0</v>
      </c>
      <c r="I152" s="36" t="s">
        <v>42</v>
      </c>
      <c r="J152" s="7"/>
    </row>
    <row r="153" spans="1:10" hidden="1" x14ac:dyDescent="0.25">
      <c r="A153" s="28" t="s">
        <v>503</v>
      </c>
      <c r="B153" s="28" t="s">
        <v>69</v>
      </c>
      <c r="C153" s="29" t="s">
        <v>102</v>
      </c>
      <c r="D153" s="29" t="s">
        <v>10</v>
      </c>
      <c r="E153" s="29" t="s">
        <v>11</v>
      </c>
      <c r="F153" s="29" t="s">
        <v>12</v>
      </c>
      <c r="G153" s="29" t="s">
        <v>13</v>
      </c>
      <c r="H153" s="28" t="str">
        <f t="shared" si="7"/>
        <v>NI-TClk 15.0</v>
      </c>
      <c r="I153" s="36" t="s">
        <v>42</v>
      </c>
      <c r="J153" s="7"/>
    </row>
    <row r="154" spans="1:10" hidden="1" x14ac:dyDescent="0.25">
      <c r="A154" s="28" t="s">
        <v>503</v>
      </c>
      <c r="B154" s="28" t="s">
        <v>57</v>
      </c>
      <c r="C154" s="29" t="s">
        <v>30</v>
      </c>
      <c r="D154" s="29" t="s">
        <v>10</v>
      </c>
      <c r="E154" s="29" t="s">
        <v>11</v>
      </c>
      <c r="F154" s="29" t="s">
        <v>12</v>
      </c>
      <c r="G154" s="29" t="s">
        <v>13</v>
      </c>
      <c r="H154" s="28" t="str">
        <f t="shared" si="7"/>
        <v>NI-TimeSync 15.0.0f0</v>
      </c>
      <c r="I154" s="36" t="s">
        <v>42</v>
      </c>
      <c r="J154" s="7"/>
    </row>
    <row r="155" spans="1:10" hidden="1" x14ac:dyDescent="0.25">
      <c r="A155" s="28" t="s">
        <v>503</v>
      </c>
      <c r="B155" s="28" t="s">
        <v>46</v>
      </c>
      <c r="C155" s="29" t="s">
        <v>152</v>
      </c>
      <c r="D155" s="29" t="s">
        <v>10</v>
      </c>
      <c r="E155" s="29" t="s">
        <v>153</v>
      </c>
      <c r="F155" s="29" t="s">
        <v>12</v>
      </c>
      <c r="G155" s="29" t="s">
        <v>13</v>
      </c>
      <c r="H155" s="28" t="str">
        <f t="shared" si="7"/>
        <v>NI-USI 17.0.0.6654</v>
      </c>
      <c r="I155" s="28"/>
      <c r="J155" s="7"/>
    </row>
    <row r="156" spans="1:10" hidden="1" x14ac:dyDescent="0.25">
      <c r="A156" s="28" t="s">
        <v>503</v>
      </c>
      <c r="B156" s="28" t="s">
        <v>70</v>
      </c>
      <c r="C156" s="29" t="s">
        <v>120</v>
      </c>
      <c r="D156" s="29" t="s">
        <v>10</v>
      </c>
      <c r="E156" s="29" t="s">
        <v>119</v>
      </c>
      <c r="F156" s="29" t="s">
        <v>12</v>
      </c>
      <c r="G156" s="29" t="s">
        <v>13</v>
      </c>
      <c r="H156" s="28" t="str">
        <f t="shared" si="7"/>
        <v>NI-VISA 19.5</v>
      </c>
      <c r="I156" s="28"/>
      <c r="J156" s="7"/>
    </row>
    <row r="157" spans="1:10" hidden="1" x14ac:dyDescent="0.25">
      <c r="A157" s="28" t="s">
        <v>503</v>
      </c>
      <c r="B157" s="28" t="s">
        <v>70</v>
      </c>
      <c r="C157" s="29" t="s">
        <v>120</v>
      </c>
      <c r="D157" s="29" t="s">
        <v>10</v>
      </c>
      <c r="E157" s="29" t="s">
        <v>119</v>
      </c>
      <c r="F157" s="29" t="s">
        <v>24</v>
      </c>
      <c r="G157" s="29" t="s">
        <v>13</v>
      </c>
      <c r="H157" s="28" t="str">
        <f t="shared" si="7"/>
        <v>NI-VISA 19.5</v>
      </c>
      <c r="I157" s="28"/>
      <c r="J157" s="7"/>
    </row>
    <row r="158" spans="1:10" hidden="1" x14ac:dyDescent="0.25">
      <c r="A158" s="28" t="s">
        <v>503</v>
      </c>
      <c r="B158" s="28" t="s">
        <v>73</v>
      </c>
      <c r="C158" s="29" t="s">
        <v>72</v>
      </c>
      <c r="D158" s="29" t="s">
        <v>154</v>
      </c>
      <c r="E158" s="29" t="s">
        <v>11</v>
      </c>
      <c r="F158" s="29" t="s">
        <v>12</v>
      </c>
      <c r="G158" s="29" t="s">
        <v>13</v>
      </c>
      <c r="H158" s="28" t="str">
        <f t="shared" si="7"/>
        <v>NIvisaic.exe 15.0.0.49152</v>
      </c>
      <c r="I158" s="36" t="s">
        <v>42</v>
      </c>
      <c r="J158" s="7"/>
    </row>
    <row r="159" spans="1:10" hidden="1" x14ac:dyDescent="0.25">
      <c r="A159" s="28" t="s">
        <v>503</v>
      </c>
      <c r="B159" s="28" t="s">
        <v>71</v>
      </c>
      <c r="C159" s="29" t="s">
        <v>72</v>
      </c>
      <c r="D159" s="29" t="s">
        <v>10</v>
      </c>
      <c r="E159" s="29" t="s">
        <v>11</v>
      </c>
      <c r="F159" s="29" t="s">
        <v>12</v>
      </c>
      <c r="G159" s="29" t="s">
        <v>13</v>
      </c>
      <c r="H159" s="28" t="str">
        <f t="shared" si="7"/>
        <v>NiVisaServer.exe 15.0.0.49152</v>
      </c>
      <c r="I159" s="36" t="s">
        <v>42</v>
      </c>
      <c r="J159" s="7"/>
    </row>
    <row r="160" spans="1:10" hidden="1" x14ac:dyDescent="0.25">
      <c r="A160" s="28" t="s">
        <v>503</v>
      </c>
      <c r="B160" s="28" t="s">
        <v>35</v>
      </c>
      <c r="C160" s="29" t="s">
        <v>92</v>
      </c>
      <c r="D160" s="29" t="s">
        <v>10</v>
      </c>
      <c r="E160" s="29" t="s">
        <v>11</v>
      </c>
      <c r="F160" s="29" t="s">
        <v>12</v>
      </c>
      <c r="G160" s="29" t="s">
        <v>13</v>
      </c>
      <c r="H160" s="28" t="str">
        <f t="shared" si="7"/>
        <v>Real-Time 15.0.1</v>
      </c>
      <c r="I160" s="40" t="s">
        <v>465</v>
      </c>
      <c r="J160" s="7"/>
    </row>
    <row r="161" spans="1:10" hidden="1" x14ac:dyDescent="0.25">
      <c r="A161" s="28" t="s">
        <v>503</v>
      </c>
      <c r="B161" s="28" t="s">
        <v>36</v>
      </c>
      <c r="C161" s="29" t="s">
        <v>92</v>
      </c>
      <c r="D161" s="29" t="s">
        <v>10</v>
      </c>
      <c r="E161" s="29" t="s">
        <v>11</v>
      </c>
      <c r="F161" s="29" t="s">
        <v>12</v>
      </c>
      <c r="G161" s="29" t="s">
        <v>13</v>
      </c>
      <c r="H161" s="28" t="str">
        <f t="shared" si="7"/>
        <v>Real-Time Trace Viewer - LabVIEW 2015 Support 15.0.1</v>
      </c>
      <c r="I161" s="40" t="s">
        <v>465</v>
      </c>
      <c r="J161" s="7"/>
    </row>
    <row r="162" spans="1:10" hidden="1" x14ac:dyDescent="0.25">
      <c r="A162" s="28" t="s">
        <v>503</v>
      </c>
      <c r="B162" s="28" t="s">
        <v>37</v>
      </c>
      <c r="C162" s="29" t="s">
        <v>9</v>
      </c>
      <c r="D162" s="29" t="s">
        <v>10</v>
      </c>
      <c r="E162" s="29" t="s">
        <v>11</v>
      </c>
      <c r="F162" s="29" t="s">
        <v>12</v>
      </c>
      <c r="G162" s="29" t="s">
        <v>13</v>
      </c>
      <c r="H162" s="28" t="str">
        <f t="shared" si="7"/>
        <v>Report Generation Toolkit For Microsoft Office 15.0.0</v>
      </c>
      <c r="I162" s="36" t="s">
        <v>42</v>
      </c>
      <c r="J162" s="7"/>
    </row>
    <row r="163" spans="1:10" hidden="1" x14ac:dyDescent="0.25">
      <c r="A163" s="28" t="s">
        <v>503</v>
      </c>
      <c r="B163" s="28" t="s">
        <v>38</v>
      </c>
      <c r="C163" s="29" t="s">
        <v>102</v>
      </c>
      <c r="D163" s="29" t="s">
        <v>10</v>
      </c>
      <c r="E163" s="29" t="s">
        <v>11</v>
      </c>
      <c r="F163" s="29" t="s">
        <v>12</v>
      </c>
      <c r="G163" s="29" t="s">
        <v>13</v>
      </c>
      <c r="H163" s="28" t="str">
        <f t="shared" si="7"/>
        <v>Statechart Module 15.0</v>
      </c>
      <c r="I163" s="36" t="s">
        <v>42</v>
      </c>
      <c r="J163" s="7"/>
    </row>
    <row r="164" spans="1:10" hidden="1" x14ac:dyDescent="0.25">
      <c r="A164" s="28" t="s">
        <v>503</v>
      </c>
      <c r="B164" s="28" t="s">
        <v>39</v>
      </c>
      <c r="C164" s="29" t="s">
        <v>9</v>
      </c>
      <c r="D164" s="29" t="s">
        <v>10</v>
      </c>
      <c r="E164" s="29" t="s">
        <v>11</v>
      </c>
      <c r="F164" s="29" t="s">
        <v>12</v>
      </c>
      <c r="G164" s="29" t="s">
        <v>13</v>
      </c>
      <c r="H164" s="28" t="str">
        <f t="shared" ref="H164:H195" si="8">B164&amp;" "&amp;C164</f>
        <v>Unit Test Framework Toolkit 15.0.0</v>
      </c>
      <c r="I164" s="36" t="s">
        <v>42</v>
      </c>
      <c r="J164" s="7"/>
    </row>
    <row r="165" spans="1:10" hidden="1" x14ac:dyDescent="0.25">
      <c r="A165" s="28" t="s">
        <v>503</v>
      </c>
      <c r="B165" s="28" t="s">
        <v>40</v>
      </c>
      <c r="C165" s="29" t="s">
        <v>9</v>
      </c>
      <c r="D165" s="29" t="s">
        <v>10</v>
      </c>
      <c r="E165" s="29" t="s">
        <v>11</v>
      </c>
      <c r="F165" s="29" t="s">
        <v>12</v>
      </c>
      <c r="G165" s="29" t="s">
        <v>13</v>
      </c>
      <c r="H165" s="28" t="str">
        <f t="shared" si="8"/>
        <v>VI Analyzer Toolkit 15.0.0</v>
      </c>
      <c r="I165" s="36" t="s">
        <v>42</v>
      </c>
      <c r="J165" s="7"/>
    </row>
    <row r="166" spans="1:10" hidden="1" x14ac:dyDescent="0.25">
      <c r="A166" s="20" t="s">
        <v>542</v>
      </c>
      <c r="B166" s="20" t="s">
        <v>15</v>
      </c>
      <c r="C166" s="21" t="s">
        <v>97</v>
      </c>
      <c r="D166" s="21" t="s">
        <v>10</v>
      </c>
      <c r="E166" s="21">
        <v>2015</v>
      </c>
      <c r="F166" s="21" t="s">
        <v>12</v>
      </c>
      <c r="G166" s="21" t="s">
        <v>13</v>
      </c>
      <c r="H166" s="20" t="str">
        <f t="shared" si="8"/>
        <v>C Series Module Support 15.5.0</v>
      </c>
      <c r="I166" s="20"/>
      <c r="J166" s="7"/>
    </row>
    <row r="167" spans="1:10" hidden="1" x14ac:dyDescent="0.25">
      <c r="A167" s="20" t="s">
        <v>542</v>
      </c>
      <c r="B167" s="20" t="s">
        <v>200</v>
      </c>
      <c r="C167" s="21" t="s">
        <v>201</v>
      </c>
      <c r="D167" s="21" t="s">
        <v>10</v>
      </c>
      <c r="E167" s="21" t="s">
        <v>136</v>
      </c>
      <c r="F167" s="21" t="s">
        <v>12</v>
      </c>
      <c r="G167" s="21" t="s">
        <v>158</v>
      </c>
      <c r="H167" s="20" t="str">
        <f t="shared" si="8"/>
        <v>Caraya Unit Test Framework 0.6.3.54</v>
      </c>
      <c r="I167" s="120" t="s">
        <v>202</v>
      </c>
      <c r="J167" s="7"/>
    </row>
    <row r="168" spans="1:10" hidden="1" x14ac:dyDescent="0.25">
      <c r="A168" s="20" t="s">
        <v>542</v>
      </c>
      <c r="B168" s="20" t="s">
        <v>14</v>
      </c>
      <c r="C168" s="21" t="s">
        <v>97</v>
      </c>
      <c r="D168" s="21" t="s">
        <v>10</v>
      </c>
      <c r="E168" s="21">
        <v>2015</v>
      </c>
      <c r="F168" s="21" t="s">
        <v>12</v>
      </c>
      <c r="G168" s="21" t="s">
        <v>13</v>
      </c>
      <c r="H168" s="20" t="str">
        <f t="shared" si="8"/>
        <v>CompactRIO 15.5.0</v>
      </c>
      <c r="I168" s="20"/>
      <c r="J168" s="7"/>
    </row>
    <row r="169" spans="1:10" hidden="1" x14ac:dyDescent="0.25">
      <c r="A169" s="20" t="s">
        <v>542</v>
      </c>
      <c r="B169" s="20" t="s">
        <v>174</v>
      </c>
      <c r="C169" s="21" t="s">
        <v>170</v>
      </c>
      <c r="D169" s="21" t="s">
        <v>10</v>
      </c>
      <c r="E169" s="21" t="s">
        <v>11</v>
      </c>
      <c r="F169" s="21" t="s">
        <v>171</v>
      </c>
      <c r="G169" s="21" t="s">
        <v>13</v>
      </c>
      <c r="H169" s="20" t="str">
        <f t="shared" si="8"/>
        <v>CompactRIO Suport 15.5</v>
      </c>
      <c r="I169" s="20"/>
      <c r="J169" s="7"/>
    </row>
    <row r="170" spans="1:10" hidden="1" x14ac:dyDescent="0.25">
      <c r="A170" s="20" t="s">
        <v>542</v>
      </c>
      <c r="B170" s="20" t="s">
        <v>75</v>
      </c>
      <c r="C170" s="21" t="s">
        <v>364</v>
      </c>
      <c r="D170" s="21" t="s">
        <v>10</v>
      </c>
      <c r="E170" s="21" t="s">
        <v>119</v>
      </c>
      <c r="F170" s="21" t="s">
        <v>24</v>
      </c>
      <c r="G170" s="21" t="s">
        <v>13</v>
      </c>
      <c r="H170" s="20" t="str">
        <f t="shared" si="8"/>
        <v>CVI 19.0.0.49154</v>
      </c>
      <c r="I170" s="20"/>
      <c r="J170" s="7"/>
    </row>
    <row r="171" spans="1:10" hidden="1" x14ac:dyDescent="0.25">
      <c r="A171" s="20" t="s">
        <v>542</v>
      </c>
      <c r="B171" s="20" t="s">
        <v>33</v>
      </c>
      <c r="C171" s="21" t="s">
        <v>9</v>
      </c>
      <c r="D171" s="21" t="s">
        <v>10</v>
      </c>
      <c r="E171" s="21">
        <v>2015</v>
      </c>
      <c r="F171" s="21" t="s">
        <v>12</v>
      </c>
      <c r="G171" s="21" t="s">
        <v>13</v>
      </c>
      <c r="H171" s="20" t="str">
        <f t="shared" si="8"/>
        <v>Database Connectivity Toolkit 15.0.0</v>
      </c>
      <c r="I171" s="36" t="s">
        <v>42</v>
      </c>
      <c r="J171" s="7"/>
    </row>
    <row r="172" spans="1:10" hidden="1" x14ac:dyDescent="0.25">
      <c r="A172" s="20" t="s">
        <v>542</v>
      </c>
      <c r="B172" s="20" t="s">
        <v>203</v>
      </c>
      <c r="C172" s="21" t="s">
        <v>204</v>
      </c>
      <c r="D172" s="21" t="s">
        <v>10</v>
      </c>
      <c r="E172" s="21" t="s">
        <v>136</v>
      </c>
      <c r="F172" s="21" t="s">
        <v>12</v>
      </c>
      <c r="G172" s="21" t="s">
        <v>540</v>
      </c>
      <c r="H172" s="20" t="str">
        <f t="shared" si="8"/>
        <v>Delacor QMH 4.0.0.28</v>
      </c>
      <c r="I172" s="119" t="s">
        <v>202</v>
      </c>
      <c r="J172" s="7"/>
    </row>
    <row r="173" spans="1:10" hidden="1" x14ac:dyDescent="0.25">
      <c r="A173" s="20" t="s">
        <v>542</v>
      </c>
      <c r="B173" s="20" t="s">
        <v>205</v>
      </c>
      <c r="C173" s="21" t="s">
        <v>537</v>
      </c>
      <c r="D173" s="21" t="s">
        <v>10</v>
      </c>
      <c r="E173" s="21" t="s">
        <v>136</v>
      </c>
      <c r="F173" s="21" t="s">
        <v>12</v>
      </c>
      <c r="G173" s="21" t="s">
        <v>540</v>
      </c>
      <c r="H173" s="20" t="str">
        <f t="shared" si="8"/>
        <v>Delacor QMH Event Scripter 4.0.0.68</v>
      </c>
      <c r="I173" s="119" t="s">
        <v>202</v>
      </c>
      <c r="J173" s="7"/>
    </row>
    <row r="174" spans="1:10" hidden="1" x14ac:dyDescent="0.25">
      <c r="A174" s="20" t="s">
        <v>542</v>
      </c>
      <c r="B174" s="20" t="s">
        <v>206</v>
      </c>
      <c r="C174" s="21" t="s">
        <v>207</v>
      </c>
      <c r="D174" s="21" t="s">
        <v>10</v>
      </c>
      <c r="E174" s="21" t="s">
        <v>136</v>
      </c>
      <c r="F174" s="21" t="s">
        <v>12</v>
      </c>
      <c r="G174" s="21" t="s">
        <v>540</v>
      </c>
      <c r="H174" s="20" t="str">
        <f t="shared" si="8"/>
        <v>Delacor QMH Palette 3.0.0.1</v>
      </c>
      <c r="I174" s="119" t="s">
        <v>202</v>
      </c>
      <c r="J174" s="7"/>
    </row>
    <row r="175" spans="1:10" hidden="1" x14ac:dyDescent="0.25">
      <c r="A175" s="20" t="s">
        <v>542</v>
      </c>
      <c r="B175" s="20" t="s">
        <v>208</v>
      </c>
      <c r="C175" s="21" t="s">
        <v>209</v>
      </c>
      <c r="D175" s="21" t="s">
        <v>10</v>
      </c>
      <c r="E175" s="21" t="s">
        <v>136</v>
      </c>
      <c r="F175" s="21" t="s">
        <v>12</v>
      </c>
      <c r="G175" s="21" t="s">
        <v>540</v>
      </c>
      <c r="H175" s="20" t="str">
        <f t="shared" si="8"/>
        <v>Delacor QMH Project Template 4.0.0.47</v>
      </c>
      <c r="I175" s="119" t="s">
        <v>202</v>
      </c>
      <c r="J175" s="7"/>
    </row>
    <row r="176" spans="1:10" hidden="1" x14ac:dyDescent="0.25">
      <c r="A176" s="20" t="s">
        <v>542</v>
      </c>
      <c r="B176" s="20" t="s">
        <v>210</v>
      </c>
      <c r="C176" s="21" t="s">
        <v>211</v>
      </c>
      <c r="D176" s="21" t="s">
        <v>10</v>
      </c>
      <c r="E176" s="21" t="s">
        <v>136</v>
      </c>
      <c r="F176" s="21" t="s">
        <v>12</v>
      </c>
      <c r="G176" s="21" t="s">
        <v>540</v>
      </c>
      <c r="H176" s="20" t="str">
        <f t="shared" si="8"/>
        <v>Delacor QMH Thermal Chamber Examples 4.0.0.21</v>
      </c>
      <c r="I176" s="119" t="s">
        <v>202</v>
      </c>
      <c r="J176" s="7"/>
    </row>
    <row r="177" spans="1:10" hidden="1" x14ac:dyDescent="0.25">
      <c r="A177" s="20" t="s">
        <v>542</v>
      </c>
      <c r="B177" s="20" t="s">
        <v>212</v>
      </c>
      <c r="C177" s="21" t="s">
        <v>213</v>
      </c>
      <c r="D177" s="21" t="s">
        <v>10</v>
      </c>
      <c r="E177" s="21" t="s">
        <v>136</v>
      </c>
      <c r="F177" s="21" t="s">
        <v>12</v>
      </c>
      <c r="G177" s="21" t="s">
        <v>214</v>
      </c>
      <c r="H177" s="20" t="str">
        <f t="shared" si="8"/>
        <v>DMC UX Toolkit 1.0.0.2</v>
      </c>
      <c r="I177" s="20"/>
      <c r="J177" s="7"/>
    </row>
    <row r="178" spans="1:10" hidden="1" x14ac:dyDescent="0.25">
      <c r="A178" s="20" t="s">
        <v>542</v>
      </c>
      <c r="B178" s="20" t="s">
        <v>365</v>
      </c>
      <c r="C178" s="21">
        <v>15</v>
      </c>
      <c r="D178" s="21" t="s">
        <v>10</v>
      </c>
      <c r="E178" s="21" t="s">
        <v>11</v>
      </c>
      <c r="F178" s="21" t="s">
        <v>12</v>
      </c>
      <c r="G178" s="21" t="s">
        <v>13</v>
      </c>
      <c r="H178" s="20" t="str">
        <f t="shared" si="8"/>
        <v>FieldPoint 15</v>
      </c>
      <c r="I178" s="20"/>
      <c r="J178" s="7"/>
    </row>
    <row r="179" spans="1:10" hidden="1" x14ac:dyDescent="0.25">
      <c r="A179" s="20" t="s">
        <v>542</v>
      </c>
      <c r="B179" s="20" t="s">
        <v>58</v>
      </c>
      <c r="C179" s="21" t="s">
        <v>389</v>
      </c>
      <c r="D179" s="21" t="s">
        <v>10</v>
      </c>
      <c r="E179" s="21">
        <v>2015</v>
      </c>
      <c r="F179" s="21" t="s">
        <v>12</v>
      </c>
      <c r="G179" s="21" t="s">
        <v>13</v>
      </c>
      <c r="H179" s="20" t="str">
        <f t="shared" si="8"/>
        <v>FlexRIO 15.5.0f0</v>
      </c>
      <c r="I179" s="20"/>
      <c r="J179" s="7"/>
    </row>
    <row r="180" spans="1:10" hidden="1" x14ac:dyDescent="0.25">
      <c r="A180" s="20" t="s">
        <v>542</v>
      </c>
      <c r="B180" s="20" t="s">
        <v>397</v>
      </c>
      <c r="C180" s="21" t="s">
        <v>92</v>
      </c>
      <c r="D180" s="21" t="s">
        <v>10</v>
      </c>
      <c r="E180" s="21">
        <v>2015</v>
      </c>
      <c r="F180" s="21" t="s">
        <v>12</v>
      </c>
      <c r="G180" s="21" t="s">
        <v>13</v>
      </c>
      <c r="H180" s="20" t="str">
        <f t="shared" si="8"/>
        <v>FPGA 15.0.1</v>
      </c>
      <c r="I180" s="20"/>
      <c r="J180" s="7"/>
    </row>
    <row r="181" spans="1:10" hidden="1" x14ac:dyDescent="0.25">
      <c r="A181" s="20" t="s">
        <v>542</v>
      </c>
      <c r="B181" s="20" t="s">
        <v>215</v>
      </c>
      <c r="C181" s="21" t="s">
        <v>216</v>
      </c>
      <c r="D181" s="21" t="s">
        <v>10</v>
      </c>
      <c r="E181" s="21" t="s">
        <v>136</v>
      </c>
      <c r="F181" s="21" t="s">
        <v>12</v>
      </c>
      <c r="G181" s="21" t="s">
        <v>217</v>
      </c>
      <c r="H181" s="20" t="str">
        <f t="shared" si="8"/>
        <v>GPower All Toolsets 2017.0.0.11</v>
      </c>
      <c r="I181" s="119" t="s">
        <v>202</v>
      </c>
      <c r="J181" s="7"/>
    </row>
    <row r="182" spans="1:10" hidden="1" x14ac:dyDescent="0.25">
      <c r="A182" s="20" t="s">
        <v>542</v>
      </c>
      <c r="B182" s="20" t="s">
        <v>218</v>
      </c>
      <c r="C182" s="21" t="s">
        <v>162</v>
      </c>
      <c r="D182" s="21" t="s">
        <v>10</v>
      </c>
      <c r="E182" s="21" t="s">
        <v>136</v>
      </c>
      <c r="F182" s="21" t="s">
        <v>12</v>
      </c>
      <c r="G182" s="21" t="s">
        <v>217</v>
      </c>
      <c r="H182" s="20" t="str">
        <f t="shared" si="8"/>
        <v>GPower Array 2016.2.0.27</v>
      </c>
      <c r="I182" s="119" t="s">
        <v>202</v>
      </c>
      <c r="J182" s="7"/>
    </row>
    <row r="183" spans="1:10" hidden="1" x14ac:dyDescent="0.25">
      <c r="A183" s="20" t="s">
        <v>542</v>
      </c>
      <c r="B183" s="20" t="s">
        <v>161</v>
      </c>
      <c r="C183" s="21" t="s">
        <v>162</v>
      </c>
      <c r="D183" s="21" t="s">
        <v>10</v>
      </c>
      <c r="E183" s="21" t="s">
        <v>163</v>
      </c>
      <c r="F183" s="21" t="s">
        <v>12</v>
      </c>
      <c r="G183" s="21" t="s">
        <v>164</v>
      </c>
      <c r="H183" s="20" t="str">
        <f t="shared" si="8"/>
        <v>Gpower Array Library 2016.2.0.27</v>
      </c>
      <c r="I183" s="119" t="s">
        <v>202</v>
      </c>
      <c r="J183" s="7"/>
    </row>
    <row r="184" spans="1:10" hidden="1" x14ac:dyDescent="0.25">
      <c r="A184" s="20" t="s">
        <v>542</v>
      </c>
      <c r="B184" s="20" t="s">
        <v>219</v>
      </c>
      <c r="C184" s="21" t="s">
        <v>220</v>
      </c>
      <c r="D184" s="21" t="s">
        <v>10</v>
      </c>
      <c r="E184" s="21" t="s">
        <v>136</v>
      </c>
      <c r="F184" s="21" t="s">
        <v>12</v>
      </c>
      <c r="G184" s="21" t="s">
        <v>217</v>
      </c>
      <c r="H184" s="20" t="str">
        <f t="shared" si="8"/>
        <v>GPower Comparison 2016.0.0.4</v>
      </c>
      <c r="I184" s="119" t="s">
        <v>202</v>
      </c>
      <c r="J184" s="7"/>
    </row>
    <row r="185" spans="1:10" hidden="1" x14ac:dyDescent="0.25">
      <c r="A185" s="20" t="s">
        <v>542</v>
      </c>
      <c r="B185" s="20" t="s">
        <v>221</v>
      </c>
      <c r="C185" s="21" t="s">
        <v>222</v>
      </c>
      <c r="D185" s="21" t="s">
        <v>10</v>
      </c>
      <c r="E185" s="21" t="s">
        <v>136</v>
      </c>
      <c r="F185" s="21" t="s">
        <v>12</v>
      </c>
      <c r="G185" s="21" t="s">
        <v>217</v>
      </c>
      <c r="H185" s="20" t="str">
        <f t="shared" si="8"/>
        <v>GPower Error &amp; Warning 2014.0.0.38</v>
      </c>
      <c r="I185" s="119" t="s">
        <v>202</v>
      </c>
      <c r="J185" s="7"/>
    </row>
    <row r="186" spans="1:10" hidden="1" x14ac:dyDescent="0.25">
      <c r="A186" s="20" t="s">
        <v>542</v>
      </c>
      <c r="B186" s="20" t="s">
        <v>223</v>
      </c>
      <c r="C186" s="21" t="s">
        <v>224</v>
      </c>
      <c r="D186" s="21" t="s">
        <v>10</v>
      </c>
      <c r="E186" s="21" t="s">
        <v>136</v>
      </c>
      <c r="F186" s="21" t="s">
        <v>12</v>
      </c>
      <c r="G186" s="21" t="s">
        <v>217</v>
      </c>
      <c r="H186" s="20" t="str">
        <f t="shared" si="8"/>
        <v>GPower Events 2012.0.0.7</v>
      </c>
      <c r="I186" s="119" t="s">
        <v>202</v>
      </c>
      <c r="J186" s="7"/>
    </row>
    <row r="187" spans="1:10" hidden="1" x14ac:dyDescent="0.25">
      <c r="A187" s="20" t="s">
        <v>542</v>
      </c>
      <c r="B187" s="20" t="s">
        <v>225</v>
      </c>
      <c r="C187" s="21" t="s">
        <v>226</v>
      </c>
      <c r="D187" s="21" t="s">
        <v>10</v>
      </c>
      <c r="E187" s="21" t="s">
        <v>136</v>
      </c>
      <c r="F187" s="21" t="s">
        <v>12</v>
      </c>
      <c r="G187" s="21" t="s">
        <v>217</v>
      </c>
      <c r="H187" s="20" t="str">
        <f t="shared" si="8"/>
        <v>GPower Math 2012.1.0.6</v>
      </c>
      <c r="I187" s="119" t="s">
        <v>202</v>
      </c>
      <c r="J187" s="7"/>
    </row>
    <row r="188" spans="1:10" hidden="1" x14ac:dyDescent="0.25">
      <c r="A188" s="20" t="s">
        <v>542</v>
      </c>
      <c r="B188" s="20" t="s">
        <v>227</v>
      </c>
      <c r="C188" s="21" t="s">
        <v>228</v>
      </c>
      <c r="D188" s="21" t="s">
        <v>10</v>
      </c>
      <c r="E188" s="21" t="s">
        <v>136</v>
      </c>
      <c r="F188" s="21" t="s">
        <v>12</v>
      </c>
      <c r="G188" s="21" t="s">
        <v>217</v>
      </c>
      <c r="H188" s="20" t="str">
        <f t="shared" si="8"/>
        <v>GPower Numeric 2016.2.0.14</v>
      </c>
      <c r="I188" s="119" t="s">
        <v>202</v>
      </c>
      <c r="J188" s="7"/>
    </row>
    <row r="189" spans="1:10" hidden="1" x14ac:dyDescent="0.25">
      <c r="A189" s="20" t="s">
        <v>542</v>
      </c>
      <c r="B189" s="20" t="s">
        <v>229</v>
      </c>
      <c r="C189" s="21" t="s">
        <v>230</v>
      </c>
      <c r="D189" s="21" t="s">
        <v>10</v>
      </c>
      <c r="E189" s="21" t="s">
        <v>136</v>
      </c>
      <c r="F189" s="21" t="s">
        <v>12</v>
      </c>
      <c r="G189" s="21" t="s">
        <v>217</v>
      </c>
      <c r="H189" s="20" t="str">
        <f t="shared" si="8"/>
        <v>GPower Overflow 2014.0.0.4</v>
      </c>
      <c r="I189" s="119" t="s">
        <v>202</v>
      </c>
      <c r="J189" s="7"/>
    </row>
    <row r="190" spans="1:10" hidden="1" x14ac:dyDescent="0.25">
      <c r="A190" s="20" t="s">
        <v>542</v>
      </c>
      <c r="B190" s="20" t="s">
        <v>231</v>
      </c>
      <c r="C190" s="21" t="s">
        <v>232</v>
      </c>
      <c r="D190" s="21" t="s">
        <v>10</v>
      </c>
      <c r="E190" s="21" t="s">
        <v>136</v>
      </c>
      <c r="F190" s="21" t="s">
        <v>12</v>
      </c>
      <c r="G190" s="21" t="s">
        <v>217</v>
      </c>
      <c r="H190" s="20" t="str">
        <f t="shared" si="8"/>
        <v>GPower String 2016.1.0.11</v>
      </c>
      <c r="I190" s="119" t="s">
        <v>202</v>
      </c>
      <c r="J190" s="7"/>
    </row>
    <row r="191" spans="1:10" hidden="1" x14ac:dyDescent="0.25">
      <c r="A191" s="20" t="s">
        <v>542</v>
      </c>
      <c r="B191" s="20" t="s">
        <v>233</v>
      </c>
      <c r="C191" s="21" t="s">
        <v>234</v>
      </c>
      <c r="D191" s="21" t="s">
        <v>10</v>
      </c>
      <c r="E191" s="21" t="s">
        <v>136</v>
      </c>
      <c r="F191" s="21" t="s">
        <v>12</v>
      </c>
      <c r="G191" s="21" t="s">
        <v>217</v>
      </c>
      <c r="H191" s="20" t="str">
        <f t="shared" si="8"/>
        <v>GPower Timing 2017.0.0.26</v>
      </c>
      <c r="I191" s="119" t="s">
        <v>202</v>
      </c>
      <c r="J191" s="7"/>
    </row>
    <row r="192" spans="1:10" hidden="1" x14ac:dyDescent="0.25">
      <c r="A192" s="20" t="s">
        <v>542</v>
      </c>
      <c r="B192" s="20" t="s">
        <v>235</v>
      </c>
      <c r="C192" s="21" t="s">
        <v>236</v>
      </c>
      <c r="D192" s="21" t="s">
        <v>10</v>
      </c>
      <c r="E192" s="21" t="s">
        <v>136</v>
      </c>
      <c r="F192" s="21" t="s">
        <v>12</v>
      </c>
      <c r="G192" s="21" t="s">
        <v>217</v>
      </c>
      <c r="H192" s="20" t="str">
        <f t="shared" si="8"/>
        <v>GPower VI Launcher 2012.2.0.26</v>
      </c>
      <c r="I192" s="119" t="s">
        <v>202</v>
      </c>
      <c r="J192" s="7"/>
    </row>
    <row r="193" spans="1:10" hidden="1" x14ac:dyDescent="0.25">
      <c r="A193" s="20" t="s">
        <v>542</v>
      </c>
      <c r="B193" s="20" t="s">
        <v>237</v>
      </c>
      <c r="C193" s="21" t="s">
        <v>238</v>
      </c>
      <c r="D193" s="21" t="s">
        <v>10</v>
      </c>
      <c r="E193" s="21" t="s">
        <v>136</v>
      </c>
      <c r="F193" s="21" t="s">
        <v>12</v>
      </c>
      <c r="G193" s="21" t="s">
        <v>217</v>
      </c>
      <c r="H193" s="20" t="str">
        <f t="shared" si="8"/>
        <v>GPower VI Register 2016.0.0.31</v>
      </c>
      <c r="I193" s="119" t="s">
        <v>202</v>
      </c>
      <c r="J193" s="7"/>
    </row>
    <row r="194" spans="1:10" hidden="1" x14ac:dyDescent="0.25">
      <c r="A194" s="20" t="s">
        <v>542</v>
      </c>
      <c r="B194" s="20" t="s">
        <v>187</v>
      </c>
      <c r="C194" s="21" t="s">
        <v>9</v>
      </c>
      <c r="D194" s="21" t="s">
        <v>10</v>
      </c>
      <c r="E194" s="21" t="s">
        <v>11</v>
      </c>
      <c r="F194" s="21" t="s">
        <v>171</v>
      </c>
      <c r="G194" s="21" t="s">
        <v>13</v>
      </c>
      <c r="H194" s="20" t="str">
        <f t="shared" si="8"/>
        <v>Hardware Configuration and Web Support 15.0.0</v>
      </c>
      <c r="I194" s="20"/>
      <c r="J194" s="7"/>
    </row>
    <row r="195" spans="1:10" hidden="1" x14ac:dyDescent="0.25">
      <c r="A195" s="20" t="s">
        <v>542</v>
      </c>
      <c r="B195" s="20" t="s">
        <v>178</v>
      </c>
      <c r="C195" s="21" t="s">
        <v>9</v>
      </c>
      <c r="D195" s="21" t="s">
        <v>10</v>
      </c>
      <c r="E195" s="21" t="s">
        <v>11</v>
      </c>
      <c r="F195" s="21" t="s">
        <v>171</v>
      </c>
      <c r="G195" s="21" t="s">
        <v>13</v>
      </c>
      <c r="H195" s="20" t="str">
        <f t="shared" si="8"/>
        <v>HTTP Client with SSL Support 15.0.0</v>
      </c>
      <c r="I195" s="20"/>
      <c r="J195" s="7"/>
    </row>
    <row r="196" spans="1:10" hidden="1" x14ac:dyDescent="0.25">
      <c r="A196" s="20" t="s">
        <v>542</v>
      </c>
      <c r="B196" s="20" t="s">
        <v>179</v>
      </c>
      <c r="C196" s="21"/>
      <c r="D196" s="21" t="s">
        <v>10</v>
      </c>
      <c r="E196" s="21" t="s">
        <v>136</v>
      </c>
      <c r="F196" s="21" t="s">
        <v>171</v>
      </c>
      <c r="G196" s="21" t="s">
        <v>13</v>
      </c>
      <c r="H196" s="20" t="str">
        <f t="shared" ref="H196:H205" si="9">B196&amp;" "&amp;C196</f>
        <v xml:space="preserve">I/O Variable Remorte Configuration Web Server </v>
      </c>
      <c r="I196" s="20"/>
      <c r="J196" s="7"/>
    </row>
    <row r="197" spans="1:10" hidden="1" x14ac:dyDescent="0.25">
      <c r="A197" s="20" t="s">
        <v>542</v>
      </c>
      <c r="B197" s="20" t="s">
        <v>371</v>
      </c>
      <c r="C197" s="21" t="s">
        <v>372</v>
      </c>
      <c r="D197" s="21" t="s">
        <v>10</v>
      </c>
      <c r="E197" s="21" t="s">
        <v>119</v>
      </c>
      <c r="F197" s="21" t="s">
        <v>12</v>
      </c>
      <c r="G197" s="21" t="s">
        <v>13</v>
      </c>
      <c r="H197" s="20" t="str">
        <f t="shared" si="9"/>
        <v>Image Processing and Machine Vision 19.5.0.49152</v>
      </c>
      <c r="I197" s="39" t="s">
        <v>424</v>
      </c>
      <c r="J197" s="7"/>
    </row>
    <row r="198" spans="1:10" hidden="1" x14ac:dyDescent="0.25">
      <c r="A198" s="20" t="s">
        <v>542</v>
      </c>
      <c r="B198" s="20" t="s">
        <v>373</v>
      </c>
      <c r="C198" s="21" t="s">
        <v>372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9"/>
        <v>Image Services 19.5.0.49152</v>
      </c>
      <c r="I198" s="39" t="s">
        <v>424</v>
      </c>
      <c r="J198" s="7"/>
    </row>
    <row r="199" spans="1:10" hidden="1" x14ac:dyDescent="0.25">
      <c r="A199" s="20" t="s">
        <v>542</v>
      </c>
      <c r="B199" s="20" t="s">
        <v>376</v>
      </c>
      <c r="C199" s="21">
        <v>1.5</v>
      </c>
      <c r="D199" s="21" t="s">
        <v>10</v>
      </c>
      <c r="E199" s="21" t="s">
        <v>136</v>
      </c>
      <c r="F199" s="21" t="s">
        <v>12</v>
      </c>
      <c r="G199" s="21" t="s">
        <v>13</v>
      </c>
      <c r="H199" s="20" t="str">
        <f t="shared" si="9"/>
        <v>IVI Driver Toolset 1.5</v>
      </c>
      <c r="I199" s="20"/>
      <c r="J199" s="7"/>
    </row>
    <row r="200" spans="1:10" hidden="1" x14ac:dyDescent="0.25">
      <c r="A200" s="20" t="s">
        <v>542</v>
      </c>
      <c r="B200" s="20" t="s">
        <v>374</v>
      </c>
      <c r="C200" s="21" t="s">
        <v>375</v>
      </c>
      <c r="D200" s="21" t="s">
        <v>10</v>
      </c>
      <c r="E200" s="21">
        <v>2015</v>
      </c>
      <c r="F200" s="21" t="s">
        <v>12</v>
      </c>
      <c r="G200" s="21" t="s">
        <v>13</v>
      </c>
      <c r="H200" s="20" t="str">
        <f t="shared" si="9"/>
        <v>IVI Engine 15.0.0.f0</v>
      </c>
      <c r="I200" s="20"/>
      <c r="J200" s="7"/>
    </row>
    <row r="201" spans="1:10" hidden="1" x14ac:dyDescent="0.25">
      <c r="A201" s="20" t="s">
        <v>542</v>
      </c>
      <c r="B201" s="20" t="s">
        <v>239</v>
      </c>
      <c r="C201" s="21" t="s">
        <v>240</v>
      </c>
      <c r="D201" s="21" t="s">
        <v>10</v>
      </c>
      <c r="E201" s="21" t="s">
        <v>136</v>
      </c>
      <c r="F201" s="21" t="s">
        <v>12</v>
      </c>
      <c r="G201" s="21" t="s">
        <v>158</v>
      </c>
      <c r="H201" s="20" t="str">
        <f t="shared" si="9"/>
        <v>JKI State Machine 3.0.0.8</v>
      </c>
      <c r="I201" s="119" t="s">
        <v>202</v>
      </c>
      <c r="J201" s="7"/>
    </row>
    <row r="202" spans="1:10" hidden="1" x14ac:dyDescent="0.25">
      <c r="A202" s="20" t="s">
        <v>542</v>
      </c>
      <c r="B202" s="20" t="s">
        <v>241</v>
      </c>
      <c r="C202" s="21" t="s">
        <v>242</v>
      </c>
      <c r="D202" s="21" t="s">
        <v>10</v>
      </c>
      <c r="E202" s="21" t="s">
        <v>136</v>
      </c>
      <c r="F202" s="21" t="s">
        <v>12</v>
      </c>
      <c r="G202" s="21" t="s">
        <v>158</v>
      </c>
      <c r="H202" s="20" t="str">
        <f t="shared" si="9"/>
        <v>JKI State Machine Editor 2013.6.3.239</v>
      </c>
      <c r="I202" s="120" t="s">
        <v>202</v>
      </c>
      <c r="J202" s="7"/>
    </row>
    <row r="203" spans="1:10" hidden="1" x14ac:dyDescent="0.25">
      <c r="A203" s="20" t="s">
        <v>542</v>
      </c>
      <c r="B203" s="20" t="s">
        <v>243</v>
      </c>
      <c r="C203" s="21" t="s">
        <v>244</v>
      </c>
      <c r="D203" s="21" t="s">
        <v>10</v>
      </c>
      <c r="E203" s="21" t="s">
        <v>136</v>
      </c>
      <c r="F203" s="21" t="s">
        <v>12</v>
      </c>
      <c r="G203" s="21" t="s">
        <v>158</v>
      </c>
      <c r="H203" s="20" t="str">
        <f t="shared" si="9"/>
        <v>JKI State Machine Objects (SMO) 1.3.0.56</v>
      </c>
      <c r="I203" s="120" t="s">
        <v>202</v>
      </c>
      <c r="J203" s="7"/>
    </row>
    <row r="204" spans="1:10" hidden="1" x14ac:dyDescent="0.25">
      <c r="A204" s="20" t="s">
        <v>542</v>
      </c>
      <c r="B204" s="20" t="s">
        <v>157</v>
      </c>
      <c r="C204" s="21"/>
      <c r="D204" s="21"/>
      <c r="E204" s="21" t="s">
        <v>136</v>
      </c>
      <c r="F204" s="21" t="s">
        <v>12</v>
      </c>
      <c r="G204" s="21" t="s">
        <v>13</v>
      </c>
      <c r="H204" s="20" t="str">
        <f t="shared" si="9"/>
        <v xml:space="preserve">JKI VIPM </v>
      </c>
      <c r="I204" s="166" t="s">
        <v>536</v>
      </c>
      <c r="J204" s="7"/>
    </row>
    <row r="205" spans="1:10" hidden="1" x14ac:dyDescent="0.25">
      <c r="A205" s="20" t="s">
        <v>542</v>
      </c>
      <c r="B205" s="20" t="s">
        <v>245</v>
      </c>
      <c r="C205" s="21" t="s">
        <v>246</v>
      </c>
      <c r="D205" s="21" t="s">
        <v>10</v>
      </c>
      <c r="E205" s="21" t="s">
        <v>136</v>
      </c>
      <c r="F205" s="21" t="s">
        <v>12</v>
      </c>
      <c r="G205" s="21" t="s">
        <v>247</v>
      </c>
      <c r="H205" s="20" t="str">
        <f t="shared" si="9"/>
        <v>jki_rsc_toolkits_palette 1.1-1</v>
      </c>
      <c r="I205" s="120" t="s">
        <v>202</v>
      </c>
      <c r="J205" s="7"/>
    </row>
    <row r="206" spans="1:10" hidden="1" x14ac:dyDescent="0.25">
      <c r="A206" s="20" t="s">
        <v>542</v>
      </c>
      <c r="B206" s="20" t="s">
        <v>32</v>
      </c>
      <c r="C206" s="21" t="s">
        <v>105</v>
      </c>
      <c r="D206" s="21" t="s">
        <v>10</v>
      </c>
      <c r="E206" s="21" t="s">
        <v>106</v>
      </c>
      <c r="F206" s="21" t="s">
        <v>24</v>
      </c>
      <c r="G206" s="21" t="s">
        <v>13</v>
      </c>
      <c r="H206" s="20" t="str">
        <f t="shared" ref="H206:H214" si="10">B206&amp;" "&amp;E206&amp;" "&amp;C206</f>
        <v>LabVIEW 2012 SP1 f9 12.0.1</v>
      </c>
      <c r="I206" s="36" t="s">
        <v>42</v>
      </c>
      <c r="J206" s="7"/>
    </row>
    <row r="207" spans="1:10" hidden="1" x14ac:dyDescent="0.25">
      <c r="A207" s="20" t="s">
        <v>542</v>
      </c>
      <c r="B207" s="20" t="s">
        <v>32</v>
      </c>
      <c r="C207" s="21" t="s">
        <v>110</v>
      </c>
      <c r="D207" s="21" t="s">
        <v>10</v>
      </c>
      <c r="E207" s="21" t="s">
        <v>109</v>
      </c>
      <c r="F207" s="21" t="s">
        <v>24</v>
      </c>
      <c r="G207" s="21" t="s">
        <v>13</v>
      </c>
      <c r="H207" s="20" t="str">
        <f t="shared" si="10"/>
        <v>LabVIEW 2014 SP1 f11 14.0.1</v>
      </c>
      <c r="I207" s="40" t="s">
        <v>465</v>
      </c>
      <c r="J207" s="7"/>
    </row>
    <row r="208" spans="1:10" hidden="1" x14ac:dyDescent="0.25">
      <c r="A208" s="20" t="s">
        <v>542</v>
      </c>
      <c r="B208" s="20" t="s">
        <v>32</v>
      </c>
      <c r="C208" s="21" t="s">
        <v>404</v>
      </c>
      <c r="D208" s="21" t="s">
        <v>10</v>
      </c>
      <c r="E208" s="21" t="s">
        <v>405</v>
      </c>
      <c r="F208" s="21" t="s">
        <v>24</v>
      </c>
      <c r="G208" s="21" t="s">
        <v>13</v>
      </c>
      <c r="H208" s="20" t="str">
        <f t="shared" si="10"/>
        <v>LabVIEW 2016  f6 16.0.0</v>
      </c>
      <c r="I208" s="20"/>
      <c r="J208" s="7"/>
    </row>
    <row r="209" spans="1:10" hidden="1" x14ac:dyDescent="0.25">
      <c r="A209" s="20" t="s">
        <v>542</v>
      </c>
      <c r="B209" s="20" t="s">
        <v>32</v>
      </c>
      <c r="C209" s="21" t="s">
        <v>406</v>
      </c>
      <c r="D209" s="21" t="s">
        <v>10</v>
      </c>
      <c r="E209" s="21" t="s">
        <v>407</v>
      </c>
      <c r="F209" s="21" t="s">
        <v>24</v>
      </c>
      <c r="G209" s="21" t="s">
        <v>13</v>
      </c>
      <c r="H209" s="20" t="str">
        <f t="shared" si="10"/>
        <v>LabVIEW 2017 SP1 f3 17.0.1</v>
      </c>
      <c r="I209" s="20"/>
      <c r="J209" s="7"/>
    </row>
    <row r="210" spans="1:10" hidden="1" x14ac:dyDescent="0.25">
      <c r="A210" s="20" t="s">
        <v>542</v>
      </c>
      <c r="B210" s="20" t="s">
        <v>32</v>
      </c>
      <c r="C210" s="21" t="s">
        <v>402</v>
      </c>
      <c r="D210" s="21" t="s">
        <v>107</v>
      </c>
      <c r="E210" s="21" t="s">
        <v>403</v>
      </c>
      <c r="F210" s="21" t="s">
        <v>24</v>
      </c>
      <c r="G210" s="21" t="s">
        <v>13</v>
      </c>
      <c r="H210" s="20" t="str">
        <f t="shared" si="10"/>
        <v>LabVIEW 2018 SP1 18.0.1</v>
      </c>
      <c r="I210" s="39" t="s">
        <v>424</v>
      </c>
      <c r="J210" s="7"/>
    </row>
    <row r="211" spans="1:10" hidden="1" x14ac:dyDescent="0.25">
      <c r="A211" s="20" t="s">
        <v>542</v>
      </c>
      <c r="B211" s="20" t="s">
        <v>32</v>
      </c>
      <c r="C211" s="21" t="s">
        <v>112</v>
      </c>
      <c r="D211" s="21" t="s">
        <v>10</v>
      </c>
      <c r="E211" s="21" t="s">
        <v>408</v>
      </c>
      <c r="F211" s="21" t="s">
        <v>24</v>
      </c>
      <c r="G211" s="21" t="s">
        <v>13</v>
      </c>
      <c r="H211" s="20" t="str">
        <f t="shared" si="10"/>
        <v>LabVIEW 2019 SP1 f1 19.0.1</v>
      </c>
      <c r="I211" s="20"/>
      <c r="J211" s="7"/>
    </row>
    <row r="212" spans="1:10" hidden="1" x14ac:dyDescent="0.25">
      <c r="A212" s="20" t="s">
        <v>542</v>
      </c>
      <c r="B212" s="20" t="s">
        <v>32</v>
      </c>
      <c r="C212" s="21" t="s">
        <v>409</v>
      </c>
      <c r="D212" s="21" t="s">
        <v>10</v>
      </c>
      <c r="E212" s="21" t="s">
        <v>155</v>
      </c>
      <c r="F212" s="21" t="s">
        <v>12</v>
      </c>
      <c r="G212" s="21" t="s">
        <v>13</v>
      </c>
      <c r="H212" s="20" t="str">
        <f t="shared" si="10"/>
        <v>LabVIEW 2015 SP1 f7 15</v>
      </c>
      <c r="I212" s="20"/>
      <c r="J212" s="7"/>
    </row>
    <row r="213" spans="1:10" hidden="1" x14ac:dyDescent="0.25">
      <c r="A213" s="20" t="s">
        <v>542</v>
      </c>
      <c r="B213" s="20" t="s">
        <v>32</v>
      </c>
      <c r="C213" s="21" t="s">
        <v>92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LabVIEW 2015 15.0.1</v>
      </c>
      <c r="I213" s="37" t="s">
        <v>91</v>
      </c>
      <c r="J213" s="7"/>
    </row>
    <row r="214" spans="1:10" hidden="1" x14ac:dyDescent="0.25">
      <c r="A214" s="20" t="s">
        <v>542</v>
      </c>
      <c r="B214" s="20" t="s">
        <v>32</v>
      </c>
      <c r="C214" s="21" t="s">
        <v>92</v>
      </c>
      <c r="D214" s="21" t="s">
        <v>10</v>
      </c>
      <c r="E214" s="21" t="s">
        <v>111</v>
      </c>
      <c r="F214" s="21" t="s">
        <v>24</v>
      </c>
      <c r="G214" s="21" t="s">
        <v>13</v>
      </c>
      <c r="H214" s="20" t="str">
        <f t="shared" si="10"/>
        <v>LabVIEW 2015 SP1 15.0.1</v>
      </c>
      <c r="I214" s="37" t="s">
        <v>91</v>
      </c>
      <c r="J214" s="7"/>
    </row>
    <row r="215" spans="1:10" hidden="1" x14ac:dyDescent="0.25">
      <c r="A215" s="20" t="s">
        <v>542</v>
      </c>
      <c r="B215" s="20" t="s">
        <v>172</v>
      </c>
      <c r="C215" s="21" t="s">
        <v>92</v>
      </c>
      <c r="D215" s="21" t="s">
        <v>10</v>
      </c>
      <c r="E215" s="21" t="s">
        <v>11</v>
      </c>
      <c r="F215" s="21" t="s">
        <v>171</v>
      </c>
      <c r="G215" s="21" t="s">
        <v>13</v>
      </c>
      <c r="H215" s="20" t="str">
        <f t="shared" ref="H215:H246" si="11">B215&amp;" "&amp;C215</f>
        <v>LabVIEW Real-Time 15.0.1</v>
      </c>
      <c r="I215" s="20"/>
      <c r="J215" s="7"/>
    </row>
    <row r="216" spans="1:10" hidden="1" x14ac:dyDescent="0.25">
      <c r="A216" s="20" t="s">
        <v>542</v>
      </c>
      <c r="B216" s="20" t="s">
        <v>248</v>
      </c>
      <c r="C216" s="21" t="s">
        <v>249</v>
      </c>
      <c r="D216" s="21" t="s">
        <v>10</v>
      </c>
      <c r="E216" s="21" t="s">
        <v>136</v>
      </c>
      <c r="F216" s="21" t="s">
        <v>12</v>
      </c>
      <c r="G216" s="21" t="s">
        <v>250</v>
      </c>
      <c r="H216" s="20" t="str">
        <f t="shared" si="11"/>
        <v>LAVA Palette 1.0.0.1</v>
      </c>
      <c r="I216" s="119" t="s">
        <v>202</v>
      </c>
      <c r="J216" s="7"/>
    </row>
    <row r="217" spans="1:10" hidden="1" x14ac:dyDescent="0.25">
      <c r="A217" s="20" t="s">
        <v>542</v>
      </c>
      <c r="B217" s="20" t="s">
        <v>41</v>
      </c>
      <c r="C217" s="21" t="s">
        <v>117</v>
      </c>
      <c r="D217" s="21" t="s">
        <v>10</v>
      </c>
      <c r="E217" s="21" t="s">
        <v>119</v>
      </c>
      <c r="F217" s="21" t="s">
        <v>12</v>
      </c>
      <c r="G217" s="21" t="s">
        <v>13</v>
      </c>
      <c r="H217" s="20" t="str">
        <f t="shared" si="11"/>
        <v>Measurement &amp; Automation Explorer 19.5.0f0</v>
      </c>
      <c r="I217" s="20"/>
      <c r="J217" s="7"/>
    </row>
    <row r="218" spans="1:10" hidden="1" x14ac:dyDescent="0.25">
      <c r="A218" s="20" t="s">
        <v>542</v>
      </c>
      <c r="B218" s="20" t="s">
        <v>43</v>
      </c>
      <c r="C218" s="21"/>
      <c r="D218" s="21" t="s">
        <v>10</v>
      </c>
      <c r="E218" s="21" t="s">
        <v>377</v>
      </c>
      <c r="F218" s="21" t="s">
        <v>12</v>
      </c>
      <c r="G218" s="21" t="s">
        <v>13</v>
      </c>
      <c r="H218" s="20" t="str">
        <f t="shared" si="11"/>
        <v xml:space="preserve">Measurement Studio </v>
      </c>
      <c r="I218" s="20"/>
      <c r="J218" s="7"/>
    </row>
    <row r="219" spans="1:10" hidden="1" x14ac:dyDescent="0.25">
      <c r="A219" s="20" t="s">
        <v>542</v>
      </c>
      <c r="B219" s="20" t="s">
        <v>43</v>
      </c>
      <c r="C219" s="21"/>
      <c r="D219" s="21" t="s">
        <v>10</v>
      </c>
      <c r="E219" s="21" t="s">
        <v>130</v>
      </c>
      <c r="F219" s="21" t="s">
        <v>12</v>
      </c>
      <c r="G219" s="21" t="s">
        <v>13</v>
      </c>
      <c r="H219" s="20" t="str">
        <f t="shared" si="11"/>
        <v xml:space="preserve">Measurement Studio </v>
      </c>
      <c r="I219" s="20"/>
      <c r="J219" s="7"/>
    </row>
    <row r="220" spans="1:10" hidden="1" x14ac:dyDescent="0.25">
      <c r="A220" s="20" t="s">
        <v>542</v>
      </c>
      <c r="B220" s="20" t="s">
        <v>43</v>
      </c>
      <c r="C220" s="21"/>
      <c r="D220" s="21" t="s">
        <v>10</v>
      </c>
      <c r="E220" s="21" t="s">
        <v>114</v>
      </c>
      <c r="F220" s="21" t="s">
        <v>12</v>
      </c>
      <c r="G220" s="21" t="s">
        <v>13</v>
      </c>
      <c r="H220" s="20" t="str">
        <f t="shared" si="11"/>
        <v xml:space="preserve">Measurement Studio </v>
      </c>
      <c r="I220" s="36" t="s">
        <v>42</v>
      </c>
      <c r="J220" s="7"/>
    </row>
    <row r="221" spans="1:10" hidden="1" x14ac:dyDescent="0.25">
      <c r="A221" s="20" t="s">
        <v>542</v>
      </c>
      <c r="B221" s="20" t="s">
        <v>116</v>
      </c>
      <c r="C221" s="21" t="s">
        <v>378</v>
      </c>
      <c r="D221" s="21" t="s">
        <v>10</v>
      </c>
      <c r="E221" s="21" t="s">
        <v>377</v>
      </c>
      <c r="F221" s="21" t="s">
        <v>12</v>
      </c>
      <c r="G221" s="21" t="s">
        <v>13</v>
      </c>
      <c r="H221" s="20" t="str">
        <f t="shared" si="11"/>
        <v>Measurement Studio Common 12.0.20.258</v>
      </c>
      <c r="I221" s="20"/>
      <c r="J221" s="7"/>
    </row>
    <row r="222" spans="1:10" hidden="1" x14ac:dyDescent="0.25">
      <c r="A222" s="20" t="s">
        <v>542</v>
      </c>
      <c r="B222" s="20" t="s">
        <v>116</v>
      </c>
      <c r="C222" s="21" t="s">
        <v>380</v>
      </c>
      <c r="D222" s="21" t="s">
        <v>10</v>
      </c>
      <c r="E222" s="21" t="s">
        <v>130</v>
      </c>
      <c r="F222" s="21" t="s">
        <v>12</v>
      </c>
      <c r="G222" s="21" t="s">
        <v>13</v>
      </c>
      <c r="H222" s="20" t="str">
        <f t="shared" si="11"/>
        <v>Measurement Studio Common 13.5.35.173</v>
      </c>
      <c r="I222" s="20"/>
      <c r="J222" s="7"/>
    </row>
    <row r="223" spans="1:10" hidden="1" x14ac:dyDescent="0.25">
      <c r="A223" s="20" t="s">
        <v>542</v>
      </c>
      <c r="B223" s="20" t="s">
        <v>116</v>
      </c>
      <c r="C223" s="21" t="s">
        <v>380</v>
      </c>
      <c r="D223" s="21" t="s">
        <v>107</v>
      </c>
      <c r="E223" s="21" t="s">
        <v>130</v>
      </c>
      <c r="F223" s="21" t="s">
        <v>12</v>
      </c>
      <c r="G223" s="21" t="s">
        <v>13</v>
      </c>
      <c r="H223" s="20" t="str">
        <f t="shared" si="11"/>
        <v>Measurement Studio Common 13.5.35.173</v>
      </c>
      <c r="I223" s="20"/>
      <c r="J223" s="7"/>
    </row>
    <row r="224" spans="1:10" hidden="1" x14ac:dyDescent="0.25">
      <c r="A224" s="20" t="s">
        <v>542</v>
      </c>
      <c r="B224" s="20" t="s">
        <v>116</v>
      </c>
      <c r="C224" s="21" t="s">
        <v>45</v>
      </c>
      <c r="D224" s="21" t="s">
        <v>10</v>
      </c>
      <c r="E224" s="21" t="s">
        <v>11</v>
      </c>
      <c r="F224" s="21" t="s">
        <v>12</v>
      </c>
      <c r="G224" s="21" t="s">
        <v>13</v>
      </c>
      <c r="H224" s="20" t="str">
        <f t="shared" si="11"/>
        <v>Measurement Studio Common 15.0.40.49154</v>
      </c>
      <c r="I224" s="36" t="s">
        <v>42</v>
      </c>
      <c r="J224" s="7"/>
    </row>
    <row r="225" spans="1:10" hidden="1" x14ac:dyDescent="0.25">
      <c r="A225" s="20" t="s">
        <v>542</v>
      </c>
      <c r="B225" s="20" t="s">
        <v>116</v>
      </c>
      <c r="C225" s="21" t="s">
        <v>45</v>
      </c>
      <c r="D225" s="21" t="s">
        <v>107</v>
      </c>
      <c r="E225" s="21" t="s">
        <v>11</v>
      </c>
      <c r="F225" s="21" t="s">
        <v>12</v>
      </c>
      <c r="G225" s="21" t="s">
        <v>13</v>
      </c>
      <c r="H225" s="20" t="str">
        <f t="shared" si="11"/>
        <v>Measurement Studio Common 15.0.40.49154</v>
      </c>
      <c r="I225" s="36" t="s">
        <v>42</v>
      </c>
      <c r="J225" s="7"/>
    </row>
    <row r="226" spans="1:10" hidden="1" x14ac:dyDescent="0.25">
      <c r="A226" s="20" t="s">
        <v>542</v>
      </c>
      <c r="B226" s="20" t="s">
        <v>115</v>
      </c>
      <c r="C226" s="21"/>
      <c r="D226" s="21" t="s">
        <v>10</v>
      </c>
      <c r="E226" s="21" t="s">
        <v>377</v>
      </c>
      <c r="F226" s="21" t="s">
        <v>12</v>
      </c>
      <c r="G226" s="21" t="s">
        <v>13</v>
      </c>
      <c r="H226" s="20" t="str">
        <f t="shared" si="11"/>
        <v xml:space="preserve">Measurement Studio DotNET </v>
      </c>
      <c r="I226" s="20"/>
      <c r="J226" s="7"/>
    </row>
    <row r="227" spans="1:10" hidden="1" x14ac:dyDescent="0.25">
      <c r="A227" s="20" t="s">
        <v>542</v>
      </c>
      <c r="B227" s="20" t="s">
        <v>115</v>
      </c>
      <c r="C227" s="21"/>
      <c r="D227" s="21" t="s">
        <v>10</v>
      </c>
      <c r="E227" s="21" t="s">
        <v>130</v>
      </c>
      <c r="F227" s="21" t="s">
        <v>12</v>
      </c>
      <c r="G227" s="21" t="s">
        <v>13</v>
      </c>
      <c r="H227" s="20" t="str">
        <f t="shared" si="11"/>
        <v xml:space="preserve">Measurement Studio DotNET </v>
      </c>
      <c r="I227" s="20"/>
      <c r="J227" s="7"/>
    </row>
    <row r="228" spans="1:10" hidden="1" x14ac:dyDescent="0.25">
      <c r="A228" s="20" t="s">
        <v>542</v>
      </c>
      <c r="B228" s="20" t="s">
        <v>115</v>
      </c>
      <c r="C228" s="21"/>
      <c r="D228" s="21" t="s">
        <v>10</v>
      </c>
      <c r="E228" s="21" t="s">
        <v>114</v>
      </c>
      <c r="F228" s="21" t="s">
        <v>12</v>
      </c>
      <c r="G228" s="21" t="s">
        <v>13</v>
      </c>
      <c r="H228" s="20" t="str">
        <f t="shared" si="11"/>
        <v xml:space="preserve">Measurement Studio DotNET </v>
      </c>
      <c r="I228" s="36" t="s">
        <v>42</v>
      </c>
      <c r="J228" s="7"/>
    </row>
    <row r="229" spans="1:10" hidden="1" x14ac:dyDescent="0.25">
      <c r="A229" s="20" t="s">
        <v>542</v>
      </c>
      <c r="B229" s="20" t="s">
        <v>379</v>
      </c>
      <c r="C229" s="21"/>
      <c r="D229" s="21" t="s">
        <v>10</v>
      </c>
      <c r="E229" s="21" t="s">
        <v>377</v>
      </c>
      <c r="F229" s="21" t="s">
        <v>12</v>
      </c>
      <c r="G229" s="21" t="s">
        <v>13</v>
      </c>
      <c r="H229" s="20" t="str">
        <f t="shared" si="11"/>
        <v xml:space="preserve">Measurement Studio Vision </v>
      </c>
      <c r="I229" s="20"/>
      <c r="J229" s="7"/>
    </row>
    <row r="230" spans="1:10" hidden="1" x14ac:dyDescent="0.25">
      <c r="A230" s="20" t="s">
        <v>542</v>
      </c>
      <c r="B230" s="20" t="s">
        <v>379</v>
      </c>
      <c r="C230" s="21"/>
      <c r="D230" s="21" t="s">
        <v>10</v>
      </c>
      <c r="E230" s="21" t="s">
        <v>130</v>
      </c>
      <c r="F230" s="21" t="s">
        <v>12</v>
      </c>
      <c r="G230" s="21" t="s">
        <v>13</v>
      </c>
      <c r="H230" s="20" t="str">
        <f t="shared" si="11"/>
        <v xml:space="preserve">Measurement Studio Vision </v>
      </c>
      <c r="I230" s="20"/>
      <c r="J230" s="7"/>
    </row>
    <row r="231" spans="1:10" hidden="1" x14ac:dyDescent="0.25">
      <c r="A231" s="20" t="s">
        <v>542</v>
      </c>
      <c r="B231" s="20" t="s">
        <v>251</v>
      </c>
      <c r="C231" s="21" t="s">
        <v>252</v>
      </c>
      <c r="D231" s="21" t="s">
        <v>10</v>
      </c>
      <c r="E231" s="21" t="s">
        <v>136</v>
      </c>
      <c r="F231" s="21" t="s">
        <v>12</v>
      </c>
      <c r="G231" s="21" t="s">
        <v>253</v>
      </c>
      <c r="H231" s="20" t="str">
        <f t="shared" si="11"/>
        <v>MGI 1D Array 1.0.2.3</v>
      </c>
      <c r="I231" s="119" t="s">
        <v>202</v>
      </c>
      <c r="J231" s="7"/>
    </row>
    <row r="232" spans="1:10" hidden="1" x14ac:dyDescent="0.25">
      <c r="A232" s="20" t="s">
        <v>542</v>
      </c>
      <c r="B232" s="20" t="s">
        <v>254</v>
      </c>
      <c r="C232" s="21" t="s">
        <v>255</v>
      </c>
      <c r="D232" s="21" t="s">
        <v>10</v>
      </c>
      <c r="E232" s="21" t="s">
        <v>136</v>
      </c>
      <c r="F232" s="21" t="s">
        <v>12</v>
      </c>
      <c r="G232" s="21" t="s">
        <v>253</v>
      </c>
      <c r="H232" s="20" t="str">
        <f t="shared" si="11"/>
        <v>MGI 2D Array 1.1.1.5</v>
      </c>
      <c r="I232" s="119" t="s">
        <v>202</v>
      </c>
      <c r="J232" s="7"/>
    </row>
    <row r="233" spans="1:10" hidden="1" x14ac:dyDescent="0.25">
      <c r="A233" s="20" t="s">
        <v>542</v>
      </c>
      <c r="B233" s="20" t="s">
        <v>256</v>
      </c>
      <c r="C233" s="21" t="s">
        <v>257</v>
      </c>
      <c r="D233" s="21" t="s">
        <v>10</v>
      </c>
      <c r="E233" s="21" t="s">
        <v>136</v>
      </c>
      <c r="F233" s="21" t="s">
        <v>12</v>
      </c>
      <c r="G233" s="21" t="s">
        <v>253</v>
      </c>
      <c r="H233" s="20" t="str">
        <f t="shared" si="11"/>
        <v>MGI Actor Framework Message Maker 1.0.1.6</v>
      </c>
      <c r="I233" s="119" t="s">
        <v>202</v>
      </c>
      <c r="J233" s="7"/>
    </row>
    <row r="234" spans="1:10" hidden="1" x14ac:dyDescent="0.25">
      <c r="A234" s="20" t="s">
        <v>542</v>
      </c>
      <c r="B234" s="20" t="s">
        <v>258</v>
      </c>
      <c r="C234" s="21" t="s">
        <v>259</v>
      </c>
      <c r="D234" s="21" t="s">
        <v>10</v>
      </c>
      <c r="E234" s="21" t="s">
        <v>136</v>
      </c>
      <c r="F234" s="21" t="s">
        <v>12</v>
      </c>
      <c r="G234" s="21" t="s">
        <v>253</v>
      </c>
      <c r="H234" s="20" t="str">
        <f t="shared" si="11"/>
        <v>MGI Application Control 1.1.1.10</v>
      </c>
      <c r="I234" s="119" t="s">
        <v>202</v>
      </c>
      <c r="J234" s="7"/>
    </row>
    <row r="235" spans="1:10" hidden="1" x14ac:dyDescent="0.25">
      <c r="A235" s="20" t="s">
        <v>542</v>
      </c>
      <c r="B235" s="20" t="s">
        <v>260</v>
      </c>
      <c r="C235" s="21" t="s">
        <v>261</v>
      </c>
      <c r="D235" s="21" t="s">
        <v>10</v>
      </c>
      <c r="E235" s="21" t="s">
        <v>136</v>
      </c>
      <c r="F235" s="21" t="s">
        <v>12</v>
      </c>
      <c r="G235" s="21" t="s">
        <v>253</v>
      </c>
      <c r="H235" s="20" t="str">
        <f t="shared" si="11"/>
        <v>MGI Bezier 1.1.1.2</v>
      </c>
      <c r="I235" s="119" t="s">
        <v>202</v>
      </c>
      <c r="J235" s="7"/>
    </row>
    <row r="236" spans="1:10" hidden="1" x14ac:dyDescent="0.25">
      <c r="A236" s="20" t="s">
        <v>542</v>
      </c>
      <c r="B236" s="20" t="s">
        <v>262</v>
      </c>
      <c r="C236" s="21" t="s">
        <v>263</v>
      </c>
      <c r="D236" s="21" t="s">
        <v>10</v>
      </c>
      <c r="E236" s="21" t="s">
        <v>136</v>
      </c>
      <c r="F236" s="21" t="s">
        <v>12</v>
      </c>
      <c r="G236" s="21" t="s">
        <v>253</v>
      </c>
      <c r="H236" s="20" t="str">
        <f t="shared" si="11"/>
        <v>MGI Boolean 1.0.1.3</v>
      </c>
      <c r="I236" s="119" t="s">
        <v>202</v>
      </c>
      <c r="J236" s="7"/>
    </row>
    <row r="237" spans="1:10" hidden="1" x14ac:dyDescent="0.25">
      <c r="A237" s="20" t="s">
        <v>542</v>
      </c>
      <c r="B237" s="20" t="s">
        <v>264</v>
      </c>
      <c r="C237" s="21" t="s">
        <v>265</v>
      </c>
      <c r="D237" s="21" t="s">
        <v>10</v>
      </c>
      <c r="E237" s="21" t="s">
        <v>136</v>
      </c>
      <c r="F237" s="21" t="s">
        <v>12</v>
      </c>
      <c r="G237" s="21" t="s">
        <v>253</v>
      </c>
      <c r="H237" s="20" t="str">
        <f t="shared" si="11"/>
        <v>MGI Class Method Browser 1.0.0.20</v>
      </c>
      <c r="I237" s="119" t="s">
        <v>202</v>
      </c>
      <c r="J237" s="7"/>
    </row>
    <row r="238" spans="1:10" hidden="1" x14ac:dyDescent="0.25">
      <c r="A238" s="20" t="s">
        <v>542</v>
      </c>
      <c r="B238" s="20" t="s">
        <v>266</v>
      </c>
      <c r="C238" s="21" t="s">
        <v>267</v>
      </c>
      <c r="D238" s="21" t="s">
        <v>10</v>
      </c>
      <c r="E238" s="21" t="s">
        <v>136</v>
      </c>
      <c r="F238" s="21" t="s">
        <v>12</v>
      </c>
      <c r="G238" s="21" t="s">
        <v>253</v>
      </c>
      <c r="H238" s="20" t="str">
        <f t="shared" si="11"/>
        <v>MGI Cluster 1.1.0.1</v>
      </c>
      <c r="I238" s="119" t="s">
        <v>202</v>
      </c>
      <c r="J238" s="7"/>
    </row>
    <row r="239" spans="1:10" hidden="1" x14ac:dyDescent="0.25">
      <c r="A239" s="20" t="s">
        <v>542</v>
      </c>
      <c r="B239" s="20" t="s">
        <v>268</v>
      </c>
      <c r="C239" s="21" t="s">
        <v>261</v>
      </c>
      <c r="D239" s="21" t="s">
        <v>10</v>
      </c>
      <c r="E239" s="21" t="s">
        <v>136</v>
      </c>
      <c r="F239" s="21" t="s">
        <v>12</v>
      </c>
      <c r="G239" s="21" t="s">
        <v>253</v>
      </c>
      <c r="H239" s="20" t="str">
        <f t="shared" si="11"/>
        <v>MGI Coordinates 1.1.1.2</v>
      </c>
      <c r="I239" s="119" t="s">
        <v>202</v>
      </c>
      <c r="J239" s="7"/>
    </row>
    <row r="240" spans="1:10" hidden="1" x14ac:dyDescent="0.25">
      <c r="A240" s="20" t="s">
        <v>542</v>
      </c>
      <c r="B240" s="20" t="s">
        <v>269</v>
      </c>
      <c r="C240" s="21" t="s">
        <v>270</v>
      </c>
      <c r="D240" s="21" t="s">
        <v>10</v>
      </c>
      <c r="E240" s="21" t="s">
        <v>136</v>
      </c>
      <c r="F240" s="21" t="s">
        <v>12</v>
      </c>
      <c r="G240" s="21" t="s">
        <v>253</v>
      </c>
      <c r="H240" s="20" t="str">
        <f t="shared" si="11"/>
        <v>MGI Error Handling 1.1.1.3</v>
      </c>
      <c r="I240" s="119" t="s">
        <v>202</v>
      </c>
      <c r="J240" s="7"/>
    </row>
    <row r="241" spans="1:10" hidden="1" x14ac:dyDescent="0.25">
      <c r="A241" s="20" t="s">
        <v>542</v>
      </c>
      <c r="B241" s="20" t="s">
        <v>271</v>
      </c>
      <c r="C241" s="21" t="s">
        <v>272</v>
      </c>
      <c r="D241" s="21" t="s">
        <v>10</v>
      </c>
      <c r="E241" s="21" t="s">
        <v>136</v>
      </c>
      <c r="F241" s="21" t="s">
        <v>12</v>
      </c>
      <c r="G241" s="21" t="s">
        <v>253</v>
      </c>
      <c r="H241" s="20" t="str">
        <f t="shared" si="11"/>
        <v>MGI Error Reporter 1.0.2.5</v>
      </c>
      <c r="I241" s="119" t="s">
        <v>202</v>
      </c>
      <c r="J241" s="7"/>
    </row>
    <row r="242" spans="1:10" hidden="1" x14ac:dyDescent="0.25">
      <c r="A242" s="20" t="s">
        <v>542</v>
      </c>
      <c r="B242" s="20" t="s">
        <v>273</v>
      </c>
      <c r="C242" s="21" t="s">
        <v>274</v>
      </c>
      <c r="D242" s="21" t="s">
        <v>10</v>
      </c>
      <c r="E242" s="21" t="s">
        <v>136</v>
      </c>
      <c r="F242" s="21" t="s">
        <v>12</v>
      </c>
      <c r="G242" s="21" t="s">
        <v>253</v>
      </c>
      <c r="H242" s="20" t="str">
        <f t="shared" si="11"/>
        <v>MGI File 1.1.0.4</v>
      </c>
      <c r="I242" s="119" t="s">
        <v>202</v>
      </c>
      <c r="J242" s="7"/>
    </row>
    <row r="243" spans="1:10" hidden="1" x14ac:dyDescent="0.25">
      <c r="A243" s="20" t="s">
        <v>542</v>
      </c>
      <c r="B243" s="20" t="s">
        <v>275</v>
      </c>
      <c r="C243" s="21" t="s">
        <v>276</v>
      </c>
      <c r="D243" s="21" t="s">
        <v>10</v>
      </c>
      <c r="E243" s="21" t="s">
        <v>136</v>
      </c>
      <c r="F243" s="21" t="s">
        <v>12</v>
      </c>
      <c r="G243" s="21" t="s">
        <v>253</v>
      </c>
      <c r="H243" s="20" t="str">
        <f t="shared" si="11"/>
        <v>MGI Graph 1.0.2.6</v>
      </c>
      <c r="I243" s="119" t="s">
        <v>202</v>
      </c>
      <c r="J243" s="7"/>
    </row>
    <row r="244" spans="1:10" hidden="1" x14ac:dyDescent="0.25">
      <c r="A244" s="20" t="s">
        <v>542</v>
      </c>
      <c r="B244" s="20" t="s">
        <v>277</v>
      </c>
      <c r="C244" s="21" t="s">
        <v>278</v>
      </c>
      <c r="D244" s="21" t="s">
        <v>10</v>
      </c>
      <c r="E244" s="21" t="s">
        <v>136</v>
      </c>
      <c r="F244" s="21" t="s">
        <v>12</v>
      </c>
      <c r="G244" s="21" t="s">
        <v>253</v>
      </c>
      <c r="H244" s="20" t="str">
        <f t="shared" si="11"/>
        <v>MGI Library 1.2.0.4</v>
      </c>
      <c r="I244" s="119" t="s">
        <v>202</v>
      </c>
      <c r="J244" s="7"/>
    </row>
    <row r="245" spans="1:10" hidden="1" x14ac:dyDescent="0.25">
      <c r="A245" s="20" t="s">
        <v>542</v>
      </c>
      <c r="B245" s="20" t="s">
        <v>279</v>
      </c>
      <c r="C245" s="21" t="s">
        <v>267</v>
      </c>
      <c r="D245" s="21" t="s">
        <v>10</v>
      </c>
      <c r="E245" s="21" t="s">
        <v>136</v>
      </c>
      <c r="F245" s="21" t="s">
        <v>12</v>
      </c>
      <c r="G245" s="21" t="s">
        <v>253</v>
      </c>
      <c r="H245" s="20" t="str">
        <f t="shared" si="11"/>
        <v>MGI Matrix &amp; Vector 1.1.0.1</v>
      </c>
      <c r="I245" s="119" t="s">
        <v>202</v>
      </c>
      <c r="J245" s="7"/>
    </row>
    <row r="246" spans="1:10" hidden="1" x14ac:dyDescent="0.25">
      <c r="A246" s="20" t="s">
        <v>542</v>
      </c>
      <c r="B246" s="20" t="s">
        <v>280</v>
      </c>
      <c r="C246" s="21" t="s">
        <v>281</v>
      </c>
      <c r="D246" s="21" t="s">
        <v>10</v>
      </c>
      <c r="E246" s="21" t="s">
        <v>136</v>
      </c>
      <c r="F246" s="21" t="s">
        <v>12</v>
      </c>
      <c r="G246" s="21" t="s">
        <v>253</v>
      </c>
      <c r="H246" s="20" t="str">
        <f t="shared" si="11"/>
        <v>MGI Menu Building 1.0.1.4</v>
      </c>
      <c r="I246" s="119" t="s">
        <v>202</v>
      </c>
      <c r="J246" s="7"/>
    </row>
    <row r="247" spans="1:10" hidden="1" x14ac:dyDescent="0.25">
      <c r="A247" s="20" t="s">
        <v>542</v>
      </c>
      <c r="B247" s="20" t="s">
        <v>282</v>
      </c>
      <c r="C247" s="21" t="s">
        <v>283</v>
      </c>
      <c r="D247" s="21" t="s">
        <v>10</v>
      </c>
      <c r="E247" s="21" t="s">
        <v>136</v>
      </c>
      <c r="F247" s="21" t="s">
        <v>12</v>
      </c>
      <c r="G247" s="21" t="s">
        <v>253</v>
      </c>
      <c r="H247" s="20" t="str">
        <f t="shared" ref="H247:H278" si="12">B247&amp;" "&amp;C247</f>
        <v>MGI Monitored Actor 2.0.0.23</v>
      </c>
      <c r="I247" s="119" t="s">
        <v>202</v>
      </c>
      <c r="J247" s="7"/>
    </row>
    <row r="248" spans="1:10" hidden="1" x14ac:dyDescent="0.25">
      <c r="A248" s="20" t="s">
        <v>542</v>
      </c>
      <c r="B248" s="20" t="s">
        <v>284</v>
      </c>
      <c r="C248" s="21" t="s">
        <v>285</v>
      </c>
      <c r="D248" s="21" t="s">
        <v>10</v>
      </c>
      <c r="E248" s="21" t="s">
        <v>136</v>
      </c>
      <c r="F248" s="21" t="s">
        <v>12</v>
      </c>
      <c r="G248" s="21" t="s">
        <v>253</v>
      </c>
      <c r="H248" s="20" t="str">
        <f t="shared" si="12"/>
        <v>MGI Numeric 1.1.0.2</v>
      </c>
      <c r="I248" s="119" t="s">
        <v>202</v>
      </c>
      <c r="J248" s="7"/>
    </row>
    <row r="249" spans="1:10" hidden="1" x14ac:dyDescent="0.25">
      <c r="A249" s="20" t="s">
        <v>542</v>
      </c>
      <c r="B249" s="20" t="s">
        <v>286</v>
      </c>
      <c r="C249" s="21" t="s">
        <v>281</v>
      </c>
      <c r="D249" s="21" t="s">
        <v>10</v>
      </c>
      <c r="E249" s="21" t="s">
        <v>136</v>
      </c>
      <c r="F249" s="21" t="s">
        <v>12</v>
      </c>
      <c r="G249" s="21" t="s">
        <v>253</v>
      </c>
      <c r="H249" s="20" t="str">
        <f t="shared" si="12"/>
        <v>MGI Panel Manager 1.0.1.4</v>
      </c>
      <c r="I249" s="119" t="s">
        <v>202</v>
      </c>
      <c r="J249" s="7"/>
    </row>
    <row r="250" spans="1:10" hidden="1" x14ac:dyDescent="0.25">
      <c r="A250" s="20" t="s">
        <v>542</v>
      </c>
      <c r="B250" s="20" t="s">
        <v>287</v>
      </c>
      <c r="C250" s="21" t="s">
        <v>257</v>
      </c>
      <c r="D250" s="21" t="s">
        <v>10</v>
      </c>
      <c r="E250" s="21" t="s">
        <v>136</v>
      </c>
      <c r="F250" s="21" t="s">
        <v>12</v>
      </c>
      <c r="G250" s="21" t="s">
        <v>253</v>
      </c>
      <c r="H250" s="20" t="str">
        <f t="shared" si="12"/>
        <v>MGI Panel Manager - DQMH Panels 1.0.1.6</v>
      </c>
      <c r="I250" s="119" t="s">
        <v>202</v>
      </c>
      <c r="J250" s="7"/>
    </row>
    <row r="251" spans="1:10" hidden="1" x14ac:dyDescent="0.25">
      <c r="A251" s="20" t="s">
        <v>542</v>
      </c>
      <c r="B251" s="20" t="s">
        <v>288</v>
      </c>
      <c r="C251" s="21" t="s">
        <v>289</v>
      </c>
      <c r="D251" s="21" t="s">
        <v>10</v>
      </c>
      <c r="E251" s="21" t="s">
        <v>136</v>
      </c>
      <c r="F251" s="21" t="s">
        <v>12</v>
      </c>
      <c r="G251" s="21" t="s">
        <v>253</v>
      </c>
      <c r="H251" s="20" t="str">
        <f t="shared" si="12"/>
        <v>MGI Picture &amp; Image 1.0.2.1</v>
      </c>
      <c r="I251" s="119" t="s">
        <v>202</v>
      </c>
      <c r="J251" s="7"/>
    </row>
    <row r="252" spans="1:10" hidden="1" x14ac:dyDescent="0.25">
      <c r="A252" s="20" t="s">
        <v>542</v>
      </c>
      <c r="B252" s="20" t="s">
        <v>290</v>
      </c>
      <c r="C252" s="21" t="s">
        <v>291</v>
      </c>
      <c r="D252" s="21" t="s">
        <v>10</v>
      </c>
      <c r="E252" s="21" t="s">
        <v>136</v>
      </c>
      <c r="F252" s="21" t="s">
        <v>12</v>
      </c>
      <c r="G252" s="21" t="s">
        <v>253</v>
      </c>
      <c r="H252" s="20" t="str">
        <f t="shared" si="12"/>
        <v>MGI Read/Write Anything 2.1.4.4</v>
      </c>
      <c r="I252" s="119" t="s">
        <v>202</v>
      </c>
      <c r="J252" s="7"/>
    </row>
    <row r="253" spans="1:10" hidden="1" x14ac:dyDescent="0.25">
      <c r="A253" s="20" t="s">
        <v>542</v>
      </c>
      <c r="B253" s="20" t="s">
        <v>292</v>
      </c>
      <c r="C253" s="21" t="s">
        <v>293</v>
      </c>
      <c r="D253" s="21" t="s">
        <v>10</v>
      </c>
      <c r="E253" s="21" t="s">
        <v>136</v>
      </c>
      <c r="F253" s="21" t="s">
        <v>12</v>
      </c>
      <c r="G253" s="21" t="s">
        <v>253</v>
      </c>
      <c r="H253" s="20" t="str">
        <f t="shared" si="12"/>
        <v>MGI Robust XML 1.0.3.4</v>
      </c>
      <c r="I253" s="119" t="s">
        <v>202</v>
      </c>
      <c r="J253" s="7"/>
    </row>
    <row r="254" spans="1:10" hidden="1" x14ac:dyDescent="0.25">
      <c r="A254" s="20" t="s">
        <v>542</v>
      </c>
      <c r="B254" s="20" t="s">
        <v>294</v>
      </c>
      <c r="C254" s="21" t="s">
        <v>267</v>
      </c>
      <c r="D254" s="21" t="s">
        <v>10</v>
      </c>
      <c r="E254" s="21" t="s">
        <v>136</v>
      </c>
      <c r="F254" s="21" t="s">
        <v>12</v>
      </c>
      <c r="G254" s="21" t="s">
        <v>253</v>
      </c>
      <c r="H254" s="20" t="str">
        <f t="shared" si="12"/>
        <v>MGI Spline 1.1.0.1</v>
      </c>
      <c r="I254" s="119" t="s">
        <v>202</v>
      </c>
      <c r="J254" s="7"/>
    </row>
    <row r="255" spans="1:10" hidden="1" x14ac:dyDescent="0.25">
      <c r="A255" s="20" t="s">
        <v>542</v>
      </c>
      <c r="B255" s="20" t="s">
        <v>295</v>
      </c>
      <c r="C255" s="21" t="s">
        <v>255</v>
      </c>
      <c r="D255" s="21" t="s">
        <v>10</v>
      </c>
      <c r="E255" s="21" t="s">
        <v>136</v>
      </c>
      <c r="F255" s="21" t="s">
        <v>12</v>
      </c>
      <c r="G255" s="21" t="s">
        <v>253</v>
      </c>
      <c r="H255" s="20" t="str">
        <f t="shared" si="12"/>
        <v>MGI String 1.1.1.5</v>
      </c>
      <c r="I255" s="119" t="s">
        <v>202</v>
      </c>
      <c r="J255" s="7"/>
    </row>
    <row r="256" spans="1:10" hidden="1" x14ac:dyDescent="0.25">
      <c r="A256" s="20" t="s">
        <v>542</v>
      </c>
      <c r="B256" s="20" t="s">
        <v>296</v>
      </c>
      <c r="C256" s="21" t="s">
        <v>285</v>
      </c>
      <c r="D256" s="21" t="s">
        <v>10</v>
      </c>
      <c r="E256" s="21" t="s">
        <v>136</v>
      </c>
      <c r="F256" s="21" t="s">
        <v>12</v>
      </c>
      <c r="G256" s="21" t="s">
        <v>253</v>
      </c>
      <c r="H256" s="20" t="str">
        <f t="shared" si="12"/>
        <v>MGI Timing 1.1.0.2</v>
      </c>
      <c r="I256" s="119" t="s">
        <v>202</v>
      </c>
      <c r="J256" s="7"/>
    </row>
    <row r="257" spans="1:10" hidden="1" x14ac:dyDescent="0.25">
      <c r="A257" s="20" t="s">
        <v>542</v>
      </c>
      <c r="B257" s="20" t="s">
        <v>297</v>
      </c>
      <c r="C257" s="21" t="s">
        <v>298</v>
      </c>
      <c r="D257" s="21" t="s">
        <v>10</v>
      </c>
      <c r="E257" s="21" t="s">
        <v>136</v>
      </c>
      <c r="F257" s="21" t="s">
        <v>12</v>
      </c>
      <c r="G257" s="21" t="s">
        <v>253</v>
      </c>
      <c r="H257" s="20" t="str">
        <f t="shared" si="12"/>
        <v>MGI Tools 1.0.0.4</v>
      </c>
      <c r="I257" s="119" t="s">
        <v>202</v>
      </c>
      <c r="J257" s="7"/>
    </row>
    <row r="258" spans="1:10" hidden="1" x14ac:dyDescent="0.25">
      <c r="A258" s="20" t="s">
        <v>542</v>
      </c>
      <c r="B258" s="20" t="s">
        <v>299</v>
      </c>
      <c r="C258" s="21" t="s">
        <v>300</v>
      </c>
      <c r="D258" s="21" t="s">
        <v>10</v>
      </c>
      <c r="E258" s="21" t="s">
        <v>136</v>
      </c>
      <c r="F258" s="21" t="s">
        <v>12</v>
      </c>
      <c r="G258" s="21" t="s">
        <v>253</v>
      </c>
      <c r="H258" s="20" t="str">
        <f t="shared" si="12"/>
        <v>MGI Tree 1.0.4.4</v>
      </c>
      <c r="I258" s="119" t="s">
        <v>202</v>
      </c>
      <c r="J258" s="7"/>
    </row>
    <row r="259" spans="1:10" hidden="1" x14ac:dyDescent="0.25">
      <c r="A259" s="20" t="s">
        <v>542</v>
      </c>
      <c r="B259" s="20" t="s">
        <v>301</v>
      </c>
      <c r="C259" s="21" t="s">
        <v>302</v>
      </c>
      <c r="D259" s="21" t="s">
        <v>10</v>
      </c>
      <c r="E259" s="21" t="s">
        <v>136</v>
      </c>
      <c r="F259" s="21" t="s">
        <v>12</v>
      </c>
      <c r="G259" s="21" t="s">
        <v>253</v>
      </c>
      <c r="H259" s="20" t="str">
        <f t="shared" si="12"/>
        <v>MGI User Interface 1.0.1.11</v>
      </c>
      <c r="I259" s="119" t="s">
        <v>202</v>
      </c>
      <c r="J259" s="7"/>
    </row>
    <row r="260" spans="1:10" hidden="1" x14ac:dyDescent="0.25">
      <c r="A260" s="20" t="s">
        <v>542</v>
      </c>
      <c r="B260" s="20" t="s">
        <v>303</v>
      </c>
      <c r="C260" s="21" t="s">
        <v>304</v>
      </c>
      <c r="D260" s="21" t="s">
        <v>10</v>
      </c>
      <c r="E260" s="21" t="s">
        <v>136</v>
      </c>
      <c r="F260" s="21" t="s">
        <v>12</v>
      </c>
      <c r="G260" s="21" t="s">
        <v>253</v>
      </c>
      <c r="H260" s="20" t="str">
        <f t="shared" si="12"/>
        <v>MGI WSA Framework 1.0.0.27</v>
      </c>
      <c r="I260" s="119" t="s">
        <v>202</v>
      </c>
      <c r="J260" s="7"/>
    </row>
    <row r="261" spans="1:10" hidden="1" x14ac:dyDescent="0.25">
      <c r="A261" s="20" t="s">
        <v>542</v>
      </c>
      <c r="B261" s="20" t="s">
        <v>188</v>
      </c>
      <c r="C261" s="21" t="s">
        <v>9</v>
      </c>
      <c r="D261" s="21" t="s">
        <v>10</v>
      </c>
      <c r="E261" s="21" t="s">
        <v>11</v>
      </c>
      <c r="F261" s="21" t="s">
        <v>171</v>
      </c>
      <c r="G261" s="21" t="s">
        <v>13</v>
      </c>
      <c r="H261" s="20" t="str">
        <f t="shared" si="12"/>
        <v>Network Configuration Web Support 15.0.0</v>
      </c>
      <c r="I261" s="20"/>
      <c r="J261" s="7"/>
    </row>
    <row r="262" spans="1:10" hidden="1" x14ac:dyDescent="0.25">
      <c r="A262" s="20" t="s">
        <v>542</v>
      </c>
      <c r="B262" s="20" t="s">
        <v>180</v>
      </c>
      <c r="C262" s="21" t="s">
        <v>102</v>
      </c>
      <c r="D262" s="21" t="s">
        <v>10</v>
      </c>
      <c r="E262" s="21" t="s">
        <v>11</v>
      </c>
      <c r="F262" s="21" t="s">
        <v>171</v>
      </c>
      <c r="G262" s="21" t="s">
        <v>13</v>
      </c>
      <c r="H262" s="20" t="str">
        <f t="shared" si="12"/>
        <v>Network Streams 15.0</v>
      </c>
      <c r="I262" s="20"/>
      <c r="J262" s="7"/>
    </row>
    <row r="263" spans="1:10" hidden="1" x14ac:dyDescent="0.25">
      <c r="A263" s="20" t="s">
        <v>542</v>
      </c>
      <c r="B263" s="20" t="s">
        <v>181</v>
      </c>
      <c r="C263" s="21" t="s">
        <v>9</v>
      </c>
      <c r="D263" s="21" t="s">
        <v>10</v>
      </c>
      <c r="E263" s="21" t="s">
        <v>11</v>
      </c>
      <c r="F263" s="21" t="s">
        <v>171</v>
      </c>
      <c r="G263" s="21" t="s">
        <v>13</v>
      </c>
      <c r="H263" s="20" t="str">
        <f t="shared" si="12"/>
        <v>Network Variable Engine 15.0.0</v>
      </c>
      <c r="I263" s="20"/>
      <c r="J263" s="7"/>
    </row>
    <row r="264" spans="1:10" hidden="1" x14ac:dyDescent="0.25">
      <c r="A264" s="20" t="s">
        <v>542</v>
      </c>
      <c r="B264" s="20" t="s">
        <v>60</v>
      </c>
      <c r="C264" s="21" t="s">
        <v>30</v>
      </c>
      <c r="D264" s="21" t="s">
        <v>10</v>
      </c>
      <c r="E264" s="21">
        <v>2015</v>
      </c>
      <c r="F264" s="21" t="s">
        <v>12</v>
      </c>
      <c r="G264" s="21" t="s">
        <v>13</v>
      </c>
      <c r="H264" s="20" t="str">
        <f t="shared" si="12"/>
        <v>NI 1588-2008 Network Management 15.0.0f0</v>
      </c>
      <c r="I264" s="36" t="s">
        <v>42</v>
      </c>
      <c r="J264" s="7"/>
    </row>
    <row r="265" spans="1:10" hidden="1" x14ac:dyDescent="0.25">
      <c r="A265" s="20" t="s">
        <v>542</v>
      </c>
      <c r="B265" s="20" t="s">
        <v>305</v>
      </c>
      <c r="C265" s="21" t="s">
        <v>306</v>
      </c>
      <c r="D265" s="21" t="s">
        <v>10</v>
      </c>
      <c r="E265" s="21" t="s">
        <v>136</v>
      </c>
      <c r="F265" s="21" t="s">
        <v>12</v>
      </c>
      <c r="G265" s="21" t="s">
        <v>13</v>
      </c>
      <c r="H265" s="20" t="str">
        <f t="shared" si="12"/>
        <v>NI Asynchronous Message Communication (AMC) Library 3.3.1.22</v>
      </c>
      <c r="I265" s="119" t="s">
        <v>202</v>
      </c>
      <c r="J265" s="7"/>
    </row>
    <row r="266" spans="1:10" hidden="1" x14ac:dyDescent="0.25">
      <c r="A266" s="20" t="s">
        <v>542</v>
      </c>
      <c r="B266" s="20" t="s">
        <v>169</v>
      </c>
      <c r="C266" s="21" t="s">
        <v>170</v>
      </c>
      <c r="D266" s="21" t="s">
        <v>10</v>
      </c>
      <c r="E266" s="21" t="s">
        <v>130</v>
      </c>
      <c r="F266" s="21" t="s">
        <v>171</v>
      </c>
      <c r="G266" s="21" t="s">
        <v>13</v>
      </c>
      <c r="H266" s="20" t="str">
        <f t="shared" si="12"/>
        <v>NI CompactRIO 15.5</v>
      </c>
      <c r="I266" s="20"/>
      <c r="J266" s="7"/>
    </row>
    <row r="267" spans="1:10" hidden="1" x14ac:dyDescent="0.25">
      <c r="A267" s="20" t="s">
        <v>542</v>
      </c>
      <c r="B267" s="20" t="s">
        <v>165</v>
      </c>
      <c r="C267" s="21" t="s">
        <v>166</v>
      </c>
      <c r="D267" s="21" t="s">
        <v>10</v>
      </c>
      <c r="E267" s="21" t="s">
        <v>11</v>
      </c>
      <c r="F267" s="21" t="s">
        <v>12</v>
      </c>
      <c r="G267" s="21" t="s">
        <v>13</v>
      </c>
      <c r="H267" s="20" t="str">
        <f t="shared" si="12"/>
        <v>NI CompactRIO Information (CRI) Library 2015.0.0.1</v>
      </c>
      <c r="I267" s="119" t="s">
        <v>202</v>
      </c>
      <c r="J267" s="7"/>
    </row>
    <row r="268" spans="1:10" hidden="1" x14ac:dyDescent="0.25">
      <c r="A268" s="20" t="s">
        <v>542</v>
      </c>
      <c r="B268" s="20" t="s">
        <v>307</v>
      </c>
      <c r="C268" s="21" t="s">
        <v>308</v>
      </c>
      <c r="D268" s="21" t="s">
        <v>10</v>
      </c>
      <c r="E268" s="21" t="s">
        <v>136</v>
      </c>
      <c r="F268" s="21" t="s">
        <v>12</v>
      </c>
      <c r="G268" s="21" t="s">
        <v>13</v>
      </c>
      <c r="H268" s="20" t="str">
        <f t="shared" si="12"/>
        <v>NI GXML 1.4.2.8</v>
      </c>
      <c r="I268" s="120" t="s">
        <v>202</v>
      </c>
      <c r="J268" s="7"/>
    </row>
    <row r="269" spans="1:10" hidden="1" x14ac:dyDescent="0.25">
      <c r="A269" s="20" t="s">
        <v>542</v>
      </c>
      <c r="B269" s="20" t="s">
        <v>29</v>
      </c>
      <c r="C269" s="21" t="s">
        <v>146</v>
      </c>
      <c r="D269" s="21" t="s">
        <v>10</v>
      </c>
      <c r="E269" s="21" t="s">
        <v>130</v>
      </c>
      <c r="F269" s="21" t="s">
        <v>12</v>
      </c>
      <c r="G269" s="21" t="s">
        <v>13</v>
      </c>
      <c r="H269" s="20" t="str">
        <f t="shared" si="12"/>
        <v>NI I/O Trace 18.5.0f0</v>
      </c>
      <c r="I269" s="36" t="s">
        <v>42</v>
      </c>
      <c r="J269" s="7"/>
    </row>
    <row r="270" spans="1:10" hidden="1" x14ac:dyDescent="0.25">
      <c r="A270" s="20" t="s">
        <v>542</v>
      </c>
      <c r="B270" s="20" t="s">
        <v>309</v>
      </c>
      <c r="C270" s="21" t="s">
        <v>310</v>
      </c>
      <c r="D270" s="21" t="s">
        <v>10</v>
      </c>
      <c r="E270" s="21" t="s">
        <v>136</v>
      </c>
      <c r="F270" s="21" t="s">
        <v>12</v>
      </c>
      <c r="G270" s="21" t="s">
        <v>13</v>
      </c>
      <c r="H270" s="20" t="str">
        <f t="shared" si="12"/>
        <v>NI Keyed Array Library 2.0.0.11</v>
      </c>
      <c r="I270" s="120" t="s">
        <v>202</v>
      </c>
      <c r="J270" s="7"/>
    </row>
    <row r="271" spans="1:10" hidden="1" x14ac:dyDescent="0.25">
      <c r="A271" s="20" t="s">
        <v>542</v>
      </c>
      <c r="B271" s="20" t="s">
        <v>311</v>
      </c>
      <c r="C271" s="21" t="s">
        <v>312</v>
      </c>
      <c r="D271" s="21" t="s">
        <v>10</v>
      </c>
      <c r="E271" s="21" t="s">
        <v>136</v>
      </c>
      <c r="F271" s="21" t="s">
        <v>12</v>
      </c>
      <c r="G271" s="21" t="s">
        <v>13</v>
      </c>
      <c r="H271" s="20" t="str">
        <f t="shared" si="12"/>
        <v>NI Modbus Library 1.2.1.42</v>
      </c>
      <c r="I271" s="120" t="s">
        <v>202</v>
      </c>
      <c r="J271" s="7"/>
    </row>
    <row r="272" spans="1:10" hidden="1" x14ac:dyDescent="0.25">
      <c r="A272" s="20" t="s">
        <v>542</v>
      </c>
      <c r="B272" s="20" t="s">
        <v>140</v>
      </c>
      <c r="C272" s="21" t="s">
        <v>117</v>
      </c>
      <c r="D272" s="21" t="s">
        <v>10</v>
      </c>
      <c r="E272" s="21" t="s">
        <v>119</v>
      </c>
      <c r="F272" s="21" t="s">
        <v>24</v>
      </c>
      <c r="G272" s="21" t="s">
        <v>13</v>
      </c>
      <c r="H272" s="20" t="str">
        <f t="shared" si="12"/>
        <v>NI PXI Platform Services 19.5.0f0</v>
      </c>
      <c r="I272" s="20"/>
      <c r="J272" s="7"/>
    </row>
    <row r="273" spans="1:10" hidden="1" x14ac:dyDescent="0.25">
      <c r="A273" s="20" t="s">
        <v>542</v>
      </c>
      <c r="B273" s="20" t="s">
        <v>52</v>
      </c>
      <c r="C273" s="21" t="s">
        <v>386</v>
      </c>
      <c r="D273" s="21" t="s">
        <v>10</v>
      </c>
      <c r="E273" s="21" t="s">
        <v>130</v>
      </c>
      <c r="F273" s="21" t="s">
        <v>12</v>
      </c>
      <c r="G273" s="21" t="s">
        <v>13</v>
      </c>
      <c r="H273" s="20" t="str">
        <f t="shared" si="12"/>
        <v>NI PXI Platform Services Configuration 18.5.0f2</v>
      </c>
      <c r="I273" s="20"/>
      <c r="J273" s="7"/>
    </row>
    <row r="274" spans="1:10" hidden="1" x14ac:dyDescent="0.25">
      <c r="A274" s="20" t="s">
        <v>542</v>
      </c>
      <c r="B274" s="20" t="s">
        <v>55</v>
      </c>
      <c r="C274" s="21" t="s">
        <v>97</v>
      </c>
      <c r="D274" s="21" t="s">
        <v>10</v>
      </c>
      <c r="E274" s="21">
        <v>2015</v>
      </c>
      <c r="F274" s="21" t="s">
        <v>12</v>
      </c>
      <c r="G274" s="21" t="s">
        <v>13</v>
      </c>
      <c r="H274" s="20" t="str">
        <f t="shared" si="12"/>
        <v>NI R Series Multifunction RIO 15.5.0</v>
      </c>
      <c r="I274" s="20"/>
      <c r="J274" s="7"/>
    </row>
    <row r="275" spans="1:10" x14ac:dyDescent="0.25">
      <c r="A275" s="20" t="s">
        <v>542</v>
      </c>
      <c r="B275" s="20" t="s">
        <v>182</v>
      </c>
      <c r="C275" s="21" t="s">
        <v>183</v>
      </c>
      <c r="D275" s="21" t="s">
        <v>10</v>
      </c>
      <c r="E275" s="21" t="s">
        <v>136</v>
      </c>
      <c r="F275" s="21" t="s">
        <v>171</v>
      </c>
      <c r="G275" s="21" t="s">
        <v>13</v>
      </c>
      <c r="H275" s="20" t="str">
        <f t="shared" si="12"/>
        <v>NI Scan Engine 4.4</v>
      </c>
      <c r="I275" s="20"/>
      <c r="J275" s="7"/>
    </row>
    <row r="276" spans="1:10" x14ac:dyDescent="0.25">
      <c r="A276" s="20" t="s">
        <v>542</v>
      </c>
      <c r="B276" s="20" t="s">
        <v>193</v>
      </c>
      <c r="C276" s="21"/>
      <c r="D276" s="21" t="s">
        <v>10</v>
      </c>
      <c r="E276" s="21" t="s">
        <v>136</v>
      </c>
      <c r="F276" s="21" t="s">
        <v>171</v>
      </c>
      <c r="G276" s="21" t="s">
        <v>13</v>
      </c>
      <c r="H276" s="20" t="str">
        <f t="shared" si="12"/>
        <v xml:space="preserve">NI Serial 9870 and 9871 Scan Enginer Support </v>
      </c>
      <c r="I276" s="20"/>
      <c r="J276" s="7"/>
    </row>
    <row r="277" spans="1:10" hidden="1" x14ac:dyDescent="0.25">
      <c r="A277" s="20" t="s">
        <v>542</v>
      </c>
      <c r="B277" s="20" t="s">
        <v>159</v>
      </c>
      <c r="C277" s="21" t="s">
        <v>160</v>
      </c>
      <c r="D277" s="21" t="s">
        <v>10</v>
      </c>
      <c r="E277" s="21" t="s">
        <v>136</v>
      </c>
      <c r="F277" s="21" t="s">
        <v>12</v>
      </c>
      <c r="G277" s="21" t="s">
        <v>13</v>
      </c>
      <c r="H277" s="20" t="str">
        <f t="shared" si="12"/>
        <v>NI String Tools Library 2.0.0.5</v>
      </c>
      <c r="I277" s="120" t="s">
        <v>202</v>
      </c>
      <c r="J277" s="7"/>
    </row>
    <row r="278" spans="1:10" hidden="1" x14ac:dyDescent="0.25">
      <c r="A278" s="20" t="s">
        <v>542</v>
      </c>
      <c r="B278" s="20" t="s">
        <v>68</v>
      </c>
      <c r="C278" s="21" t="s">
        <v>117</v>
      </c>
      <c r="D278" s="21" t="s">
        <v>10</v>
      </c>
      <c r="E278" s="21" t="s">
        <v>119</v>
      </c>
      <c r="F278" s="21" t="s">
        <v>12</v>
      </c>
      <c r="G278" s="21" t="s">
        <v>13</v>
      </c>
      <c r="H278" s="20" t="str">
        <f t="shared" si="12"/>
        <v>NI System Configuration 19.5.0f0</v>
      </c>
      <c r="I278" s="20"/>
      <c r="J278" s="7"/>
    </row>
    <row r="279" spans="1:10" hidden="1" x14ac:dyDescent="0.25">
      <c r="A279" s="20" t="s">
        <v>542</v>
      </c>
      <c r="B279" s="20" t="s">
        <v>173</v>
      </c>
      <c r="C279" s="21"/>
      <c r="D279" s="21" t="s">
        <v>10</v>
      </c>
      <c r="E279" s="21" t="s">
        <v>136</v>
      </c>
      <c r="F279" s="21" t="s">
        <v>171</v>
      </c>
      <c r="G279" s="21" t="s">
        <v>13</v>
      </c>
      <c r="H279" s="20" t="str">
        <f t="shared" ref="H279:H310" si="13">B279&amp;" "&amp;C279</f>
        <v xml:space="preserve">NI System Configuration Remote Support </v>
      </c>
      <c r="I279" s="20"/>
      <c r="J279" s="7"/>
    </row>
    <row r="280" spans="1:10" hidden="1" x14ac:dyDescent="0.25">
      <c r="A280" s="20" t="s">
        <v>542</v>
      </c>
      <c r="B280" s="20" t="s">
        <v>184</v>
      </c>
      <c r="C280" s="21" t="s">
        <v>185</v>
      </c>
      <c r="D280" s="21" t="s">
        <v>10</v>
      </c>
      <c r="E280" s="21" t="s">
        <v>11</v>
      </c>
      <c r="F280" s="21" t="s">
        <v>171</v>
      </c>
      <c r="G280" s="21" t="s">
        <v>13</v>
      </c>
      <c r="H280" s="20" t="str">
        <f t="shared" si="13"/>
        <v>NI Systems Configuration 15.3.0</v>
      </c>
      <c r="I280" s="20"/>
      <c r="J280" s="7"/>
    </row>
    <row r="281" spans="1:10" hidden="1" x14ac:dyDescent="0.25">
      <c r="A281" s="20" t="s">
        <v>542</v>
      </c>
      <c r="B281" s="20" t="s">
        <v>186</v>
      </c>
      <c r="C281" s="21"/>
      <c r="D281" s="21" t="s">
        <v>10</v>
      </c>
      <c r="E281" s="21" t="s">
        <v>136</v>
      </c>
      <c r="F281" s="21" t="s">
        <v>171</v>
      </c>
      <c r="G281" s="21" t="s">
        <v>13</v>
      </c>
      <c r="H281" s="20" t="str">
        <f t="shared" si="13"/>
        <v xml:space="preserve">NI Web-based Configuration and Monitoring </v>
      </c>
      <c r="I281" s="20"/>
      <c r="J281" s="7"/>
    </row>
    <row r="282" spans="1:10" hidden="1" x14ac:dyDescent="0.25">
      <c r="A282" s="20" t="s">
        <v>542</v>
      </c>
      <c r="B282" s="20" t="s">
        <v>191</v>
      </c>
      <c r="C282" s="21" t="s">
        <v>9</v>
      </c>
      <c r="D282" s="21" t="s">
        <v>10</v>
      </c>
      <c r="E282" s="21" t="s">
        <v>11</v>
      </c>
      <c r="F282" s="21" t="s">
        <v>171</v>
      </c>
      <c r="G282" s="21" t="s">
        <v>13</v>
      </c>
      <c r="H282" s="20" t="str">
        <f t="shared" si="13"/>
        <v>NI Wireless Certificate Web Services 15.0.0</v>
      </c>
      <c r="I282" s="20"/>
      <c r="J282" s="7"/>
    </row>
    <row r="283" spans="1:10" hidden="1" x14ac:dyDescent="0.25">
      <c r="A283" s="20" t="s">
        <v>542</v>
      </c>
      <c r="B283" s="20" t="s">
        <v>28</v>
      </c>
      <c r="C283" s="21" t="s">
        <v>97</v>
      </c>
      <c r="D283" s="21" t="s">
        <v>10</v>
      </c>
      <c r="E283" s="21" t="s">
        <v>119</v>
      </c>
      <c r="F283" s="21" t="s">
        <v>12</v>
      </c>
      <c r="G283" s="21" t="s">
        <v>13</v>
      </c>
      <c r="H283" s="20" t="str">
        <f t="shared" si="13"/>
        <v>NI-488.2 15.5.0</v>
      </c>
      <c r="I283" s="20"/>
      <c r="J283" s="7"/>
    </row>
    <row r="284" spans="1:10" hidden="1" x14ac:dyDescent="0.25">
      <c r="A284" s="20" t="s">
        <v>542</v>
      </c>
      <c r="B284" s="20" t="s">
        <v>28</v>
      </c>
      <c r="C284" s="21" t="s">
        <v>141</v>
      </c>
      <c r="D284" s="21" t="s">
        <v>10</v>
      </c>
      <c r="E284" s="21" t="s">
        <v>119</v>
      </c>
      <c r="F284" s="21" t="s">
        <v>24</v>
      </c>
      <c r="G284" s="21" t="s">
        <v>13</v>
      </c>
      <c r="H284" s="20" t="str">
        <f t="shared" si="13"/>
        <v>NI-488.2 19.5.0</v>
      </c>
      <c r="I284" s="20"/>
      <c r="J284" s="7"/>
    </row>
    <row r="285" spans="1:10" x14ac:dyDescent="0.25">
      <c r="A285" s="20" t="s">
        <v>542</v>
      </c>
      <c r="B285" s="20" t="s">
        <v>363</v>
      </c>
      <c r="C285" s="21" t="s">
        <v>30</v>
      </c>
      <c r="D285" s="21" t="s">
        <v>10</v>
      </c>
      <c r="E285" s="21">
        <v>2015</v>
      </c>
      <c r="F285" s="21" t="s">
        <v>12</v>
      </c>
      <c r="G285" s="21" t="s">
        <v>13</v>
      </c>
      <c r="H285" s="20" t="str">
        <f t="shared" si="13"/>
        <v>NI-CAN 15.0.0f0</v>
      </c>
      <c r="I285" s="20"/>
      <c r="J285" s="7"/>
    </row>
    <row r="286" spans="1:10" hidden="1" x14ac:dyDescent="0.25">
      <c r="A286" s="20" t="s">
        <v>542</v>
      </c>
      <c r="B286" s="20" t="s">
        <v>18</v>
      </c>
      <c r="C286" s="21" t="s">
        <v>156</v>
      </c>
      <c r="D286" s="21" t="s">
        <v>10</v>
      </c>
      <c r="E286" s="21" t="s">
        <v>130</v>
      </c>
      <c r="F286" s="21" t="s">
        <v>12</v>
      </c>
      <c r="G286" s="21" t="s">
        <v>13</v>
      </c>
      <c r="H286" s="20" t="str">
        <f t="shared" si="13"/>
        <v>NI-DAQmx ADE Support 18.5.0</v>
      </c>
      <c r="I286" s="20"/>
      <c r="J286" s="7"/>
    </row>
    <row r="287" spans="1:10" hidden="1" x14ac:dyDescent="0.25">
      <c r="A287" s="20" t="s">
        <v>542</v>
      </c>
      <c r="B287" s="20" t="s">
        <v>16</v>
      </c>
      <c r="C287" s="21" t="s">
        <v>117</v>
      </c>
      <c r="D287" s="21" t="s">
        <v>10</v>
      </c>
      <c r="E287" s="21" t="s">
        <v>119</v>
      </c>
      <c r="F287" s="21" t="s">
        <v>12</v>
      </c>
      <c r="G287" s="21" t="s">
        <v>13</v>
      </c>
      <c r="H287" s="20" t="str">
        <f t="shared" si="13"/>
        <v>NI-DAQmx Device Driver 19.5.0f0</v>
      </c>
      <c r="I287" s="20"/>
      <c r="J287" s="7"/>
    </row>
    <row r="288" spans="1:10" hidden="1" x14ac:dyDescent="0.25">
      <c r="A288" s="20" t="s">
        <v>542</v>
      </c>
      <c r="B288" s="20" t="s">
        <v>19</v>
      </c>
      <c r="C288" s="21" t="s">
        <v>156</v>
      </c>
      <c r="D288" s="21" t="s">
        <v>10</v>
      </c>
      <c r="E288" s="21" t="s">
        <v>130</v>
      </c>
      <c r="F288" s="21" t="s">
        <v>12</v>
      </c>
      <c r="G288" s="21" t="s">
        <v>13</v>
      </c>
      <c r="H288" s="20" t="str">
        <f t="shared" si="13"/>
        <v>NI-DAQmx MAX Configuration 18.5.0</v>
      </c>
      <c r="I288" s="20"/>
      <c r="J288" s="7"/>
    </row>
    <row r="289" spans="1:10" hidden="1" x14ac:dyDescent="0.25">
      <c r="A289" s="20" t="s">
        <v>542</v>
      </c>
      <c r="B289" s="20" t="s">
        <v>366</v>
      </c>
      <c r="C289" s="21" t="s">
        <v>141</v>
      </c>
      <c r="D289" s="21" t="s">
        <v>10</v>
      </c>
      <c r="E289" s="21" t="s">
        <v>119</v>
      </c>
      <c r="F289" s="21" t="s">
        <v>12</v>
      </c>
      <c r="G289" s="21" t="s">
        <v>13</v>
      </c>
      <c r="H289" s="20" t="str">
        <f t="shared" si="13"/>
        <v>NI-IMAQ 19.5.0</v>
      </c>
      <c r="I289" s="20"/>
      <c r="J289" s="7"/>
    </row>
    <row r="290" spans="1:10" hidden="1" x14ac:dyDescent="0.25">
      <c r="A290" s="20" t="s">
        <v>542</v>
      </c>
      <c r="B290" s="20" t="s">
        <v>366</v>
      </c>
      <c r="C290" s="21" t="s">
        <v>141</v>
      </c>
      <c r="D290" s="21" t="s">
        <v>10</v>
      </c>
      <c r="E290" s="21" t="s">
        <v>119</v>
      </c>
      <c r="F290" s="21" t="s">
        <v>24</v>
      </c>
      <c r="G290" s="21" t="s">
        <v>13</v>
      </c>
      <c r="H290" s="20" t="str">
        <f t="shared" si="13"/>
        <v>NI-IMAQ 19.5.0</v>
      </c>
      <c r="I290" s="20"/>
      <c r="J290" s="7"/>
    </row>
    <row r="291" spans="1:10" hidden="1" x14ac:dyDescent="0.25">
      <c r="A291" s="20" t="s">
        <v>542</v>
      </c>
      <c r="B291" s="20" t="s">
        <v>367</v>
      </c>
      <c r="C291" s="21" t="s">
        <v>156</v>
      </c>
      <c r="D291" s="21" t="s">
        <v>10</v>
      </c>
      <c r="E291" s="21" t="s">
        <v>130</v>
      </c>
      <c r="F291" s="21" t="s">
        <v>12</v>
      </c>
      <c r="G291" s="21" t="s">
        <v>13</v>
      </c>
      <c r="H291" s="20" t="str">
        <f t="shared" si="13"/>
        <v>NI-IMAQ Development Support 18.5.0</v>
      </c>
      <c r="I291" s="20"/>
      <c r="J291" s="7"/>
    </row>
    <row r="292" spans="1:10" hidden="1" x14ac:dyDescent="0.25">
      <c r="A292" s="20" t="s">
        <v>542</v>
      </c>
      <c r="B292" s="20" t="s">
        <v>368</v>
      </c>
      <c r="C292" s="21" t="s">
        <v>156</v>
      </c>
      <c r="D292" s="21" t="s">
        <v>10</v>
      </c>
      <c r="E292" s="21" t="s">
        <v>130</v>
      </c>
      <c r="F292" s="21" t="s">
        <v>12</v>
      </c>
      <c r="G292" s="21" t="s">
        <v>13</v>
      </c>
      <c r="H292" s="20" t="str">
        <f t="shared" si="13"/>
        <v>NI-IMAQ I/O 18.5.0</v>
      </c>
      <c r="I292" s="20"/>
      <c r="J292" s="7"/>
    </row>
    <row r="293" spans="1:10" hidden="1" x14ac:dyDescent="0.25">
      <c r="A293" s="20" t="s">
        <v>542</v>
      </c>
      <c r="B293" s="20" t="s">
        <v>368</v>
      </c>
      <c r="C293" s="21" t="s">
        <v>156</v>
      </c>
      <c r="D293" s="21" t="s">
        <v>10</v>
      </c>
      <c r="E293" s="21" t="s">
        <v>130</v>
      </c>
      <c r="F293" s="21" t="s">
        <v>24</v>
      </c>
      <c r="G293" s="21" t="s">
        <v>13</v>
      </c>
      <c r="H293" s="20" t="str">
        <f t="shared" si="13"/>
        <v>NI-IMAQ I/O 18.5.0</v>
      </c>
      <c r="I293" s="20"/>
      <c r="J293" s="7"/>
    </row>
    <row r="294" spans="1:10" hidden="1" x14ac:dyDescent="0.25">
      <c r="A294" s="20" t="s">
        <v>542</v>
      </c>
      <c r="B294" s="20" t="s">
        <v>369</v>
      </c>
      <c r="C294" s="21" t="s">
        <v>156</v>
      </c>
      <c r="D294" s="21" t="s">
        <v>10</v>
      </c>
      <c r="E294" s="21" t="s">
        <v>130</v>
      </c>
      <c r="F294" s="21" t="s">
        <v>12</v>
      </c>
      <c r="G294" s="21" t="s">
        <v>13</v>
      </c>
      <c r="H294" s="20" t="str">
        <f t="shared" si="13"/>
        <v>NI-IMAQ I/O Development Support 18.5.0</v>
      </c>
      <c r="I294" s="20"/>
      <c r="J294" s="7"/>
    </row>
    <row r="295" spans="1:10" hidden="1" x14ac:dyDescent="0.25">
      <c r="A295" s="20" t="s">
        <v>542</v>
      </c>
      <c r="B295" s="20" t="s">
        <v>382</v>
      </c>
      <c r="C295" s="21" t="s">
        <v>156</v>
      </c>
      <c r="D295" s="21" t="s">
        <v>10</v>
      </c>
      <c r="E295" s="21" t="s">
        <v>130</v>
      </c>
      <c r="F295" s="21" t="s">
        <v>12</v>
      </c>
      <c r="G295" s="21" t="s">
        <v>13</v>
      </c>
      <c r="H295" s="20" t="str">
        <f t="shared" si="13"/>
        <v>NI-IMAQdx 18.5.0</v>
      </c>
      <c r="I295" s="20"/>
      <c r="J295" s="7"/>
    </row>
    <row r="296" spans="1:10" hidden="1" x14ac:dyDescent="0.25">
      <c r="A296" s="20" t="s">
        <v>542</v>
      </c>
      <c r="B296" s="20" t="s">
        <v>382</v>
      </c>
      <c r="C296" s="21" t="s">
        <v>156</v>
      </c>
      <c r="D296" s="21" t="s">
        <v>10</v>
      </c>
      <c r="E296" s="21" t="s">
        <v>130</v>
      </c>
      <c r="F296" s="21" t="s">
        <v>24</v>
      </c>
      <c r="G296" s="21" t="s">
        <v>13</v>
      </c>
      <c r="H296" s="20" t="str">
        <f t="shared" si="13"/>
        <v>NI-IMAQdx 18.5.0</v>
      </c>
      <c r="I296" s="20"/>
      <c r="J296" s="7"/>
    </row>
    <row r="297" spans="1:10" hidden="1" x14ac:dyDescent="0.25">
      <c r="A297" s="20" t="s">
        <v>542</v>
      </c>
      <c r="B297" s="20" t="s">
        <v>383</v>
      </c>
      <c r="C297" s="21" t="s">
        <v>156</v>
      </c>
      <c r="D297" s="21" t="s">
        <v>10</v>
      </c>
      <c r="E297" s="21" t="s">
        <v>130</v>
      </c>
      <c r="F297" s="21" t="s">
        <v>12</v>
      </c>
      <c r="G297" s="21" t="s">
        <v>13</v>
      </c>
      <c r="H297" s="20" t="str">
        <f t="shared" si="13"/>
        <v>NI-IMAQdx Development Support 18.5.0</v>
      </c>
      <c r="I297" s="20"/>
      <c r="J297" s="7"/>
    </row>
    <row r="298" spans="1:10" hidden="1" x14ac:dyDescent="0.25">
      <c r="A298" s="20" t="s">
        <v>542</v>
      </c>
      <c r="B298" s="20" t="s">
        <v>143</v>
      </c>
      <c r="C298" s="21" t="s">
        <v>102</v>
      </c>
      <c r="D298" s="21" t="s">
        <v>10</v>
      </c>
      <c r="E298" s="21" t="s">
        <v>11</v>
      </c>
      <c r="F298" s="21" t="s">
        <v>12</v>
      </c>
      <c r="G298" s="21" t="s">
        <v>13</v>
      </c>
      <c r="H298" s="20" t="str">
        <f t="shared" si="13"/>
        <v>NI-Industrial Communications for EtherCAT 15.0</v>
      </c>
      <c r="I298" s="41" t="s">
        <v>415</v>
      </c>
      <c r="J298" s="7"/>
    </row>
    <row r="299" spans="1:10" hidden="1" x14ac:dyDescent="0.25">
      <c r="A299" s="20" t="s">
        <v>542</v>
      </c>
      <c r="B299" s="20" t="s">
        <v>143</v>
      </c>
      <c r="C299" s="21"/>
      <c r="D299" s="21" t="s">
        <v>10</v>
      </c>
      <c r="E299" s="21" t="s">
        <v>136</v>
      </c>
      <c r="F299" s="21" t="s">
        <v>171</v>
      </c>
      <c r="G299" s="21" t="s">
        <v>13</v>
      </c>
      <c r="H299" s="20" t="str">
        <f t="shared" si="13"/>
        <v xml:space="preserve">NI-Industrial Communications for EtherCAT </v>
      </c>
      <c r="I299" s="20"/>
      <c r="J299" s="7"/>
    </row>
    <row r="300" spans="1:10" hidden="1" x14ac:dyDescent="0.25">
      <c r="A300" s="20" t="s">
        <v>542</v>
      </c>
      <c r="B300" s="20" t="s">
        <v>143</v>
      </c>
      <c r="C300" s="21" t="s">
        <v>144</v>
      </c>
      <c r="D300" s="21" t="s">
        <v>10</v>
      </c>
      <c r="E300" s="21">
        <v>2015</v>
      </c>
      <c r="F300" s="21" t="s">
        <v>12</v>
      </c>
      <c r="G300" s="21" t="s">
        <v>13</v>
      </c>
      <c r="H300" s="20" t="str">
        <f t="shared" si="13"/>
        <v>NI-Industrial Communications for EtherCAT 15.0.0f3</v>
      </c>
      <c r="I300" s="41" t="s">
        <v>415</v>
      </c>
      <c r="J300" s="7"/>
    </row>
    <row r="301" spans="1:10" hidden="1" x14ac:dyDescent="0.25">
      <c r="A301" s="20" t="s">
        <v>542</v>
      </c>
      <c r="B301" s="20" t="s">
        <v>59</v>
      </c>
      <c r="C301" s="21" t="s">
        <v>135</v>
      </c>
      <c r="D301" s="21" t="s">
        <v>10</v>
      </c>
      <c r="E301" s="21" t="s">
        <v>119</v>
      </c>
      <c r="F301" s="21" t="s">
        <v>12</v>
      </c>
      <c r="G301" s="21" t="s">
        <v>13</v>
      </c>
      <c r="H301" s="20" t="str">
        <f t="shared" si="13"/>
        <v>NI-PAL Software 19.0.0</v>
      </c>
      <c r="I301" s="20"/>
      <c r="J301" s="7"/>
    </row>
    <row r="302" spans="1:10" hidden="1" x14ac:dyDescent="0.25">
      <c r="A302" s="20" t="s">
        <v>542</v>
      </c>
      <c r="B302" s="20" t="s">
        <v>54</v>
      </c>
      <c r="C302" s="21" t="s">
        <v>170</v>
      </c>
      <c r="D302" s="21" t="s">
        <v>10</v>
      </c>
      <c r="E302" s="21" t="s">
        <v>11</v>
      </c>
      <c r="F302" s="21" t="s">
        <v>171</v>
      </c>
      <c r="G302" s="21" t="s">
        <v>13</v>
      </c>
      <c r="H302" s="20" t="str">
        <f t="shared" si="13"/>
        <v>NI-RIO 15.5</v>
      </c>
      <c r="I302" s="20"/>
      <c r="J302" s="7"/>
    </row>
    <row r="303" spans="1:10" hidden="1" x14ac:dyDescent="0.25">
      <c r="A303" s="20" t="s">
        <v>542</v>
      </c>
      <c r="B303" s="20" t="s">
        <v>54</v>
      </c>
      <c r="C303" s="21" t="s">
        <v>156</v>
      </c>
      <c r="D303" s="21" t="s">
        <v>10</v>
      </c>
      <c r="E303" s="21" t="s">
        <v>130</v>
      </c>
      <c r="F303" s="21" t="s">
        <v>12</v>
      </c>
      <c r="G303" s="21" t="s">
        <v>13</v>
      </c>
      <c r="H303" s="20" t="str">
        <f t="shared" si="13"/>
        <v>NI-RIO 18.5.0</v>
      </c>
      <c r="I303" s="20"/>
      <c r="J303" s="7"/>
    </row>
    <row r="304" spans="1:10" hidden="1" x14ac:dyDescent="0.25">
      <c r="A304" s="20" t="s">
        <v>542</v>
      </c>
      <c r="B304" s="20" t="s">
        <v>54</v>
      </c>
      <c r="C304" s="21" t="s">
        <v>156</v>
      </c>
      <c r="D304" s="21" t="s">
        <v>10</v>
      </c>
      <c r="E304" s="21" t="s">
        <v>130</v>
      </c>
      <c r="F304" s="21" t="s">
        <v>12</v>
      </c>
      <c r="G304" s="21" t="s">
        <v>13</v>
      </c>
      <c r="H304" s="20" t="str">
        <f t="shared" si="13"/>
        <v>NI-RIO 18.5.0</v>
      </c>
      <c r="I304" s="20"/>
      <c r="J304" s="7"/>
    </row>
    <row r="305" spans="1:10" x14ac:dyDescent="0.25">
      <c r="A305" s="20" t="s">
        <v>542</v>
      </c>
      <c r="B305" s="20" t="s">
        <v>192</v>
      </c>
      <c r="C305" s="21" t="s">
        <v>170</v>
      </c>
      <c r="D305" s="21" t="s">
        <v>10</v>
      </c>
      <c r="E305" s="21" t="s">
        <v>11</v>
      </c>
      <c r="F305" s="21" t="s">
        <v>171</v>
      </c>
      <c r="G305" s="21" t="s">
        <v>13</v>
      </c>
      <c r="H305" s="20" t="str">
        <f t="shared" si="13"/>
        <v>NI-RIO IO Scan 15.5</v>
      </c>
      <c r="I305" s="20"/>
      <c r="J305" s="7"/>
    </row>
    <row r="306" spans="1:10" hidden="1" x14ac:dyDescent="0.25">
      <c r="A306" s="20" t="s">
        <v>542</v>
      </c>
      <c r="B306" s="20" t="s">
        <v>64</v>
      </c>
      <c r="C306" s="21" t="s">
        <v>146</v>
      </c>
      <c r="D306" s="21" t="s">
        <v>10</v>
      </c>
      <c r="E306" s="21" t="s">
        <v>130</v>
      </c>
      <c r="F306" s="21" t="s">
        <v>12</v>
      </c>
      <c r="G306" s="21" t="s">
        <v>13</v>
      </c>
      <c r="H306" s="20" t="str">
        <f t="shared" si="13"/>
        <v>NI-Serial Configuration 18.5.0f0</v>
      </c>
      <c r="I306" s="20"/>
      <c r="J306" s="7"/>
    </row>
    <row r="307" spans="1:10" hidden="1" x14ac:dyDescent="0.25">
      <c r="A307" s="20" t="s">
        <v>542</v>
      </c>
      <c r="B307" s="20" t="s">
        <v>129</v>
      </c>
      <c r="C307" s="21" t="s">
        <v>146</v>
      </c>
      <c r="D307" s="21" t="s">
        <v>10</v>
      </c>
      <c r="E307" s="21" t="s">
        <v>130</v>
      </c>
      <c r="F307" s="21" t="s">
        <v>24</v>
      </c>
      <c r="G307" s="21" t="s">
        <v>13</v>
      </c>
      <c r="H307" s="20" t="str">
        <f t="shared" si="13"/>
        <v>NI-Serial 18.5.0f0</v>
      </c>
      <c r="I307" s="20"/>
      <c r="J307" s="7"/>
    </row>
    <row r="308" spans="1:10" hidden="1" x14ac:dyDescent="0.25">
      <c r="A308" s="20" t="s">
        <v>542</v>
      </c>
      <c r="B308" s="20" t="s">
        <v>56</v>
      </c>
      <c r="C308" s="21" t="s">
        <v>147</v>
      </c>
      <c r="D308" s="21" t="s">
        <v>10</v>
      </c>
      <c r="E308" s="21" t="s">
        <v>11</v>
      </c>
      <c r="F308" s="21" t="s">
        <v>24</v>
      </c>
      <c r="G308" s="21" t="s">
        <v>13</v>
      </c>
      <c r="H308" s="20" t="str">
        <f t="shared" si="13"/>
        <v>NI-Sync 15.0.1f0</v>
      </c>
      <c r="I308" s="20"/>
      <c r="J308" s="7"/>
    </row>
    <row r="309" spans="1:10" hidden="1" x14ac:dyDescent="0.25">
      <c r="A309" s="20" t="s">
        <v>542</v>
      </c>
      <c r="B309" s="20" t="s">
        <v>56</v>
      </c>
      <c r="C309" s="21" t="s">
        <v>147</v>
      </c>
      <c r="D309" s="21" t="s">
        <v>10</v>
      </c>
      <c r="E309" s="21">
        <v>2015</v>
      </c>
      <c r="F309" s="21" t="s">
        <v>12</v>
      </c>
      <c r="G309" s="21" t="s">
        <v>13</v>
      </c>
      <c r="H309" s="20" t="str">
        <f t="shared" si="13"/>
        <v>NI-Sync 15.0.1f0</v>
      </c>
      <c r="I309" s="20"/>
      <c r="J309" s="7"/>
    </row>
    <row r="310" spans="1:10" hidden="1" x14ac:dyDescent="0.25">
      <c r="A310" s="20" t="s">
        <v>542</v>
      </c>
      <c r="B310" s="20" t="s">
        <v>57</v>
      </c>
      <c r="C310" s="21" t="s">
        <v>30</v>
      </c>
      <c r="D310" s="21" t="s">
        <v>10</v>
      </c>
      <c r="E310" s="21">
        <v>2015</v>
      </c>
      <c r="F310" s="21" t="s">
        <v>12</v>
      </c>
      <c r="G310" s="21" t="s">
        <v>13</v>
      </c>
      <c r="H310" s="20" t="str">
        <f t="shared" si="13"/>
        <v>NI-TimeSync 15.0.0f0</v>
      </c>
      <c r="I310" s="20"/>
      <c r="J310" s="7"/>
    </row>
    <row r="311" spans="1:10" hidden="1" x14ac:dyDescent="0.25">
      <c r="A311" s="20" t="s">
        <v>542</v>
      </c>
      <c r="B311" s="20" t="s">
        <v>46</v>
      </c>
      <c r="C311" s="21" t="s">
        <v>381</v>
      </c>
      <c r="D311" s="21" t="s">
        <v>10</v>
      </c>
      <c r="E311" s="21" t="s">
        <v>130</v>
      </c>
      <c r="F311" s="21" t="s">
        <v>12</v>
      </c>
      <c r="G311" s="21" t="s">
        <v>13</v>
      </c>
      <c r="H311" s="20" t="str">
        <f t="shared" ref="H311:H341" si="14">B311&amp;" "&amp;C311</f>
        <v>NI-USI 18.5.5.7372</v>
      </c>
      <c r="I311" s="20"/>
      <c r="J311" s="7"/>
    </row>
    <row r="312" spans="1:10" hidden="1" x14ac:dyDescent="0.25">
      <c r="A312" s="20" t="s">
        <v>542</v>
      </c>
      <c r="B312" s="20" t="s">
        <v>70</v>
      </c>
      <c r="C312" s="21" t="s">
        <v>97</v>
      </c>
      <c r="D312" s="21" t="s">
        <v>10</v>
      </c>
      <c r="E312" s="21" t="s">
        <v>11</v>
      </c>
      <c r="F312" s="21" t="s">
        <v>171</v>
      </c>
      <c r="G312" s="21" t="s">
        <v>13</v>
      </c>
      <c r="H312" s="20" t="str">
        <f t="shared" si="14"/>
        <v>NI-VISA 15.5.0</v>
      </c>
      <c r="I312" s="20"/>
      <c r="J312" s="7"/>
    </row>
    <row r="313" spans="1:10" hidden="1" x14ac:dyDescent="0.25">
      <c r="A313" s="20" t="s">
        <v>542</v>
      </c>
      <c r="B313" s="20" t="s">
        <v>70</v>
      </c>
      <c r="C313" s="21">
        <v>19.5</v>
      </c>
      <c r="D313" s="21" t="s">
        <v>10</v>
      </c>
      <c r="E313" s="21" t="s">
        <v>119</v>
      </c>
      <c r="F313" s="21" t="s">
        <v>12</v>
      </c>
      <c r="G313" s="21" t="s">
        <v>13</v>
      </c>
      <c r="H313" s="20" t="str">
        <f t="shared" si="14"/>
        <v>NI-VISA 19.5</v>
      </c>
      <c r="I313" s="20"/>
      <c r="J313" s="7"/>
    </row>
    <row r="314" spans="1:10" hidden="1" x14ac:dyDescent="0.25">
      <c r="A314" s="20" t="s">
        <v>542</v>
      </c>
      <c r="B314" s="20" t="s">
        <v>70</v>
      </c>
      <c r="C314" s="21">
        <v>19.5</v>
      </c>
      <c r="D314" s="21" t="s">
        <v>10</v>
      </c>
      <c r="E314" s="21" t="s">
        <v>119</v>
      </c>
      <c r="F314" s="21" t="s">
        <v>24</v>
      </c>
      <c r="G314" s="21" t="s">
        <v>13</v>
      </c>
      <c r="H314" s="20" t="str">
        <f t="shared" si="14"/>
        <v>NI-VISA 19.5</v>
      </c>
      <c r="I314" s="20"/>
      <c r="J314" s="7"/>
    </row>
    <row r="315" spans="1:10" hidden="1" x14ac:dyDescent="0.25">
      <c r="A315" s="20" t="s">
        <v>542</v>
      </c>
      <c r="B315" s="20" t="s">
        <v>73</v>
      </c>
      <c r="C315" s="21" t="s">
        <v>385</v>
      </c>
      <c r="D315" s="21" t="s">
        <v>10</v>
      </c>
      <c r="E315" s="21" t="s">
        <v>130</v>
      </c>
      <c r="F315" s="21" t="s">
        <v>12</v>
      </c>
      <c r="G315" s="21" t="s">
        <v>13</v>
      </c>
      <c r="H315" s="20" t="str">
        <f t="shared" si="14"/>
        <v>NIvisaic.exe 18.5.0.49152</v>
      </c>
      <c r="I315" s="36" t="s">
        <v>42</v>
      </c>
      <c r="J315" s="7"/>
    </row>
    <row r="316" spans="1:10" hidden="1" x14ac:dyDescent="0.25">
      <c r="A316" s="20" t="s">
        <v>542</v>
      </c>
      <c r="B316" s="20" t="s">
        <v>71</v>
      </c>
      <c r="C316" s="21" t="s">
        <v>72</v>
      </c>
      <c r="D316" s="21" t="s">
        <v>10</v>
      </c>
      <c r="E316" s="21">
        <v>2015</v>
      </c>
      <c r="F316" s="21" t="s">
        <v>12</v>
      </c>
      <c r="G316" s="21" t="s">
        <v>13</v>
      </c>
      <c r="H316" s="20" t="str">
        <f t="shared" si="14"/>
        <v>NiVisaServer.exe 15.0.0.49152</v>
      </c>
      <c r="I316" s="36" t="s">
        <v>42</v>
      </c>
      <c r="J316" s="7"/>
    </row>
    <row r="317" spans="1:10" hidden="1" x14ac:dyDescent="0.25">
      <c r="A317" s="20" t="s">
        <v>542</v>
      </c>
      <c r="B317" s="20" t="s">
        <v>194</v>
      </c>
      <c r="C317" s="21" t="s">
        <v>9</v>
      </c>
      <c r="D317" s="21" t="s">
        <v>10</v>
      </c>
      <c r="E317" s="21" t="s">
        <v>11</v>
      </c>
      <c r="F317" s="21" t="s">
        <v>171</v>
      </c>
      <c r="G317" s="21" t="s">
        <v>13</v>
      </c>
      <c r="H317" s="20" t="str">
        <f t="shared" si="14"/>
        <v>NI-Watchdog 15.0.0</v>
      </c>
      <c r="I317" s="20"/>
      <c r="J317" s="7"/>
    </row>
    <row r="318" spans="1:10" hidden="1" x14ac:dyDescent="0.25">
      <c r="A318" s="20" t="s">
        <v>542</v>
      </c>
      <c r="B318" s="20" t="s">
        <v>396</v>
      </c>
      <c r="C318" s="21" t="s">
        <v>146</v>
      </c>
      <c r="D318" s="21" t="s">
        <v>10</v>
      </c>
      <c r="E318" s="21" t="s">
        <v>130</v>
      </c>
      <c r="F318" s="21" t="s">
        <v>12</v>
      </c>
      <c r="G318" s="21" t="s">
        <v>13</v>
      </c>
      <c r="H318" s="20" t="str">
        <f t="shared" si="14"/>
        <v>NI-XNET 18.5.0f0</v>
      </c>
      <c r="I318" s="20"/>
      <c r="J318" s="7"/>
    </row>
    <row r="319" spans="1:10" hidden="1" x14ac:dyDescent="0.25">
      <c r="A319" s="20" t="s">
        <v>542</v>
      </c>
      <c r="B319" s="20" t="s">
        <v>396</v>
      </c>
      <c r="C319" s="21" t="s">
        <v>388</v>
      </c>
      <c r="D319" s="21" t="s">
        <v>10</v>
      </c>
      <c r="E319" s="21" t="s">
        <v>130</v>
      </c>
      <c r="F319" s="21" t="s">
        <v>24</v>
      </c>
      <c r="G319" s="21" t="s">
        <v>13</v>
      </c>
      <c r="H319" s="20" t="str">
        <f t="shared" si="14"/>
        <v>NI-XNET 18.5.0f1</v>
      </c>
      <c r="I319" s="20"/>
      <c r="J319" s="7"/>
    </row>
    <row r="320" spans="1:10" hidden="1" x14ac:dyDescent="0.25">
      <c r="A320" s="20" t="s">
        <v>542</v>
      </c>
      <c r="B320" s="20" t="s">
        <v>313</v>
      </c>
      <c r="C320" s="21" t="s">
        <v>314</v>
      </c>
      <c r="D320" s="21" t="s">
        <v>10</v>
      </c>
      <c r="E320" s="21" t="s">
        <v>136</v>
      </c>
      <c r="F320" s="21" t="s">
        <v>12</v>
      </c>
      <c r="G320" s="21" t="s">
        <v>315</v>
      </c>
      <c r="H320" s="20" t="str">
        <f t="shared" si="14"/>
        <v>OpenG Application Control Library 4.1.0.7</v>
      </c>
      <c r="I320" s="119" t="s">
        <v>202</v>
      </c>
      <c r="J320" s="7"/>
    </row>
    <row r="321" spans="1:10" hidden="1" x14ac:dyDescent="0.25">
      <c r="A321" s="20" t="s">
        <v>542</v>
      </c>
      <c r="B321" s="20" t="s">
        <v>316</v>
      </c>
      <c r="C321" s="21" t="s">
        <v>317</v>
      </c>
      <c r="D321" s="21" t="s">
        <v>10</v>
      </c>
      <c r="E321" s="21" t="s">
        <v>136</v>
      </c>
      <c r="F321" s="21" t="s">
        <v>12</v>
      </c>
      <c r="G321" s="21" t="s">
        <v>315</v>
      </c>
      <c r="H321" s="20" t="str">
        <f t="shared" si="14"/>
        <v>OpenG Array Library 4.1.1.14</v>
      </c>
      <c r="I321" s="119" t="s">
        <v>202</v>
      </c>
      <c r="J321" s="7"/>
    </row>
    <row r="322" spans="1:10" hidden="1" x14ac:dyDescent="0.25">
      <c r="A322" s="20" t="s">
        <v>542</v>
      </c>
      <c r="B322" s="20" t="s">
        <v>318</v>
      </c>
      <c r="C322" s="21" t="s">
        <v>319</v>
      </c>
      <c r="D322" s="21" t="s">
        <v>10</v>
      </c>
      <c r="E322" s="21" t="s">
        <v>136</v>
      </c>
      <c r="F322" s="21" t="s">
        <v>12</v>
      </c>
      <c r="G322" s="21" t="s">
        <v>315</v>
      </c>
      <c r="H322" s="20" t="str">
        <f t="shared" si="14"/>
        <v>OpenG Boolean Library 4.0.0.7</v>
      </c>
      <c r="I322" s="119" t="s">
        <v>202</v>
      </c>
      <c r="J322" s="7"/>
    </row>
    <row r="323" spans="1:10" hidden="1" x14ac:dyDescent="0.25">
      <c r="A323" s="20" t="s">
        <v>542</v>
      </c>
      <c r="B323" s="20" t="s">
        <v>320</v>
      </c>
      <c r="C323" s="21" t="s">
        <v>321</v>
      </c>
      <c r="D323" s="21" t="s">
        <v>10</v>
      </c>
      <c r="E323" s="21" t="s">
        <v>136</v>
      </c>
      <c r="F323" s="21" t="s">
        <v>12</v>
      </c>
      <c r="G323" s="21" t="s">
        <v>315</v>
      </c>
      <c r="H323" s="20" t="str">
        <f t="shared" si="14"/>
        <v>OpenG Builder 3.0.1-2</v>
      </c>
      <c r="I323" s="119" t="s">
        <v>202</v>
      </c>
      <c r="J323" s="7"/>
    </row>
    <row r="324" spans="1:10" hidden="1" x14ac:dyDescent="0.25">
      <c r="A324" s="20" t="s">
        <v>542</v>
      </c>
      <c r="B324" s="20" t="s">
        <v>322</v>
      </c>
      <c r="C324" s="21" t="s">
        <v>319</v>
      </c>
      <c r="D324" s="21" t="s">
        <v>10</v>
      </c>
      <c r="E324" s="21" t="s">
        <v>136</v>
      </c>
      <c r="F324" s="21" t="s">
        <v>12</v>
      </c>
      <c r="G324" s="21" t="s">
        <v>315</v>
      </c>
      <c r="H324" s="20" t="str">
        <f t="shared" si="14"/>
        <v>OpenG Buttons Library 4.0.0.7</v>
      </c>
      <c r="I324" s="119" t="s">
        <v>202</v>
      </c>
      <c r="J324" s="7"/>
    </row>
    <row r="325" spans="1:10" hidden="1" x14ac:dyDescent="0.25">
      <c r="A325" s="20" t="s">
        <v>542</v>
      </c>
      <c r="B325" s="20" t="s">
        <v>323</v>
      </c>
      <c r="C325" s="21" t="s">
        <v>324</v>
      </c>
      <c r="D325" s="21" t="s">
        <v>10</v>
      </c>
      <c r="E325" s="21" t="s">
        <v>136</v>
      </c>
      <c r="F325" s="21" t="s">
        <v>12</v>
      </c>
      <c r="G325" s="21" t="s">
        <v>315</v>
      </c>
      <c r="H325" s="20" t="str">
        <f t="shared" si="14"/>
        <v>OpenG Compare VI To Disk Tool 4.0.0.9</v>
      </c>
      <c r="I325" s="119" t="s">
        <v>202</v>
      </c>
      <c r="J325" s="7"/>
    </row>
    <row r="326" spans="1:10" hidden="1" x14ac:dyDescent="0.25">
      <c r="A326" s="20" t="s">
        <v>542</v>
      </c>
      <c r="B326" s="20" t="s">
        <v>325</v>
      </c>
      <c r="C326" s="21" t="s">
        <v>326</v>
      </c>
      <c r="D326" s="21" t="s">
        <v>10</v>
      </c>
      <c r="E326" s="21" t="s">
        <v>136</v>
      </c>
      <c r="F326" s="21" t="s">
        <v>12</v>
      </c>
      <c r="G326" s="21" t="s">
        <v>315</v>
      </c>
      <c r="H326" s="20" t="str">
        <f t="shared" si="14"/>
        <v>OpenG Comparison Library 4.0.0.3</v>
      </c>
      <c r="I326" s="119" t="s">
        <v>202</v>
      </c>
      <c r="J326" s="7"/>
    </row>
    <row r="327" spans="1:10" hidden="1" x14ac:dyDescent="0.25">
      <c r="A327" s="20" t="s">
        <v>542</v>
      </c>
      <c r="B327" s="20" t="s">
        <v>327</v>
      </c>
      <c r="C327" s="21" t="s">
        <v>328</v>
      </c>
      <c r="D327" s="21" t="s">
        <v>10</v>
      </c>
      <c r="E327" s="21" t="s">
        <v>136</v>
      </c>
      <c r="F327" s="21" t="s">
        <v>12</v>
      </c>
      <c r="G327" s="21" t="s">
        <v>315</v>
      </c>
      <c r="H327" s="20" t="str">
        <f t="shared" si="14"/>
        <v>OpenG Dictionary Library 4.0.0.4</v>
      </c>
      <c r="I327" s="119" t="s">
        <v>202</v>
      </c>
      <c r="J327" s="7"/>
    </row>
    <row r="328" spans="1:10" hidden="1" x14ac:dyDescent="0.25">
      <c r="A328" s="20" t="s">
        <v>542</v>
      </c>
      <c r="B328" s="20" t="s">
        <v>329</v>
      </c>
      <c r="C328" s="21" t="s">
        <v>330</v>
      </c>
      <c r="D328" s="21" t="s">
        <v>10</v>
      </c>
      <c r="E328" s="21" t="s">
        <v>136</v>
      </c>
      <c r="F328" s="21" t="s">
        <v>12</v>
      </c>
      <c r="G328" s="21" t="s">
        <v>315</v>
      </c>
      <c r="H328" s="20" t="str">
        <f t="shared" si="14"/>
        <v>OpenG Error Library 4.2.0.23</v>
      </c>
      <c r="I328" s="119" t="s">
        <v>202</v>
      </c>
      <c r="J328" s="7"/>
    </row>
    <row r="329" spans="1:10" hidden="1" x14ac:dyDescent="0.25">
      <c r="A329" s="20" t="s">
        <v>542</v>
      </c>
      <c r="B329" s="20" t="s">
        <v>331</v>
      </c>
      <c r="C329" s="21" t="s">
        <v>332</v>
      </c>
      <c r="D329" s="21" t="s">
        <v>10</v>
      </c>
      <c r="E329" s="21" t="s">
        <v>136</v>
      </c>
      <c r="F329" s="21" t="s">
        <v>12</v>
      </c>
      <c r="G329" s="21" t="s">
        <v>315</v>
      </c>
      <c r="H329" s="20" t="str">
        <f t="shared" si="14"/>
        <v>OpenG File Library 4.0.1.22</v>
      </c>
      <c r="I329" s="119" t="s">
        <v>202</v>
      </c>
      <c r="J329" s="7"/>
    </row>
    <row r="330" spans="1:10" hidden="1" x14ac:dyDescent="0.25">
      <c r="A330" s="20" t="s">
        <v>542</v>
      </c>
      <c r="B330" s="20" t="s">
        <v>333</v>
      </c>
      <c r="C330" s="21" t="s">
        <v>328</v>
      </c>
      <c r="D330" s="21" t="s">
        <v>10</v>
      </c>
      <c r="E330" s="21" t="s">
        <v>136</v>
      </c>
      <c r="F330" s="21" t="s">
        <v>12</v>
      </c>
      <c r="G330" s="21" t="s">
        <v>334</v>
      </c>
      <c r="H330" s="20" t="str">
        <f t="shared" si="14"/>
        <v>OpenG LabPython Library 4.0.0.4</v>
      </c>
      <c r="I330" s="119" t="s">
        <v>202</v>
      </c>
      <c r="J330" s="7"/>
    </row>
    <row r="331" spans="1:10" hidden="1" x14ac:dyDescent="0.25">
      <c r="A331" s="20" t="s">
        <v>542</v>
      </c>
      <c r="B331" s="20" t="s">
        <v>335</v>
      </c>
      <c r="C331" s="21" t="s">
        <v>336</v>
      </c>
      <c r="D331" s="21" t="s">
        <v>10</v>
      </c>
      <c r="E331" s="21" t="s">
        <v>136</v>
      </c>
      <c r="F331" s="21" t="s">
        <v>12</v>
      </c>
      <c r="G331" s="21" t="s">
        <v>541</v>
      </c>
      <c r="H331" s="20" t="str">
        <f t="shared" si="14"/>
        <v>OpenG LabVIEW Data Library 4.2.0.21</v>
      </c>
      <c r="I331" s="20"/>
      <c r="J331" s="7"/>
    </row>
    <row r="332" spans="1:10" hidden="1" x14ac:dyDescent="0.25">
      <c r="A332" s="20" t="s">
        <v>542</v>
      </c>
      <c r="B332" s="20" t="s">
        <v>337</v>
      </c>
      <c r="C332" s="21" t="s">
        <v>338</v>
      </c>
      <c r="D332" s="21" t="s">
        <v>10</v>
      </c>
      <c r="E332" s="21" t="s">
        <v>136</v>
      </c>
      <c r="F332" s="21" t="s">
        <v>12</v>
      </c>
      <c r="G332" s="21" t="s">
        <v>315</v>
      </c>
      <c r="H332" s="20" t="str">
        <f t="shared" si="14"/>
        <v>OpenG LabVIEW ZIP Library 4.0.0-2</v>
      </c>
      <c r="I332" s="119" t="s">
        <v>202</v>
      </c>
      <c r="J332" s="7"/>
    </row>
    <row r="333" spans="1:10" hidden="1" x14ac:dyDescent="0.25">
      <c r="A333" s="20" t="s">
        <v>542</v>
      </c>
      <c r="B333" s="20" t="s">
        <v>339</v>
      </c>
      <c r="C333" s="21" t="s">
        <v>326</v>
      </c>
      <c r="D333" s="21" t="s">
        <v>10</v>
      </c>
      <c r="E333" s="21" t="s">
        <v>136</v>
      </c>
      <c r="F333" s="21" t="s">
        <v>12</v>
      </c>
      <c r="G333" s="21" t="s">
        <v>315</v>
      </c>
      <c r="H333" s="20" t="str">
        <f t="shared" si="14"/>
        <v>OpenG Large File Library 4.0.0.3</v>
      </c>
      <c r="I333" s="119" t="s">
        <v>202</v>
      </c>
      <c r="J333" s="7"/>
    </row>
    <row r="334" spans="1:10" hidden="1" x14ac:dyDescent="0.25">
      <c r="A334" s="20" t="s">
        <v>542</v>
      </c>
      <c r="B334" s="20" t="s">
        <v>340</v>
      </c>
      <c r="C334" s="21" t="s">
        <v>319</v>
      </c>
      <c r="D334" s="21" t="s">
        <v>10</v>
      </c>
      <c r="E334" s="21" t="s">
        <v>136</v>
      </c>
      <c r="F334" s="21" t="s">
        <v>12</v>
      </c>
      <c r="G334" s="21" t="s">
        <v>315</v>
      </c>
      <c r="H334" s="20" t="str">
        <f t="shared" si="14"/>
        <v>OpenG Locate File In Project Tool 4.0.0.7</v>
      </c>
      <c r="I334" s="119" t="s">
        <v>202</v>
      </c>
      <c r="J334" s="7"/>
    </row>
    <row r="335" spans="1:10" hidden="1" x14ac:dyDescent="0.25">
      <c r="A335" s="20" t="s">
        <v>542</v>
      </c>
      <c r="B335" s="20" t="s">
        <v>341</v>
      </c>
      <c r="C335" s="21" t="s">
        <v>342</v>
      </c>
      <c r="D335" s="21" t="s">
        <v>10</v>
      </c>
      <c r="E335" s="21" t="s">
        <v>136</v>
      </c>
      <c r="F335" s="21" t="s">
        <v>12</v>
      </c>
      <c r="G335" s="21" t="s">
        <v>315</v>
      </c>
      <c r="H335" s="20" t="str">
        <f t="shared" si="14"/>
        <v>OpenG MD5 Digest Library 4.1.1.10</v>
      </c>
      <c r="I335" s="119" t="s">
        <v>202</v>
      </c>
      <c r="J335" s="7"/>
    </row>
    <row r="336" spans="1:10" hidden="1" x14ac:dyDescent="0.25">
      <c r="A336" s="20" t="s">
        <v>542</v>
      </c>
      <c r="B336" s="20" t="s">
        <v>343</v>
      </c>
      <c r="C336" s="21" t="s">
        <v>344</v>
      </c>
      <c r="D336" s="21" t="s">
        <v>10</v>
      </c>
      <c r="E336" s="21" t="s">
        <v>136</v>
      </c>
      <c r="F336" s="21" t="s">
        <v>12</v>
      </c>
      <c r="G336" s="21" t="s">
        <v>315</v>
      </c>
      <c r="H336" s="20" t="str">
        <f t="shared" si="14"/>
        <v>OpenG Message Queue Library 4.0.0.15</v>
      </c>
      <c r="I336" s="119" t="s">
        <v>202</v>
      </c>
      <c r="J336" s="7"/>
    </row>
    <row r="337" spans="1:10" hidden="1" x14ac:dyDescent="0.25">
      <c r="A337" s="20" t="s">
        <v>542</v>
      </c>
      <c r="B337" s="20" t="s">
        <v>345</v>
      </c>
      <c r="C337" s="21" t="s">
        <v>346</v>
      </c>
      <c r="D337" s="21" t="s">
        <v>10</v>
      </c>
      <c r="E337" s="21" t="s">
        <v>136</v>
      </c>
      <c r="F337" s="21" t="s">
        <v>12</v>
      </c>
      <c r="G337" s="21" t="s">
        <v>315</v>
      </c>
      <c r="H337" s="20" t="str">
        <f t="shared" si="14"/>
        <v>OpenG Numeric Library 4.1.0.8</v>
      </c>
      <c r="I337" s="119" t="s">
        <v>202</v>
      </c>
      <c r="J337" s="7"/>
    </row>
    <row r="338" spans="1:10" hidden="1" x14ac:dyDescent="0.25">
      <c r="A338" s="20" t="s">
        <v>542</v>
      </c>
      <c r="B338" s="20" t="s">
        <v>347</v>
      </c>
      <c r="C338" s="21" t="s">
        <v>348</v>
      </c>
      <c r="D338" s="21" t="s">
        <v>10</v>
      </c>
      <c r="E338" s="21" t="s">
        <v>136</v>
      </c>
      <c r="F338" s="21" t="s">
        <v>12</v>
      </c>
      <c r="G338" s="21" t="s">
        <v>315</v>
      </c>
      <c r="H338" s="20" t="str">
        <f t="shared" si="14"/>
        <v>OpenG Picture Library 4.0.0.13</v>
      </c>
      <c r="I338" s="119" t="s">
        <v>202</v>
      </c>
      <c r="J338" s="7"/>
    </row>
    <row r="339" spans="1:10" hidden="1" x14ac:dyDescent="0.25">
      <c r="A339" s="20" t="s">
        <v>542</v>
      </c>
      <c r="B339" s="20" t="s">
        <v>349</v>
      </c>
      <c r="C339" s="21" t="s">
        <v>338</v>
      </c>
      <c r="D339" s="21" t="s">
        <v>10</v>
      </c>
      <c r="E339" s="21" t="s">
        <v>136</v>
      </c>
      <c r="F339" s="21" t="s">
        <v>12</v>
      </c>
      <c r="G339" s="21" t="s">
        <v>315</v>
      </c>
      <c r="H339" s="20" t="str">
        <f t="shared" si="14"/>
        <v>OpenG Port IO 4.0.0-2</v>
      </c>
      <c r="I339" s="119" t="s">
        <v>202</v>
      </c>
      <c r="J339" s="7"/>
    </row>
    <row r="340" spans="1:10" hidden="1" x14ac:dyDescent="0.25">
      <c r="A340" s="20" t="s">
        <v>542</v>
      </c>
      <c r="B340" s="20" t="s">
        <v>350</v>
      </c>
      <c r="C340" s="21" t="s">
        <v>344</v>
      </c>
      <c r="D340" s="21" t="s">
        <v>10</v>
      </c>
      <c r="E340" s="21" t="s">
        <v>136</v>
      </c>
      <c r="F340" s="21" t="s">
        <v>12</v>
      </c>
      <c r="G340" s="21" t="s">
        <v>315</v>
      </c>
      <c r="H340" s="20" t="str">
        <f t="shared" si="14"/>
        <v>OpenG Rename Folder of VIs Tool 4.0.0.15</v>
      </c>
      <c r="I340" s="119" t="s">
        <v>202</v>
      </c>
      <c r="J340" s="7"/>
    </row>
    <row r="341" spans="1:10" hidden="1" x14ac:dyDescent="0.25">
      <c r="A341" s="20" t="s">
        <v>542</v>
      </c>
      <c r="B341" s="20" t="s">
        <v>351</v>
      </c>
      <c r="C341" s="21" t="s">
        <v>352</v>
      </c>
      <c r="D341" s="21" t="s">
        <v>10</v>
      </c>
      <c r="E341" s="21" t="s">
        <v>136</v>
      </c>
      <c r="F341" s="21" t="s">
        <v>12</v>
      </c>
      <c r="G341" s="21" t="s">
        <v>315</v>
      </c>
      <c r="H341" s="20" t="str">
        <f t="shared" si="14"/>
        <v>OpenG String Library 4.1.0.12</v>
      </c>
      <c r="I341" s="119" t="s">
        <v>202</v>
      </c>
      <c r="J341" s="7"/>
    </row>
    <row r="342" spans="1:10" hidden="1" x14ac:dyDescent="0.25">
      <c r="A342" s="20" t="s">
        <v>542</v>
      </c>
      <c r="B342" s="20" t="s">
        <v>353</v>
      </c>
      <c r="C342" s="21" t="s">
        <v>354</v>
      </c>
      <c r="D342" s="21" t="s">
        <v>10</v>
      </c>
      <c r="E342" s="21" t="s">
        <v>136</v>
      </c>
      <c r="F342" s="21" t="s">
        <v>12</v>
      </c>
      <c r="G342" s="21" t="s">
        <v>315</v>
      </c>
      <c r="H342" s="20" t="str">
        <f t="shared" ref="H342:H368" si="15">B342&amp;" "&amp;C342</f>
        <v>OpenG Time Library 4.0.1.3</v>
      </c>
      <c r="I342" s="119" t="s">
        <v>202</v>
      </c>
      <c r="J342" s="7"/>
    </row>
    <row r="343" spans="1:10" hidden="1" x14ac:dyDescent="0.25">
      <c r="A343" s="20" t="s">
        <v>542</v>
      </c>
      <c r="B343" s="20" t="s">
        <v>355</v>
      </c>
      <c r="C343" s="21" t="s">
        <v>356</v>
      </c>
      <c r="D343" s="21" t="s">
        <v>10</v>
      </c>
      <c r="E343" s="21" t="s">
        <v>136</v>
      </c>
      <c r="F343" s="21" t="s">
        <v>12</v>
      </c>
      <c r="G343" s="21" t="s">
        <v>315</v>
      </c>
      <c r="H343" s="20" t="str">
        <f t="shared" si="15"/>
        <v>OpenG Toolkit 4.0.1.9</v>
      </c>
      <c r="I343" s="119" t="s">
        <v>202</v>
      </c>
      <c r="J343" s="7"/>
    </row>
    <row r="344" spans="1:10" hidden="1" x14ac:dyDescent="0.25">
      <c r="A344" s="20" t="s">
        <v>542</v>
      </c>
      <c r="B344" s="20" t="s">
        <v>357</v>
      </c>
      <c r="C344" s="21" t="s">
        <v>358</v>
      </c>
      <c r="D344" s="21" t="s">
        <v>10</v>
      </c>
      <c r="E344" s="21" t="s">
        <v>136</v>
      </c>
      <c r="F344" s="21" t="s">
        <v>12</v>
      </c>
      <c r="G344" s="21" t="s">
        <v>315</v>
      </c>
      <c r="H344" s="20" t="str">
        <f t="shared" si="15"/>
        <v>OpenG Variant Configuration File Library 4.0.0.5</v>
      </c>
      <c r="I344" s="119" t="s">
        <v>202</v>
      </c>
      <c r="J344" s="7"/>
    </row>
    <row r="345" spans="1:10" hidden="1" x14ac:dyDescent="0.25">
      <c r="A345" s="20" t="s">
        <v>542</v>
      </c>
      <c r="B345" s="20" t="s">
        <v>167</v>
      </c>
      <c r="C345" s="21" t="s">
        <v>168</v>
      </c>
      <c r="D345" s="21" t="s">
        <v>10</v>
      </c>
      <c r="E345" s="21" t="s">
        <v>136</v>
      </c>
      <c r="F345" s="21" t="s">
        <v>12</v>
      </c>
      <c r="G345" s="21" t="s">
        <v>167</v>
      </c>
      <c r="H345" s="20" t="str">
        <f t="shared" si="15"/>
        <v>OpenGDS 1.1.17</v>
      </c>
      <c r="I345" s="119" t="s">
        <v>202</v>
      </c>
      <c r="J345" s="7"/>
    </row>
    <row r="346" spans="1:10" hidden="1" x14ac:dyDescent="0.25">
      <c r="A346" s="20" t="s">
        <v>542</v>
      </c>
      <c r="B346" s="20" t="s">
        <v>35</v>
      </c>
      <c r="C346" s="21" t="s">
        <v>92</v>
      </c>
      <c r="D346" s="21" t="s">
        <v>10</v>
      </c>
      <c r="E346" s="21" t="s">
        <v>11</v>
      </c>
      <c r="F346" s="21" t="s">
        <v>12</v>
      </c>
      <c r="G346" s="21" t="s">
        <v>13</v>
      </c>
      <c r="H346" s="20" t="str">
        <f t="shared" si="15"/>
        <v>Real-Time 15.0.1</v>
      </c>
      <c r="I346" s="40" t="s">
        <v>465</v>
      </c>
      <c r="J346" s="7"/>
    </row>
    <row r="347" spans="1:10" hidden="1" x14ac:dyDescent="0.25">
      <c r="A347" s="20" t="s">
        <v>542</v>
      </c>
      <c r="B347" s="20" t="s">
        <v>35</v>
      </c>
      <c r="C347" s="21" t="s">
        <v>92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5"/>
        <v>Real-Time 15.0.1</v>
      </c>
      <c r="I347" s="40" t="s">
        <v>465</v>
      </c>
      <c r="J347" s="7"/>
    </row>
    <row r="348" spans="1:10" hidden="1" x14ac:dyDescent="0.25">
      <c r="A348" s="20" t="s">
        <v>542</v>
      </c>
      <c r="B348" s="20" t="s">
        <v>36</v>
      </c>
      <c r="C348" s="21" t="s">
        <v>92</v>
      </c>
      <c r="D348" s="21" t="s">
        <v>10</v>
      </c>
      <c r="E348" s="21">
        <v>2015</v>
      </c>
      <c r="F348" s="21" t="s">
        <v>12</v>
      </c>
      <c r="G348" s="21" t="s">
        <v>13</v>
      </c>
      <c r="H348" s="20" t="str">
        <f t="shared" si="15"/>
        <v>Real-Time Trace Viewer - LabVIEW 2015 Support 15.0.1</v>
      </c>
      <c r="I348" s="20"/>
      <c r="J348" s="7"/>
    </row>
    <row r="349" spans="1:10" hidden="1" x14ac:dyDescent="0.25">
      <c r="A349" s="20" t="s">
        <v>542</v>
      </c>
      <c r="B349" s="20" t="s">
        <v>37</v>
      </c>
      <c r="C349" s="21" t="s">
        <v>9</v>
      </c>
      <c r="D349" s="21" t="s">
        <v>10</v>
      </c>
      <c r="E349" s="21">
        <v>2015</v>
      </c>
      <c r="F349" s="21" t="s">
        <v>12</v>
      </c>
      <c r="G349" s="21" t="s">
        <v>13</v>
      </c>
      <c r="H349" s="20" t="str">
        <f t="shared" si="15"/>
        <v>Report Generation Toolkit For Microsoft Office 15.0.0</v>
      </c>
      <c r="I349" s="36" t="s">
        <v>42</v>
      </c>
      <c r="J349" s="7"/>
    </row>
    <row r="350" spans="1:10" hidden="1" x14ac:dyDescent="0.25">
      <c r="A350" s="20" t="s">
        <v>542</v>
      </c>
      <c r="B350" s="20" t="s">
        <v>175</v>
      </c>
      <c r="C350" s="21" t="s">
        <v>9</v>
      </c>
      <c r="D350" s="21" t="s">
        <v>10</v>
      </c>
      <c r="E350" s="21" t="s">
        <v>11</v>
      </c>
      <c r="F350" s="21" t="s">
        <v>171</v>
      </c>
      <c r="G350" s="21" t="s">
        <v>13</v>
      </c>
      <c r="H350" s="20" t="str">
        <f t="shared" si="15"/>
        <v>Run-Time Enginer for Web Services 15.0.0</v>
      </c>
      <c r="I350" s="20"/>
      <c r="J350" s="7"/>
    </row>
    <row r="351" spans="1:10" hidden="1" x14ac:dyDescent="0.25">
      <c r="A351" s="20" t="s">
        <v>542</v>
      </c>
      <c r="B351" s="20" t="s">
        <v>189</v>
      </c>
      <c r="C351" s="21" t="s">
        <v>9</v>
      </c>
      <c r="D351" s="21" t="s">
        <v>10</v>
      </c>
      <c r="E351" s="21" t="s">
        <v>11</v>
      </c>
      <c r="F351" s="21" t="s">
        <v>171</v>
      </c>
      <c r="G351" s="21" t="s">
        <v>13</v>
      </c>
      <c r="H351" s="20" t="str">
        <f t="shared" si="15"/>
        <v>Software Management Web Support 15.0.0</v>
      </c>
      <c r="I351" s="20"/>
      <c r="J351" s="7"/>
    </row>
    <row r="352" spans="1:10" hidden="1" x14ac:dyDescent="0.25">
      <c r="A352" s="20" t="s">
        <v>542</v>
      </c>
      <c r="B352" s="20" t="s">
        <v>176</v>
      </c>
      <c r="C352" s="21" t="s">
        <v>9</v>
      </c>
      <c r="D352" s="21" t="s">
        <v>10</v>
      </c>
      <c r="E352" s="21" t="s">
        <v>11</v>
      </c>
      <c r="F352" s="21" t="s">
        <v>171</v>
      </c>
      <c r="G352" s="21" t="s">
        <v>13</v>
      </c>
      <c r="H352" s="20" t="str">
        <f t="shared" si="15"/>
        <v>SSL Support for LabVIEW 15.0.0</v>
      </c>
      <c r="I352" s="20"/>
      <c r="J352" s="7"/>
    </row>
    <row r="353" spans="1:10" hidden="1" x14ac:dyDescent="0.25">
      <c r="A353" s="20" t="s">
        <v>542</v>
      </c>
      <c r="B353" s="20" t="s">
        <v>359</v>
      </c>
      <c r="C353" s="21" t="s">
        <v>360</v>
      </c>
      <c r="D353" s="21" t="s">
        <v>10</v>
      </c>
      <c r="E353" s="21" t="s">
        <v>136</v>
      </c>
      <c r="F353" s="21" t="s">
        <v>12</v>
      </c>
      <c r="G353" s="21" t="s">
        <v>13</v>
      </c>
      <c r="H353" s="20" t="str">
        <f t="shared" si="15"/>
        <v>Structure Error Handler 2.1.10.1</v>
      </c>
      <c r="I353" s="120" t="s">
        <v>202</v>
      </c>
      <c r="J353" s="7"/>
    </row>
    <row r="354" spans="1:10" hidden="1" x14ac:dyDescent="0.25">
      <c r="A354" s="20" t="s">
        <v>542</v>
      </c>
      <c r="B354" s="20" t="s">
        <v>190</v>
      </c>
      <c r="C354" s="21" t="s">
        <v>9</v>
      </c>
      <c r="D354" s="21" t="s">
        <v>10</v>
      </c>
      <c r="E354" s="21" t="s">
        <v>11</v>
      </c>
      <c r="F354" s="21" t="s">
        <v>171</v>
      </c>
      <c r="G354" s="21" t="s">
        <v>13</v>
      </c>
      <c r="H354" s="20" t="str">
        <f t="shared" si="15"/>
        <v>Time Configuration Web Support 15.0.0</v>
      </c>
      <c r="I354" s="20"/>
      <c r="J354" s="7"/>
    </row>
    <row r="355" spans="1:10" hidden="1" x14ac:dyDescent="0.25">
      <c r="A355" s="20" t="s">
        <v>542</v>
      </c>
      <c r="B355" s="20" t="s">
        <v>361</v>
      </c>
      <c r="C355" s="21" t="s">
        <v>362</v>
      </c>
      <c r="D355" s="21" t="s">
        <v>10</v>
      </c>
      <c r="E355" s="21" t="s">
        <v>136</v>
      </c>
      <c r="F355" s="21" t="s">
        <v>12</v>
      </c>
      <c r="G355" s="21" t="s">
        <v>250</v>
      </c>
      <c r="H355" s="20" t="str">
        <f t="shared" si="15"/>
        <v>UI Tools 1.4.1.74</v>
      </c>
      <c r="I355" s="119" t="s">
        <v>202</v>
      </c>
      <c r="J355" s="7"/>
    </row>
    <row r="356" spans="1:10" hidden="1" x14ac:dyDescent="0.25">
      <c r="A356" s="20" t="s">
        <v>542</v>
      </c>
      <c r="B356" s="20" t="s">
        <v>384</v>
      </c>
      <c r="C356" s="21" t="s">
        <v>385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5"/>
        <v>USB3 Vision Driver 18.5.0.49152</v>
      </c>
      <c r="I356" s="20"/>
      <c r="J356" s="7"/>
    </row>
    <row r="357" spans="1:10" hidden="1" x14ac:dyDescent="0.25">
      <c r="A357" s="20" t="s">
        <v>542</v>
      </c>
      <c r="B357" s="20" t="s">
        <v>195</v>
      </c>
      <c r="C357" s="21" t="s">
        <v>9</v>
      </c>
      <c r="D357" s="21" t="s">
        <v>10</v>
      </c>
      <c r="E357" s="21" t="s">
        <v>11</v>
      </c>
      <c r="F357" s="21" t="s">
        <v>171</v>
      </c>
      <c r="G357" s="21" t="s">
        <v>13</v>
      </c>
      <c r="H357" s="20" t="str">
        <f t="shared" si="15"/>
        <v>Variable Client Support for LabVIEW RT 15.0.0</v>
      </c>
      <c r="I357" s="20"/>
      <c r="J357" s="7"/>
    </row>
    <row r="358" spans="1:10" hidden="1" x14ac:dyDescent="0.25">
      <c r="A358" s="20" t="s">
        <v>542</v>
      </c>
      <c r="B358" s="20" t="s">
        <v>196</v>
      </c>
      <c r="C358" s="21" t="s">
        <v>197</v>
      </c>
      <c r="D358" s="21" t="s">
        <v>10</v>
      </c>
      <c r="E358" s="21" t="s">
        <v>11</v>
      </c>
      <c r="F358" s="21" t="s">
        <v>171</v>
      </c>
      <c r="G358" s="21" t="s">
        <v>13</v>
      </c>
      <c r="H358" s="20" t="str">
        <f t="shared" si="15"/>
        <v>Variable Legacy Protocol Support 5.7.1</v>
      </c>
      <c r="I358" s="20"/>
      <c r="J358" s="7"/>
    </row>
    <row r="359" spans="1:10" hidden="1" x14ac:dyDescent="0.25">
      <c r="A359" s="20" t="s">
        <v>542</v>
      </c>
      <c r="B359" s="20" t="s">
        <v>198</v>
      </c>
      <c r="C359" s="21" t="s">
        <v>197</v>
      </c>
      <c r="D359" s="21" t="s">
        <v>10</v>
      </c>
      <c r="E359" s="21" t="s">
        <v>11</v>
      </c>
      <c r="F359" s="21" t="s">
        <v>171</v>
      </c>
      <c r="G359" s="21" t="s">
        <v>13</v>
      </c>
      <c r="H359" s="20" t="str">
        <f t="shared" si="15"/>
        <v>Variable Legacy Server Support 5.7.1</v>
      </c>
      <c r="I359" s="20"/>
      <c r="J359" s="7"/>
    </row>
    <row r="360" spans="1:10" hidden="1" x14ac:dyDescent="0.25">
      <c r="A360" s="20" t="s">
        <v>542</v>
      </c>
      <c r="B360" s="20" t="s">
        <v>395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5"/>
        <v>Vision Assistant 18.5.0</v>
      </c>
      <c r="I360" s="20"/>
      <c r="J360" s="7"/>
    </row>
    <row r="361" spans="1:10" hidden="1" x14ac:dyDescent="0.25">
      <c r="A361" s="20" t="s">
        <v>542</v>
      </c>
      <c r="B361" s="20" t="s">
        <v>395</v>
      </c>
      <c r="C361" s="21" t="s">
        <v>156</v>
      </c>
      <c r="D361" s="21" t="s">
        <v>107</v>
      </c>
      <c r="E361" s="21" t="s">
        <v>130</v>
      </c>
      <c r="F361" s="21" t="s">
        <v>12</v>
      </c>
      <c r="G361" s="21" t="s">
        <v>13</v>
      </c>
      <c r="H361" s="20" t="str">
        <f t="shared" si="15"/>
        <v>Vision Assistant 18.5.0</v>
      </c>
      <c r="I361" s="20"/>
      <c r="J361" s="7"/>
    </row>
    <row r="362" spans="1:10" hidden="1" x14ac:dyDescent="0.25">
      <c r="A362" s="20" t="s">
        <v>542</v>
      </c>
      <c r="B362" s="20" t="s">
        <v>370</v>
      </c>
      <c r="C362" s="21" t="s">
        <v>141</v>
      </c>
      <c r="D362" s="21" t="s">
        <v>10</v>
      </c>
      <c r="E362" s="21" t="s">
        <v>119</v>
      </c>
      <c r="F362" s="21" t="s">
        <v>12</v>
      </c>
      <c r="G362" s="21" t="s">
        <v>13</v>
      </c>
      <c r="H362" s="20" t="str">
        <f t="shared" si="15"/>
        <v>Vision Common Resources 19.5.0</v>
      </c>
      <c r="I362" s="20"/>
      <c r="J362" s="7"/>
    </row>
    <row r="363" spans="1:10" hidden="1" x14ac:dyDescent="0.25">
      <c r="A363" s="20" t="s">
        <v>542</v>
      </c>
      <c r="B363" s="20" t="s">
        <v>390</v>
      </c>
      <c r="C363" s="21" t="s">
        <v>156</v>
      </c>
      <c r="D363" s="21" t="s">
        <v>10</v>
      </c>
      <c r="E363" s="21" t="s">
        <v>130</v>
      </c>
      <c r="F363" s="21" t="s">
        <v>12</v>
      </c>
      <c r="G363" s="21" t="s">
        <v>13</v>
      </c>
      <c r="H363" s="20" t="str">
        <f t="shared" si="15"/>
        <v>Vision Development Module 18.5.0</v>
      </c>
      <c r="I363" s="20"/>
      <c r="J363" s="7"/>
    </row>
    <row r="364" spans="1:10" hidden="1" x14ac:dyDescent="0.25">
      <c r="A364" s="20" t="s">
        <v>542</v>
      </c>
      <c r="B364" s="20" t="s">
        <v>390</v>
      </c>
      <c r="C364" s="21" t="s">
        <v>141</v>
      </c>
      <c r="D364" s="21" t="s">
        <v>10</v>
      </c>
      <c r="E364" s="21" t="s">
        <v>119</v>
      </c>
      <c r="F364" s="21" t="s">
        <v>12</v>
      </c>
      <c r="G364" s="21" t="s">
        <v>13</v>
      </c>
      <c r="H364" s="20" t="str">
        <f t="shared" si="15"/>
        <v>Vision Development Module 19.5.0</v>
      </c>
      <c r="I364" s="20"/>
      <c r="J364" s="7"/>
    </row>
    <row r="365" spans="1:10" hidden="1" x14ac:dyDescent="0.25">
      <c r="A365" s="20" t="s">
        <v>542</v>
      </c>
      <c r="B365" s="20" t="s">
        <v>393</v>
      </c>
      <c r="C365" s="21" t="s">
        <v>394</v>
      </c>
      <c r="D365" s="21" t="s">
        <v>10</v>
      </c>
      <c r="E365" s="21" t="s">
        <v>130</v>
      </c>
      <c r="F365" s="21" t="s">
        <v>12</v>
      </c>
      <c r="G365" s="21" t="s">
        <v>13</v>
      </c>
      <c r="H365" s="20" t="str">
        <f t="shared" si="15"/>
        <v>Vision Development Module Development Support 18.5.0 SP1</v>
      </c>
      <c r="I365" s="20"/>
      <c r="J365" s="7"/>
    </row>
    <row r="366" spans="1:10" hidden="1" x14ac:dyDescent="0.25">
      <c r="A366" s="20" t="s">
        <v>542</v>
      </c>
      <c r="B366" s="20" t="s">
        <v>391</v>
      </c>
      <c r="C366" s="21" t="s">
        <v>392</v>
      </c>
      <c r="D366" s="21" t="s">
        <v>10</v>
      </c>
      <c r="E366" s="21" t="s">
        <v>119</v>
      </c>
      <c r="F366" s="21" t="s">
        <v>24</v>
      </c>
      <c r="G366" s="21" t="s">
        <v>13</v>
      </c>
      <c r="H366" s="20" t="str">
        <f t="shared" si="15"/>
        <v>Vision Development Module Support 19.5.0 SP1</v>
      </c>
      <c r="I366" s="20"/>
      <c r="J366" s="7"/>
    </row>
    <row r="367" spans="1:10" hidden="1" x14ac:dyDescent="0.25">
      <c r="A367" s="20" t="s">
        <v>542</v>
      </c>
      <c r="B367" s="20" t="s">
        <v>199</v>
      </c>
      <c r="C367" s="21" t="s">
        <v>9</v>
      </c>
      <c r="D367" s="21" t="s">
        <v>10</v>
      </c>
      <c r="E367" s="21" t="s">
        <v>11</v>
      </c>
      <c r="F367" s="21" t="s">
        <v>171</v>
      </c>
      <c r="G367" s="21" t="s">
        <v>13</v>
      </c>
      <c r="H367" s="20" t="str">
        <f t="shared" si="15"/>
        <v>WebDAV Cleitn with SSL Support 15.0.0</v>
      </c>
      <c r="I367" s="20"/>
      <c r="J367" s="7"/>
    </row>
    <row r="368" spans="1:10" hidden="1" x14ac:dyDescent="0.25">
      <c r="A368" s="20" t="s">
        <v>542</v>
      </c>
      <c r="B368" s="20" t="s">
        <v>177</v>
      </c>
      <c r="C368" s="21" t="s">
        <v>9</v>
      </c>
      <c r="D368" s="21" t="s">
        <v>10</v>
      </c>
      <c r="E368" s="21" t="s">
        <v>11</v>
      </c>
      <c r="F368" s="21" t="s">
        <v>171</v>
      </c>
      <c r="G368" s="21" t="s">
        <v>13</v>
      </c>
      <c r="H368" s="20" t="str">
        <f t="shared" si="15"/>
        <v>WebDAV Server 15.0.0</v>
      </c>
      <c r="I368" s="20"/>
      <c r="J368" s="7"/>
    </row>
    <row r="369" spans="1:10" hidden="1" x14ac:dyDescent="0.25">
      <c r="A369" s="45" t="s">
        <v>504</v>
      </c>
      <c r="B369" s="45" t="s">
        <v>14</v>
      </c>
      <c r="C369" s="46" t="s">
        <v>478</v>
      </c>
      <c r="D369" s="46" t="s">
        <v>10</v>
      </c>
      <c r="E369" s="46" t="s">
        <v>130</v>
      </c>
      <c r="F369" s="46" t="s">
        <v>12</v>
      </c>
      <c r="G369" s="46" t="s">
        <v>13</v>
      </c>
      <c r="H369" s="45" t="str">
        <f t="shared" ref="H369:H370" si="16">B369&amp;" "&amp;C369</f>
        <v>CompactRIO 18.1.0</v>
      </c>
      <c r="I369" s="55" t="s">
        <v>477</v>
      </c>
      <c r="J369" s="7"/>
    </row>
    <row r="370" spans="1:10" hidden="1" x14ac:dyDescent="0.25">
      <c r="A370" s="45" t="s">
        <v>504</v>
      </c>
      <c r="B370" s="45" t="s">
        <v>33</v>
      </c>
      <c r="C370" s="46" t="s">
        <v>9</v>
      </c>
      <c r="D370" s="46" t="s">
        <v>10</v>
      </c>
      <c r="E370" s="46" t="s">
        <v>11</v>
      </c>
      <c r="F370" s="46" t="s">
        <v>12</v>
      </c>
      <c r="G370" s="46" t="s">
        <v>13</v>
      </c>
      <c r="H370" s="45" t="str">
        <f t="shared" si="16"/>
        <v>Database Connectivity Toolkit 15.0.0</v>
      </c>
      <c r="I370" s="45"/>
      <c r="J370" s="7"/>
    </row>
    <row r="371" spans="1:10" hidden="1" x14ac:dyDescent="0.25">
      <c r="A371" s="45" t="s">
        <v>504</v>
      </c>
      <c r="B371" s="45" t="s">
        <v>32</v>
      </c>
      <c r="C371" s="46" t="s">
        <v>105</v>
      </c>
      <c r="D371" s="46" t="s">
        <v>10</v>
      </c>
      <c r="E371" s="46" t="s">
        <v>106</v>
      </c>
      <c r="F371" s="46" t="s">
        <v>24</v>
      </c>
      <c r="G371" s="46" t="s">
        <v>13</v>
      </c>
      <c r="H371" s="45" t="str">
        <f t="shared" ref="H371:H377" si="17">B371&amp;" "&amp;E371&amp;" "&amp;C371</f>
        <v>LabVIEW 2012 SP1 f9 12.0.1</v>
      </c>
      <c r="I371" s="36" t="s">
        <v>42</v>
      </c>
      <c r="J371" s="7"/>
    </row>
    <row r="372" spans="1:10" hidden="1" x14ac:dyDescent="0.25">
      <c r="A372" s="45" t="s">
        <v>504</v>
      </c>
      <c r="B372" s="45" t="s">
        <v>32</v>
      </c>
      <c r="C372" s="46" t="s">
        <v>110</v>
      </c>
      <c r="D372" s="46" t="s">
        <v>10</v>
      </c>
      <c r="E372" s="46" t="s">
        <v>109</v>
      </c>
      <c r="F372" s="46" t="s">
        <v>24</v>
      </c>
      <c r="G372" s="46" t="s">
        <v>13</v>
      </c>
      <c r="H372" s="45" t="str">
        <f t="shared" si="17"/>
        <v>LabVIEW 2014 SP1 f11 14.0.1</v>
      </c>
      <c r="I372" s="40" t="s">
        <v>465</v>
      </c>
      <c r="J372" s="7"/>
    </row>
    <row r="373" spans="1:10" hidden="1" x14ac:dyDescent="0.25">
      <c r="A373" s="45" t="s">
        <v>504</v>
      </c>
      <c r="B373" s="45" t="s">
        <v>32</v>
      </c>
      <c r="C373" s="46" t="s">
        <v>404</v>
      </c>
      <c r="D373" s="46" t="s">
        <v>10</v>
      </c>
      <c r="E373" s="46" t="s">
        <v>468</v>
      </c>
      <c r="F373" s="46" t="s">
        <v>24</v>
      </c>
      <c r="G373" s="46" t="s">
        <v>13</v>
      </c>
      <c r="H373" s="45" t="str">
        <f t="shared" si="17"/>
        <v>LabVIEW 2016 f5 16.0.0</v>
      </c>
      <c r="I373" s="55" t="s">
        <v>477</v>
      </c>
      <c r="J373" s="7"/>
    </row>
    <row r="374" spans="1:10" hidden="1" x14ac:dyDescent="0.25">
      <c r="A374" s="45" t="s">
        <v>504</v>
      </c>
      <c r="B374" s="45" t="s">
        <v>32</v>
      </c>
      <c r="C374" s="46" t="s">
        <v>406</v>
      </c>
      <c r="D374" s="46" t="s">
        <v>10</v>
      </c>
      <c r="E374" s="46" t="s">
        <v>407</v>
      </c>
      <c r="F374" s="46" t="s">
        <v>24</v>
      </c>
      <c r="G374" s="46" t="s">
        <v>13</v>
      </c>
      <c r="H374" s="45" t="str">
        <f t="shared" si="17"/>
        <v>LabVIEW 2017 SP1 f3 17.0.1</v>
      </c>
      <c r="I374" s="45"/>
      <c r="J374" s="7"/>
    </row>
    <row r="375" spans="1:10" hidden="1" x14ac:dyDescent="0.25">
      <c r="A375" s="45" t="s">
        <v>504</v>
      </c>
      <c r="B375" s="45" t="s">
        <v>32</v>
      </c>
      <c r="C375" s="46" t="s">
        <v>493</v>
      </c>
      <c r="D375" s="46" t="s">
        <v>10</v>
      </c>
      <c r="E375" s="46" t="s">
        <v>469</v>
      </c>
      <c r="F375" s="46" t="s">
        <v>24</v>
      </c>
      <c r="G375" s="46" t="s">
        <v>13</v>
      </c>
      <c r="H375" s="45" t="str">
        <f t="shared" si="17"/>
        <v>LabVIEW 2018 f2 18.0.0</v>
      </c>
      <c r="I375" s="45"/>
      <c r="J375" s="7"/>
    </row>
    <row r="376" spans="1:10" hidden="1" x14ac:dyDescent="0.25">
      <c r="A376" s="45" t="s">
        <v>504</v>
      </c>
      <c r="B376" s="45" t="s">
        <v>32</v>
      </c>
      <c r="C376" s="46" t="s">
        <v>92</v>
      </c>
      <c r="D376" s="46" t="s">
        <v>10</v>
      </c>
      <c r="E376" s="46" t="s">
        <v>413</v>
      </c>
      <c r="F376" s="46" t="s">
        <v>12</v>
      </c>
      <c r="G376" s="46" t="s">
        <v>13</v>
      </c>
      <c r="H376" s="45" t="str">
        <f t="shared" si="17"/>
        <v>LabVIEW 2015 SP1 F10 15.0.1</v>
      </c>
      <c r="I376" s="45"/>
      <c r="J376" s="7"/>
    </row>
    <row r="377" spans="1:10" hidden="1" x14ac:dyDescent="0.25">
      <c r="A377" s="45" t="s">
        <v>504</v>
      </c>
      <c r="B377" s="45" t="s">
        <v>32</v>
      </c>
      <c r="C377" s="46" t="s">
        <v>92</v>
      </c>
      <c r="D377" s="46" t="s">
        <v>10</v>
      </c>
      <c r="E377" s="46" t="s">
        <v>103</v>
      </c>
      <c r="F377" s="46" t="s">
        <v>24</v>
      </c>
      <c r="G377" s="46" t="s">
        <v>13</v>
      </c>
      <c r="H377" s="45" t="str">
        <f t="shared" si="17"/>
        <v>LabVIEW 2015 SP1 f10 15.0.1</v>
      </c>
      <c r="I377" s="45"/>
      <c r="J377" s="7"/>
    </row>
    <row r="378" spans="1:10" hidden="1" x14ac:dyDescent="0.25">
      <c r="A378" s="45" t="s">
        <v>504</v>
      </c>
      <c r="B378" s="45" t="s">
        <v>470</v>
      </c>
      <c r="C378" s="46"/>
      <c r="D378" s="46" t="s">
        <v>10</v>
      </c>
      <c r="E378" s="46" t="s">
        <v>471</v>
      </c>
      <c r="F378" s="46" t="s">
        <v>24</v>
      </c>
      <c r="G378" s="46" t="s">
        <v>13</v>
      </c>
      <c r="H378" s="45" t="str">
        <f t="shared" ref="H378:H399" si="18">B378&amp;" "&amp;C378</f>
        <v xml:space="preserve">LabWindows/CVI  </v>
      </c>
      <c r="I378" s="45"/>
      <c r="J378" s="7"/>
    </row>
    <row r="379" spans="1:10" hidden="1" x14ac:dyDescent="0.25">
      <c r="A379" s="45" t="s">
        <v>504</v>
      </c>
      <c r="B379" s="45" t="s">
        <v>41</v>
      </c>
      <c r="C379" s="46" t="s">
        <v>472</v>
      </c>
      <c r="D379" s="46" t="s">
        <v>10</v>
      </c>
      <c r="E379" s="46" t="s">
        <v>130</v>
      </c>
      <c r="F379" s="46" t="s">
        <v>12</v>
      </c>
      <c r="G379" s="46" t="s">
        <v>13</v>
      </c>
      <c r="H379" s="45" t="str">
        <f t="shared" si="18"/>
        <v>Measurement &amp; Automation Explorer 18.0</v>
      </c>
      <c r="I379" s="55" t="s">
        <v>477</v>
      </c>
      <c r="J379" s="7"/>
    </row>
    <row r="380" spans="1:10" hidden="1" x14ac:dyDescent="0.25">
      <c r="A380" s="45" t="s">
        <v>504</v>
      </c>
      <c r="B380" s="45" t="s">
        <v>29</v>
      </c>
      <c r="C380" s="46" t="s">
        <v>467</v>
      </c>
      <c r="D380" s="46" t="s">
        <v>10</v>
      </c>
      <c r="E380" s="46" t="s">
        <v>130</v>
      </c>
      <c r="F380" s="46" t="s">
        <v>12</v>
      </c>
      <c r="G380" s="46" t="s">
        <v>13</v>
      </c>
      <c r="H380" s="45" t="str">
        <f t="shared" si="18"/>
        <v>NI I/O Trace 18.1</v>
      </c>
      <c r="I380" s="45"/>
      <c r="J380" s="7"/>
    </row>
    <row r="381" spans="1:10" hidden="1" x14ac:dyDescent="0.25">
      <c r="A381" s="45" t="s">
        <v>504</v>
      </c>
      <c r="B381" s="45" t="s">
        <v>140</v>
      </c>
      <c r="C381" s="46" t="s">
        <v>472</v>
      </c>
      <c r="D381" s="46" t="s">
        <v>10</v>
      </c>
      <c r="E381" s="46" t="s">
        <v>130</v>
      </c>
      <c r="F381" s="46" t="s">
        <v>24</v>
      </c>
      <c r="G381" s="46" t="s">
        <v>13</v>
      </c>
      <c r="H381" s="45" t="str">
        <f t="shared" si="18"/>
        <v>NI PXI Platform Services 18.0</v>
      </c>
      <c r="I381" s="55" t="s">
        <v>477</v>
      </c>
      <c r="J381" s="7"/>
    </row>
    <row r="382" spans="1:10" hidden="1" x14ac:dyDescent="0.25">
      <c r="A382" s="45" t="s">
        <v>504</v>
      </c>
      <c r="B382" s="45" t="s">
        <v>52</v>
      </c>
      <c r="C382" s="46" t="s">
        <v>472</v>
      </c>
      <c r="D382" s="46" t="s">
        <v>10</v>
      </c>
      <c r="E382" s="46" t="s">
        <v>130</v>
      </c>
      <c r="F382" s="46" t="s">
        <v>12</v>
      </c>
      <c r="G382" s="46" t="s">
        <v>13</v>
      </c>
      <c r="H382" s="45" t="str">
        <f t="shared" si="18"/>
        <v>NI PXI Platform Services Configuration 18.0</v>
      </c>
      <c r="I382" s="55" t="s">
        <v>477</v>
      </c>
      <c r="J382" s="7"/>
    </row>
    <row r="383" spans="1:10" hidden="1" x14ac:dyDescent="0.25">
      <c r="A383" s="45" t="s">
        <v>504</v>
      </c>
      <c r="B383" s="45" t="s">
        <v>475</v>
      </c>
      <c r="C383" s="46" t="s">
        <v>474</v>
      </c>
      <c r="D383" s="46" t="s">
        <v>10</v>
      </c>
      <c r="E383" s="46" t="s">
        <v>153</v>
      </c>
      <c r="F383" s="46" t="s">
        <v>24</v>
      </c>
      <c r="G383" s="46" t="s">
        <v>13</v>
      </c>
      <c r="H383" s="45" t="str">
        <f t="shared" si="18"/>
        <v>NI Serial 17.5</v>
      </c>
      <c r="I383" s="45"/>
      <c r="J383" s="7"/>
    </row>
    <row r="384" spans="1:10" hidden="1" x14ac:dyDescent="0.25">
      <c r="A384" s="45" t="s">
        <v>504</v>
      </c>
      <c r="B384" s="45" t="s">
        <v>68</v>
      </c>
      <c r="C384" s="46" t="s">
        <v>467</v>
      </c>
      <c r="D384" s="46" t="s">
        <v>10</v>
      </c>
      <c r="E384" s="46" t="s">
        <v>130</v>
      </c>
      <c r="F384" s="46" t="s">
        <v>12</v>
      </c>
      <c r="G384" s="46" t="s">
        <v>13</v>
      </c>
      <c r="H384" s="45" t="str">
        <f t="shared" si="18"/>
        <v>NI System Configuration 18.1</v>
      </c>
      <c r="I384" s="45"/>
      <c r="J384" s="7"/>
    </row>
    <row r="385" spans="1:10" hidden="1" x14ac:dyDescent="0.25">
      <c r="A385" s="45" t="s">
        <v>504</v>
      </c>
      <c r="B385" s="45" t="s">
        <v>28</v>
      </c>
      <c r="C385" s="46" t="s">
        <v>170</v>
      </c>
      <c r="D385" s="46" t="s">
        <v>10</v>
      </c>
      <c r="E385" s="46" t="s">
        <v>11</v>
      </c>
      <c r="F385" s="46" t="s">
        <v>24</v>
      </c>
      <c r="G385" s="46" t="s">
        <v>13</v>
      </c>
      <c r="H385" s="45" t="str">
        <f t="shared" si="18"/>
        <v>NI-488.2 15.5</v>
      </c>
      <c r="I385" s="45"/>
      <c r="J385" s="7"/>
    </row>
    <row r="386" spans="1:10" hidden="1" x14ac:dyDescent="0.25">
      <c r="A386" s="45" t="s">
        <v>504</v>
      </c>
      <c r="B386" s="45" t="s">
        <v>18</v>
      </c>
      <c r="C386" s="46" t="s">
        <v>467</v>
      </c>
      <c r="D386" s="46" t="s">
        <v>10</v>
      </c>
      <c r="E386" s="46" t="s">
        <v>130</v>
      </c>
      <c r="F386" s="46" t="s">
        <v>12</v>
      </c>
      <c r="G386" s="46" t="s">
        <v>13</v>
      </c>
      <c r="H386" s="45" t="str">
        <f t="shared" si="18"/>
        <v>NI-DAQmx ADE Support 18.1</v>
      </c>
      <c r="I386" s="55" t="s">
        <v>477</v>
      </c>
      <c r="J386" s="7"/>
    </row>
    <row r="387" spans="1:10" hidden="1" x14ac:dyDescent="0.25">
      <c r="A387" s="45" t="s">
        <v>504</v>
      </c>
      <c r="B387" s="45" t="s">
        <v>16</v>
      </c>
      <c r="C387" s="46" t="s">
        <v>467</v>
      </c>
      <c r="D387" s="46" t="s">
        <v>10</v>
      </c>
      <c r="E387" s="46" t="s">
        <v>130</v>
      </c>
      <c r="F387" s="46" t="s">
        <v>12</v>
      </c>
      <c r="G387" s="46" t="s">
        <v>13</v>
      </c>
      <c r="H387" s="45" t="str">
        <f t="shared" si="18"/>
        <v>NI-DAQmx Device Driver 18.1</v>
      </c>
      <c r="I387" s="55" t="s">
        <v>477</v>
      </c>
      <c r="J387" s="7"/>
    </row>
    <row r="388" spans="1:10" hidden="1" x14ac:dyDescent="0.25">
      <c r="A388" s="45" t="s">
        <v>504</v>
      </c>
      <c r="B388" s="45" t="s">
        <v>19</v>
      </c>
      <c r="C388" s="46" t="s">
        <v>467</v>
      </c>
      <c r="D388" s="46" t="s">
        <v>10</v>
      </c>
      <c r="E388" s="46" t="s">
        <v>130</v>
      </c>
      <c r="F388" s="46" t="s">
        <v>12</v>
      </c>
      <c r="G388" s="46" t="s">
        <v>13</v>
      </c>
      <c r="H388" s="45" t="str">
        <f t="shared" si="18"/>
        <v>NI-DAQmx MAX Configuration 18.1</v>
      </c>
      <c r="I388" s="55" t="s">
        <v>477</v>
      </c>
      <c r="J388" s="7"/>
    </row>
    <row r="389" spans="1:10" hidden="1" x14ac:dyDescent="0.25">
      <c r="A389" s="45" t="s">
        <v>504</v>
      </c>
      <c r="B389" s="45" t="s">
        <v>143</v>
      </c>
      <c r="C389" s="46" t="s">
        <v>472</v>
      </c>
      <c r="D389" s="46" t="s">
        <v>10</v>
      </c>
      <c r="E389" s="46" t="s">
        <v>130</v>
      </c>
      <c r="F389" s="46" t="s">
        <v>12</v>
      </c>
      <c r="G389" s="46" t="s">
        <v>13</v>
      </c>
      <c r="H389" s="45" t="str">
        <f t="shared" si="18"/>
        <v>NI-Industrial Communications for EtherCAT 18.0</v>
      </c>
      <c r="I389" s="45"/>
      <c r="J389" s="7"/>
    </row>
    <row r="390" spans="1:10" hidden="1" x14ac:dyDescent="0.25">
      <c r="A390" s="45" t="s">
        <v>504</v>
      </c>
      <c r="B390" s="45" t="s">
        <v>145</v>
      </c>
      <c r="C390" s="46" t="s">
        <v>473</v>
      </c>
      <c r="D390" s="46" t="s">
        <v>10</v>
      </c>
      <c r="E390" s="46" t="s">
        <v>130</v>
      </c>
      <c r="F390" s="46" t="s">
        <v>12</v>
      </c>
      <c r="G390" s="46" t="s">
        <v>13</v>
      </c>
      <c r="H390" s="45" t="str">
        <f t="shared" si="18"/>
        <v>NI-PAL 18.2</v>
      </c>
      <c r="I390" s="45"/>
      <c r="J390" s="7"/>
    </row>
    <row r="391" spans="1:10" hidden="1" x14ac:dyDescent="0.25">
      <c r="A391" s="45" t="s">
        <v>504</v>
      </c>
      <c r="B391" s="45" t="s">
        <v>54</v>
      </c>
      <c r="C391" s="46" t="s">
        <v>472</v>
      </c>
      <c r="D391" s="46" t="s">
        <v>10</v>
      </c>
      <c r="E391" s="46" t="s">
        <v>130</v>
      </c>
      <c r="F391" s="46" t="s">
        <v>12</v>
      </c>
      <c r="G391" s="46" t="s">
        <v>13</v>
      </c>
      <c r="H391" s="45" t="str">
        <f t="shared" si="18"/>
        <v>NI-RIO 18.0</v>
      </c>
      <c r="I391" s="45"/>
      <c r="J391" s="7"/>
    </row>
    <row r="392" spans="1:10" hidden="1" x14ac:dyDescent="0.25">
      <c r="A392" s="45" t="s">
        <v>504</v>
      </c>
      <c r="B392" s="45" t="s">
        <v>64</v>
      </c>
      <c r="C392" s="46" t="s">
        <v>474</v>
      </c>
      <c r="D392" s="46" t="s">
        <v>10</v>
      </c>
      <c r="E392" s="46" t="s">
        <v>153</v>
      </c>
      <c r="F392" s="46" t="s">
        <v>12</v>
      </c>
      <c r="G392" s="46" t="s">
        <v>13</v>
      </c>
      <c r="H392" s="45" t="str">
        <f t="shared" si="18"/>
        <v>NI-Serial Configuration 17.5</v>
      </c>
      <c r="I392" s="55" t="s">
        <v>477</v>
      </c>
      <c r="J392" s="7"/>
    </row>
    <row r="393" spans="1:10" hidden="1" x14ac:dyDescent="0.25">
      <c r="A393" s="45" t="s">
        <v>504</v>
      </c>
      <c r="B393" s="45" t="s">
        <v>46</v>
      </c>
      <c r="C393" s="46" t="s">
        <v>406</v>
      </c>
      <c r="D393" s="46" t="s">
        <v>10</v>
      </c>
      <c r="E393" s="46" t="s">
        <v>130</v>
      </c>
      <c r="F393" s="46" t="s">
        <v>12</v>
      </c>
      <c r="G393" s="46" t="s">
        <v>13</v>
      </c>
      <c r="H393" s="45" t="str">
        <f t="shared" si="18"/>
        <v>NI-USI 17.0.1</v>
      </c>
      <c r="I393" s="45"/>
      <c r="J393" s="7"/>
    </row>
    <row r="394" spans="1:10" hidden="1" x14ac:dyDescent="0.25">
      <c r="A394" s="45" t="s">
        <v>504</v>
      </c>
      <c r="B394" s="45" t="s">
        <v>70</v>
      </c>
      <c r="C394" s="46" t="s">
        <v>472</v>
      </c>
      <c r="D394" s="46" t="s">
        <v>10</v>
      </c>
      <c r="E394" s="46" t="s">
        <v>130</v>
      </c>
      <c r="F394" s="46" t="s">
        <v>12</v>
      </c>
      <c r="G394" s="46" t="s">
        <v>13</v>
      </c>
      <c r="H394" s="45" t="str">
        <f t="shared" si="18"/>
        <v>NI-VISA 18.0</v>
      </c>
      <c r="I394" s="45"/>
      <c r="J394" s="7"/>
    </row>
    <row r="395" spans="1:10" hidden="1" x14ac:dyDescent="0.25">
      <c r="A395" s="45" t="s">
        <v>504</v>
      </c>
      <c r="B395" s="45" t="s">
        <v>70</v>
      </c>
      <c r="C395" s="46" t="s">
        <v>472</v>
      </c>
      <c r="D395" s="46" t="s">
        <v>476</v>
      </c>
      <c r="E395" s="46" t="s">
        <v>130</v>
      </c>
      <c r="F395" s="46" t="s">
        <v>24</v>
      </c>
      <c r="G395" s="46" t="s">
        <v>13</v>
      </c>
      <c r="H395" s="45" t="str">
        <f t="shared" si="18"/>
        <v>NI-VISA 18.0</v>
      </c>
      <c r="I395" s="45"/>
      <c r="J395" s="7"/>
    </row>
    <row r="396" spans="1:10" hidden="1" x14ac:dyDescent="0.25">
      <c r="A396" s="45" t="s">
        <v>504</v>
      </c>
      <c r="B396" s="45" t="s">
        <v>73</v>
      </c>
      <c r="C396" s="46" t="s">
        <v>72</v>
      </c>
      <c r="D396" s="46" t="s">
        <v>10</v>
      </c>
      <c r="E396" s="46" t="s">
        <v>130</v>
      </c>
      <c r="F396" s="46" t="s">
        <v>12</v>
      </c>
      <c r="G396" s="46" t="s">
        <v>13</v>
      </c>
      <c r="H396" s="45" t="str">
        <f t="shared" si="18"/>
        <v>NIvisaic.exe 15.0.0.49152</v>
      </c>
      <c r="I396" s="45"/>
      <c r="J396" s="7"/>
    </row>
    <row r="397" spans="1:10" hidden="1" x14ac:dyDescent="0.25">
      <c r="A397" s="45" t="s">
        <v>504</v>
      </c>
      <c r="B397" s="45" t="s">
        <v>35</v>
      </c>
      <c r="C397" s="46" t="s">
        <v>92</v>
      </c>
      <c r="D397" s="46" t="s">
        <v>10</v>
      </c>
      <c r="E397" s="46" t="s">
        <v>11</v>
      </c>
      <c r="F397" s="46" t="s">
        <v>12</v>
      </c>
      <c r="G397" s="46" t="s">
        <v>13</v>
      </c>
      <c r="H397" s="45" t="str">
        <f t="shared" si="18"/>
        <v>Real-Time 15.0.1</v>
      </c>
      <c r="I397" s="45"/>
      <c r="J397" s="7"/>
    </row>
    <row r="398" spans="1:10" hidden="1" x14ac:dyDescent="0.25">
      <c r="A398" s="45" t="s">
        <v>504</v>
      </c>
      <c r="B398" s="45" t="s">
        <v>36</v>
      </c>
      <c r="C398" s="46" t="s">
        <v>92</v>
      </c>
      <c r="D398" s="46" t="s">
        <v>10</v>
      </c>
      <c r="E398" s="46" t="s">
        <v>11</v>
      </c>
      <c r="F398" s="46" t="s">
        <v>12</v>
      </c>
      <c r="G398" s="46" t="s">
        <v>13</v>
      </c>
      <c r="H398" s="45" t="str">
        <f t="shared" si="18"/>
        <v>Real-Time Trace Viewer - LabVIEW 2015 Support 15.0.1</v>
      </c>
      <c r="I398" s="45"/>
      <c r="J398" s="7"/>
    </row>
    <row r="399" spans="1:10" hidden="1" x14ac:dyDescent="0.25">
      <c r="A399" s="45" t="s">
        <v>504</v>
      </c>
      <c r="B399" s="45" t="s">
        <v>37</v>
      </c>
      <c r="C399" s="46" t="s">
        <v>9</v>
      </c>
      <c r="D399" s="46" t="s">
        <v>10</v>
      </c>
      <c r="E399" s="46" t="s">
        <v>11</v>
      </c>
      <c r="F399" s="46" t="s">
        <v>12</v>
      </c>
      <c r="G399" s="46" t="s">
        <v>13</v>
      </c>
      <c r="H399" s="45" t="str">
        <f t="shared" si="18"/>
        <v>Report Generation Toolkit For Microsoft Office 15.0.0</v>
      </c>
      <c r="I399" s="45"/>
      <c r="J399" s="7"/>
    </row>
    <row r="400" spans="1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</sheetData>
  <autoFilter ref="A3:I399" xr:uid="{F7F44E2F-0633-42B7-8978-CE6606F45AA2}">
    <filterColumn colId="1">
      <filters>
        <filter val="NI Scan Engine"/>
        <filter val="NI Serial 9870 and 9871 Scan Enginer Support"/>
        <filter val="NI-CAN"/>
        <filter val="NI-RIO IO Scan"/>
      </filters>
    </filterColumn>
    <sortState xmlns:xlrd2="http://schemas.microsoft.com/office/spreadsheetml/2017/richdata2" ref="A4:I399">
      <sortCondition ref="A3:A399"/>
    </sortState>
  </autoFilter>
  <mergeCells count="1">
    <mergeCell ref="A1:I2"/>
  </mergeCells>
  <hyperlinks>
    <hyperlink ref="G320" r:id="rId1" display="http://openg.org/" xr:uid="{6E81D95D-CECE-42A5-B263-B7E0631FFB7E}"/>
    <hyperlink ref="G321" r:id="rId2" display="http://openg.org/" xr:uid="{558FD0B1-052C-40EC-A3F8-0219B7DBA0DC}"/>
    <hyperlink ref="G322" r:id="rId3" display="http://openg.org/" xr:uid="{B0F1E2BE-165B-4F15-AB20-B9F3A888E281}"/>
    <hyperlink ref="G323" r:id="rId4" display="http://openg.org/" xr:uid="{755FC467-5BD8-4FF9-8648-2AC3FCA3CF0D}"/>
    <hyperlink ref="G324" r:id="rId5" display="http://openg.org/" xr:uid="{7794F16A-2ACE-40B4-AF21-80597693A15B}"/>
    <hyperlink ref="G325" r:id="rId6" display="http://openg.org/" xr:uid="{5DE9ADD4-C251-4694-A878-06A49418A54F}"/>
    <hyperlink ref="G326" r:id="rId7" display="http://openg.org/" xr:uid="{875AE913-FB97-4EBF-BEEB-85619864F271}"/>
    <hyperlink ref="G327" r:id="rId8" display="http://openg.org/" xr:uid="{28B99E20-9E8C-4131-A4E9-33DB2539FB84}"/>
    <hyperlink ref="G328" r:id="rId9" display="http://openg.org/" xr:uid="{FA93AD93-7F8F-4B61-BB29-2C6CEE23FE73}"/>
    <hyperlink ref="G329" r:id="rId10" display="http://openg.org/" xr:uid="{5BB5B801-6B6B-426C-B0D9-36301CF18014}"/>
    <hyperlink ref="G332" r:id="rId11" display="http://openg.org/" xr:uid="{9FCD2A5C-286B-42EC-9A37-8D3F7CE408E7}"/>
    <hyperlink ref="G333" r:id="rId12" display="http://openg.org/" xr:uid="{962ED6B3-C457-4AE8-A729-15A88261BB91}"/>
    <hyperlink ref="G334" r:id="rId13" display="http://openg.org/" xr:uid="{D436587B-9322-4955-91B0-9C6F5B1BB2B6}"/>
    <hyperlink ref="G335" r:id="rId14" display="http://openg.org/" xr:uid="{C118761F-CFC7-4E41-B5FF-3D8DD1C838E4}"/>
    <hyperlink ref="G336" r:id="rId15" display="http://openg.org/" xr:uid="{7D94FB85-8413-4770-835A-47A52981549C}"/>
    <hyperlink ref="G337" r:id="rId16" display="http://openg.org/" xr:uid="{7628EA18-DBA8-4E62-B9EE-3515AF717C95}"/>
    <hyperlink ref="G338" r:id="rId17" display="http://openg.org/" xr:uid="{595C2BF7-4EDC-4D16-A5BC-DF54E1C05D45}"/>
    <hyperlink ref="G339" r:id="rId18" display="http://openg.org/" xr:uid="{F799727E-512B-406D-A3E2-01F3ED85D1B5}"/>
    <hyperlink ref="G340" r:id="rId19" display="http://openg.org/" xr:uid="{FCD1FDFB-5FEA-47B0-A069-B09EA9C5A7E4}"/>
    <hyperlink ref="G341" r:id="rId20" display="http://openg.org/" xr:uid="{21EFF205-5C16-4938-86CE-FE0D43E6A3BD}"/>
    <hyperlink ref="G343" r:id="rId21" display="http://openg.org/" xr:uid="{AC577CEB-1AA7-45DF-B4FE-B39E831E1813}"/>
    <hyperlink ref="G344" r:id="rId22" display="http://openg.org/" xr:uid="{C323D7C2-8C43-40A2-8394-E393C1B4DBA5}"/>
    <hyperlink ref="G342" r:id="rId23" display="http://openg.org/" xr:uid="{7B5A791E-9034-4FC8-BD3F-EC19A0C02923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199"/>
  <sheetViews>
    <sheetView zoomScaleNormal="100" workbookViewId="0">
      <pane ySplit="3" topLeftCell="A84" activePane="bottomLeft" state="frozen"/>
      <selection activeCell="A4" sqref="A4"/>
      <selection pane="bottomLeft" activeCell="B103" sqref="B103:H103"/>
    </sheetView>
  </sheetViews>
  <sheetFormatPr defaultColWidth="9.8554687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1406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85546875" style="5"/>
  </cols>
  <sheetData>
    <row r="1" spans="1:10" x14ac:dyDescent="0.25">
      <c r="A1" s="122" t="s">
        <v>496</v>
      </c>
      <c r="B1" s="123"/>
      <c r="C1" s="123"/>
      <c r="D1" s="123"/>
      <c r="E1" s="123"/>
      <c r="F1" s="123"/>
      <c r="G1" s="123"/>
      <c r="H1" s="123"/>
      <c r="I1" s="124"/>
    </row>
    <row r="2" spans="1:10" ht="14.25" thickBot="1" x14ac:dyDescent="0.3">
      <c r="A2" s="125"/>
      <c r="B2" s="125"/>
      <c r="C2" s="125"/>
      <c r="D2" s="125"/>
      <c r="E2" s="125"/>
      <c r="F2" s="125"/>
      <c r="G2" s="125"/>
      <c r="H2" s="125"/>
      <c r="I2" s="126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42" t="s">
        <v>543</v>
      </c>
      <c r="B4" s="42" t="s">
        <v>8</v>
      </c>
      <c r="C4" s="42" t="s">
        <v>9</v>
      </c>
      <c r="D4" s="42">
        <v>32</v>
      </c>
      <c r="E4" s="42">
        <v>2015</v>
      </c>
      <c r="F4" s="42" t="s">
        <v>12</v>
      </c>
      <c r="G4" s="42" t="s">
        <v>13</v>
      </c>
      <c r="H4" s="42" t="str">
        <f>B4&amp;" "&amp;C4</f>
        <v>Advanced Signal Processing Toolkit 15.0.0</v>
      </c>
      <c r="I4" s="36" t="s">
        <v>42</v>
      </c>
      <c r="J4" s="7"/>
    </row>
    <row r="5" spans="1:10" x14ac:dyDescent="0.25">
      <c r="A5" s="42" t="s">
        <v>543</v>
      </c>
      <c r="B5" s="42" t="s">
        <v>15</v>
      </c>
      <c r="C5" s="42" t="s">
        <v>478</v>
      </c>
      <c r="D5" s="42" t="s">
        <v>10</v>
      </c>
      <c r="E5" s="42" t="s">
        <v>130</v>
      </c>
      <c r="F5" s="42" t="s">
        <v>12</v>
      </c>
      <c r="G5" s="42" t="s">
        <v>13</v>
      </c>
      <c r="H5" s="42" t="s">
        <v>487</v>
      </c>
      <c r="I5" s="55" t="s">
        <v>477</v>
      </c>
      <c r="J5" s="7"/>
    </row>
    <row r="6" spans="1:10" x14ac:dyDescent="0.25">
      <c r="A6" s="42" t="s">
        <v>543</v>
      </c>
      <c r="B6" s="117" t="s">
        <v>200</v>
      </c>
      <c r="C6" s="118" t="s">
        <v>201</v>
      </c>
      <c r="D6" s="118" t="s">
        <v>10</v>
      </c>
      <c r="E6" s="118" t="s">
        <v>136</v>
      </c>
      <c r="F6" s="118" t="s">
        <v>12</v>
      </c>
      <c r="G6" s="118" t="s">
        <v>158</v>
      </c>
      <c r="H6" s="117" t="str">
        <f>B6&amp;" "&amp;C6</f>
        <v>Caraya Unit Test Framework 0.6.3.54</v>
      </c>
      <c r="I6" s="172" t="s">
        <v>202</v>
      </c>
      <c r="J6" s="7"/>
    </row>
    <row r="7" spans="1:10" x14ac:dyDescent="0.25">
      <c r="A7" s="42" t="s">
        <v>543</v>
      </c>
      <c r="B7" s="42" t="s">
        <v>14</v>
      </c>
      <c r="C7" s="42" t="s">
        <v>478</v>
      </c>
      <c r="D7" s="42" t="s">
        <v>10</v>
      </c>
      <c r="E7" s="42" t="s">
        <v>130</v>
      </c>
      <c r="F7" s="42" t="s">
        <v>12</v>
      </c>
      <c r="G7" s="42" t="s">
        <v>13</v>
      </c>
      <c r="H7" s="42" t="s">
        <v>477</v>
      </c>
      <c r="I7" s="55" t="s">
        <v>477</v>
      </c>
      <c r="J7" s="7"/>
    </row>
    <row r="8" spans="1:10" x14ac:dyDescent="0.25">
      <c r="A8" s="42" t="s">
        <v>543</v>
      </c>
      <c r="B8" s="42" t="s">
        <v>75</v>
      </c>
      <c r="C8" s="42" t="s">
        <v>9</v>
      </c>
      <c r="D8" s="42">
        <v>32</v>
      </c>
      <c r="E8" s="42">
        <v>2015</v>
      </c>
      <c r="F8" s="42" t="s">
        <v>12</v>
      </c>
      <c r="G8" s="42" t="s">
        <v>13</v>
      </c>
      <c r="H8" s="42" t="str">
        <f>B8&amp;" "&amp;C8</f>
        <v>CVI 15.0.0</v>
      </c>
      <c r="I8" s="36" t="s">
        <v>42</v>
      </c>
      <c r="J8" s="7"/>
    </row>
    <row r="9" spans="1:10" x14ac:dyDescent="0.25">
      <c r="A9" s="42" t="s">
        <v>543</v>
      </c>
      <c r="B9" s="42" t="s">
        <v>75</v>
      </c>
      <c r="C9" s="42" t="s">
        <v>87</v>
      </c>
      <c r="D9" s="42">
        <v>32</v>
      </c>
      <c r="E9" s="42">
        <v>2015</v>
      </c>
      <c r="F9" s="42" t="s">
        <v>24</v>
      </c>
      <c r="G9" s="42" t="s">
        <v>13</v>
      </c>
      <c r="H9" s="42" t="str">
        <f>B9&amp;" "&amp;C9</f>
        <v>CVI 15.0.0.408</v>
      </c>
      <c r="I9" s="37" t="s">
        <v>91</v>
      </c>
      <c r="J9" s="7"/>
    </row>
    <row r="10" spans="1:10" x14ac:dyDescent="0.25">
      <c r="A10" s="42" t="s">
        <v>543</v>
      </c>
      <c r="B10" s="42" t="s">
        <v>76</v>
      </c>
      <c r="C10" s="42"/>
      <c r="D10" s="42">
        <v>32</v>
      </c>
      <c r="E10" s="42">
        <v>2015</v>
      </c>
      <c r="F10" s="42" t="s">
        <v>12</v>
      </c>
      <c r="G10" s="42" t="s">
        <v>13</v>
      </c>
      <c r="H10" s="42" t="str">
        <f>B10&amp;" "&amp;C10</f>
        <v xml:space="preserve">CVI AddOns </v>
      </c>
      <c r="I10" s="36" t="s">
        <v>42</v>
      </c>
      <c r="J10" s="7"/>
    </row>
    <row r="11" spans="1:10" x14ac:dyDescent="0.25">
      <c r="A11" s="42" t="s">
        <v>543</v>
      </c>
      <c r="B11" s="42" t="s">
        <v>33</v>
      </c>
      <c r="C11" s="42" t="s">
        <v>9</v>
      </c>
      <c r="D11" s="42">
        <v>32</v>
      </c>
      <c r="E11" s="42">
        <v>2015</v>
      </c>
      <c r="F11" s="42" t="s">
        <v>12</v>
      </c>
      <c r="G11" s="42" t="s">
        <v>13</v>
      </c>
      <c r="H11" s="42" t="str">
        <f>B11&amp;" "&amp;C11</f>
        <v>Database Connectivity Toolkit 15.0.0</v>
      </c>
      <c r="I11" s="36" t="s">
        <v>42</v>
      </c>
      <c r="J11" s="7"/>
    </row>
    <row r="12" spans="1:10" x14ac:dyDescent="0.25">
      <c r="A12" s="42" t="s">
        <v>543</v>
      </c>
      <c r="B12" s="42" t="s">
        <v>88</v>
      </c>
      <c r="C12" s="42" t="s">
        <v>89</v>
      </c>
      <c r="D12" s="42">
        <v>32</v>
      </c>
      <c r="E12" s="42">
        <v>2015</v>
      </c>
      <c r="F12" s="42" t="s">
        <v>12</v>
      </c>
      <c r="G12" s="42" t="s">
        <v>13</v>
      </c>
      <c r="H12" s="42" t="str">
        <f>B12&amp;" "&amp;C12</f>
        <v>DataFinder Toolkit 15.0.06020</v>
      </c>
      <c r="I12" s="36" t="s">
        <v>42</v>
      </c>
      <c r="J12" s="7"/>
    </row>
    <row r="13" spans="1:10" x14ac:dyDescent="0.25">
      <c r="A13" s="42" t="s">
        <v>543</v>
      </c>
      <c r="B13" s="117" t="s">
        <v>203</v>
      </c>
      <c r="C13" s="118" t="s">
        <v>204</v>
      </c>
      <c r="D13" s="118" t="s">
        <v>10</v>
      </c>
      <c r="E13" s="118" t="s">
        <v>136</v>
      </c>
      <c r="F13" s="118" t="s">
        <v>12</v>
      </c>
      <c r="G13" s="118" t="s">
        <v>540</v>
      </c>
      <c r="H13" s="117" t="str">
        <f>B13&amp;" "&amp;C13</f>
        <v>Delacor QMH 4.0.0.28</v>
      </c>
      <c r="I13" s="172" t="s">
        <v>202</v>
      </c>
      <c r="J13" s="7"/>
    </row>
    <row r="14" spans="1:10" x14ac:dyDescent="0.25">
      <c r="A14" s="42" t="s">
        <v>543</v>
      </c>
      <c r="B14" s="117" t="s">
        <v>205</v>
      </c>
      <c r="C14" s="118" t="s">
        <v>537</v>
      </c>
      <c r="D14" s="118" t="s">
        <v>10</v>
      </c>
      <c r="E14" s="118" t="s">
        <v>136</v>
      </c>
      <c r="F14" s="118" t="s">
        <v>12</v>
      </c>
      <c r="G14" s="118" t="s">
        <v>540</v>
      </c>
      <c r="H14" s="117" t="str">
        <f>B14&amp;" "&amp;C14</f>
        <v>Delacor QMH Event Scripter 4.0.0.68</v>
      </c>
      <c r="I14" s="172" t="s">
        <v>202</v>
      </c>
      <c r="J14" s="7"/>
    </row>
    <row r="15" spans="1:10" x14ac:dyDescent="0.25">
      <c r="A15" s="42" t="s">
        <v>543</v>
      </c>
      <c r="B15" s="117" t="s">
        <v>206</v>
      </c>
      <c r="C15" s="118" t="s">
        <v>207</v>
      </c>
      <c r="D15" s="118" t="s">
        <v>10</v>
      </c>
      <c r="E15" s="118" t="s">
        <v>136</v>
      </c>
      <c r="F15" s="118" t="s">
        <v>12</v>
      </c>
      <c r="G15" s="118" t="s">
        <v>540</v>
      </c>
      <c r="H15" s="117" t="str">
        <f>B15&amp;" "&amp;C15</f>
        <v>Delacor QMH Palette 3.0.0.1</v>
      </c>
      <c r="I15" s="172" t="s">
        <v>202</v>
      </c>
      <c r="J15" s="7"/>
    </row>
    <row r="16" spans="1:10" x14ac:dyDescent="0.25">
      <c r="A16" s="42" t="s">
        <v>543</v>
      </c>
      <c r="B16" s="117" t="s">
        <v>208</v>
      </c>
      <c r="C16" s="118" t="s">
        <v>209</v>
      </c>
      <c r="D16" s="118" t="s">
        <v>10</v>
      </c>
      <c r="E16" s="118" t="s">
        <v>136</v>
      </c>
      <c r="F16" s="118" t="s">
        <v>12</v>
      </c>
      <c r="G16" s="118" t="s">
        <v>540</v>
      </c>
      <c r="H16" s="117" t="str">
        <f>B16&amp;" "&amp;C16</f>
        <v>Delacor QMH Project Template 4.0.0.47</v>
      </c>
      <c r="I16" s="172" t="s">
        <v>202</v>
      </c>
      <c r="J16" s="7"/>
    </row>
    <row r="17" spans="1:10" x14ac:dyDescent="0.25">
      <c r="A17" s="42" t="s">
        <v>543</v>
      </c>
      <c r="B17" s="117" t="s">
        <v>210</v>
      </c>
      <c r="C17" s="118" t="s">
        <v>211</v>
      </c>
      <c r="D17" s="118" t="s">
        <v>10</v>
      </c>
      <c r="E17" s="118" t="s">
        <v>136</v>
      </c>
      <c r="F17" s="118" t="s">
        <v>12</v>
      </c>
      <c r="G17" s="118" t="s">
        <v>540</v>
      </c>
      <c r="H17" s="117" t="str">
        <f>B17&amp;" "&amp;C17</f>
        <v>Delacor QMH Thermal Chamber Examples 4.0.0.21</v>
      </c>
      <c r="I17" s="172" t="s">
        <v>202</v>
      </c>
      <c r="J17" s="7"/>
    </row>
    <row r="18" spans="1:10" x14ac:dyDescent="0.25">
      <c r="A18" s="42" t="s">
        <v>543</v>
      </c>
      <c r="B18" s="42" t="s">
        <v>34</v>
      </c>
      <c r="C18" s="42" t="s">
        <v>9</v>
      </c>
      <c r="D18" s="42">
        <v>32</v>
      </c>
      <c r="E18" s="42">
        <v>2015</v>
      </c>
      <c r="F18" s="42" t="s">
        <v>12</v>
      </c>
      <c r="G18" s="42" t="s">
        <v>13</v>
      </c>
      <c r="H18" s="42" t="str">
        <f>B18&amp;" "&amp;C18</f>
        <v>Digital Filter Design Toolkit 15.0.0</v>
      </c>
      <c r="I18" s="36" t="s">
        <v>42</v>
      </c>
      <c r="J18" s="7"/>
    </row>
    <row r="19" spans="1:10" x14ac:dyDescent="0.25">
      <c r="A19" s="42" t="s">
        <v>543</v>
      </c>
      <c r="B19" s="42" t="s">
        <v>58</v>
      </c>
      <c r="C19" s="42" t="s">
        <v>30</v>
      </c>
      <c r="D19" s="42">
        <v>32</v>
      </c>
      <c r="E19" s="42">
        <v>2015</v>
      </c>
      <c r="F19" s="42" t="s">
        <v>12</v>
      </c>
      <c r="G19" s="42" t="s">
        <v>13</v>
      </c>
      <c r="H19" s="42" t="str">
        <f>B19&amp;" "&amp;C19</f>
        <v>FlexRIO 15.0.0f0</v>
      </c>
      <c r="I19" s="36" t="s">
        <v>42</v>
      </c>
      <c r="J19" s="7"/>
    </row>
    <row r="20" spans="1:10" x14ac:dyDescent="0.25">
      <c r="A20" s="42" t="s">
        <v>543</v>
      </c>
      <c r="B20" s="42" t="s">
        <v>437</v>
      </c>
      <c r="C20" s="42" t="s">
        <v>438</v>
      </c>
      <c r="D20" s="42" t="s">
        <v>10</v>
      </c>
      <c r="E20" s="42" t="s">
        <v>119</v>
      </c>
      <c r="F20" s="42" t="s">
        <v>12</v>
      </c>
      <c r="G20" s="42" t="s">
        <v>13</v>
      </c>
      <c r="H20" s="42" t="s">
        <v>453</v>
      </c>
      <c r="I20" s="39" t="s">
        <v>424</v>
      </c>
      <c r="J20" s="7"/>
    </row>
    <row r="21" spans="1:10" x14ac:dyDescent="0.25">
      <c r="A21" s="42" t="s">
        <v>543</v>
      </c>
      <c r="B21" s="117" t="s">
        <v>215</v>
      </c>
      <c r="C21" s="118" t="s">
        <v>216</v>
      </c>
      <c r="D21" s="118" t="s">
        <v>10</v>
      </c>
      <c r="E21" s="118" t="s">
        <v>136</v>
      </c>
      <c r="F21" s="118" t="s">
        <v>12</v>
      </c>
      <c r="G21" s="118" t="s">
        <v>217</v>
      </c>
      <c r="H21" s="117" t="str">
        <f>B21&amp;" "&amp;C21</f>
        <v>GPower All Toolsets 2017.0.0.11</v>
      </c>
      <c r="I21" s="172" t="s">
        <v>202</v>
      </c>
      <c r="J21" s="7"/>
    </row>
    <row r="22" spans="1:10" x14ac:dyDescent="0.25">
      <c r="A22" s="42" t="s">
        <v>543</v>
      </c>
      <c r="B22" s="117" t="s">
        <v>218</v>
      </c>
      <c r="C22" s="118" t="s">
        <v>162</v>
      </c>
      <c r="D22" s="118" t="s">
        <v>10</v>
      </c>
      <c r="E22" s="118" t="s">
        <v>136</v>
      </c>
      <c r="F22" s="118" t="s">
        <v>12</v>
      </c>
      <c r="G22" s="118" t="s">
        <v>217</v>
      </c>
      <c r="H22" s="117" t="str">
        <f>B22&amp;" "&amp;C22</f>
        <v>GPower Array 2016.2.0.27</v>
      </c>
      <c r="I22" s="172" t="s">
        <v>202</v>
      </c>
      <c r="J22" s="7"/>
    </row>
    <row r="23" spans="1:10" x14ac:dyDescent="0.25">
      <c r="A23" s="42" t="s">
        <v>543</v>
      </c>
      <c r="B23" s="117" t="s">
        <v>219</v>
      </c>
      <c r="C23" s="118" t="s">
        <v>220</v>
      </c>
      <c r="D23" s="118" t="s">
        <v>10</v>
      </c>
      <c r="E23" s="118" t="s">
        <v>136</v>
      </c>
      <c r="F23" s="118" t="s">
        <v>12</v>
      </c>
      <c r="G23" s="118" t="s">
        <v>217</v>
      </c>
      <c r="H23" s="117" t="str">
        <f>B23&amp;" "&amp;C23</f>
        <v>GPower Comparison 2016.0.0.4</v>
      </c>
      <c r="I23" s="172" t="s">
        <v>202</v>
      </c>
      <c r="J23" s="7"/>
    </row>
    <row r="24" spans="1:10" x14ac:dyDescent="0.25">
      <c r="A24" s="42" t="s">
        <v>543</v>
      </c>
      <c r="B24" s="117" t="s">
        <v>221</v>
      </c>
      <c r="C24" s="118" t="s">
        <v>222</v>
      </c>
      <c r="D24" s="118" t="s">
        <v>10</v>
      </c>
      <c r="E24" s="118" t="s">
        <v>136</v>
      </c>
      <c r="F24" s="118" t="s">
        <v>12</v>
      </c>
      <c r="G24" s="118" t="s">
        <v>217</v>
      </c>
      <c r="H24" s="117" t="str">
        <f>B24&amp;" "&amp;C24</f>
        <v>GPower Error &amp; Warning 2014.0.0.38</v>
      </c>
      <c r="I24" s="172" t="s">
        <v>202</v>
      </c>
      <c r="J24" s="7"/>
    </row>
    <row r="25" spans="1:10" x14ac:dyDescent="0.25">
      <c r="A25" s="42" t="s">
        <v>543</v>
      </c>
      <c r="B25" s="117" t="s">
        <v>223</v>
      </c>
      <c r="C25" s="118" t="s">
        <v>224</v>
      </c>
      <c r="D25" s="118" t="s">
        <v>10</v>
      </c>
      <c r="E25" s="118" t="s">
        <v>136</v>
      </c>
      <c r="F25" s="118" t="s">
        <v>12</v>
      </c>
      <c r="G25" s="118" t="s">
        <v>217</v>
      </c>
      <c r="H25" s="117" t="str">
        <f>B25&amp;" "&amp;C25</f>
        <v>GPower Events 2012.0.0.7</v>
      </c>
      <c r="I25" s="172" t="s">
        <v>202</v>
      </c>
      <c r="J25" s="7"/>
    </row>
    <row r="26" spans="1:10" x14ac:dyDescent="0.25">
      <c r="A26" s="42" t="s">
        <v>543</v>
      </c>
      <c r="B26" s="117" t="s">
        <v>225</v>
      </c>
      <c r="C26" s="118" t="s">
        <v>226</v>
      </c>
      <c r="D26" s="118" t="s">
        <v>10</v>
      </c>
      <c r="E26" s="118" t="s">
        <v>136</v>
      </c>
      <c r="F26" s="118" t="s">
        <v>12</v>
      </c>
      <c r="G26" s="118" t="s">
        <v>217</v>
      </c>
      <c r="H26" s="117" t="str">
        <f>B26&amp;" "&amp;C26</f>
        <v>GPower Math 2012.1.0.6</v>
      </c>
      <c r="I26" s="172" t="s">
        <v>202</v>
      </c>
      <c r="J26" s="7"/>
    </row>
    <row r="27" spans="1:10" x14ac:dyDescent="0.25">
      <c r="A27" s="42" t="s">
        <v>543</v>
      </c>
      <c r="B27" s="117" t="s">
        <v>227</v>
      </c>
      <c r="C27" s="118" t="s">
        <v>228</v>
      </c>
      <c r="D27" s="118" t="s">
        <v>10</v>
      </c>
      <c r="E27" s="118" t="s">
        <v>136</v>
      </c>
      <c r="F27" s="118" t="s">
        <v>12</v>
      </c>
      <c r="G27" s="118" t="s">
        <v>217</v>
      </c>
      <c r="H27" s="117" t="str">
        <f>B27&amp;" "&amp;C27</f>
        <v>GPower Numeric 2016.2.0.14</v>
      </c>
      <c r="I27" s="172" t="s">
        <v>202</v>
      </c>
      <c r="J27" s="7"/>
    </row>
    <row r="28" spans="1:10" x14ac:dyDescent="0.25">
      <c r="A28" s="42" t="s">
        <v>543</v>
      </c>
      <c r="B28" s="117" t="s">
        <v>229</v>
      </c>
      <c r="C28" s="118" t="s">
        <v>230</v>
      </c>
      <c r="D28" s="118" t="s">
        <v>10</v>
      </c>
      <c r="E28" s="118" t="s">
        <v>136</v>
      </c>
      <c r="F28" s="118" t="s">
        <v>12</v>
      </c>
      <c r="G28" s="118" t="s">
        <v>217</v>
      </c>
      <c r="H28" s="117" t="str">
        <f>B28&amp;" "&amp;C28</f>
        <v>GPower Overflow 2014.0.0.4</v>
      </c>
      <c r="I28" s="172" t="s">
        <v>202</v>
      </c>
      <c r="J28" s="7"/>
    </row>
    <row r="29" spans="1:10" x14ac:dyDescent="0.25">
      <c r="A29" s="42" t="s">
        <v>543</v>
      </c>
      <c r="B29" s="117" t="s">
        <v>231</v>
      </c>
      <c r="C29" s="118" t="s">
        <v>232</v>
      </c>
      <c r="D29" s="118" t="s">
        <v>10</v>
      </c>
      <c r="E29" s="118" t="s">
        <v>136</v>
      </c>
      <c r="F29" s="118" t="s">
        <v>12</v>
      </c>
      <c r="G29" s="118" t="s">
        <v>217</v>
      </c>
      <c r="H29" s="117" t="str">
        <f>B29&amp;" "&amp;C29</f>
        <v>GPower String 2016.1.0.11</v>
      </c>
      <c r="I29" s="172" t="s">
        <v>202</v>
      </c>
      <c r="J29" s="7"/>
    </row>
    <row r="30" spans="1:10" x14ac:dyDescent="0.25">
      <c r="A30" s="42" t="s">
        <v>543</v>
      </c>
      <c r="B30" s="117" t="s">
        <v>233</v>
      </c>
      <c r="C30" s="118" t="s">
        <v>234</v>
      </c>
      <c r="D30" s="118" t="s">
        <v>10</v>
      </c>
      <c r="E30" s="118" t="s">
        <v>136</v>
      </c>
      <c r="F30" s="118" t="s">
        <v>12</v>
      </c>
      <c r="G30" s="118" t="s">
        <v>217</v>
      </c>
      <c r="H30" s="117" t="str">
        <f>B30&amp;" "&amp;C30</f>
        <v>GPower Timing 2017.0.0.26</v>
      </c>
      <c r="I30" s="172" t="s">
        <v>202</v>
      </c>
      <c r="J30" s="7"/>
    </row>
    <row r="31" spans="1:10" x14ac:dyDescent="0.25">
      <c r="A31" s="42" t="s">
        <v>543</v>
      </c>
      <c r="B31" s="117" t="s">
        <v>235</v>
      </c>
      <c r="C31" s="118" t="s">
        <v>236</v>
      </c>
      <c r="D31" s="118" t="s">
        <v>10</v>
      </c>
      <c r="E31" s="118" t="s">
        <v>136</v>
      </c>
      <c r="F31" s="118" t="s">
        <v>12</v>
      </c>
      <c r="G31" s="118" t="s">
        <v>217</v>
      </c>
      <c r="H31" s="117" t="str">
        <f>B31&amp;" "&amp;C31</f>
        <v>GPower VI Launcher 2012.2.0.26</v>
      </c>
      <c r="I31" s="172" t="s">
        <v>202</v>
      </c>
      <c r="J31" s="7"/>
    </row>
    <row r="32" spans="1:10" x14ac:dyDescent="0.25">
      <c r="A32" s="42" t="s">
        <v>543</v>
      </c>
      <c r="B32" s="117" t="s">
        <v>237</v>
      </c>
      <c r="C32" s="118" t="s">
        <v>238</v>
      </c>
      <c r="D32" s="118" t="s">
        <v>10</v>
      </c>
      <c r="E32" s="118" t="s">
        <v>136</v>
      </c>
      <c r="F32" s="118" t="s">
        <v>12</v>
      </c>
      <c r="G32" s="118" t="s">
        <v>217</v>
      </c>
      <c r="H32" s="117" t="str">
        <f>B32&amp;" "&amp;C32</f>
        <v>GPower VI Register 2016.0.0.31</v>
      </c>
      <c r="I32" s="172" t="s">
        <v>202</v>
      </c>
      <c r="J32" s="7"/>
    </row>
    <row r="33" spans="1:10" x14ac:dyDescent="0.25">
      <c r="A33" s="42" t="s">
        <v>543</v>
      </c>
      <c r="B33" s="42" t="s">
        <v>371</v>
      </c>
      <c r="C33" s="42" t="s">
        <v>372</v>
      </c>
      <c r="D33" s="42" t="s">
        <v>10</v>
      </c>
      <c r="E33" s="42" t="s">
        <v>119</v>
      </c>
      <c r="F33" s="42" t="s">
        <v>12</v>
      </c>
      <c r="G33" s="42" t="s">
        <v>13</v>
      </c>
      <c r="H33" s="42" t="str">
        <f>B33&amp;" "&amp;C33</f>
        <v>Image Processing and Machine Vision 19.5.0.49152</v>
      </c>
      <c r="I33" s="39" t="s">
        <v>424</v>
      </c>
      <c r="J33" s="7"/>
    </row>
    <row r="34" spans="1:10" x14ac:dyDescent="0.25">
      <c r="A34" s="42" t="s">
        <v>543</v>
      </c>
      <c r="B34" s="42" t="s">
        <v>373</v>
      </c>
      <c r="C34" s="42" t="s">
        <v>372</v>
      </c>
      <c r="D34" s="42" t="s">
        <v>10</v>
      </c>
      <c r="E34" s="42" t="s">
        <v>119</v>
      </c>
      <c r="F34" s="42" t="s">
        <v>12</v>
      </c>
      <c r="G34" s="42" t="s">
        <v>13</v>
      </c>
      <c r="H34" s="42" t="str">
        <f>B34&amp;" "&amp;C34</f>
        <v>Image Services 19.5.0.49152</v>
      </c>
      <c r="I34" s="39" t="s">
        <v>424</v>
      </c>
      <c r="J34" s="7"/>
    </row>
    <row r="35" spans="1:10" x14ac:dyDescent="0.25">
      <c r="A35" s="42" t="s">
        <v>543</v>
      </c>
      <c r="B35" s="42" t="s">
        <v>31</v>
      </c>
      <c r="C35" s="43" t="s">
        <v>102</v>
      </c>
      <c r="D35" s="42">
        <v>32</v>
      </c>
      <c r="E35" s="42">
        <v>2015</v>
      </c>
      <c r="F35" s="42" t="s">
        <v>12</v>
      </c>
      <c r="G35" s="42" t="s">
        <v>13</v>
      </c>
      <c r="H35" s="42" t="str">
        <f>B35&amp;" "&amp;C35</f>
        <v>IVI Compliance Package 15.0</v>
      </c>
      <c r="I35" s="36" t="s">
        <v>42</v>
      </c>
      <c r="J35" s="7"/>
    </row>
    <row r="36" spans="1:10" x14ac:dyDescent="0.25">
      <c r="A36" s="42" t="s">
        <v>543</v>
      </c>
      <c r="B36" s="117" t="s">
        <v>241</v>
      </c>
      <c r="C36" s="118" t="s">
        <v>242</v>
      </c>
      <c r="D36" s="118" t="s">
        <v>10</v>
      </c>
      <c r="E36" s="118" t="s">
        <v>136</v>
      </c>
      <c r="F36" s="118" t="s">
        <v>12</v>
      </c>
      <c r="G36" s="118" t="s">
        <v>158</v>
      </c>
      <c r="H36" s="117" t="str">
        <f>B36&amp;" "&amp;C36</f>
        <v>JKI State Machine Editor 2013.6.3.239</v>
      </c>
      <c r="I36" s="172" t="s">
        <v>202</v>
      </c>
      <c r="J36" s="7"/>
    </row>
    <row r="37" spans="1:10" x14ac:dyDescent="0.25">
      <c r="A37" s="42" t="s">
        <v>543</v>
      </c>
      <c r="B37" s="117" t="s">
        <v>243</v>
      </c>
      <c r="C37" s="118" t="s">
        <v>244</v>
      </c>
      <c r="D37" s="118" t="s">
        <v>10</v>
      </c>
      <c r="E37" s="118" t="s">
        <v>136</v>
      </c>
      <c r="F37" s="118" t="s">
        <v>12</v>
      </c>
      <c r="G37" s="118" t="s">
        <v>158</v>
      </c>
      <c r="H37" s="117" t="str">
        <f>B37&amp;" "&amp;C37</f>
        <v>JKI State Machine Objects (SMO) 1.3.0.56</v>
      </c>
      <c r="I37" s="172" t="s">
        <v>202</v>
      </c>
      <c r="J37" s="7"/>
    </row>
    <row r="38" spans="1:10" x14ac:dyDescent="0.25">
      <c r="A38" s="42" t="s">
        <v>543</v>
      </c>
      <c r="B38" s="117" t="s">
        <v>245</v>
      </c>
      <c r="C38" s="118" t="s">
        <v>246</v>
      </c>
      <c r="D38" s="118" t="s">
        <v>10</v>
      </c>
      <c r="E38" s="118" t="s">
        <v>136</v>
      </c>
      <c r="F38" s="118" t="s">
        <v>12</v>
      </c>
      <c r="G38" s="118" t="s">
        <v>247</v>
      </c>
      <c r="H38" s="117" t="str">
        <f>B38&amp;" "&amp;C38</f>
        <v>jki_rsc_toolkits_palette 1.1-1</v>
      </c>
      <c r="I38" s="172" t="s">
        <v>202</v>
      </c>
      <c r="J38" s="7"/>
    </row>
    <row r="39" spans="1:10" x14ac:dyDescent="0.25">
      <c r="A39" s="42" t="s">
        <v>543</v>
      </c>
      <c r="B39" s="42" t="s">
        <v>32</v>
      </c>
      <c r="C39" s="42" t="s">
        <v>92</v>
      </c>
      <c r="D39" s="42">
        <v>32</v>
      </c>
      <c r="E39" s="42" t="s">
        <v>111</v>
      </c>
      <c r="F39" s="42" t="s">
        <v>12</v>
      </c>
      <c r="G39" s="42" t="s">
        <v>13</v>
      </c>
      <c r="H39" s="42" t="str">
        <f>B39&amp;" "&amp;E39&amp;" "&amp;C39</f>
        <v>LabVIEW 2015 SP1 15.0.1</v>
      </c>
      <c r="I39" s="37" t="s">
        <v>91</v>
      </c>
      <c r="J39" s="7"/>
    </row>
    <row r="40" spans="1:10" x14ac:dyDescent="0.25">
      <c r="A40" s="42" t="s">
        <v>543</v>
      </c>
      <c r="B40" s="42" t="s">
        <v>32</v>
      </c>
      <c r="C40" s="42" t="s">
        <v>9</v>
      </c>
      <c r="D40" s="42">
        <v>64</v>
      </c>
      <c r="E40" s="42">
        <v>2015</v>
      </c>
      <c r="F40" s="42" t="s">
        <v>12</v>
      </c>
      <c r="G40" s="42" t="s">
        <v>13</v>
      </c>
      <c r="H40" s="42" t="str">
        <f>B40&amp;" "&amp;E40&amp;" "&amp;C40</f>
        <v>LabVIEW 2015 15.0.0</v>
      </c>
      <c r="I40" s="36" t="s">
        <v>42</v>
      </c>
      <c r="J40" s="7"/>
    </row>
    <row r="41" spans="1:10" x14ac:dyDescent="0.25">
      <c r="A41" s="42" t="s">
        <v>543</v>
      </c>
      <c r="B41" s="42" t="s">
        <v>32</v>
      </c>
      <c r="C41" s="42" t="s">
        <v>105</v>
      </c>
      <c r="D41" s="42">
        <v>32</v>
      </c>
      <c r="E41" s="42" t="s">
        <v>106</v>
      </c>
      <c r="F41" s="42" t="s">
        <v>24</v>
      </c>
      <c r="G41" s="42" t="s">
        <v>13</v>
      </c>
      <c r="H41" s="42" t="str">
        <f>B41&amp;" "&amp;E41&amp;" "&amp;C41</f>
        <v>LabVIEW 2012 SP1 f9 12.0.1</v>
      </c>
      <c r="I41" s="36" t="s">
        <v>42</v>
      </c>
      <c r="J41" s="7"/>
    </row>
    <row r="42" spans="1:10" x14ac:dyDescent="0.25">
      <c r="A42" s="42" t="s">
        <v>543</v>
      </c>
      <c r="B42" s="42" t="s">
        <v>32</v>
      </c>
      <c r="C42" s="42" t="s">
        <v>105</v>
      </c>
      <c r="D42" s="42">
        <v>64</v>
      </c>
      <c r="E42" s="42" t="s">
        <v>106</v>
      </c>
      <c r="F42" s="42" t="s">
        <v>24</v>
      </c>
      <c r="G42" s="42" t="s">
        <v>13</v>
      </c>
      <c r="H42" s="42" t="str">
        <f>B42&amp;" "&amp;E42&amp;" "&amp;C42</f>
        <v>LabVIEW 2012 SP1 f9 12.0.1</v>
      </c>
      <c r="I42" s="36" t="s">
        <v>42</v>
      </c>
      <c r="J42" s="7"/>
    </row>
    <row r="43" spans="1:10" x14ac:dyDescent="0.25">
      <c r="A43" s="42" t="s">
        <v>543</v>
      </c>
      <c r="B43" s="42" t="s">
        <v>32</v>
      </c>
      <c r="C43" s="42" t="s">
        <v>137</v>
      </c>
      <c r="D43" s="42">
        <v>32</v>
      </c>
      <c r="E43" s="42" t="s">
        <v>108</v>
      </c>
      <c r="F43" s="42" t="s">
        <v>24</v>
      </c>
      <c r="G43" s="42" t="s">
        <v>13</v>
      </c>
      <c r="H43" s="42" t="str">
        <f>B43&amp;" "&amp;E43&amp;" "&amp;C43</f>
        <v>LabVIEW 2013 SP1 f6 13.0.1</v>
      </c>
      <c r="I43" s="36" t="s">
        <v>42</v>
      </c>
      <c r="J43" s="7"/>
    </row>
    <row r="44" spans="1:10" x14ac:dyDescent="0.25">
      <c r="A44" s="42" t="s">
        <v>543</v>
      </c>
      <c r="B44" s="42" t="s">
        <v>32</v>
      </c>
      <c r="C44" s="42" t="s">
        <v>110</v>
      </c>
      <c r="D44" s="42">
        <v>32</v>
      </c>
      <c r="E44" s="42" t="s">
        <v>109</v>
      </c>
      <c r="F44" s="42" t="s">
        <v>24</v>
      </c>
      <c r="G44" s="42" t="s">
        <v>13</v>
      </c>
      <c r="H44" s="42" t="str">
        <f>B44&amp;" "&amp;E44&amp;" "&amp;C44</f>
        <v>LabVIEW 2014 SP1 f11 14.0.1</v>
      </c>
      <c r="I44" s="40" t="s">
        <v>465</v>
      </c>
      <c r="J44" s="7"/>
    </row>
    <row r="45" spans="1:10" x14ac:dyDescent="0.25">
      <c r="A45" s="42" t="s">
        <v>543</v>
      </c>
      <c r="B45" s="42" t="s">
        <v>32</v>
      </c>
      <c r="C45" s="42" t="s">
        <v>92</v>
      </c>
      <c r="D45" s="42">
        <v>32</v>
      </c>
      <c r="E45" s="42" t="s">
        <v>111</v>
      </c>
      <c r="F45" s="42" t="s">
        <v>24</v>
      </c>
      <c r="G45" s="42" t="s">
        <v>13</v>
      </c>
      <c r="H45" s="42" t="str">
        <f>B45&amp;" "&amp;E45&amp;" "&amp;C45</f>
        <v>LabVIEW 2015 SP1 15.0.1</v>
      </c>
      <c r="I45" s="37" t="s">
        <v>91</v>
      </c>
      <c r="J45" s="7"/>
    </row>
    <row r="46" spans="1:10" x14ac:dyDescent="0.25">
      <c r="A46" s="42" t="s">
        <v>543</v>
      </c>
      <c r="B46" s="42" t="s">
        <v>32</v>
      </c>
      <c r="C46" s="42" t="s">
        <v>135</v>
      </c>
      <c r="D46" s="42" t="s">
        <v>10</v>
      </c>
      <c r="E46" s="42" t="s">
        <v>119</v>
      </c>
      <c r="F46" s="42" t="s">
        <v>24</v>
      </c>
      <c r="G46" s="42" t="s">
        <v>13</v>
      </c>
      <c r="H46" s="42" t="s">
        <v>456</v>
      </c>
      <c r="I46" s="39" t="s">
        <v>424</v>
      </c>
      <c r="J46" s="7"/>
    </row>
    <row r="47" spans="1:10" x14ac:dyDescent="0.25">
      <c r="A47" s="42" t="s">
        <v>543</v>
      </c>
      <c r="B47" s="42" t="s">
        <v>32</v>
      </c>
      <c r="C47" s="42" t="s">
        <v>402</v>
      </c>
      <c r="D47" s="42" t="s">
        <v>10</v>
      </c>
      <c r="E47" s="42" t="s">
        <v>457</v>
      </c>
      <c r="F47" s="42" t="s">
        <v>24</v>
      </c>
      <c r="G47" s="42" t="s">
        <v>13</v>
      </c>
      <c r="H47" s="42" t="s">
        <v>455</v>
      </c>
      <c r="I47" s="39" t="s">
        <v>424</v>
      </c>
      <c r="J47" s="7"/>
    </row>
    <row r="48" spans="1:10" x14ac:dyDescent="0.25">
      <c r="A48" s="42" t="s">
        <v>543</v>
      </c>
      <c r="B48" s="42" t="s">
        <v>32</v>
      </c>
      <c r="C48" s="42" t="s">
        <v>110</v>
      </c>
      <c r="D48" s="42">
        <v>64</v>
      </c>
      <c r="E48" s="42" t="s">
        <v>109</v>
      </c>
      <c r="F48" s="42" t="s">
        <v>24</v>
      </c>
      <c r="G48" s="42" t="s">
        <v>13</v>
      </c>
      <c r="H48" s="42" t="str">
        <f>B48&amp;" "&amp;E48&amp;" "&amp;C48</f>
        <v>LabVIEW 2014 SP1 f11 14.0.1</v>
      </c>
      <c r="I48" s="40" t="s">
        <v>465</v>
      </c>
      <c r="J48" s="7"/>
    </row>
    <row r="49" spans="1:10" x14ac:dyDescent="0.25">
      <c r="A49" s="42" t="s">
        <v>543</v>
      </c>
      <c r="B49" s="42" t="s">
        <v>32</v>
      </c>
      <c r="C49" s="42" t="s">
        <v>9</v>
      </c>
      <c r="D49" s="42">
        <v>64</v>
      </c>
      <c r="E49" s="42" t="s">
        <v>414</v>
      </c>
      <c r="F49" s="42" t="s">
        <v>24</v>
      </c>
      <c r="G49" s="42" t="s">
        <v>13</v>
      </c>
      <c r="H49" s="42" t="str">
        <f>B49&amp;" "&amp;E49&amp;" "&amp;C49</f>
        <v>LabVIEW 2015 f2 15.0.0</v>
      </c>
      <c r="I49" s="40" t="s">
        <v>465</v>
      </c>
      <c r="J49" s="7"/>
    </row>
    <row r="50" spans="1:10" x14ac:dyDescent="0.25">
      <c r="A50" s="42" t="s">
        <v>543</v>
      </c>
      <c r="B50" s="42" t="s">
        <v>32</v>
      </c>
      <c r="C50" s="42" t="s">
        <v>404</v>
      </c>
      <c r="D50" s="42" t="s">
        <v>10</v>
      </c>
      <c r="E50" s="42" t="s">
        <v>468</v>
      </c>
      <c r="F50" s="42" t="s">
        <v>24</v>
      </c>
      <c r="G50" s="42" t="s">
        <v>13</v>
      </c>
      <c r="H50" s="42" t="str">
        <f>B50&amp;" "&amp;E50&amp;" "&amp;C50</f>
        <v>LabVIEW 2016 f5 16.0.0</v>
      </c>
      <c r="I50" s="55" t="s">
        <v>477</v>
      </c>
      <c r="J50" s="7"/>
    </row>
    <row r="51" spans="1:10" ht="15" x14ac:dyDescent="0.25">
      <c r="A51" s="42" t="s">
        <v>543</v>
      </c>
      <c r="B51" s="42" t="s">
        <v>32</v>
      </c>
      <c r="C51" s="42" t="s">
        <v>406</v>
      </c>
      <c r="D51" s="42" t="s">
        <v>10</v>
      </c>
      <c r="E51" s="42" t="s">
        <v>407</v>
      </c>
      <c r="F51" s="42" t="s">
        <v>24</v>
      </c>
      <c r="G51" s="42" t="s">
        <v>13</v>
      </c>
      <c r="H51" s="42" t="str">
        <f>B51&amp;" "&amp;E51&amp;" "&amp;C51</f>
        <v>LabVIEW 2017 SP1 f3 17.0.1</v>
      </c>
      <c r="I51" s="97" t="s">
        <v>499</v>
      </c>
      <c r="J51" s="7"/>
    </row>
    <row r="52" spans="1:10" x14ac:dyDescent="0.25">
      <c r="A52" s="42" t="s">
        <v>543</v>
      </c>
      <c r="B52" s="117" t="s">
        <v>248</v>
      </c>
      <c r="C52" s="118" t="s">
        <v>249</v>
      </c>
      <c r="D52" s="118" t="s">
        <v>10</v>
      </c>
      <c r="E52" s="118" t="s">
        <v>136</v>
      </c>
      <c r="F52" s="118" t="s">
        <v>12</v>
      </c>
      <c r="G52" s="118" t="s">
        <v>250</v>
      </c>
      <c r="H52" s="117" t="str">
        <f>B52&amp;" "&amp;C52</f>
        <v>LAVA Palette 1.0.0.1</v>
      </c>
      <c r="I52" s="172" t="s">
        <v>202</v>
      </c>
      <c r="J52" s="7"/>
    </row>
    <row r="53" spans="1:10" x14ac:dyDescent="0.25">
      <c r="A53" s="42" t="s">
        <v>543</v>
      </c>
      <c r="B53" s="42" t="s">
        <v>104</v>
      </c>
      <c r="C53" s="42" t="s">
        <v>9</v>
      </c>
      <c r="D53" s="42">
        <v>32</v>
      </c>
      <c r="E53" s="42">
        <v>2015</v>
      </c>
      <c r="F53" s="42" t="s">
        <v>12</v>
      </c>
      <c r="G53" s="42" t="s">
        <v>13</v>
      </c>
      <c r="H53" s="42" t="str">
        <f>B53&amp;" "&amp;C53</f>
        <v>MathScript RT Module 15.0.0</v>
      </c>
      <c r="I53" s="36" t="s">
        <v>42</v>
      </c>
      <c r="J53" s="7"/>
    </row>
    <row r="54" spans="1:10" x14ac:dyDescent="0.25">
      <c r="A54" s="42" t="s">
        <v>543</v>
      </c>
      <c r="B54" s="42" t="s">
        <v>41</v>
      </c>
      <c r="C54" s="42" t="s">
        <v>479</v>
      </c>
      <c r="D54" s="42" t="s">
        <v>10</v>
      </c>
      <c r="E54" s="42" t="s">
        <v>130</v>
      </c>
      <c r="F54" s="42" t="s">
        <v>12</v>
      </c>
      <c r="G54" s="42" t="s">
        <v>13</v>
      </c>
      <c r="H54" s="42" t="s">
        <v>490</v>
      </c>
      <c r="I54" s="55" t="s">
        <v>477</v>
      </c>
      <c r="J54" s="7"/>
    </row>
    <row r="55" spans="1:10" x14ac:dyDescent="0.25">
      <c r="A55" s="42" t="s">
        <v>543</v>
      </c>
      <c r="B55" s="42" t="s">
        <v>43</v>
      </c>
      <c r="C55" s="42"/>
      <c r="D55" s="42">
        <v>32</v>
      </c>
      <c r="E55" s="42">
        <v>2010</v>
      </c>
      <c r="F55" s="42" t="s">
        <v>12</v>
      </c>
      <c r="G55" s="42" t="s">
        <v>13</v>
      </c>
      <c r="H55" s="42" t="str">
        <f>B55&amp;" "&amp;C55</f>
        <v xml:space="preserve">Measurement Studio </v>
      </c>
      <c r="I55" s="36" t="s">
        <v>42</v>
      </c>
      <c r="J55" s="7"/>
    </row>
    <row r="56" spans="1:10" x14ac:dyDescent="0.25">
      <c r="A56" s="42" t="s">
        <v>543</v>
      </c>
      <c r="B56" s="42" t="s">
        <v>116</v>
      </c>
      <c r="C56" s="42" t="s">
        <v>45</v>
      </c>
      <c r="D56" s="42">
        <v>32</v>
      </c>
      <c r="E56" s="42">
        <v>2015</v>
      </c>
      <c r="F56" s="42" t="s">
        <v>12</v>
      </c>
      <c r="G56" s="42" t="s">
        <v>13</v>
      </c>
      <c r="H56" s="42" t="str">
        <f>B56&amp;" "&amp;C56</f>
        <v>Measurement Studio Common 15.0.40.49154</v>
      </c>
      <c r="I56" s="36" t="s">
        <v>42</v>
      </c>
      <c r="J56" s="7"/>
    </row>
    <row r="57" spans="1:10" x14ac:dyDescent="0.25">
      <c r="A57" s="42" t="s">
        <v>543</v>
      </c>
      <c r="B57" s="42" t="s">
        <v>116</v>
      </c>
      <c r="C57" s="42" t="s">
        <v>45</v>
      </c>
      <c r="D57" s="42">
        <v>64</v>
      </c>
      <c r="E57" s="42">
        <v>2015</v>
      </c>
      <c r="F57" s="42" t="s">
        <v>12</v>
      </c>
      <c r="G57" s="42" t="s">
        <v>13</v>
      </c>
      <c r="H57" s="42" t="str">
        <f>B57&amp;" "&amp;C57</f>
        <v>Measurement Studio Common 15.0.40.49154</v>
      </c>
      <c r="I57" s="36" t="s">
        <v>42</v>
      </c>
      <c r="J57" s="7"/>
    </row>
    <row r="58" spans="1:10" x14ac:dyDescent="0.25">
      <c r="A58" s="42" t="s">
        <v>543</v>
      </c>
      <c r="B58" s="42" t="s">
        <v>115</v>
      </c>
      <c r="C58" s="42"/>
      <c r="D58" s="42">
        <v>32</v>
      </c>
      <c r="E58" s="42">
        <v>2010</v>
      </c>
      <c r="F58" s="42" t="s">
        <v>12</v>
      </c>
      <c r="G58" s="42" t="s">
        <v>13</v>
      </c>
      <c r="H58" s="42" t="str">
        <f>B58&amp;" "&amp;C58</f>
        <v xml:space="preserve">Measurement Studio DotNET </v>
      </c>
      <c r="I58" s="36" t="s">
        <v>42</v>
      </c>
      <c r="J58" s="7"/>
    </row>
    <row r="59" spans="1:10" x14ac:dyDescent="0.25">
      <c r="A59" s="42" t="s">
        <v>543</v>
      </c>
      <c r="B59" s="117" t="s">
        <v>251</v>
      </c>
      <c r="C59" s="118" t="s">
        <v>252</v>
      </c>
      <c r="D59" s="118" t="s">
        <v>10</v>
      </c>
      <c r="E59" s="118" t="s">
        <v>136</v>
      </c>
      <c r="F59" s="118" t="s">
        <v>12</v>
      </c>
      <c r="G59" s="118" t="s">
        <v>253</v>
      </c>
      <c r="H59" s="117" t="str">
        <f>B59&amp;" "&amp;C59</f>
        <v>MGI 1D Array 1.0.2.3</v>
      </c>
      <c r="I59" s="172" t="s">
        <v>202</v>
      </c>
      <c r="J59" s="7"/>
    </row>
    <row r="60" spans="1:10" x14ac:dyDescent="0.25">
      <c r="A60" s="42" t="s">
        <v>543</v>
      </c>
      <c r="B60" s="117" t="s">
        <v>254</v>
      </c>
      <c r="C60" s="118" t="s">
        <v>255</v>
      </c>
      <c r="D60" s="118" t="s">
        <v>10</v>
      </c>
      <c r="E60" s="118" t="s">
        <v>136</v>
      </c>
      <c r="F60" s="118" t="s">
        <v>12</v>
      </c>
      <c r="G60" s="118" t="s">
        <v>253</v>
      </c>
      <c r="H60" s="117" t="str">
        <f>B60&amp;" "&amp;C60</f>
        <v>MGI 2D Array 1.1.1.5</v>
      </c>
      <c r="I60" s="172" t="s">
        <v>202</v>
      </c>
      <c r="J60" s="7"/>
    </row>
    <row r="61" spans="1:10" x14ac:dyDescent="0.25">
      <c r="A61" s="42" t="s">
        <v>543</v>
      </c>
      <c r="B61" s="117" t="s">
        <v>256</v>
      </c>
      <c r="C61" s="118" t="s">
        <v>257</v>
      </c>
      <c r="D61" s="118" t="s">
        <v>10</v>
      </c>
      <c r="E61" s="118" t="s">
        <v>136</v>
      </c>
      <c r="F61" s="118" t="s">
        <v>12</v>
      </c>
      <c r="G61" s="118" t="s">
        <v>253</v>
      </c>
      <c r="H61" s="117" t="str">
        <f>B61&amp;" "&amp;C61</f>
        <v>MGI Actor Framework Message Maker 1.0.1.6</v>
      </c>
      <c r="I61" s="172" t="s">
        <v>202</v>
      </c>
      <c r="J61" s="7"/>
    </row>
    <row r="62" spans="1:10" x14ac:dyDescent="0.25">
      <c r="A62" s="42" t="s">
        <v>543</v>
      </c>
      <c r="B62" s="117" t="s">
        <v>258</v>
      </c>
      <c r="C62" s="118" t="s">
        <v>259</v>
      </c>
      <c r="D62" s="118" t="s">
        <v>10</v>
      </c>
      <c r="E62" s="118" t="s">
        <v>136</v>
      </c>
      <c r="F62" s="118" t="s">
        <v>12</v>
      </c>
      <c r="G62" s="118" t="s">
        <v>253</v>
      </c>
      <c r="H62" s="117" t="str">
        <f>B62&amp;" "&amp;C62</f>
        <v>MGI Application Control 1.1.1.10</v>
      </c>
      <c r="I62" s="172" t="s">
        <v>202</v>
      </c>
      <c r="J62" s="7"/>
    </row>
    <row r="63" spans="1:10" x14ac:dyDescent="0.25">
      <c r="A63" s="42" t="s">
        <v>543</v>
      </c>
      <c r="B63" s="117" t="s">
        <v>260</v>
      </c>
      <c r="C63" s="118" t="s">
        <v>261</v>
      </c>
      <c r="D63" s="118" t="s">
        <v>10</v>
      </c>
      <c r="E63" s="118" t="s">
        <v>136</v>
      </c>
      <c r="F63" s="118" t="s">
        <v>12</v>
      </c>
      <c r="G63" s="118" t="s">
        <v>253</v>
      </c>
      <c r="H63" s="117" t="str">
        <f>B63&amp;" "&amp;C63</f>
        <v>MGI Bezier 1.1.1.2</v>
      </c>
      <c r="I63" s="172" t="s">
        <v>202</v>
      </c>
      <c r="J63" s="7"/>
    </row>
    <row r="64" spans="1:10" x14ac:dyDescent="0.25">
      <c r="A64" s="42" t="s">
        <v>543</v>
      </c>
      <c r="B64" s="117" t="s">
        <v>262</v>
      </c>
      <c r="C64" s="118" t="s">
        <v>263</v>
      </c>
      <c r="D64" s="118" t="s">
        <v>10</v>
      </c>
      <c r="E64" s="118" t="s">
        <v>136</v>
      </c>
      <c r="F64" s="118" t="s">
        <v>12</v>
      </c>
      <c r="G64" s="118" t="s">
        <v>253</v>
      </c>
      <c r="H64" s="117" t="str">
        <f>B64&amp;" "&amp;C64</f>
        <v>MGI Boolean 1.0.1.3</v>
      </c>
      <c r="I64" s="172" t="s">
        <v>202</v>
      </c>
      <c r="J64" s="7"/>
    </row>
    <row r="65" spans="1:10" x14ac:dyDescent="0.25">
      <c r="A65" s="42" t="s">
        <v>543</v>
      </c>
      <c r="B65" s="117" t="s">
        <v>264</v>
      </c>
      <c r="C65" s="118" t="s">
        <v>265</v>
      </c>
      <c r="D65" s="118" t="s">
        <v>10</v>
      </c>
      <c r="E65" s="118" t="s">
        <v>136</v>
      </c>
      <c r="F65" s="118" t="s">
        <v>12</v>
      </c>
      <c r="G65" s="118" t="s">
        <v>253</v>
      </c>
      <c r="H65" s="117" t="str">
        <f>B65&amp;" "&amp;C65</f>
        <v>MGI Class Method Browser 1.0.0.20</v>
      </c>
      <c r="I65" s="172" t="s">
        <v>202</v>
      </c>
      <c r="J65" s="7"/>
    </row>
    <row r="66" spans="1:10" x14ac:dyDescent="0.25">
      <c r="A66" s="42" t="s">
        <v>543</v>
      </c>
      <c r="B66" s="117" t="s">
        <v>266</v>
      </c>
      <c r="C66" s="118" t="s">
        <v>267</v>
      </c>
      <c r="D66" s="118" t="s">
        <v>10</v>
      </c>
      <c r="E66" s="118" t="s">
        <v>136</v>
      </c>
      <c r="F66" s="118" t="s">
        <v>12</v>
      </c>
      <c r="G66" s="118" t="s">
        <v>253</v>
      </c>
      <c r="H66" s="117" t="str">
        <f>B66&amp;" "&amp;C66</f>
        <v>MGI Cluster 1.1.0.1</v>
      </c>
      <c r="I66" s="172" t="s">
        <v>202</v>
      </c>
      <c r="J66" s="7"/>
    </row>
    <row r="67" spans="1:10" x14ac:dyDescent="0.25">
      <c r="A67" s="42" t="s">
        <v>543</v>
      </c>
      <c r="B67" s="117" t="s">
        <v>268</v>
      </c>
      <c r="C67" s="118" t="s">
        <v>261</v>
      </c>
      <c r="D67" s="118" t="s">
        <v>10</v>
      </c>
      <c r="E67" s="118" t="s">
        <v>136</v>
      </c>
      <c r="F67" s="118" t="s">
        <v>12</v>
      </c>
      <c r="G67" s="118" t="s">
        <v>253</v>
      </c>
      <c r="H67" s="117" t="str">
        <f>B67&amp;" "&amp;C67</f>
        <v>MGI Coordinates 1.1.1.2</v>
      </c>
      <c r="I67" s="172" t="s">
        <v>202</v>
      </c>
      <c r="J67" s="7"/>
    </row>
    <row r="68" spans="1:10" x14ac:dyDescent="0.25">
      <c r="A68" s="42" t="s">
        <v>543</v>
      </c>
      <c r="B68" s="117" t="s">
        <v>269</v>
      </c>
      <c r="C68" s="118" t="s">
        <v>270</v>
      </c>
      <c r="D68" s="118" t="s">
        <v>10</v>
      </c>
      <c r="E68" s="118" t="s">
        <v>136</v>
      </c>
      <c r="F68" s="118" t="s">
        <v>12</v>
      </c>
      <c r="G68" s="118" t="s">
        <v>253</v>
      </c>
      <c r="H68" s="117" t="str">
        <f>B68&amp;" "&amp;C68</f>
        <v>MGI Error Handling 1.1.1.3</v>
      </c>
      <c r="I68" s="172" t="s">
        <v>202</v>
      </c>
      <c r="J68" s="7"/>
    </row>
    <row r="69" spans="1:10" x14ac:dyDescent="0.25">
      <c r="A69" s="42" t="s">
        <v>543</v>
      </c>
      <c r="B69" s="117" t="s">
        <v>271</v>
      </c>
      <c r="C69" s="118" t="s">
        <v>272</v>
      </c>
      <c r="D69" s="118" t="s">
        <v>10</v>
      </c>
      <c r="E69" s="118" t="s">
        <v>136</v>
      </c>
      <c r="F69" s="118" t="s">
        <v>12</v>
      </c>
      <c r="G69" s="118" t="s">
        <v>253</v>
      </c>
      <c r="H69" s="117" t="str">
        <f>B69&amp;" "&amp;C69</f>
        <v>MGI Error Reporter 1.0.2.5</v>
      </c>
      <c r="I69" s="172" t="s">
        <v>202</v>
      </c>
      <c r="J69" s="7"/>
    </row>
    <row r="70" spans="1:10" x14ac:dyDescent="0.25">
      <c r="A70" s="42" t="s">
        <v>543</v>
      </c>
      <c r="B70" s="117" t="s">
        <v>273</v>
      </c>
      <c r="C70" s="118" t="s">
        <v>274</v>
      </c>
      <c r="D70" s="118" t="s">
        <v>10</v>
      </c>
      <c r="E70" s="118" t="s">
        <v>136</v>
      </c>
      <c r="F70" s="118" t="s">
        <v>12</v>
      </c>
      <c r="G70" s="118" t="s">
        <v>253</v>
      </c>
      <c r="H70" s="117" t="str">
        <f>B70&amp;" "&amp;C70</f>
        <v>MGI File 1.1.0.4</v>
      </c>
      <c r="I70" s="172" t="s">
        <v>202</v>
      </c>
      <c r="J70" s="7"/>
    </row>
    <row r="71" spans="1:10" x14ac:dyDescent="0.25">
      <c r="A71" s="42" t="s">
        <v>543</v>
      </c>
      <c r="B71" s="117" t="s">
        <v>275</v>
      </c>
      <c r="C71" s="118" t="s">
        <v>276</v>
      </c>
      <c r="D71" s="118" t="s">
        <v>10</v>
      </c>
      <c r="E71" s="118" t="s">
        <v>136</v>
      </c>
      <c r="F71" s="118" t="s">
        <v>12</v>
      </c>
      <c r="G71" s="118" t="s">
        <v>253</v>
      </c>
      <c r="H71" s="117" t="str">
        <f>B71&amp;" "&amp;C71</f>
        <v>MGI Graph 1.0.2.6</v>
      </c>
      <c r="I71" s="172" t="s">
        <v>202</v>
      </c>
      <c r="J71" s="7"/>
    </row>
    <row r="72" spans="1:10" x14ac:dyDescent="0.25">
      <c r="A72" s="42" t="s">
        <v>543</v>
      </c>
      <c r="B72" s="117" t="s">
        <v>277</v>
      </c>
      <c r="C72" s="118" t="s">
        <v>278</v>
      </c>
      <c r="D72" s="118" t="s">
        <v>10</v>
      </c>
      <c r="E72" s="118" t="s">
        <v>136</v>
      </c>
      <c r="F72" s="118" t="s">
        <v>12</v>
      </c>
      <c r="G72" s="118" t="s">
        <v>253</v>
      </c>
      <c r="H72" s="117" t="str">
        <f>B72&amp;" "&amp;C72</f>
        <v>MGI Library 1.2.0.4</v>
      </c>
      <c r="I72" s="172" t="s">
        <v>202</v>
      </c>
      <c r="J72" s="7"/>
    </row>
    <row r="73" spans="1:10" x14ac:dyDescent="0.25">
      <c r="A73" s="42" t="s">
        <v>543</v>
      </c>
      <c r="B73" s="117" t="s">
        <v>279</v>
      </c>
      <c r="C73" s="118" t="s">
        <v>267</v>
      </c>
      <c r="D73" s="118" t="s">
        <v>10</v>
      </c>
      <c r="E73" s="118" t="s">
        <v>136</v>
      </c>
      <c r="F73" s="118" t="s">
        <v>12</v>
      </c>
      <c r="G73" s="118" t="s">
        <v>253</v>
      </c>
      <c r="H73" s="117" t="str">
        <f>B73&amp;" "&amp;C73</f>
        <v>MGI Matrix &amp; Vector 1.1.0.1</v>
      </c>
      <c r="I73" s="172" t="s">
        <v>202</v>
      </c>
      <c r="J73" s="7"/>
    </row>
    <row r="74" spans="1:10" x14ac:dyDescent="0.25">
      <c r="A74" s="42" t="s">
        <v>543</v>
      </c>
      <c r="B74" s="117" t="s">
        <v>280</v>
      </c>
      <c r="C74" s="118" t="s">
        <v>281</v>
      </c>
      <c r="D74" s="118" t="s">
        <v>10</v>
      </c>
      <c r="E74" s="118" t="s">
        <v>136</v>
      </c>
      <c r="F74" s="118" t="s">
        <v>12</v>
      </c>
      <c r="G74" s="118" t="s">
        <v>253</v>
      </c>
      <c r="H74" s="117" t="str">
        <f>B74&amp;" "&amp;C74</f>
        <v>MGI Menu Building 1.0.1.4</v>
      </c>
      <c r="I74" s="172" t="s">
        <v>202</v>
      </c>
      <c r="J74" s="7"/>
    </row>
    <row r="75" spans="1:10" x14ac:dyDescent="0.25">
      <c r="A75" s="42" t="s">
        <v>543</v>
      </c>
      <c r="B75" s="117" t="s">
        <v>282</v>
      </c>
      <c r="C75" s="118" t="s">
        <v>283</v>
      </c>
      <c r="D75" s="118" t="s">
        <v>10</v>
      </c>
      <c r="E75" s="118" t="s">
        <v>136</v>
      </c>
      <c r="F75" s="118" t="s">
        <v>12</v>
      </c>
      <c r="G75" s="118" t="s">
        <v>253</v>
      </c>
      <c r="H75" s="117" t="str">
        <f>B75&amp;" "&amp;C75</f>
        <v>MGI Monitored Actor 2.0.0.23</v>
      </c>
      <c r="I75" s="172" t="s">
        <v>202</v>
      </c>
      <c r="J75" s="7"/>
    </row>
    <row r="76" spans="1:10" x14ac:dyDescent="0.25">
      <c r="A76" s="42" t="s">
        <v>543</v>
      </c>
      <c r="B76" s="117" t="s">
        <v>284</v>
      </c>
      <c r="C76" s="118" t="s">
        <v>285</v>
      </c>
      <c r="D76" s="118" t="s">
        <v>10</v>
      </c>
      <c r="E76" s="118" t="s">
        <v>136</v>
      </c>
      <c r="F76" s="118" t="s">
        <v>12</v>
      </c>
      <c r="G76" s="118" t="s">
        <v>253</v>
      </c>
      <c r="H76" s="117" t="str">
        <f>B76&amp;" "&amp;C76</f>
        <v>MGI Numeric 1.1.0.2</v>
      </c>
      <c r="I76" s="172" t="s">
        <v>202</v>
      </c>
      <c r="J76" s="7"/>
    </row>
    <row r="77" spans="1:10" x14ac:dyDescent="0.25">
      <c r="A77" s="42" t="s">
        <v>543</v>
      </c>
      <c r="B77" s="117" t="s">
        <v>286</v>
      </c>
      <c r="C77" s="118" t="s">
        <v>281</v>
      </c>
      <c r="D77" s="118" t="s">
        <v>10</v>
      </c>
      <c r="E77" s="118" t="s">
        <v>136</v>
      </c>
      <c r="F77" s="118" t="s">
        <v>12</v>
      </c>
      <c r="G77" s="118" t="s">
        <v>253</v>
      </c>
      <c r="H77" s="117" t="str">
        <f>B77&amp;" "&amp;C77</f>
        <v>MGI Panel Manager 1.0.1.4</v>
      </c>
      <c r="I77" s="172" t="s">
        <v>202</v>
      </c>
      <c r="J77" s="7"/>
    </row>
    <row r="78" spans="1:10" x14ac:dyDescent="0.25">
      <c r="A78" s="42" t="s">
        <v>543</v>
      </c>
      <c r="B78" s="117" t="s">
        <v>287</v>
      </c>
      <c r="C78" s="118" t="s">
        <v>257</v>
      </c>
      <c r="D78" s="118" t="s">
        <v>10</v>
      </c>
      <c r="E78" s="118" t="s">
        <v>136</v>
      </c>
      <c r="F78" s="118" t="s">
        <v>12</v>
      </c>
      <c r="G78" s="118" t="s">
        <v>253</v>
      </c>
      <c r="H78" s="117" t="str">
        <f>B78&amp;" "&amp;C78</f>
        <v>MGI Panel Manager - DQMH Panels 1.0.1.6</v>
      </c>
      <c r="I78" s="172" t="s">
        <v>202</v>
      </c>
      <c r="J78" s="7"/>
    </row>
    <row r="79" spans="1:10" x14ac:dyDescent="0.25">
      <c r="A79" s="42" t="s">
        <v>543</v>
      </c>
      <c r="B79" s="117" t="s">
        <v>288</v>
      </c>
      <c r="C79" s="118" t="s">
        <v>289</v>
      </c>
      <c r="D79" s="118" t="s">
        <v>10</v>
      </c>
      <c r="E79" s="118" t="s">
        <v>136</v>
      </c>
      <c r="F79" s="118" t="s">
        <v>12</v>
      </c>
      <c r="G79" s="118" t="s">
        <v>253</v>
      </c>
      <c r="H79" s="117" t="str">
        <f>B79&amp;" "&amp;C79</f>
        <v>MGI Picture &amp; Image 1.0.2.1</v>
      </c>
      <c r="I79" s="172" t="s">
        <v>202</v>
      </c>
      <c r="J79" s="7"/>
    </row>
    <row r="80" spans="1:10" x14ac:dyDescent="0.25">
      <c r="A80" s="42" t="s">
        <v>543</v>
      </c>
      <c r="B80" s="117" t="s">
        <v>290</v>
      </c>
      <c r="C80" s="118" t="s">
        <v>291</v>
      </c>
      <c r="D80" s="118" t="s">
        <v>10</v>
      </c>
      <c r="E80" s="118" t="s">
        <v>136</v>
      </c>
      <c r="F80" s="118" t="s">
        <v>12</v>
      </c>
      <c r="G80" s="118" t="s">
        <v>253</v>
      </c>
      <c r="H80" s="117" t="str">
        <f>B80&amp;" "&amp;C80</f>
        <v>MGI Read/Write Anything 2.1.4.4</v>
      </c>
      <c r="I80" s="172" t="s">
        <v>202</v>
      </c>
      <c r="J80" s="7"/>
    </row>
    <row r="81" spans="1:10" x14ac:dyDescent="0.25">
      <c r="A81" s="42" t="s">
        <v>543</v>
      </c>
      <c r="B81" s="117" t="s">
        <v>292</v>
      </c>
      <c r="C81" s="118" t="s">
        <v>293</v>
      </c>
      <c r="D81" s="118" t="s">
        <v>10</v>
      </c>
      <c r="E81" s="118" t="s">
        <v>136</v>
      </c>
      <c r="F81" s="118" t="s">
        <v>12</v>
      </c>
      <c r="G81" s="118" t="s">
        <v>253</v>
      </c>
      <c r="H81" s="117" t="str">
        <f>B81&amp;" "&amp;C81</f>
        <v>MGI Robust XML 1.0.3.4</v>
      </c>
      <c r="I81" s="172" t="s">
        <v>202</v>
      </c>
      <c r="J81" s="7"/>
    </row>
    <row r="82" spans="1:10" x14ac:dyDescent="0.25">
      <c r="A82" s="42" t="s">
        <v>543</v>
      </c>
      <c r="B82" s="117" t="s">
        <v>294</v>
      </c>
      <c r="C82" s="118" t="s">
        <v>267</v>
      </c>
      <c r="D82" s="118" t="s">
        <v>10</v>
      </c>
      <c r="E82" s="118" t="s">
        <v>136</v>
      </c>
      <c r="F82" s="118" t="s">
        <v>12</v>
      </c>
      <c r="G82" s="118" t="s">
        <v>253</v>
      </c>
      <c r="H82" s="117" t="str">
        <f>B82&amp;" "&amp;C82</f>
        <v>MGI Spline 1.1.0.1</v>
      </c>
      <c r="I82" s="172" t="s">
        <v>202</v>
      </c>
      <c r="J82" s="7"/>
    </row>
    <row r="83" spans="1:10" x14ac:dyDescent="0.25">
      <c r="A83" s="42" t="s">
        <v>543</v>
      </c>
      <c r="B83" s="117" t="s">
        <v>295</v>
      </c>
      <c r="C83" s="118" t="s">
        <v>255</v>
      </c>
      <c r="D83" s="118" t="s">
        <v>10</v>
      </c>
      <c r="E83" s="118" t="s">
        <v>136</v>
      </c>
      <c r="F83" s="118" t="s">
        <v>12</v>
      </c>
      <c r="G83" s="118" t="s">
        <v>253</v>
      </c>
      <c r="H83" s="117" t="str">
        <f>B83&amp;" "&amp;C83</f>
        <v>MGI String 1.1.1.5</v>
      </c>
      <c r="I83" s="172" t="s">
        <v>202</v>
      </c>
      <c r="J83" s="7"/>
    </row>
    <row r="84" spans="1:10" x14ac:dyDescent="0.25">
      <c r="A84" s="42" t="s">
        <v>543</v>
      </c>
      <c r="B84" s="117" t="s">
        <v>296</v>
      </c>
      <c r="C84" s="118" t="s">
        <v>285</v>
      </c>
      <c r="D84" s="118" t="s">
        <v>10</v>
      </c>
      <c r="E84" s="118" t="s">
        <v>136</v>
      </c>
      <c r="F84" s="118" t="s">
        <v>12</v>
      </c>
      <c r="G84" s="118" t="s">
        <v>253</v>
      </c>
      <c r="H84" s="117" t="str">
        <f>B84&amp;" "&amp;C84</f>
        <v>MGI Timing 1.1.0.2</v>
      </c>
      <c r="I84" s="172" t="s">
        <v>202</v>
      </c>
      <c r="J84" s="7"/>
    </row>
    <row r="85" spans="1:10" x14ac:dyDescent="0.25">
      <c r="A85" s="42" t="s">
        <v>543</v>
      </c>
      <c r="B85" s="117" t="s">
        <v>297</v>
      </c>
      <c r="C85" s="118" t="s">
        <v>298</v>
      </c>
      <c r="D85" s="118" t="s">
        <v>10</v>
      </c>
      <c r="E85" s="118" t="s">
        <v>136</v>
      </c>
      <c r="F85" s="118" t="s">
        <v>12</v>
      </c>
      <c r="G85" s="118" t="s">
        <v>253</v>
      </c>
      <c r="H85" s="117" t="str">
        <f>B85&amp;" "&amp;C85</f>
        <v>MGI Tools 1.0.0.4</v>
      </c>
      <c r="I85" s="172" t="s">
        <v>202</v>
      </c>
      <c r="J85" s="7"/>
    </row>
    <row r="86" spans="1:10" x14ac:dyDescent="0.25">
      <c r="A86" s="42" t="s">
        <v>543</v>
      </c>
      <c r="B86" s="117" t="s">
        <v>299</v>
      </c>
      <c r="C86" s="118" t="s">
        <v>300</v>
      </c>
      <c r="D86" s="118" t="s">
        <v>10</v>
      </c>
      <c r="E86" s="118" t="s">
        <v>136</v>
      </c>
      <c r="F86" s="118" t="s">
        <v>12</v>
      </c>
      <c r="G86" s="118" t="s">
        <v>253</v>
      </c>
      <c r="H86" s="117" t="str">
        <f>B86&amp;" "&amp;C86</f>
        <v>MGI Tree 1.0.4.4</v>
      </c>
      <c r="I86" s="172" t="s">
        <v>202</v>
      </c>
      <c r="J86" s="7"/>
    </row>
    <row r="87" spans="1:10" x14ac:dyDescent="0.25">
      <c r="A87" s="42" t="s">
        <v>543</v>
      </c>
      <c r="B87" s="117" t="s">
        <v>301</v>
      </c>
      <c r="C87" s="118" t="s">
        <v>302</v>
      </c>
      <c r="D87" s="118" t="s">
        <v>10</v>
      </c>
      <c r="E87" s="118" t="s">
        <v>136</v>
      </c>
      <c r="F87" s="118" t="s">
        <v>12</v>
      </c>
      <c r="G87" s="118" t="s">
        <v>253</v>
      </c>
      <c r="H87" s="117" t="str">
        <f>B87&amp;" "&amp;C87</f>
        <v>MGI User Interface 1.0.1.11</v>
      </c>
      <c r="I87" s="172" t="s">
        <v>202</v>
      </c>
      <c r="J87" s="7"/>
    </row>
    <row r="88" spans="1:10" x14ac:dyDescent="0.25">
      <c r="A88" s="42" t="s">
        <v>543</v>
      </c>
      <c r="B88" s="117" t="s">
        <v>303</v>
      </c>
      <c r="C88" s="118" t="s">
        <v>304</v>
      </c>
      <c r="D88" s="118" t="s">
        <v>10</v>
      </c>
      <c r="E88" s="118" t="s">
        <v>136</v>
      </c>
      <c r="F88" s="118" t="s">
        <v>12</v>
      </c>
      <c r="G88" s="118" t="s">
        <v>253</v>
      </c>
      <c r="H88" s="117" t="str">
        <f>B88&amp;" "&amp;C88</f>
        <v>MGI WSA Framework 1.0.0.27</v>
      </c>
      <c r="I88" s="172" t="s">
        <v>202</v>
      </c>
      <c r="J88" s="7"/>
    </row>
    <row r="89" spans="1:10" x14ac:dyDescent="0.25">
      <c r="A89" s="42" t="s">
        <v>543</v>
      </c>
      <c r="B89" s="42" t="s">
        <v>398</v>
      </c>
      <c r="C89" s="42" t="s">
        <v>30</v>
      </c>
      <c r="D89" s="42">
        <v>32</v>
      </c>
      <c r="E89" s="42">
        <v>2015</v>
      </c>
      <c r="F89" s="42" t="s">
        <v>12</v>
      </c>
      <c r="G89" s="42" t="s">
        <v>13</v>
      </c>
      <c r="H89" s="42" t="str">
        <f>B89&amp;" "&amp;C89</f>
        <v>NI 1588-2008 Network Management 15.0.0 15.0.0f0</v>
      </c>
      <c r="I89" s="36" t="s">
        <v>42</v>
      </c>
      <c r="J89" s="7"/>
    </row>
    <row r="90" spans="1:10" x14ac:dyDescent="0.25">
      <c r="A90" s="42" t="s">
        <v>543</v>
      </c>
      <c r="B90" s="117" t="s">
        <v>305</v>
      </c>
      <c r="C90" s="118" t="s">
        <v>306</v>
      </c>
      <c r="D90" s="118" t="s">
        <v>10</v>
      </c>
      <c r="E90" s="118" t="s">
        <v>136</v>
      </c>
      <c r="F90" s="118" t="s">
        <v>12</v>
      </c>
      <c r="G90" s="118" t="s">
        <v>13</v>
      </c>
      <c r="H90" s="117" t="s">
        <v>538</v>
      </c>
      <c r="I90" s="172" t="s">
        <v>202</v>
      </c>
      <c r="J90" s="7"/>
    </row>
    <row r="91" spans="1:10" x14ac:dyDescent="0.25">
      <c r="A91" s="42" t="s">
        <v>543</v>
      </c>
      <c r="B91" s="117" t="s">
        <v>165</v>
      </c>
      <c r="C91" s="118" t="s">
        <v>166</v>
      </c>
      <c r="D91" s="118" t="s">
        <v>10</v>
      </c>
      <c r="E91" s="118" t="s">
        <v>11</v>
      </c>
      <c r="F91" s="118" t="s">
        <v>12</v>
      </c>
      <c r="G91" s="118" t="s">
        <v>13</v>
      </c>
      <c r="H91" s="117" t="s">
        <v>539</v>
      </c>
      <c r="I91" s="172" t="s">
        <v>202</v>
      </c>
      <c r="J91" s="7"/>
    </row>
    <row r="92" spans="1:10" x14ac:dyDescent="0.25">
      <c r="A92" s="42" t="s">
        <v>543</v>
      </c>
      <c r="B92" s="117" t="s">
        <v>307</v>
      </c>
      <c r="C92" s="118" t="s">
        <v>308</v>
      </c>
      <c r="D92" s="118" t="s">
        <v>10</v>
      </c>
      <c r="E92" s="118" t="s">
        <v>136</v>
      </c>
      <c r="F92" s="118" t="s">
        <v>12</v>
      </c>
      <c r="G92" s="118" t="s">
        <v>13</v>
      </c>
      <c r="H92" s="117" t="str">
        <f>B92&amp;" "&amp;C92</f>
        <v>NI GXML 1.4.2.8</v>
      </c>
      <c r="I92" s="172" t="s">
        <v>202</v>
      </c>
      <c r="J92" s="7"/>
    </row>
    <row r="93" spans="1:10" x14ac:dyDescent="0.25">
      <c r="A93" s="42" t="s">
        <v>543</v>
      </c>
      <c r="B93" s="42" t="s">
        <v>29</v>
      </c>
      <c r="C93" s="42" t="s">
        <v>430</v>
      </c>
      <c r="D93" s="42">
        <v>32</v>
      </c>
      <c r="E93" s="42">
        <v>2019</v>
      </c>
      <c r="F93" s="42" t="s">
        <v>12</v>
      </c>
      <c r="G93" s="42" t="s">
        <v>13</v>
      </c>
      <c r="H93" s="42" t="str">
        <f>B93&amp;" "&amp;C93</f>
        <v>NI I/O Trace 19.0.0f0</v>
      </c>
      <c r="I93" s="36" t="s">
        <v>42</v>
      </c>
      <c r="J93" s="7"/>
    </row>
    <row r="94" spans="1:10" x14ac:dyDescent="0.25">
      <c r="A94" s="42" t="s">
        <v>543</v>
      </c>
      <c r="B94" s="117" t="s">
        <v>311</v>
      </c>
      <c r="C94" s="118" t="s">
        <v>312</v>
      </c>
      <c r="D94" s="118" t="s">
        <v>10</v>
      </c>
      <c r="E94" s="118" t="s">
        <v>136</v>
      </c>
      <c r="F94" s="118" t="s">
        <v>12</v>
      </c>
      <c r="G94" s="118" t="s">
        <v>13</v>
      </c>
      <c r="H94" s="117" t="str">
        <f>B94&amp;" "&amp;C94</f>
        <v>NI Modbus Library 1.2.1.42</v>
      </c>
      <c r="I94" s="172" t="s">
        <v>202</v>
      </c>
      <c r="J94" s="7"/>
    </row>
    <row r="95" spans="1:10" x14ac:dyDescent="0.25">
      <c r="A95" s="42" t="s">
        <v>543</v>
      </c>
      <c r="B95" s="42" t="s">
        <v>140</v>
      </c>
      <c r="C95" s="42" t="s">
        <v>53</v>
      </c>
      <c r="D95" s="42">
        <v>32</v>
      </c>
      <c r="E95" s="42">
        <v>2015</v>
      </c>
      <c r="F95" s="42" t="s">
        <v>24</v>
      </c>
      <c r="G95" s="42" t="s">
        <v>13</v>
      </c>
      <c r="H95" s="42" t="str">
        <f>B95&amp;" "&amp;C95</f>
        <v>NI PXI Platform Services 15.0.0f1</v>
      </c>
      <c r="I95" s="36" t="s">
        <v>42</v>
      </c>
      <c r="J95" s="7"/>
    </row>
    <row r="96" spans="1:10" x14ac:dyDescent="0.25">
      <c r="A96" s="42" t="s">
        <v>543</v>
      </c>
      <c r="B96" s="42" t="s">
        <v>52</v>
      </c>
      <c r="C96" s="42" t="s">
        <v>479</v>
      </c>
      <c r="D96" s="42" t="s">
        <v>10</v>
      </c>
      <c r="E96" s="42" t="s">
        <v>130</v>
      </c>
      <c r="F96" s="42" t="s">
        <v>12</v>
      </c>
      <c r="G96" s="42" t="s">
        <v>13</v>
      </c>
      <c r="H96" s="42" t="str">
        <f>B96&amp;" "&amp;C96</f>
        <v>NI PXI Platform Services Configuration 18.0.0f0</v>
      </c>
      <c r="I96" s="55" t="s">
        <v>477</v>
      </c>
      <c r="J96" s="7"/>
    </row>
    <row r="97" spans="1:10" x14ac:dyDescent="0.25">
      <c r="A97" s="42" t="s">
        <v>543</v>
      </c>
      <c r="B97" s="42" t="s">
        <v>55</v>
      </c>
      <c r="C97" s="42" t="s">
        <v>9</v>
      </c>
      <c r="D97" s="42">
        <v>32</v>
      </c>
      <c r="E97" s="42">
        <v>2015</v>
      </c>
      <c r="F97" s="42" t="s">
        <v>12</v>
      </c>
      <c r="G97" s="42" t="s">
        <v>13</v>
      </c>
      <c r="H97" s="42" t="str">
        <f>B97&amp;" "&amp;C97</f>
        <v>NI R Series Multifunction RIO 15.0.0</v>
      </c>
      <c r="I97" s="36" t="s">
        <v>42</v>
      </c>
      <c r="J97" s="7"/>
    </row>
    <row r="98" spans="1:10" x14ac:dyDescent="0.25">
      <c r="A98" s="42" t="s">
        <v>543</v>
      </c>
      <c r="B98" s="42" t="s">
        <v>20</v>
      </c>
      <c r="C98" s="43" t="s">
        <v>118</v>
      </c>
      <c r="D98" s="42">
        <v>32</v>
      </c>
      <c r="E98" s="42">
        <v>2014</v>
      </c>
      <c r="F98" s="42" t="s">
        <v>12</v>
      </c>
      <c r="G98" s="42" t="s">
        <v>13</v>
      </c>
      <c r="H98" s="42" t="str">
        <f>B98&amp;" "&amp;C98</f>
        <v>NI Script Editor 14.0</v>
      </c>
      <c r="I98" s="36" t="s">
        <v>42</v>
      </c>
      <c r="J98" s="7"/>
    </row>
    <row r="99" spans="1:10" x14ac:dyDescent="0.25">
      <c r="A99" s="42" t="s">
        <v>543</v>
      </c>
      <c r="B99" s="42" t="s">
        <v>65</v>
      </c>
      <c r="C99" s="43" t="s">
        <v>102</v>
      </c>
      <c r="D99" s="42">
        <v>32</v>
      </c>
      <c r="E99" s="42">
        <v>2015</v>
      </c>
      <c r="F99" s="42" t="s">
        <v>12</v>
      </c>
      <c r="G99" s="42" t="s">
        <v>13</v>
      </c>
      <c r="H99" s="42" t="str">
        <f>B99&amp;" "&amp;C99</f>
        <v>NI SignalExpress 15.0</v>
      </c>
      <c r="I99" s="36" t="s">
        <v>42</v>
      </c>
      <c r="J99" s="7"/>
    </row>
    <row r="100" spans="1:10" x14ac:dyDescent="0.25">
      <c r="A100" s="42" t="s">
        <v>543</v>
      </c>
      <c r="B100" s="42" t="s">
        <v>68</v>
      </c>
      <c r="C100" s="42" t="s">
        <v>430</v>
      </c>
      <c r="D100" s="42">
        <v>32</v>
      </c>
      <c r="E100" s="42">
        <v>2019</v>
      </c>
      <c r="F100" s="42" t="s">
        <v>12</v>
      </c>
      <c r="G100" s="42" t="s">
        <v>13</v>
      </c>
      <c r="H100" s="42" t="str">
        <f>B100&amp;" "&amp;C100</f>
        <v>NI System Configuration 19.0.0f0</v>
      </c>
      <c r="I100" s="39" t="s">
        <v>424</v>
      </c>
      <c r="J100" s="7"/>
    </row>
    <row r="101" spans="1:10" x14ac:dyDescent="0.25">
      <c r="A101" s="42" t="s">
        <v>543</v>
      </c>
      <c r="B101" s="42" t="s">
        <v>28</v>
      </c>
      <c r="C101" s="42" t="s">
        <v>135</v>
      </c>
      <c r="D101" s="42">
        <v>32</v>
      </c>
      <c r="E101" s="42">
        <v>2019</v>
      </c>
      <c r="F101" s="42" t="s">
        <v>24</v>
      </c>
      <c r="G101" s="42" t="s">
        <v>13</v>
      </c>
      <c r="H101" s="42" t="str">
        <f>B101&amp;" "&amp;C101</f>
        <v>NI-488.2 19.0.0</v>
      </c>
      <c r="I101" s="39" t="s">
        <v>424</v>
      </c>
      <c r="J101" s="7"/>
    </row>
    <row r="102" spans="1:10" x14ac:dyDescent="0.25">
      <c r="A102" s="42" t="s">
        <v>543</v>
      </c>
      <c r="B102" s="42" t="s">
        <v>28</v>
      </c>
      <c r="C102" s="42" t="s">
        <v>9</v>
      </c>
      <c r="D102" s="42">
        <v>32</v>
      </c>
      <c r="E102" s="42">
        <v>2015</v>
      </c>
      <c r="F102" s="42" t="s">
        <v>12</v>
      </c>
      <c r="G102" s="42" t="s">
        <v>13</v>
      </c>
      <c r="H102" s="42" t="str">
        <f>B102&amp;" "&amp;C102</f>
        <v>NI-488.2 15.0.0</v>
      </c>
      <c r="I102" s="36" t="s">
        <v>42</v>
      </c>
      <c r="J102" s="7"/>
    </row>
    <row r="103" spans="1:10" x14ac:dyDescent="0.25">
      <c r="A103" s="42" t="s">
        <v>543</v>
      </c>
      <c r="B103" s="117" t="s">
        <v>363</v>
      </c>
      <c r="C103" s="118" t="s">
        <v>30</v>
      </c>
      <c r="D103" s="118" t="s">
        <v>10</v>
      </c>
      <c r="E103" s="118">
        <v>2015</v>
      </c>
      <c r="F103" s="118" t="s">
        <v>12</v>
      </c>
      <c r="G103" s="118" t="s">
        <v>13</v>
      </c>
      <c r="H103" s="117" t="str">
        <f>B103&amp;" "&amp;C103</f>
        <v>NI-CAN 15.0.0f0</v>
      </c>
      <c r="I103" s="176" t="s">
        <v>545</v>
      </c>
      <c r="J103" s="7"/>
    </row>
    <row r="104" spans="1:10" x14ac:dyDescent="0.25">
      <c r="A104" s="42" t="s">
        <v>543</v>
      </c>
      <c r="B104" s="42" t="s">
        <v>18</v>
      </c>
      <c r="C104" s="42" t="s">
        <v>478</v>
      </c>
      <c r="D104" s="42" t="s">
        <v>10</v>
      </c>
      <c r="E104" s="42" t="s">
        <v>130</v>
      </c>
      <c r="F104" s="42" t="s">
        <v>12</v>
      </c>
      <c r="G104" s="42" t="s">
        <v>13</v>
      </c>
      <c r="H104" s="42" t="s">
        <v>488</v>
      </c>
      <c r="I104" s="55" t="s">
        <v>477</v>
      </c>
      <c r="J104" s="7"/>
    </row>
    <row r="105" spans="1:10" x14ac:dyDescent="0.25">
      <c r="A105" s="42" t="s">
        <v>543</v>
      </c>
      <c r="B105" s="42" t="s">
        <v>16</v>
      </c>
      <c r="C105" s="42" t="s">
        <v>451</v>
      </c>
      <c r="D105" s="42">
        <v>32</v>
      </c>
      <c r="E105" s="42">
        <v>2019</v>
      </c>
      <c r="F105" s="42" t="s">
        <v>12</v>
      </c>
      <c r="G105" s="42" t="s">
        <v>13</v>
      </c>
      <c r="H105" s="42" t="str">
        <f>B105&amp;" "&amp;C105</f>
        <v>NI-DAQmx Device Driver 19.0.0.f1</v>
      </c>
      <c r="I105" s="39" t="s">
        <v>424</v>
      </c>
      <c r="J105" s="7"/>
    </row>
    <row r="106" spans="1:10" x14ac:dyDescent="0.25">
      <c r="A106" s="42" t="s">
        <v>543</v>
      </c>
      <c r="B106" s="42" t="s">
        <v>19</v>
      </c>
      <c r="C106" s="42" t="s">
        <v>478</v>
      </c>
      <c r="D106" s="42" t="s">
        <v>10</v>
      </c>
      <c r="E106" s="42" t="s">
        <v>130</v>
      </c>
      <c r="F106" s="42" t="s">
        <v>12</v>
      </c>
      <c r="G106" s="42" t="s">
        <v>13</v>
      </c>
      <c r="H106" s="42" t="str">
        <f>B106&amp;" "&amp;C106</f>
        <v>NI-DAQmx MAX Configuration 18.1.0</v>
      </c>
      <c r="I106" s="55" t="s">
        <v>477</v>
      </c>
      <c r="J106" s="7"/>
    </row>
    <row r="107" spans="1:10" x14ac:dyDescent="0.25">
      <c r="A107" s="42" t="s">
        <v>543</v>
      </c>
      <c r="B107" s="42" t="s">
        <v>48</v>
      </c>
      <c r="C107" s="42"/>
      <c r="D107" s="42">
        <v>32</v>
      </c>
      <c r="E107" s="42">
        <v>2015</v>
      </c>
      <c r="F107" s="42" t="s">
        <v>12</v>
      </c>
      <c r="G107" s="42" t="s">
        <v>13</v>
      </c>
      <c r="H107" s="42" t="str">
        <f>B107&amp;" "&amp;C107</f>
        <v xml:space="preserve">NI-DCPower </v>
      </c>
      <c r="I107" s="36" t="s">
        <v>42</v>
      </c>
      <c r="J107" s="7"/>
    </row>
    <row r="108" spans="1:10" x14ac:dyDescent="0.25">
      <c r="A108" s="42" t="s">
        <v>543</v>
      </c>
      <c r="B108" s="42" t="s">
        <v>48</v>
      </c>
      <c r="C108" s="43" t="s">
        <v>102</v>
      </c>
      <c r="D108" s="42">
        <v>32</v>
      </c>
      <c r="E108" s="42">
        <v>2015</v>
      </c>
      <c r="F108" s="42" t="s">
        <v>24</v>
      </c>
      <c r="G108" s="42" t="s">
        <v>13</v>
      </c>
      <c r="H108" s="42" t="str">
        <f>B108&amp;" "&amp;C108</f>
        <v>NI-DCPower 15.0</v>
      </c>
      <c r="I108" s="36" t="s">
        <v>42</v>
      </c>
      <c r="J108" s="7"/>
    </row>
    <row r="109" spans="1:10" x14ac:dyDescent="0.25">
      <c r="A109" s="42" t="s">
        <v>543</v>
      </c>
      <c r="B109" s="42" t="s">
        <v>121</v>
      </c>
      <c r="C109" s="43" t="s">
        <v>102</v>
      </c>
      <c r="D109" s="42">
        <v>32</v>
      </c>
      <c r="E109" s="42">
        <v>2015</v>
      </c>
      <c r="F109" s="42" t="s">
        <v>12</v>
      </c>
      <c r="G109" s="42" t="s">
        <v>13</v>
      </c>
      <c r="H109" s="42" t="str">
        <f>B109&amp;" "&amp;C109</f>
        <v>NI-DCPower Configuration Support 15.0</v>
      </c>
      <c r="I109" s="36" t="s">
        <v>42</v>
      </c>
      <c r="J109" s="7"/>
    </row>
    <row r="110" spans="1:10" x14ac:dyDescent="0.25">
      <c r="A110" s="42" t="s">
        <v>543</v>
      </c>
      <c r="B110" s="42" t="s">
        <v>122</v>
      </c>
      <c r="C110" s="43" t="s">
        <v>102</v>
      </c>
      <c r="D110" s="42">
        <v>32</v>
      </c>
      <c r="E110" s="42">
        <v>2015</v>
      </c>
      <c r="F110" s="42" t="s">
        <v>12</v>
      </c>
      <c r="G110" s="42" t="s">
        <v>13</v>
      </c>
      <c r="H110" s="42" t="str">
        <f>B110&amp;" "&amp;C110</f>
        <v>NI-DCPower Development Support 15.0</v>
      </c>
      <c r="I110" s="36" t="s">
        <v>42</v>
      </c>
      <c r="J110" s="7"/>
    </row>
    <row r="111" spans="1:10" x14ac:dyDescent="0.25">
      <c r="A111" s="42" t="s">
        <v>543</v>
      </c>
      <c r="B111" s="42" t="s">
        <v>49</v>
      </c>
      <c r="C111" s="43" t="s">
        <v>102</v>
      </c>
      <c r="D111" s="42">
        <v>32</v>
      </c>
      <c r="E111" s="42">
        <v>2015</v>
      </c>
      <c r="F111" s="42" t="s">
        <v>12</v>
      </c>
      <c r="G111" s="42" t="s">
        <v>13</v>
      </c>
      <c r="H111" s="42" t="str">
        <f>B111&amp;" "&amp;C111</f>
        <v>NI-DCPower Soft Front Panel 15.0</v>
      </c>
      <c r="I111" s="36" t="s">
        <v>42</v>
      </c>
      <c r="J111" s="7"/>
    </row>
    <row r="112" spans="1:10" x14ac:dyDescent="0.25">
      <c r="A112" s="42" t="s">
        <v>543</v>
      </c>
      <c r="B112" s="42" t="s">
        <v>21</v>
      </c>
      <c r="C112" s="42"/>
      <c r="D112" s="42">
        <v>32</v>
      </c>
      <c r="E112" s="42">
        <v>2015</v>
      </c>
      <c r="F112" s="42" t="s">
        <v>12</v>
      </c>
      <c r="G112" s="42" t="s">
        <v>13</v>
      </c>
      <c r="H112" s="42" t="str">
        <f>B112&amp;" "&amp;C112</f>
        <v xml:space="preserve">NI-DMM </v>
      </c>
      <c r="I112" s="36" t="s">
        <v>42</v>
      </c>
      <c r="J112" s="7"/>
    </row>
    <row r="113" spans="1:10" x14ac:dyDescent="0.25">
      <c r="A113" s="42" t="s">
        <v>543</v>
      </c>
      <c r="B113" s="42" t="s">
        <v>21</v>
      </c>
      <c r="C113" s="43" t="s">
        <v>102</v>
      </c>
      <c r="D113" s="42">
        <v>32</v>
      </c>
      <c r="E113" s="42">
        <v>2015</v>
      </c>
      <c r="F113" s="42" t="s">
        <v>24</v>
      </c>
      <c r="G113" s="42" t="s">
        <v>13</v>
      </c>
      <c r="H113" s="42" t="str">
        <f>B113&amp;" "&amp;C113</f>
        <v>NI-DMM 15.0</v>
      </c>
      <c r="I113" s="36" t="s">
        <v>42</v>
      </c>
      <c r="J113" s="7"/>
    </row>
    <row r="114" spans="1:10" x14ac:dyDescent="0.25">
      <c r="A114" s="42" t="s">
        <v>543</v>
      </c>
      <c r="B114" s="42" t="s">
        <v>123</v>
      </c>
      <c r="C114" s="43" t="s">
        <v>102</v>
      </c>
      <c r="D114" s="42">
        <v>32</v>
      </c>
      <c r="E114" s="42">
        <v>2015</v>
      </c>
      <c r="F114" s="42" t="s">
        <v>12</v>
      </c>
      <c r="G114" s="42" t="s">
        <v>13</v>
      </c>
      <c r="H114" s="42" t="str">
        <f>B114&amp;" "&amp;C114</f>
        <v>NI-DMM Configuration Support 15.0</v>
      </c>
      <c r="I114" s="36" t="s">
        <v>42</v>
      </c>
      <c r="J114" s="7"/>
    </row>
    <row r="115" spans="1:10" x14ac:dyDescent="0.25">
      <c r="A115" s="42" t="s">
        <v>543</v>
      </c>
      <c r="B115" s="42" t="s">
        <v>124</v>
      </c>
      <c r="C115" s="43" t="s">
        <v>102</v>
      </c>
      <c r="D115" s="42">
        <v>32</v>
      </c>
      <c r="E115" s="42">
        <v>2015</v>
      </c>
      <c r="F115" s="42" t="s">
        <v>12</v>
      </c>
      <c r="G115" s="42" t="s">
        <v>13</v>
      </c>
      <c r="H115" s="42" t="str">
        <f>B115&amp;" "&amp;C115</f>
        <v>NI-DMM Development Support 15.0</v>
      </c>
      <c r="I115" s="36" t="s">
        <v>42</v>
      </c>
      <c r="J115" s="7"/>
    </row>
    <row r="116" spans="1:10" x14ac:dyDescent="0.25">
      <c r="A116" s="42" t="s">
        <v>543</v>
      </c>
      <c r="B116" s="42" t="s">
        <v>399</v>
      </c>
      <c r="C116" s="43" t="s">
        <v>102</v>
      </c>
      <c r="D116" s="42">
        <v>32</v>
      </c>
      <c r="E116" s="42">
        <v>2015</v>
      </c>
      <c r="F116" s="42" t="s">
        <v>12</v>
      </c>
      <c r="G116" s="42" t="s">
        <v>13</v>
      </c>
      <c r="H116" s="42" t="str">
        <f>B116&amp;" "&amp;C116</f>
        <v>NI-DMM Soft Front Panel 15.0</v>
      </c>
      <c r="I116" s="36" t="s">
        <v>42</v>
      </c>
      <c r="J116" s="7"/>
    </row>
    <row r="117" spans="1:10" x14ac:dyDescent="0.25">
      <c r="A117" s="42" t="s">
        <v>543</v>
      </c>
      <c r="B117" s="42" t="s">
        <v>26</v>
      </c>
      <c r="C117" s="42"/>
      <c r="D117" s="42">
        <v>32</v>
      </c>
      <c r="E117" s="42">
        <v>2015</v>
      </c>
      <c r="F117" s="42" t="s">
        <v>12</v>
      </c>
      <c r="G117" s="42" t="s">
        <v>13</v>
      </c>
      <c r="H117" s="42" t="str">
        <f>B117&amp;" "&amp;C117</f>
        <v xml:space="preserve">NI-FGEN </v>
      </c>
      <c r="I117" s="36" t="s">
        <v>42</v>
      </c>
      <c r="J117" s="7"/>
    </row>
    <row r="118" spans="1:10" x14ac:dyDescent="0.25">
      <c r="A118" s="42" t="s">
        <v>543</v>
      </c>
      <c r="B118" s="42" t="s">
        <v>26</v>
      </c>
      <c r="C118" s="43" t="s">
        <v>102</v>
      </c>
      <c r="D118" s="42">
        <v>32</v>
      </c>
      <c r="E118" s="42">
        <v>2015</v>
      </c>
      <c r="F118" s="42" t="s">
        <v>24</v>
      </c>
      <c r="G118" s="42" t="s">
        <v>13</v>
      </c>
      <c r="H118" s="42" t="str">
        <f>B118&amp;" "&amp;C118</f>
        <v>NI-FGEN 15.0</v>
      </c>
      <c r="I118" s="36" t="s">
        <v>42</v>
      </c>
      <c r="J118" s="7"/>
    </row>
    <row r="119" spans="1:10" x14ac:dyDescent="0.25">
      <c r="A119" s="42" t="s">
        <v>543</v>
      </c>
      <c r="B119" s="42" t="s">
        <v>125</v>
      </c>
      <c r="C119" s="43" t="s">
        <v>102</v>
      </c>
      <c r="D119" s="42">
        <v>32</v>
      </c>
      <c r="E119" s="42">
        <v>2015</v>
      </c>
      <c r="F119" s="42" t="s">
        <v>12</v>
      </c>
      <c r="G119" s="42" t="s">
        <v>13</v>
      </c>
      <c r="H119" s="42" t="str">
        <f>B119&amp;" "&amp;C119</f>
        <v>NI-FGEN Configuration Support 15.0</v>
      </c>
      <c r="I119" s="36" t="s">
        <v>42</v>
      </c>
      <c r="J119" s="7"/>
    </row>
    <row r="120" spans="1:10" x14ac:dyDescent="0.25">
      <c r="A120" s="42" t="s">
        <v>543</v>
      </c>
      <c r="B120" s="42" t="s">
        <v>126</v>
      </c>
      <c r="C120" s="43" t="s">
        <v>102</v>
      </c>
      <c r="D120" s="42">
        <v>32</v>
      </c>
      <c r="E120" s="42">
        <v>2015</v>
      </c>
      <c r="F120" s="42" t="s">
        <v>12</v>
      </c>
      <c r="G120" s="42" t="s">
        <v>13</v>
      </c>
      <c r="H120" s="42" t="str">
        <f>B120&amp;" "&amp;C120</f>
        <v>NI-FGEN Development Support 15.0</v>
      </c>
      <c r="I120" s="36" t="s">
        <v>42</v>
      </c>
      <c r="J120" s="7"/>
    </row>
    <row r="121" spans="1:10" x14ac:dyDescent="0.25">
      <c r="A121" s="42" t="s">
        <v>543</v>
      </c>
      <c r="B121" s="42" t="s">
        <v>401</v>
      </c>
      <c r="C121" s="43" t="s">
        <v>102</v>
      </c>
      <c r="D121" s="42">
        <v>32</v>
      </c>
      <c r="E121" s="42">
        <v>2015</v>
      </c>
      <c r="F121" s="42" t="s">
        <v>12</v>
      </c>
      <c r="G121" s="42" t="s">
        <v>13</v>
      </c>
      <c r="H121" s="42" t="str">
        <f>B121&amp;" "&amp;C121</f>
        <v>NI-FGEN Soft Front Panel 15.0</v>
      </c>
      <c r="I121" s="36" t="s">
        <v>42</v>
      </c>
      <c r="J121" s="7"/>
    </row>
    <row r="122" spans="1:10" x14ac:dyDescent="0.25">
      <c r="A122" s="42" t="s">
        <v>543</v>
      </c>
      <c r="B122" s="42" t="s">
        <v>50</v>
      </c>
      <c r="C122" s="42"/>
      <c r="D122" s="42">
        <v>32</v>
      </c>
      <c r="E122" s="42">
        <v>2015</v>
      </c>
      <c r="F122" s="42" t="s">
        <v>12</v>
      </c>
      <c r="G122" s="42" t="s">
        <v>13</v>
      </c>
      <c r="H122" s="42" t="str">
        <f>B122&amp;" "&amp;C122</f>
        <v xml:space="preserve">NI-HSDIO </v>
      </c>
      <c r="I122" s="36" t="s">
        <v>42</v>
      </c>
      <c r="J122" s="7"/>
    </row>
    <row r="123" spans="1:10" x14ac:dyDescent="0.25">
      <c r="A123" s="42" t="s">
        <v>543</v>
      </c>
      <c r="B123" s="42" t="s">
        <v>50</v>
      </c>
      <c r="C123" s="43" t="s">
        <v>102</v>
      </c>
      <c r="D123" s="42">
        <v>32</v>
      </c>
      <c r="E123" s="42">
        <v>2015</v>
      </c>
      <c r="F123" s="42" t="s">
        <v>24</v>
      </c>
      <c r="G123" s="42" t="s">
        <v>13</v>
      </c>
      <c r="H123" s="42" t="str">
        <f>B123&amp;" "&amp;C123</f>
        <v>NI-HSDIO 15.0</v>
      </c>
      <c r="I123" s="36" t="s">
        <v>42</v>
      </c>
      <c r="J123" s="7"/>
    </row>
    <row r="124" spans="1:10" x14ac:dyDescent="0.25">
      <c r="A124" s="42" t="s">
        <v>543</v>
      </c>
      <c r="B124" s="42" t="s">
        <v>150</v>
      </c>
      <c r="C124" s="43" t="s">
        <v>102</v>
      </c>
      <c r="D124" s="42">
        <v>32</v>
      </c>
      <c r="E124" s="42">
        <v>2015</v>
      </c>
      <c r="F124" s="42" t="s">
        <v>12</v>
      </c>
      <c r="G124" s="42" t="s">
        <v>13</v>
      </c>
      <c r="H124" s="42" t="str">
        <f>B124&amp;" "&amp;C124</f>
        <v>NI-HSDIO Configuration Support 15.0</v>
      </c>
      <c r="I124" s="36" t="s">
        <v>42</v>
      </c>
      <c r="J124" s="7"/>
    </row>
    <row r="125" spans="1:10" x14ac:dyDescent="0.25">
      <c r="A125" s="42" t="s">
        <v>543</v>
      </c>
      <c r="B125" s="42" t="s">
        <v>142</v>
      </c>
      <c r="C125" s="43" t="s">
        <v>102</v>
      </c>
      <c r="D125" s="42">
        <v>32</v>
      </c>
      <c r="E125" s="42">
        <v>2015</v>
      </c>
      <c r="F125" s="42" t="s">
        <v>12</v>
      </c>
      <c r="G125" s="42" t="s">
        <v>13</v>
      </c>
      <c r="H125" s="42" t="str">
        <f>B125&amp;" "&amp;C125</f>
        <v>NI-HSDIO Development Support 15.0</v>
      </c>
      <c r="I125" s="36" t="s">
        <v>42</v>
      </c>
      <c r="J125" s="7"/>
    </row>
    <row r="126" spans="1:10" x14ac:dyDescent="0.25">
      <c r="A126" s="42" t="s">
        <v>543</v>
      </c>
      <c r="B126" s="42" t="s">
        <v>51</v>
      </c>
      <c r="C126" s="42" t="s">
        <v>9</v>
      </c>
      <c r="D126" s="42">
        <v>32</v>
      </c>
      <c r="E126" s="42">
        <v>2015</v>
      </c>
      <c r="F126" s="42" t="s">
        <v>12</v>
      </c>
      <c r="G126" s="42" t="s">
        <v>13</v>
      </c>
      <c r="H126" s="42" t="str">
        <f>B126&amp;" "&amp;C126</f>
        <v>NI-HWS 15.0.0</v>
      </c>
      <c r="I126" s="36" t="s">
        <v>42</v>
      </c>
      <c r="J126" s="7"/>
    </row>
    <row r="127" spans="1:10" x14ac:dyDescent="0.25">
      <c r="A127" s="42" t="s">
        <v>543</v>
      </c>
      <c r="B127" s="42" t="s">
        <v>366</v>
      </c>
      <c r="C127" s="42" t="s">
        <v>135</v>
      </c>
      <c r="D127" s="42" t="s">
        <v>10</v>
      </c>
      <c r="E127" s="42" t="s">
        <v>119</v>
      </c>
      <c r="F127" s="42" t="s">
        <v>12</v>
      </c>
      <c r="G127" s="42" t="s">
        <v>13</v>
      </c>
      <c r="H127" s="42" t="str">
        <f>B127&amp;" "&amp;C127</f>
        <v>NI-IMAQ 19.0.0</v>
      </c>
      <c r="I127" s="39" t="s">
        <v>424</v>
      </c>
      <c r="J127" s="7"/>
    </row>
    <row r="128" spans="1:10" x14ac:dyDescent="0.25">
      <c r="A128" s="42" t="s">
        <v>543</v>
      </c>
      <c r="B128" s="42" t="s">
        <v>366</v>
      </c>
      <c r="C128" s="42" t="s">
        <v>135</v>
      </c>
      <c r="D128" s="42" t="s">
        <v>10</v>
      </c>
      <c r="E128" s="42" t="s">
        <v>119</v>
      </c>
      <c r="F128" s="42" t="s">
        <v>24</v>
      </c>
      <c r="G128" s="42" t="s">
        <v>13</v>
      </c>
      <c r="H128" s="42" t="str">
        <f>B128&amp;" "&amp;C128</f>
        <v>NI-IMAQ 19.0.0</v>
      </c>
      <c r="I128" s="39" t="s">
        <v>424</v>
      </c>
      <c r="J128" s="7"/>
    </row>
    <row r="129" spans="1:10" x14ac:dyDescent="0.25">
      <c r="A129" s="42" t="s">
        <v>543</v>
      </c>
      <c r="B129" s="42" t="s">
        <v>368</v>
      </c>
      <c r="C129" s="42" t="s">
        <v>135</v>
      </c>
      <c r="D129" s="42" t="s">
        <v>10</v>
      </c>
      <c r="E129" s="42" t="s">
        <v>119</v>
      </c>
      <c r="F129" s="42" t="s">
        <v>12</v>
      </c>
      <c r="G129" s="42" t="s">
        <v>13</v>
      </c>
      <c r="H129" s="42" t="str">
        <f>B129&amp;" "&amp;C129</f>
        <v>NI-IMAQ I/O 19.0.0</v>
      </c>
      <c r="I129" s="39" t="s">
        <v>424</v>
      </c>
      <c r="J129" s="7"/>
    </row>
    <row r="130" spans="1:10" x14ac:dyDescent="0.25">
      <c r="A130" s="42" t="s">
        <v>543</v>
      </c>
      <c r="B130" s="42" t="s">
        <v>368</v>
      </c>
      <c r="C130" s="42" t="s">
        <v>135</v>
      </c>
      <c r="D130" s="42" t="s">
        <v>10</v>
      </c>
      <c r="E130" s="42" t="s">
        <v>119</v>
      </c>
      <c r="F130" s="42" t="s">
        <v>24</v>
      </c>
      <c r="G130" s="42" t="s">
        <v>13</v>
      </c>
      <c r="H130" s="42" t="str">
        <f>B130&amp;" "&amp;C130</f>
        <v>NI-IMAQ I/O 19.0.0</v>
      </c>
      <c r="I130" s="39" t="s">
        <v>424</v>
      </c>
      <c r="J130" s="7"/>
    </row>
    <row r="131" spans="1:10" x14ac:dyDescent="0.25">
      <c r="A131" s="42" t="s">
        <v>543</v>
      </c>
      <c r="B131" s="42" t="s">
        <v>382</v>
      </c>
      <c r="C131" s="42" t="s">
        <v>135</v>
      </c>
      <c r="D131" s="42" t="s">
        <v>10</v>
      </c>
      <c r="E131" s="42" t="s">
        <v>119</v>
      </c>
      <c r="F131" s="42" t="s">
        <v>12</v>
      </c>
      <c r="G131" s="42" t="s">
        <v>13</v>
      </c>
      <c r="H131" s="42" t="str">
        <f>B131&amp;" "&amp;C131</f>
        <v>NI-IMAQdx 19.0.0</v>
      </c>
      <c r="I131" s="39" t="s">
        <v>424</v>
      </c>
      <c r="J131" s="7"/>
    </row>
    <row r="132" spans="1:10" x14ac:dyDescent="0.25">
      <c r="A132" s="42" t="s">
        <v>543</v>
      </c>
      <c r="B132" s="42" t="s">
        <v>382</v>
      </c>
      <c r="C132" s="42" t="s">
        <v>135</v>
      </c>
      <c r="D132" s="42" t="s">
        <v>10</v>
      </c>
      <c r="E132" s="42" t="s">
        <v>119</v>
      </c>
      <c r="F132" s="42" t="s">
        <v>24</v>
      </c>
      <c r="G132" s="42" t="s">
        <v>13</v>
      </c>
      <c r="H132" s="42" t="str">
        <f>B132&amp;" "&amp;C132</f>
        <v>NI-IMAQdx 19.0.0</v>
      </c>
      <c r="I132" s="39" t="s">
        <v>424</v>
      </c>
      <c r="J132" s="7"/>
    </row>
    <row r="133" spans="1:10" x14ac:dyDescent="0.25">
      <c r="A133" s="42" t="s">
        <v>543</v>
      </c>
      <c r="B133" s="42" t="s">
        <v>143</v>
      </c>
      <c r="C133" s="42" t="s">
        <v>494</v>
      </c>
      <c r="D133" s="42">
        <v>64</v>
      </c>
      <c r="E133" s="42">
        <v>2015</v>
      </c>
      <c r="F133" s="42" t="s">
        <v>12</v>
      </c>
      <c r="G133" s="42" t="s">
        <v>13</v>
      </c>
      <c r="H133" s="42" t="str">
        <f>B133&amp;" "&amp;E133&amp;" "&amp;C133</f>
        <v>NI-Industrial Communications for EtherCAT 2015 18.0.0f1</v>
      </c>
      <c r="I133" s="41" t="s">
        <v>415</v>
      </c>
      <c r="J133" s="7"/>
    </row>
    <row r="134" spans="1:10" x14ac:dyDescent="0.25">
      <c r="A134" s="42" t="s">
        <v>543</v>
      </c>
      <c r="B134" s="42" t="s">
        <v>59</v>
      </c>
      <c r="C134" s="42" t="s">
        <v>135</v>
      </c>
      <c r="D134" s="42">
        <v>32</v>
      </c>
      <c r="E134" s="42">
        <v>2019</v>
      </c>
      <c r="F134" s="42" t="s">
        <v>12</v>
      </c>
      <c r="G134" s="42" t="s">
        <v>13</v>
      </c>
      <c r="H134" s="42" t="str">
        <f>B134&amp;" "&amp;C134</f>
        <v>NI-PAL Software 19.0.0</v>
      </c>
      <c r="I134" s="39" t="s">
        <v>424</v>
      </c>
      <c r="J134" s="7"/>
    </row>
    <row r="135" spans="1:10" x14ac:dyDescent="0.25">
      <c r="A135" s="42" t="s">
        <v>543</v>
      </c>
      <c r="B135" s="42" t="s">
        <v>54</v>
      </c>
      <c r="C135" s="42" t="s">
        <v>9</v>
      </c>
      <c r="D135" s="42">
        <v>32</v>
      </c>
      <c r="E135" s="42">
        <v>2015</v>
      </c>
      <c r="F135" s="42" t="s">
        <v>12</v>
      </c>
      <c r="G135" s="42" t="s">
        <v>13</v>
      </c>
      <c r="H135" s="42" t="str">
        <f>B135&amp;" "&amp;C135</f>
        <v>NI-RIO 15.0.0</v>
      </c>
      <c r="I135" s="36" t="s">
        <v>42</v>
      </c>
      <c r="J135" s="7"/>
    </row>
    <row r="136" spans="1:10" x14ac:dyDescent="0.25">
      <c r="A136" s="42" t="s">
        <v>543</v>
      </c>
      <c r="B136" s="42" t="s">
        <v>61</v>
      </c>
      <c r="C136" s="42" t="s">
        <v>102</v>
      </c>
      <c r="D136" s="42">
        <v>32</v>
      </c>
      <c r="E136" s="42">
        <v>2015</v>
      </c>
      <c r="F136" s="42" t="s">
        <v>12</v>
      </c>
      <c r="G136" s="42" t="s">
        <v>13</v>
      </c>
      <c r="H136" s="42" t="str">
        <f>B136&amp;" "&amp;C136</f>
        <v>NI-SCOPE 15.0</v>
      </c>
      <c r="I136" s="36" t="s">
        <v>42</v>
      </c>
      <c r="J136" s="7"/>
    </row>
    <row r="137" spans="1:10" x14ac:dyDescent="0.25">
      <c r="A137" s="42" t="s">
        <v>543</v>
      </c>
      <c r="B137" s="42" t="s">
        <v>61</v>
      </c>
      <c r="C137" s="43" t="s">
        <v>102</v>
      </c>
      <c r="D137" s="42">
        <v>32</v>
      </c>
      <c r="E137" s="42">
        <v>2015</v>
      </c>
      <c r="F137" s="42" t="s">
        <v>24</v>
      </c>
      <c r="G137" s="42" t="s">
        <v>13</v>
      </c>
      <c r="H137" s="42" t="str">
        <f>B137&amp;" "&amp;C137</f>
        <v>NI-SCOPE 15.0</v>
      </c>
      <c r="I137" s="36" t="s">
        <v>42</v>
      </c>
      <c r="J137" s="7"/>
    </row>
    <row r="138" spans="1:10" x14ac:dyDescent="0.25">
      <c r="A138" s="42" t="s">
        <v>543</v>
      </c>
      <c r="B138" s="42" t="s">
        <v>151</v>
      </c>
      <c r="C138" s="43" t="s">
        <v>102</v>
      </c>
      <c r="D138" s="42">
        <v>32</v>
      </c>
      <c r="E138" s="42">
        <v>2015</v>
      </c>
      <c r="F138" s="42" t="s">
        <v>12</v>
      </c>
      <c r="G138" s="42" t="s">
        <v>13</v>
      </c>
      <c r="H138" s="42" t="str">
        <f>B138&amp;" "&amp;C138</f>
        <v>NI-SCOPE Configuration Support 15.0</v>
      </c>
      <c r="I138" s="36" t="s">
        <v>42</v>
      </c>
      <c r="J138" s="7"/>
    </row>
    <row r="139" spans="1:10" x14ac:dyDescent="0.25">
      <c r="A139" s="42" t="s">
        <v>543</v>
      </c>
      <c r="B139" s="42" t="s">
        <v>128</v>
      </c>
      <c r="C139" s="43" t="s">
        <v>102</v>
      </c>
      <c r="D139" s="42">
        <v>32</v>
      </c>
      <c r="E139" s="42">
        <v>2015</v>
      </c>
      <c r="F139" s="42" t="s">
        <v>12</v>
      </c>
      <c r="G139" s="42" t="s">
        <v>13</v>
      </c>
      <c r="H139" s="42" t="str">
        <f>B139&amp;" "&amp;C139</f>
        <v>NI-SCOPE Development Support 15.0</v>
      </c>
      <c r="I139" s="36" t="s">
        <v>42</v>
      </c>
      <c r="J139" s="7"/>
    </row>
    <row r="140" spans="1:10" x14ac:dyDescent="0.25">
      <c r="A140" s="42" t="s">
        <v>543</v>
      </c>
      <c r="B140" s="42" t="s">
        <v>400</v>
      </c>
      <c r="C140" s="43" t="s">
        <v>102</v>
      </c>
      <c r="D140" s="42">
        <v>32</v>
      </c>
      <c r="E140" s="42">
        <v>2015</v>
      </c>
      <c r="F140" s="42" t="s">
        <v>12</v>
      </c>
      <c r="G140" s="42" t="s">
        <v>13</v>
      </c>
      <c r="H140" s="42" t="str">
        <f>B140&amp;" "&amp;C140</f>
        <v>NI-SCOPE Soft Front Panel 15.0</v>
      </c>
      <c r="I140" s="36" t="s">
        <v>42</v>
      </c>
      <c r="J140" s="7"/>
    </row>
    <row r="141" spans="1:10" x14ac:dyDescent="0.25">
      <c r="A141" s="42" t="s">
        <v>543</v>
      </c>
      <c r="B141" s="42" t="s">
        <v>129</v>
      </c>
      <c r="C141" s="42" t="s">
        <v>430</v>
      </c>
      <c r="D141" s="42">
        <v>32</v>
      </c>
      <c r="E141" s="42">
        <v>2019</v>
      </c>
      <c r="F141" s="42" t="s">
        <v>24</v>
      </c>
      <c r="G141" s="42" t="s">
        <v>13</v>
      </c>
      <c r="H141" s="42" t="str">
        <f>B141&amp;" "&amp;C141</f>
        <v>NI-Serial 19.0.0f0</v>
      </c>
      <c r="I141" s="39" t="s">
        <v>424</v>
      </c>
      <c r="J141" s="7"/>
    </row>
    <row r="142" spans="1:10" x14ac:dyDescent="0.25">
      <c r="A142" s="42" t="s">
        <v>543</v>
      </c>
      <c r="B142" s="42" t="s">
        <v>64</v>
      </c>
      <c r="C142" s="42" t="s">
        <v>481</v>
      </c>
      <c r="D142" s="42" t="s">
        <v>10</v>
      </c>
      <c r="E142" s="42" t="s">
        <v>153</v>
      </c>
      <c r="F142" s="42" t="s">
        <v>12</v>
      </c>
      <c r="G142" s="42" t="s">
        <v>13</v>
      </c>
      <c r="H142" s="42" t="s">
        <v>489</v>
      </c>
      <c r="I142" s="55" t="s">
        <v>477</v>
      </c>
      <c r="J142" s="7"/>
    </row>
    <row r="143" spans="1:10" x14ac:dyDescent="0.25">
      <c r="A143" s="42" t="s">
        <v>543</v>
      </c>
      <c r="B143" s="42" t="s">
        <v>66</v>
      </c>
      <c r="C143" s="43" t="s">
        <v>102</v>
      </c>
      <c r="D143" s="42">
        <v>32</v>
      </c>
      <c r="E143" s="42">
        <v>2015</v>
      </c>
      <c r="F143" s="42" t="s">
        <v>12</v>
      </c>
      <c r="G143" s="42" t="s">
        <v>13</v>
      </c>
      <c r="H143" s="42" t="str">
        <f>B143&amp;" "&amp;C143</f>
        <v>NI-SWITCH 15.0</v>
      </c>
      <c r="I143" s="36" t="s">
        <v>42</v>
      </c>
      <c r="J143" s="7"/>
    </row>
    <row r="144" spans="1:10" x14ac:dyDescent="0.25">
      <c r="A144" s="42" t="s">
        <v>543</v>
      </c>
      <c r="B144" s="42" t="s">
        <v>66</v>
      </c>
      <c r="C144" s="43" t="s">
        <v>102</v>
      </c>
      <c r="D144" s="42">
        <v>32</v>
      </c>
      <c r="E144" s="42">
        <v>2015</v>
      </c>
      <c r="F144" s="42" t="s">
        <v>24</v>
      </c>
      <c r="G144" s="42" t="s">
        <v>13</v>
      </c>
      <c r="H144" s="42" t="str">
        <f>B144&amp;" "&amp;C144</f>
        <v>NI-SWITCH 15.0</v>
      </c>
      <c r="I144" s="36" t="s">
        <v>42</v>
      </c>
      <c r="J144" s="7"/>
    </row>
    <row r="145" spans="1:10" x14ac:dyDescent="0.25">
      <c r="A145" s="42" t="s">
        <v>543</v>
      </c>
      <c r="B145" s="42" t="s">
        <v>131</v>
      </c>
      <c r="C145" s="43" t="s">
        <v>102</v>
      </c>
      <c r="D145" s="42">
        <v>32</v>
      </c>
      <c r="E145" s="42">
        <v>2015</v>
      </c>
      <c r="F145" s="42" t="s">
        <v>12</v>
      </c>
      <c r="G145" s="42" t="s">
        <v>13</v>
      </c>
      <c r="H145" s="42" t="str">
        <f>B145&amp;" "&amp;C145</f>
        <v>NI-SWITCH Configuration Support 15.0</v>
      </c>
      <c r="I145" s="36" t="s">
        <v>42</v>
      </c>
      <c r="J145" s="7"/>
    </row>
    <row r="146" spans="1:10" x14ac:dyDescent="0.25">
      <c r="A146" s="42" t="s">
        <v>543</v>
      </c>
      <c r="B146" s="42" t="s">
        <v>132</v>
      </c>
      <c r="C146" s="43" t="s">
        <v>102</v>
      </c>
      <c r="D146" s="42">
        <v>32</v>
      </c>
      <c r="E146" s="42">
        <v>2015</v>
      </c>
      <c r="F146" s="42" t="s">
        <v>12</v>
      </c>
      <c r="G146" s="42" t="s">
        <v>13</v>
      </c>
      <c r="H146" s="42" t="str">
        <f>B146&amp;" "&amp;C146</f>
        <v>NI-SWITCH Development Support 15.0</v>
      </c>
      <c r="I146" s="36" t="s">
        <v>42</v>
      </c>
      <c r="J146" s="7"/>
    </row>
    <row r="147" spans="1:10" x14ac:dyDescent="0.25">
      <c r="A147" s="42" t="s">
        <v>543</v>
      </c>
      <c r="B147" s="42" t="s">
        <v>67</v>
      </c>
      <c r="C147" s="43" t="s">
        <v>478</v>
      </c>
      <c r="D147" s="42" t="s">
        <v>10</v>
      </c>
      <c r="E147" s="42" t="s">
        <v>130</v>
      </c>
      <c r="F147" s="42" t="s">
        <v>12</v>
      </c>
      <c r="G147" s="42" t="s">
        <v>13</v>
      </c>
      <c r="H147" s="42" t="s">
        <v>491</v>
      </c>
      <c r="I147" s="55" t="s">
        <v>477</v>
      </c>
      <c r="J147" s="7"/>
    </row>
    <row r="148" spans="1:10" x14ac:dyDescent="0.25">
      <c r="A148" s="42" t="s">
        <v>543</v>
      </c>
      <c r="B148" s="42" t="s">
        <v>56</v>
      </c>
      <c r="C148" s="43" t="s">
        <v>480</v>
      </c>
      <c r="D148" s="42" t="s">
        <v>10</v>
      </c>
      <c r="E148" s="42" t="s">
        <v>130</v>
      </c>
      <c r="F148" s="42" t="s">
        <v>12</v>
      </c>
      <c r="G148" s="42" t="s">
        <v>13</v>
      </c>
      <c r="H148" s="42" t="s">
        <v>492</v>
      </c>
      <c r="I148" s="55" t="s">
        <v>477</v>
      </c>
      <c r="J148" s="7"/>
    </row>
    <row r="149" spans="1:10" x14ac:dyDescent="0.25">
      <c r="A149" s="42" t="s">
        <v>543</v>
      </c>
      <c r="B149" s="42" t="s">
        <v>69</v>
      </c>
      <c r="C149" s="43" t="s">
        <v>102</v>
      </c>
      <c r="D149" s="42">
        <v>32</v>
      </c>
      <c r="E149" s="42">
        <v>2015</v>
      </c>
      <c r="F149" s="42" t="s">
        <v>12</v>
      </c>
      <c r="G149" s="42" t="s">
        <v>13</v>
      </c>
      <c r="H149" s="42" t="str">
        <f>B149&amp;" "&amp;C149</f>
        <v>NI-TClk 15.0</v>
      </c>
      <c r="I149" s="36" t="s">
        <v>42</v>
      </c>
      <c r="J149" s="7"/>
    </row>
    <row r="150" spans="1:10" x14ac:dyDescent="0.25">
      <c r="A150" s="42" t="s">
        <v>543</v>
      </c>
      <c r="B150" s="42" t="s">
        <v>57</v>
      </c>
      <c r="C150" s="43" t="s">
        <v>30</v>
      </c>
      <c r="D150" s="42">
        <v>32</v>
      </c>
      <c r="E150" s="42">
        <v>2015</v>
      </c>
      <c r="F150" s="42" t="s">
        <v>12</v>
      </c>
      <c r="G150" s="42" t="s">
        <v>13</v>
      </c>
      <c r="H150" s="42" t="str">
        <f>B150&amp;" "&amp;C150</f>
        <v>NI-TimeSync 15.0.0f0</v>
      </c>
      <c r="I150" s="36" t="s">
        <v>42</v>
      </c>
      <c r="J150" s="7"/>
    </row>
    <row r="151" spans="1:10" x14ac:dyDescent="0.25">
      <c r="A151" s="42" t="s">
        <v>543</v>
      </c>
      <c r="B151" s="42" t="s">
        <v>46</v>
      </c>
      <c r="C151" s="43" t="s">
        <v>95</v>
      </c>
      <c r="D151" s="42">
        <v>32</v>
      </c>
      <c r="E151" s="42">
        <v>2015</v>
      </c>
      <c r="F151" s="42" t="s">
        <v>12</v>
      </c>
      <c r="G151" s="42" t="s">
        <v>13</v>
      </c>
      <c r="H151" s="42" t="str">
        <f>B151&amp;" "&amp;C151</f>
        <v>NI-USI 15.0.1.6118</v>
      </c>
      <c r="I151" s="37" t="s">
        <v>91</v>
      </c>
      <c r="J151" s="7"/>
    </row>
    <row r="152" spans="1:10" x14ac:dyDescent="0.25">
      <c r="A152" s="42" t="s">
        <v>543</v>
      </c>
      <c r="B152" s="42" t="s">
        <v>70</v>
      </c>
      <c r="C152" s="43" t="s">
        <v>170</v>
      </c>
      <c r="D152" s="42">
        <v>32</v>
      </c>
      <c r="E152" s="42">
        <v>2015</v>
      </c>
      <c r="F152" s="42" t="s">
        <v>12</v>
      </c>
      <c r="G152" s="42" t="s">
        <v>13</v>
      </c>
      <c r="H152" s="42" t="str">
        <f>B152&amp;" "&amp;C152</f>
        <v>NI-VISA 15.5</v>
      </c>
      <c r="I152" s="40" t="s">
        <v>465</v>
      </c>
      <c r="J152" s="7"/>
    </row>
    <row r="153" spans="1:10" x14ac:dyDescent="0.25">
      <c r="A153" s="42" t="s">
        <v>543</v>
      </c>
      <c r="B153" s="42" t="s">
        <v>70</v>
      </c>
      <c r="C153" s="43" t="s">
        <v>170</v>
      </c>
      <c r="D153" s="42">
        <v>32</v>
      </c>
      <c r="E153" s="42">
        <v>2015</v>
      </c>
      <c r="F153" s="42" t="s">
        <v>24</v>
      </c>
      <c r="G153" s="42" t="s">
        <v>13</v>
      </c>
      <c r="H153" s="42" t="str">
        <f>B153&amp;" "&amp;C153</f>
        <v>NI-VISA 15.5</v>
      </c>
      <c r="I153" s="40" t="s">
        <v>465</v>
      </c>
      <c r="J153" s="7"/>
    </row>
    <row r="154" spans="1:10" x14ac:dyDescent="0.25">
      <c r="A154" s="42" t="s">
        <v>543</v>
      </c>
      <c r="B154" s="42" t="s">
        <v>73</v>
      </c>
      <c r="C154" s="42" t="s">
        <v>72</v>
      </c>
      <c r="D154" s="42">
        <v>32</v>
      </c>
      <c r="E154" s="42">
        <v>2015</v>
      </c>
      <c r="F154" s="42" t="s">
        <v>12</v>
      </c>
      <c r="G154" s="42" t="s">
        <v>13</v>
      </c>
      <c r="H154" s="42" t="str">
        <f>B154&amp;" "&amp;C154</f>
        <v>NIvisaic.exe 15.0.0.49152</v>
      </c>
      <c r="I154" s="36" t="s">
        <v>42</v>
      </c>
      <c r="J154" s="7"/>
    </row>
    <row r="155" spans="1:10" x14ac:dyDescent="0.25">
      <c r="A155" s="42" t="s">
        <v>543</v>
      </c>
      <c r="B155" s="42" t="s">
        <v>71</v>
      </c>
      <c r="C155" s="42" t="s">
        <v>72</v>
      </c>
      <c r="D155" s="42">
        <v>32</v>
      </c>
      <c r="E155" s="42">
        <v>2015</v>
      </c>
      <c r="F155" s="42" t="s">
        <v>12</v>
      </c>
      <c r="G155" s="42" t="s">
        <v>13</v>
      </c>
      <c r="H155" s="42" t="str">
        <f>B155&amp;" "&amp;C155</f>
        <v>NiVisaServer.exe 15.0.0.49152</v>
      </c>
      <c r="I155" s="36" t="s">
        <v>42</v>
      </c>
      <c r="J155" s="7"/>
    </row>
    <row r="156" spans="1:10" x14ac:dyDescent="0.25">
      <c r="A156" s="42" t="s">
        <v>543</v>
      </c>
      <c r="B156" s="42" t="s">
        <v>396</v>
      </c>
      <c r="C156" s="42" t="s">
        <v>426</v>
      </c>
      <c r="D156" s="42" t="s">
        <v>10</v>
      </c>
      <c r="E156" s="42" t="s">
        <v>119</v>
      </c>
      <c r="F156" s="42" t="s">
        <v>24</v>
      </c>
      <c r="G156" s="42" t="s">
        <v>13</v>
      </c>
      <c r="H156" s="42" t="s">
        <v>454</v>
      </c>
      <c r="I156" s="41" t="s">
        <v>424</v>
      </c>
      <c r="J156" s="7"/>
    </row>
    <row r="157" spans="1:10" x14ac:dyDescent="0.25">
      <c r="A157" s="42" t="s">
        <v>543</v>
      </c>
      <c r="B157" s="117" t="s">
        <v>313</v>
      </c>
      <c r="C157" s="118" t="s">
        <v>314</v>
      </c>
      <c r="D157" s="118" t="s">
        <v>10</v>
      </c>
      <c r="E157" s="118" t="s">
        <v>136</v>
      </c>
      <c r="F157" s="118" t="s">
        <v>12</v>
      </c>
      <c r="G157" s="118" t="s">
        <v>315</v>
      </c>
      <c r="H157" s="117" t="s">
        <v>512</v>
      </c>
      <c r="I157" s="172" t="s">
        <v>202</v>
      </c>
      <c r="J157" s="7"/>
    </row>
    <row r="158" spans="1:10" x14ac:dyDescent="0.25">
      <c r="A158" s="42" t="s">
        <v>543</v>
      </c>
      <c r="B158" s="117" t="s">
        <v>316</v>
      </c>
      <c r="C158" s="118" t="s">
        <v>317</v>
      </c>
      <c r="D158" s="118" t="s">
        <v>10</v>
      </c>
      <c r="E158" s="118" t="s">
        <v>136</v>
      </c>
      <c r="F158" s="118" t="s">
        <v>12</v>
      </c>
      <c r="G158" s="118" t="s">
        <v>315</v>
      </c>
      <c r="H158" s="117" t="s">
        <v>513</v>
      </c>
      <c r="I158" s="172" t="s">
        <v>202</v>
      </c>
      <c r="J158" s="7"/>
    </row>
    <row r="159" spans="1:10" x14ac:dyDescent="0.25">
      <c r="A159" s="42" t="s">
        <v>543</v>
      </c>
      <c r="B159" s="117" t="s">
        <v>318</v>
      </c>
      <c r="C159" s="118" t="s">
        <v>319</v>
      </c>
      <c r="D159" s="118" t="s">
        <v>10</v>
      </c>
      <c r="E159" s="118" t="s">
        <v>136</v>
      </c>
      <c r="F159" s="118" t="s">
        <v>12</v>
      </c>
      <c r="G159" s="118" t="s">
        <v>315</v>
      </c>
      <c r="H159" s="117" t="s">
        <v>514</v>
      </c>
      <c r="I159" s="172" t="s">
        <v>202</v>
      </c>
      <c r="J159" s="7"/>
    </row>
    <row r="160" spans="1:10" x14ac:dyDescent="0.25">
      <c r="A160" s="42" t="s">
        <v>543</v>
      </c>
      <c r="B160" s="117" t="s">
        <v>320</v>
      </c>
      <c r="C160" s="118" t="s">
        <v>321</v>
      </c>
      <c r="D160" s="118" t="s">
        <v>10</v>
      </c>
      <c r="E160" s="118" t="s">
        <v>136</v>
      </c>
      <c r="F160" s="118" t="s">
        <v>12</v>
      </c>
      <c r="G160" s="118" t="s">
        <v>315</v>
      </c>
      <c r="H160" s="117" t="s">
        <v>515</v>
      </c>
      <c r="I160" s="172" t="s">
        <v>202</v>
      </c>
      <c r="J160" s="7"/>
    </row>
    <row r="161" spans="1:10" x14ac:dyDescent="0.25">
      <c r="A161" s="42" t="s">
        <v>543</v>
      </c>
      <c r="B161" s="117" t="s">
        <v>322</v>
      </c>
      <c r="C161" s="118" t="s">
        <v>319</v>
      </c>
      <c r="D161" s="118" t="s">
        <v>10</v>
      </c>
      <c r="E161" s="118" t="s">
        <v>136</v>
      </c>
      <c r="F161" s="118" t="s">
        <v>12</v>
      </c>
      <c r="G161" s="118" t="s">
        <v>315</v>
      </c>
      <c r="H161" s="117" t="s">
        <v>516</v>
      </c>
      <c r="I161" s="172" t="s">
        <v>202</v>
      </c>
      <c r="J161" s="7"/>
    </row>
    <row r="162" spans="1:10" x14ac:dyDescent="0.25">
      <c r="A162" s="42" t="s">
        <v>543</v>
      </c>
      <c r="B162" s="117" t="s">
        <v>323</v>
      </c>
      <c r="C162" s="118" t="s">
        <v>324</v>
      </c>
      <c r="D162" s="118" t="s">
        <v>10</v>
      </c>
      <c r="E162" s="118" t="s">
        <v>136</v>
      </c>
      <c r="F162" s="118" t="s">
        <v>12</v>
      </c>
      <c r="G162" s="118" t="s">
        <v>315</v>
      </c>
      <c r="H162" s="117" t="s">
        <v>517</v>
      </c>
      <c r="I162" s="172" t="s">
        <v>202</v>
      </c>
      <c r="J162" s="7"/>
    </row>
    <row r="163" spans="1:10" x14ac:dyDescent="0.25">
      <c r="A163" s="42" t="s">
        <v>543</v>
      </c>
      <c r="B163" s="117" t="s">
        <v>325</v>
      </c>
      <c r="C163" s="118" t="s">
        <v>326</v>
      </c>
      <c r="D163" s="118" t="s">
        <v>10</v>
      </c>
      <c r="E163" s="118" t="s">
        <v>136</v>
      </c>
      <c r="F163" s="118" t="s">
        <v>12</v>
      </c>
      <c r="G163" s="118" t="s">
        <v>315</v>
      </c>
      <c r="H163" s="117" t="s">
        <v>518</v>
      </c>
      <c r="I163" s="172" t="s">
        <v>202</v>
      </c>
      <c r="J163" s="7"/>
    </row>
    <row r="164" spans="1:10" x14ac:dyDescent="0.25">
      <c r="A164" s="42" t="s">
        <v>543</v>
      </c>
      <c r="B164" s="117" t="s">
        <v>327</v>
      </c>
      <c r="C164" s="118" t="s">
        <v>328</v>
      </c>
      <c r="D164" s="118" t="s">
        <v>10</v>
      </c>
      <c r="E164" s="118" t="s">
        <v>136</v>
      </c>
      <c r="F164" s="118" t="s">
        <v>12</v>
      </c>
      <c r="G164" s="118" t="s">
        <v>315</v>
      </c>
      <c r="H164" s="117" t="s">
        <v>519</v>
      </c>
      <c r="I164" s="172" t="s">
        <v>202</v>
      </c>
      <c r="J164" s="7"/>
    </row>
    <row r="165" spans="1:10" x14ac:dyDescent="0.25">
      <c r="A165" s="42" t="s">
        <v>543</v>
      </c>
      <c r="B165" s="117" t="s">
        <v>329</v>
      </c>
      <c r="C165" s="118" t="s">
        <v>330</v>
      </c>
      <c r="D165" s="118" t="s">
        <v>10</v>
      </c>
      <c r="E165" s="118" t="s">
        <v>136</v>
      </c>
      <c r="F165" s="118" t="s">
        <v>12</v>
      </c>
      <c r="G165" s="118" t="s">
        <v>315</v>
      </c>
      <c r="H165" s="117" t="s">
        <v>520</v>
      </c>
      <c r="I165" s="172" t="s">
        <v>202</v>
      </c>
      <c r="J165" s="7"/>
    </row>
    <row r="166" spans="1:10" x14ac:dyDescent="0.25">
      <c r="A166" s="42" t="s">
        <v>543</v>
      </c>
      <c r="B166" s="117" t="s">
        <v>331</v>
      </c>
      <c r="C166" s="118" t="s">
        <v>332</v>
      </c>
      <c r="D166" s="118" t="s">
        <v>10</v>
      </c>
      <c r="E166" s="118" t="s">
        <v>136</v>
      </c>
      <c r="F166" s="118" t="s">
        <v>12</v>
      </c>
      <c r="G166" s="118" t="s">
        <v>315</v>
      </c>
      <c r="H166" s="117" t="s">
        <v>521</v>
      </c>
      <c r="I166" s="172" t="s">
        <v>202</v>
      </c>
      <c r="J166" s="7"/>
    </row>
    <row r="167" spans="1:10" x14ac:dyDescent="0.25">
      <c r="A167" s="42" t="s">
        <v>543</v>
      </c>
      <c r="B167" s="117" t="s">
        <v>333</v>
      </c>
      <c r="C167" s="118" t="s">
        <v>328</v>
      </c>
      <c r="D167" s="118" t="s">
        <v>10</v>
      </c>
      <c r="E167" s="118" t="s">
        <v>136</v>
      </c>
      <c r="F167" s="118" t="s">
        <v>12</v>
      </c>
      <c r="G167" s="118" t="s">
        <v>334</v>
      </c>
      <c r="H167" s="117" t="s">
        <v>522</v>
      </c>
      <c r="I167" s="172" t="s">
        <v>202</v>
      </c>
      <c r="J167" s="7"/>
    </row>
    <row r="168" spans="1:10" x14ac:dyDescent="0.25">
      <c r="A168" s="42" t="s">
        <v>543</v>
      </c>
      <c r="B168" s="117" t="s">
        <v>335</v>
      </c>
      <c r="C168" s="118" t="s">
        <v>336</v>
      </c>
      <c r="D168" s="118" t="s">
        <v>10</v>
      </c>
      <c r="E168" s="118" t="s">
        <v>136</v>
      </c>
      <c r="F168" s="118" t="s">
        <v>12</v>
      </c>
      <c r="G168" s="118" t="s">
        <v>250</v>
      </c>
      <c r="H168" s="117" t="s">
        <v>523</v>
      </c>
      <c r="I168" s="172" t="s">
        <v>202</v>
      </c>
      <c r="J168" s="7"/>
    </row>
    <row r="169" spans="1:10" x14ac:dyDescent="0.25">
      <c r="A169" s="42" t="s">
        <v>543</v>
      </c>
      <c r="B169" s="117" t="s">
        <v>337</v>
      </c>
      <c r="C169" s="118" t="s">
        <v>338</v>
      </c>
      <c r="D169" s="118" t="s">
        <v>10</v>
      </c>
      <c r="E169" s="118" t="s">
        <v>136</v>
      </c>
      <c r="F169" s="118" t="s">
        <v>12</v>
      </c>
      <c r="G169" s="118" t="s">
        <v>315</v>
      </c>
      <c r="H169" s="117" t="s">
        <v>524</v>
      </c>
      <c r="I169" s="172" t="s">
        <v>202</v>
      </c>
      <c r="J169" s="7"/>
    </row>
    <row r="170" spans="1:10" x14ac:dyDescent="0.25">
      <c r="A170" s="42" t="s">
        <v>543</v>
      </c>
      <c r="B170" s="117" t="s">
        <v>339</v>
      </c>
      <c r="C170" s="118" t="s">
        <v>326</v>
      </c>
      <c r="D170" s="118" t="s">
        <v>10</v>
      </c>
      <c r="E170" s="118" t="s">
        <v>136</v>
      </c>
      <c r="F170" s="118" t="s">
        <v>12</v>
      </c>
      <c r="G170" s="118" t="s">
        <v>315</v>
      </c>
      <c r="H170" s="117" t="s">
        <v>525</v>
      </c>
      <c r="I170" s="172" t="s">
        <v>202</v>
      </c>
      <c r="J170" s="7"/>
    </row>
    <row r="171" spans="1:10" x14ac:dyDescent="0.25">
      <c r="A171" s="42" t="s">
        <v>543</v>
      </c>
      <c r="B171" s="117" t="s">
        <v>340</v>
      </c>
      <c r="C171" s="118" t="s">
        <v>319</v>
      </c>
      <c r="D171" s="118" t="s">
        <v>10</v>
      </c>
      <c r="E171" s="118" t="s">
        <v>136</v>
      </c>
      <c r="F171" s="118" t="s">
        <v>12</v>
      </c>
      <c r="G171" s="118" t="s">
        <v>315</v>
      </c>
      <c r="H171" s="117" t="s">
        <v>526</v>
      </c>
      <c r="I171" s="172" t="s">
        <v>202</v>
      </c>
      <c r="J171" s="7"/>
    </row>
    <row r="172" spans="1:10" x14ac:dyDescent="0.25">
      <c r="A172" s="42" t="s">
        <v>543</v>
      </c>
      <c r="B172" s="117" t="s">
        <v>341</v>
      </c>
      <c r="C172" s="118" t="s">
        <v>342</v>
      </c>
      <c r="D172" s="118" t="s">
        <v>10</v>
      </c>
      <c r="E172" s="118" t="s">
        <v>136</v>
      </c>
      <c r="F172" s="118" t="s">
        <v>12</v>
      </c>
      <c r="G172" s="118" t="s">
        <v>315</v>
      </c>
      <c r="H172" s="117" t="s">
        <v>527</v>
      </c>
      <c r="I172" s="172" t="s">
        <v>202</v>
      </c>
      <c r="J172" s="7"/>
    </row>
    <row r="173" spans="1:10" x14ac:dyDescent="0.25">
      <c r="A173" s="42" t="s">
        <v>543</v>
      </c>
      <c r="B173" s="117" t="s">
        <v>343</v>
      </c>
      <c r="C173" s="118" t="s">
        <v>344</v>
      </c>
      <c r="D173" s="118" t="s">
        <v>10</v>
      </c>
      <c r="E173" s="118" t="s">
        <v>136</v>
      </c>
      <c r="F173" s="118" t="s">
        <v>12</v>
      </c>
      <c r="G173" s="118" t="s">
        <v>315</v>
      </c>
      <c r="H173" s="117" t="s">
        <v>528</v>
      </c>
      <c r="I173" s="172" t="s">
        <v>202</v>
      </c>
      <c r="J173" s="7"/>
    </row>
    <row r="174" spans="1:10" x14ac:dyDescent="0.25">
      <c r="A174" s="42" t="s">
        <v>543</v>
      </c>
      <c r="B174" s="117" t="s">
        <v>345</v>
      </c>
      <c r="C174" s="118" t="s">
        <v>346</v>
      </c>
      <c r="D174" s="118" t="s">
        <v>10</v>
      </c>
      <c r="E174" s="118" t="s">
        <v>136</v>
      </c>
      <c r="F174" s="118" t="s">
        <v>12</v>
      </c>
      <c r="G174" s="118" t="s">
        <v>315</v>
      </c>
      <c r="H174" s="117" t="s">
        <v>529</v>
      </c>
      <c r="I174" s="172" t="s">
        <v>202</v>
      </c>
      <c r="J174" s="7"/>
    </row>
    <row r="175" spans="1:10" x14ac:dyDescent="0.25">
      <c r="A175" s="42" t="s">
        <v>543</v>
      </c>
      <c r="B175" s="117" t="s">
        <v>347</v>
      </c>
      <c r="C175" s="118" t="s">
        <v>348</v>
      </c>
      <c r="D175" s="118" t="s">
        <v>10</v>
      </c>
      <c r="E175" s="118" t="s">
        <v>136</v>
      </c>
      <c r="F175" s="118" t="s">
        <v>12</v>
      </c>
      <c r="G175" s="118" t="s">
        <v>315</v>
      </c>
      <c r="H175" s="117" t="s">
        <v>530</v>
      </c>
      <c r="I175" s="172" t="s">
        <v>202</v>
      </c>
      <c r="J175" s="7"/>
    </row>
    <row r="176" spans="1:10" x14ac:dyDescent="0.25">
      <c r="A176" s="42" t="s">
        <v>543</v>
      </c>
      <c r="B176" s="117" t="s">
        <v>349</v>
      </c>
      <c r="C176" s="118" t="s">
        <v>338</v>
      </c>
      <c r="D176" s="118" t="s">
        <v>10</v>
      </c>
      <c r="E176" s="118" t="s">
        <v>136</v>
      </c>
      <c r="F176" s="118" t="s">
        <v>12</v>
      </c>
      <c r="G176" s="118" t="s">
        <v>315</v>
      </c>
      <c r="H176" s="117" t="s">
        <v>531</v>
      </c>
      <c r="I176" s="172" t="s">
        <v>202</v>
      </c>
      <c r="J176" s="7"/>
    </row>
    <row r="177" spans="1:10" x14ac:dyDescent="0.25">
      <c r="A177" s="42" t="s">
        <v>543</v>
      </c>
      <c r="B177" s="117" t="s">
        <v>350</v>
      </c>
      <c r="C177" s="118" t="s">
        <v>344</v>
      </c>
      <c r="D177" s="118" t="s">
        <v>10</v>
      </c>
      <c r="E177" s="118" t="s">
        <v>136</v>
      </c>
      <c r="F177" s="118" t="s">
        <v>12</v>
      </c>
      <c r="G177" s="118" t="s">
        <v>315</v>
      </c>
      <c r="H177" s="117" t="s">
        <v>532</v>
      </c>
      <c r="I177" s="172" t="s">
        <v>202</v>
      </c>
      <c r="J177" s="7"/>
    </row>
    <row r="178" spans="1:10" x14ac:dyDescent="0.25">
      <c r="A178" s="42" t="s">
        <v>543</v>
      </c>
      <c r="B178" s="117" t="s">
        <v>351</v>
      </c>
      <c r="C178" s="118" t="s">
        <v>352</v>
      </c>
      <c r="D178" s="118" t="s">
        <v>10</v>
      </c>
      <c r="E178" s="118" t="s">
        <v>136</v>
      </c>
      <c r="F178" s="118" t="s">
        <v>12</v>
      </c>
      <c r="G178" s="118" t="s">
        <v>315</v>
      </c>
      <c r="H178" s="117" t="s">
        <v>533</v>
      </c>
      <c r="I178" s="172" t="s">
        <v>202</v>
      </c>
      <c r="J178" s="7"/>
    </row>
    <row r="179" spans="1:10" x14ac:dyDescent="0.25">
      <c r="A179" s="42" t="s">
        <v>543</v>
      </c>
      <c r="B179" s="117" t="s">
        <v>355</v>
      </c>
      <c r="C179" s="118" t="s">
        <v>356</v>
      </c>
      <c r="D179" s="118" t="s">
        <v>10</v>
      </c>
      <c r="E179" s="118" t="s">
        <v>136</v>
      </c>
      <c r="F179" s="118" t="s">
        <v>12</v>
      </c>
      <c r="G179" s="118" t="s">
        <v>315</v>
      </c>
      <c r="H179" s="117" t="s">
        <v>534</v>
      </c>
      <c r="I179" s="172" t="s">
        <v>202</v>
      </c>
      <c r="J179" s="7"/>
    </row>
    <row r="180" spans="1:10" x14ac:dyDescent="0.25">
      <c r="A180" s="42" t="s">
        <v>543</v>
      </c>
      <c r="B180" s="117" t="s">
        <v>357</v>
      </c>
      <c r="C180" s="118" t="s">
        <v>358</v>
      </c>
      <c r="D180" s="118" t="s">
        <v>10</v>
      </c>
      <c r="E180" s="118" t="s">
        <v>136</v>
      </c>
      <c r="F180" s="118" t="s">
        <v>12</v>
      </c>
      <c r="G180" s="118" t="s">
        <v>315</v>
      </c>
      <c r="H180" s="117" t="s">
        <v>535</v>
      </c>
      <c r="I180" s="172" t="s">
        <v>202</v>
      </c>
      <c r="J180" s="7"/>
    </row>
    <row r="181" spans="1:10" x14ac:dyDescent="0.25">
      <c r="A181" s="42" t="s">
        <v>543</v>
      </c>
      <c r="B181" s="117" t="s">
        <v>167</v>
      </c>
      <c r="C181" s="118" t="s">
        <v>168</v>
      </c>
      <c r="D181" s="118" t="s">
        <v>10</v>
      </c>
      <c r="E181" s="118" t="s">
        <v>136</v>
      </c>
      <c r="F181" s="118" t="s">
        <v>12</v>
      </c>
      <c r="G181" s="118" t="s">
        <v>167</v>
      </c>
      <c r="H181" s="117" t="str">
        <f>B181&amp;" "&amp;C181</f>
        <v>OpenGDS 1.1.17</v>
      </c>
      <c r="I181" s="172" t="s">
        <v>202</v>
      </c>
      <c r="J181" s="7"/>
    </row>
    <row r="182" spans="1:10" x14ac:dyDescent="0.25">
      <c r="A182" s="42" t="s">
        <v>543</v>
      </c>
      <c r="B182" s="42" t="s">
        <v>78</v>
      </c>
      <c r="C182" s="42" t="s">
        <v>79</v>
      </c>
      <c r="D182" s="42">
        <v>32</v>
      </c>
      <c r="E182" s="42">
        <v>2015</v>
      </c>
      <c r="F182" s="42" t="s">
        <v>12</v>
      </c>
      <c r="G182" s="42" t="s">
        <v>13</v>
      </c>
      <c r="H182" s="42" t="str">
        <f>B182&amp;" "&amp;C182</f>
        <v>PID Toolkit 2.1.0</v>
      </c>
      <c r="I182" s="36" t="s">
        <v>42</v>
      </c>
      <c r="J182" s="7"/>
    </row>
    <row r="183" spans="1:10" x14ac:dyDescent="0.25">
      <c r="A183" s="42" t="s">
        <v>543</v>
      </c>
      <c r="B183" s="42" t="s">
        <v>80</v>
      </c>
      <c r="C183" s="42" t="s">
        <v>81</v>
      </c>
      <c r="D183" s="42">
        <v>32</v>
      </c>
      <c r="E183" s="42">
        <v>2015</v>
      </c>
      <c r="F183" s="42" t="s">
        <v>12</v>
      </c>
      <c r="G183" s="42" t="s">
        <v>13</v>
      </c>
      <c r="H183" s="42" t="str">
        <f>B183&amp;" "&amp;C183</f>
        <v>Profiler Toolkit 1.0.0</v>
      </c>
      <c r="I183" s="36" t="s">
        <v>42</v>
      </c>
      <c r="J183" s="7"/>
    </row>
    <row r="184" spans="1:10" x14ac:dyDescent="0.25">
      <c r="A184" s="42" t="s">
        <v>543</v>
      </c>
      <c r="B184" s="42" t="s">
        <v>35</v>
      </c>
      <c r="C184" s="42" t="s">
        <v>9</v>
      </c>
      <c r="D184" s="42">
        <v>32</v>
      </c>
      <c r="E184" s="42">
        <v>2015</v>
      </c>
      <c r="F184" s="42" t="s">
        <v>12</v>
      </c>
      <c r="G184" s="42" t="s">
        <v>13</v>
      </c>
      <c r="H184" s="42" t="str">
        <f>B184&amp;" "&amp;C184</f>
        <v>Real-Time 15.0.0</v>
      </c>
      <c r="I184" s="36" t="s">
        <v>42</v>
      </c>
      <c r="J184" s="7"/>
    </row>
    <row r="185" spans="1:10" x14ac:dyDescent="0.25">
      <c r="A185" s="42" t="s">
        <v>543</v>
      </c>
      <c r="B185" s="42" t="s">
        <v>35</v>
      </c>
      <c r="C185" s="42" t="s">
        <v>92</v>
      </c>
      <c r="D185" s="42">
        <v>32</v>
      </c>
      <c r="E185" s="42">
        <v>2015</v>
      </c>
      <c r="F185" s="42" t="s">
        <v>12</v>
      </c>
      <c r="G185" s="42" t="s">
        <v>13</v>
      </c>
      <c r="H185" s="42" t="str">
        <f>B185&amp;" "&amp;C185</f>
        <v>Real-Time 15.0.1</v>
      </c>
      <c r="I185" s="40" t="s">
        <v>465</v>
      </c>
      <c r="J185" s="7"/>
    </row>
    <row r="186" spans="1:10" x14ac:dyDescent="0.25">
      <c r="A186" s="42" t="s">
        <v>543</v>
      </c>
      <c r="B186" s="42" t="s">
        <v>82</v>
      </c>
      <c r="C186" s="42" t="s">
        <v>9</v>
      </c>
      <c r="D186" s="42">
        <v>32</v>
      </c>
      <c r="E186" s="42">
        <v>2015</v>
      </c>
      <c r="F186" s="42" t="s">
        <v>12</v>
      </c>
      <c r="G186" s="42" t="s">
        <v>13</v>
      </c>
      <c r="H186" s="42" t="str">
        <f>B186&amp;" "&amp;C186</f>
        <v>Real-Time Trace Viewer - CVI Support 15.0.0</v>
      </c>
      <c r="I186" s="36" t="s">
        <v>42</v>
      </c>
      <c r="J186" s="7"/>
    </row>
    <row r="187" spans="1:10" x14ac:dyDescent="0.25">
      <c r="A187" s="42" t="s">
        <v>543</v>
      </c>
      <c r="B187" s="42" t="s">
        <v>36</v>
      </c>
      <c r="C187" s="42" t="s">
        <v>92</v>
      </c>
      <c r="D187" s="42">
        <v>32</v>
      </c>
      <c r="E187" s="42">
        <v>2015</v>
      </c>
      <c r="F187" s="42" t="s">
        <v>12</v>
      </c>
      <c r="G187" s="42" t="s">
        <v>13</v>
      </c>
      <c r="H187" s="42" t="str">
        <f>B187&amp;" "&amp;C187</f>
        <v>Real-Time Trace Viewer - LabVIEW 2015 Support 15.0.1</v>
      </c>
      <c r="I187" s="40" t="s">
        <v>465</v>
      </c>
      <c r="J187" s="7"/>
    </row>
    <row r="188" spans="1:10" x14ac:dyDescent="0.25">
      <c r="A188" s="42" t="s">
        <v>543</v>
      </c>
      <c r="B188" s="42" t="s">
        <v>37</v>
      </c>
      <c r="C188" s="42" t="s">
        <v>9</v>
      </c>
      <c r="D188" s="42">
        <v>32</v>
      </c>
      <c r="E188" s="42">
        <v>2015</v>
      </c>
      <c r="F188" s="42" t="s">
        <v>12</v>
      </c>
      <c r="G188" s="42" t="s">
        <v>13</v>
      </c>
      <c r="H188" s="42" t="str">
        <f>B188&amp;" "&amp;C188</f>
        <v>Report Generation Toolkit For Microsoft Office 15.0.0</v>
      </c>
      <c r="I188" s="36" t="s">
        <v>42</v>
      </c>
      <c r="J188" s="7"/>
    </row>
    <row r="189" spans="1:10" x14ac:dyDescent="0.25">
      <c r="A189" s="42" t="s">
        <v>543</v>
      </c>
      <c r="B189" s="42" t="s">
        <v>83</v>
      </c>
      <c r="C189" s="42" t="s">
        <v>84</v>
      </c>
      <c r="D189" s="42">
        <v>32</v>
      </c>
      <c r="E189" s="42">
        <v>2015</v>
      </c>
      <c r="F189" s="42" t="s">
        <v>12</v>
      </c>
      <c r="G189" s="42" t="s">
        <v>13</v>
      </c>
      <c r="H189" s="42" t="str">
        <f>B189&amp;" "&amp;C189</f>
        <v>Signal Processing Toolkit 7.0.2</v>
      </c>
      <c r="I189" s="36" t="s">
        <v>42</v>
      </c>
      <c r="J189" s="7"/>
    </row>
    <row r="190" spans="1:10" x14ac:dyDescent="0.25">
      <c r="A190" s="42" t="s">
        <v>543</v>
      </c>
      <c r="B190" s="42" t="s">
        <v>85</v>
      </c>
      <c r="C190" s="42" t="s">
        <v>86</v>
      </c>
      <c r="D190" s="42">
        <v>32</v>
      </c>
      <c r="E190" s="42">
        <v>2015</v>
      </c>
      <c r="F190" s="42" t="s">
        <v>12</v>
      </c>
      <c r="G190" s="42" t="s">
        <v>13</v>
      </c>
      <c r="H190" s="42" t="str">
        <f>B190&amp;" "&amp;C190</f>
        <v>SQL Toolkit 2.3.0</v>
      </c>
      <c r="I190" s="36" t="s">
        <v>42</v>
      </c>
      <c r="J190" s="7"/>
    </row>
    <row r="191" spans="1:10" x14ac:dyDescent="0.25">
      <c r="A191" s="42" t="s">
        <v>543</v>
      </c>
      <c r="B191" s="42" t="s">
        <v>38</v>
      </c>
      <c r="C191" s="42" t="s">
        <v>9</v>
      </c>
      <c r="D191" s="42">
        <v>32</v>
      </c>
      <c r="E191" s="42">
        <v>2015</v>
      </c>
      <c r="F191" s="42" t="s">
        <v>12</v>
      </c>
      <c r="G191" s="42" t="s">
        <v>13</v>
      </c>
      <c r="H191" s="42" t="str">
        <f>B191&amp;" "&amp;C191</f>
        <v>Statechart Module 15.0.0</v>
      </c>
      <c r="I191" s="36" t="s">
        <v>42</v>
      </c>
      <c r="J191" s="7"/>
    </row>
    <row r="192" spans="1:10" x14ac:dyDescent="0.25">
      <c r="A192" s="42" t="s">
        <v>543</v>
      </c>
      <c r="B192" s="117" t="s">
        <v>359</v>
      </c>
      <c r="C192" s="118" t="s">
        <v>360</v>
      </c>
      <c r="D192" s="118" t="s">
        <v>10</v>
      </c>
      <c r="E192" s="118" t="s">
        <v>136</v>
      </c>
      <c r="F192" s="118" t="s">
        <v>12</v>
      </c>
      <c r="G192" s="118" t="s">
        <v>13</v>
      </c>
      <c r="H192" s="117" t="str">
        <f>B192&amp;" "&amp;C192</f>
        <v>Structure Error Handler 2.1.10.1</v>
      </c>
      <c r="I192" s="172" t="s">
        <v>202</v>
      </c>
      <c r="J192" s="7"/>
    </row>
    <row r="193" spans="1:10" x14ac:dyDescent="0.25">
      <c r="A193" s="42" t="s">
        <v>543</v>
      </c>
      <c r="B193" s="42" t="s">
        <v>39</v>
      </c>
      <c r="C193" s="42" t="s">
        <v>9</v>
      </c>
      <c r="D193" s="42">
        <v>32</v>
      </c>
      <c r="E193" s="42">
        <v>2015</v>
      </c>
      <c r="F193" s="42" t="s">
        <v>12</v>
      </c>
      <c r="G193" s="42" t="s">
        <v>13</v>
      </c>
      <c r="H193" s="42" t="str">
        <f>B193&amp;" "&amp;C193</f>
        <v>Unit Test Framework Toolkit 15.0.0</v>
      </c>
      <c r="I193" s="36" t="s">
        <v>42</v>
      </c>
      <c r="J193" s="7"/>
    </row>
    <row r="194" spans="1:10" x14ac:dyDescent="0.25">
      <c r="A194" s="42" t="s">
        <v>543</v>
      </c>
      <c r="B194" s="42" t="s">
        <v>384</v>
      </c>
      <c r="C194" s="42" t="s">
        <v>429</v>
      </c>
      <c r="D194" s="42" t="s">
        <v>10</v>
      </c>
      <c r="E194" s="42" t="s">
        <v>119</v>
      </c>
      <c r="F194" s="42" t="s">
        <v>12</v>
      </c>
      <c r="G194" s="42" t="s">
        <v>13</v>
      </c>
      <c r="H194" s="42" t="str">
        <f>B194&amp;" "&amp;C194</f>
        <v>USB3 Vision Driver 19.0.0.49152</v>
      </c>
      <c r="I194" s="39" t="s">
        <v>424</v>
      </c>
      <c r="J194" s="7"/>
    </row>
    <row r="195" spans="1:10" x14ac:dyDescent="0.25">
      <c r="A195" s="42" t="s">
        <v>543</v>
      </c>
      <c r="B195" s="42" t="s">
        <v>40</v>
      </c>
      <c r="C195" s="42" t="s">
        <v>9</v>
      </c>
      <c r="D195" s="42">
        <v>32</v>
      </c>
      <c r="E195" s="42">
        <v>2015</v>
      </c>
      <c r="F195" s="42" t="s">
        <v>12</v>
      </c>
      <c r="G195" s="42" t="s">
        <v>13</v>
      </c>
      <c r="H195" s="42" t="str">
        <f>B195&amp;" "&amp;C195</f>
        <v>VI Analyzer Toolkit 15.0.0</v>
      </c>
      <c r="I195" s="36" t="s">
        <v>42</v>
      </c>
      <c r="J195" s="7"/>
    </row>
    <row r="196" spans="1:10" x14ac:dyDescent="0.25">
      <c r="A196" s="42" t="s">
        <v>543</v>
      </c>
      <c r="B196" s="42" t="s">
        <v>370</v>
      </c>
      <c r="C196" s="42" t="s">
        <v>135</v>
      </c>
      <c r="D196" s="42" t="s">
        <v>10</v>
      </c>
      <c r="E196" s="42" t="s">
        <v>119</v>
      </c>
      <c r="F196" s="42" t="s">
        <v>12</v>
      </c>
      <c r="G196" s="42" t="s">
        <v>13</v>
      </c>
      <c r="H196" s="42" t="str">
        <f>B196&amp;" "&amp;C196</f>
        <v>Vision Common Resources 19.0.0</v>
      </c>
      <c r="I196" s="39" t="s">
        <v>424</v>
      </c>
      <c r="J196" s="7"/>
    </row>
    <row r="197" spans="1:10" x14ac:dyDescent="0.25">
      <c r="A197" s="42" t="s">
        <v>543</v>
      </c>
      <c r="B197" s="42" t="s">
        <v>390</v>
      </c>
      <c r="C197" s="42" t="s">
        <v>135</v>
      </c>
      <c r="D197" s="42" t="s">
        <v>10</v>
      </c>
      <c r="E197" s="42" t="s">
        <v>119</v>
      </c>
      <c r="F197" s="42" t="s">
        <v>12</v>
      </c>
      <c r="G197" s="42" t="s">
        <v>13</v>
      </c>
      <c r="H197" s="42" t="str">
        <f>B197&amp;" "&amp;C197</f>
        <v>Vision Development Module 19.0.0</v>
      </c>
      <c r="I197" s="175" t="s">
        <v>424</v>
      </c>
      <c r="J197" s="7"/>
    </row>
    <row r="198" spans="1:10" x14ac:dyDescent="0.25">
      <c r="A198" s="42" t="s">
        <v>543</v>
      </c>
      <c r="B198" s="42" t="s">
        <v>391</v>
      </c>
      <c r="C198" s="42" t="s">
        <v>135</v>
      </c>
      <c r="D198" s="42" t="s">
        <v>10</v>
      </c>
      <c r="E198" s="42" t="s">
        <v>119</v>
      </c>
      <c r="F198" s="42" t="s">
        <v>24</v>
      </c>
      <c r="G198" s="42" t="s">
        <v>13</v>
      </c>
      <c r="H198" s="174" t="str">
        <f>B198&amp;" "&amp;C198</f>
        <v>Vision Development Module Support 19.0.0</v>
      </c>
      <c r="I198" s="39" t="s">
        <v>424</v>
      </c>
      <c r="J198" s="7"/>
    </row>
    <row r="199" spans="1:10" x14ac:dyDescent="0.25">
      <c r="I199" s="173"/>
    </row>
  </sheetData>
  <autoFilter ref="A3:I198" xr:uid="{F7F44E2F-0633-42B7-8978-CE6606F45AA2}">
    <sortState xmlns:xlrd2="http://schemas.microsoft.com/office/spreadsheetml/2017/richdata2" ref="A4:I198">
      <sortCondition ref="B3:B198"/>
    </sortState>
  </autoFilter>
  <mergeCells count="1">
    <mergeCell ref="A1:I2"/>
  </mergeCells>
  <hyperlinks>
    <hyperlink ref="G157" r:id="rId1" display="http://openg.org/" xr:uid="{94DE825F-40B6-4387-9F1C-951610EE4F8C}"/>
    <hyperlink ref="G158" r:id="rId2" display="http://openg.org/" xr:uid="{EC864293-D4B6-440C-92F2-E872DCE7F5EA}"/>
    <hyperlink ref="G159" r:id="rId3" display="http://openg.org/" xr:uid="{59926EC3-CCF4-4382-BF24-5D6957296D07}"/>
    <hyperlink ref="G160" r:id="rId4" display="http://openg.org/" xr:uid="{9C65155C-ABD2-420D-98E0-1AF047922082}"/>
    <hyperlink ref="G161" r:id="rId5" display="http://openg.org/" xr:uid="{9067E9C6-C468-498D-9061-A8BF6CFC9A17}"/>
    <hyperlink ref="G162" r:id="rId6" display="http://openg.org/" xr:uid="{FE6117BC-4981-48CF-A505-E29D04BB793C}"/>
    <hyperlink ref="G163" r:id="rId7" display="http://openg.org/" xr:uid="{93E65643-0CA7-486F-B28B-F9627208B269}"/>
    <hyperlink ref="G164" r:id="rId8" display="http://openg.org/" xr:uid="{B0CC4F5B-CDAF-4F0A-9EBB-05EE260E63E9}"/>
    <hyperlink ref="G165" r:id="rId9" display="http://openg.org/" xr:uid="{B00C33B9-481E-411C-B359-7B94C6327F21}"/>
    <hyperlink ref="G166" r:id="rId10" display="http://openg.org/" xr:uid="{6920A437-0038-4AAA-B76B-D2E62C680F6E}"/>
    <hyperlink ref="G169" r:id="rId11" display="http://openg.org/" xr:uid="{53120ABC-DD9C-4D9D-848A-50323FAD5B45}"/>
    <hyperlink ref="G170" r:id="rId12" display="http://openg.org/" xr:uid="{5E14D255-D0ED-452E-8F71-27A08007DDFC}"/>
    <hyperlink ref="G171" r:id="rId13" display="http://openg.org/" xr:uid="{CDAEF7E2-09B1-4EE7-90A7-7EF1E88858D5}"/>
    <hyperlink ref="G172" r:id="rId14" display="http://openg.org/" xr:uid="{4DD43253-860F-4470-BF5C-0174B9451262}"/>
    <hyperlink ref="G173" r:id="rId15" display="http://openg.org/" xr:uid="{E67E3B58-E38E-4895-BDDA-504251B6DFD9}"/>
    <hyperlink ref="G174" r:id="rId16" display="http://openg.org/" xr:uid="{832FC967-DEAC-40E0-94A0-6A47A8DDD64D}"/>
    <hyperlink ref="G175" r:id="rId17" display="http://openg.org/" xr:uid="{E055781F-D0E1-4D3B-AC3A-145833888C6B}"/>
    <hyperlink ref="G176" r:id="rId18" display="http://openg.org/" xr:uid="{AF0FB1F7-C1AE-4E39-9955-2C1FC9EF7F19}"/>
    <hyperlink ref="G177" r:id="rId19" display="http://openg.org/" xr:uid="{2906DFDA-015E-4631-A934-B0CDE2A5B82B}"/>
    <hyperlink ref="G178" r:id="rId20" display="http://openg.org/" xr:uid="{6362BA8C-A9A3-4616-9F30-86912C5AAF23}"/>
    <hyperlink ref="G179" r:id="rId21" display="http://openg.org/" xr:uid="{2CAE8D70-C655-4B7C-8F0A-439D83EE0F22}"/>
    <hyperlink ref="G180" r:id="rId22" display="http://openg.org/" xr:uid="{7E6C4E7C-31ED-4338-BBB3-0B490FE7FE3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248"/>
  <sheetViews>
    <sheetView showZeros="0" zoomScaleNormal="10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11.140625" defaultRowHeight="13.5" x14ac:dyDescent="0.25"/>
  <cols>
    <col min="1" max="1" width="12.5703125" style="5" bestFit="1" customWidth="1"/>
    <col min="2" max="2" width="33.42578125" style="5" bestFit="1" customWidth="1"/>
    <col min="3" max="3" width="11.7109375" style="12" bestFit="1" customWidth="1"/>
    <col min="4" max="4" width="9" style="12" bestFit="1" customWidth="1"/>
    <col min="5" max="5" width="11.5703125" style="12" bestFit="1" customWidth="1"/>
    <col min="6" max="6" width="21.28515625" style="12" bestFit="1" customWidth="1"/>
    <col min="7" max="7" width="11.42578125" style="12" bestFit="1" customWidth="1"/>
    <col min="8" max="8" width="43" style="5" bestFit="1" customWidth="1"/>
    <col min="9" max="9" width="31.7109375" style="5" bestFit="1" customWidth="1"/>
    <col min="10" max="16384" width="11.140625" style="5"/>
  </cols>
  <sheetData>
    <row r="1" spans="1:9" x14ac:dyDescent="0.25">
      <c r="A1" s="122" t="s">
        <v>506</v>
      </c>
      <c r="B1" s="122"/>
      <c r="C1" s="122"/>
      <c r="D1" s="122"/>
      <c r="E1" s="122"/>
      <c r="F1" s="122"/>
      <c r="G1" s="122"/>
      <c r="H1" s="122"/>
      <c r="I1" s="127"/>
    </row>
    <row r="2" spans="1:9" ht="14.25" thickBot="1" x14ac:dyDescent="0.3">
      <c r="A2" s="128"/>
      <c r="B2" s="128"/>
      <c r="C2" s="128"/>
      <c r="D2" s="128"/>
      <c r="E2" s="128"/>
      <c r="F2" s="128"/>
      <c r="G2" s="128"/>
      <c r="H2" s="128"/>
      <c r="I2" s="129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ht="15" x14ac:dyDescent="0.25">
      <c r="A4"/>
      <c r="B4"/>
      <c r="C4"/>
      <c r="D4"/>
      <c r="E4"/>
      <c r="F4"/>
      <c r="G4"/>
      <c r="H4"/>
      <c r="I4"/>
    </row>
    <row r="5" spans="1:9" ht="15" x14ac:dyDescent="0.25">
      <c r="A5"/>
      <c r="B5"/>
      <c r="C5"/>
      <c r="D5"/>
      <c r="E5"/>
      <c r="F5"/>
      <c r="G5"/>
      <c r="H5"/>
      <c r="I5"/>
    </row>
    <row r="6" spans="1:9" ht="15" x14ac:dyDescent="0.25">
      <c r="A6"/>
      <c r="B6"/>
      <c r="C6"/>
      <c r="D6"/>
      <c r="E6"/>
      <c r="F6"/>
      <c r="G6"/>
      <c r="H6"/>
      <c r="I6"/>
    </row>
    <row r="7" spans="1:9" ht="15" x14ac:dyDescent="0.25">
      <c r="A7"/>
      <c r="B7"/>
      <c r="C7"/>
      <c r="D7"/>
      <c r="E7"/>
      <c r="F7"/>
      <c r="G7"/>
      <c r="H7"/>
      <c r="I7"/>
    </row>
    <row r="8" spans="1:9" ht="15" x14ac:dyDescent="0.25">
      <c r="A8"/>
      <c r="B8"/>
      <c r="C8"/>
      <c r="D8"/>
      <c r="E8"/>
      <c r="F8"/>
      <c r="G8"/>
      <c r="H8"/>
      <c r="I8"/>
    </row>
    <row r="9" spans="1:9" ht="15" x14ac:dyDescent="0.25">
      <c r="A9"/>
      <c r="B9"/>
      <c r="C9"/>
      <c r="D9"/>
      <c r="E9"/>
      <c r="F9"/>
      <c r="G9"/>
      <c r="H9"/>
      <c r="I9"/>
    </row>
    <row r="10" spans="1:9" ht="15" x14ac:dyDescent="0.25">
      <c r="A10"/>
      <c r="B10"/>
      <c r="C10"/>
      <c r="D10"/>
      <c r="E10"/>
      <c r="F10"/>
      <c r="G10"/>
      <c r="H10"/>
      <c r="I10"/>
    </row>
    <row r="11" spans="1:9" ht="15" x14ac:dyDescent="0.25">
      <c r="A11"/>
      <c r="B11"/>
      <c r="C11"/>
      <c r="D11"/>
      <c r="E11"/>
      <c r="F11"/>
      <c r="G11"/>
      <c r="H11"/>
      <c r="I11"/>
    </row>
    <row r="12" spans="1:9" ht="15" x14ac:dyDescent="0.25">
      <c r="A12"/>
      <c r="B12"/>
      <c r="C12"/>
      <c r="D12"/>
      <c r="E12"/>
      <c r="F12"/>
      <c r="G12"/>
      <c r="H12"/>
      <c r="I12"/>
    </row>
    <row r="13" spans="1:9" ht="15" x14ac:dyDescent="0.25">
      <c r="A13"/>
      <c r="B13"/>
      <c r="C13"/>
      <c r="D13"/>
      <c r="E13"/>
      <c r="F13"/>
      <c r="G13"/>
      <c r="H13"/>
      <c r="I13"/>
    </row>
    <row r="14" spans="1:9" ht="15" x14ac:dyDescent="0.25">
      <c r="A14"/>
      <c r="B14"/>
      <c r="C14"/>
      <c r="D14"/>
      <c r="E14"/>
      <c r="F14"/>
      <c r="G14"/>
      <c r="H14"/>
      <c r="I14"/>
    </row>
    <row r="15" spans="1:9" ht="15" x14ac:dyDescent="0.25">
      <c r="A15"/>
      <c r="B15"/>
      <c r="C15"/>
      <c r="D15"/>
      <c r="E15"/>
      <c r="F15"/>
      <c r="G15"/>
      <c r="H15"/>
      <c r="I15"/>
    </row>
    <row r="16" spans="1:9" ht="15" x14ac:dyDescent="0.25">
      <c r="A16"/>
      <c r="B16"/>
      <c r="C16"/>
      <c r="D16"/>
      <c r="E16"/>
      <c r="F16"/>
      <c r="G16"/>
      <c r="H16"/>
      <c r="I16"/>
    </row>
    <row r="17" spans="1:9" ht="15" x14ac:dyDescent="0.25">
      <c r="A17"/>
      <c r="B17"/>
      <c r="C17"/>
      <c r="D17"/>
      <c r="E17"/>
      <c r="F17"/>
      <c r="G17"/>
      <c r="H17"/>
      <c r="I17"/>
    </row>
    <row r="18" spans="1:9" ht="15" x14ac:dyDescent="0.25">
      <c r="A18"/>
      <c r="B18"/>
      <c r="C18"/>
      <c r="D18"/>
      <c r="E18"/>
      <c r="F18"/>
      <c r="G18"/>
      <c r="H18"/>
      <c r="I18"/>
    </row>
    <row r="19" spans="1:9" ht="15" x14ac:dyDescent="0.25">
      <c r="A19"/>
      <c r="B19"/>
      <c r="C19"/>
      <c r="D19"/>
      <c r="E19"/>
      <c r="F19"/>
      <c r="G19"/>
      <c r="H19"/>
      <c r="I19"/>
    </row>
    <row r="20" spans="1:9" ht="15" x14ac:dyDescent="0.25">
      <c r="A20"/>
      <c r="B20"/>
      <c r="C20"/>
      <c r="D20"/>
      <c r="E20"/>
      <c r="F20"/>
      <c r="G20"/>
      <c r="H20"/>
      <c r="I20"/>
    </row>
    <row r="21" spans="1:9" ht="15" x14ac:dyDescent="0.25">
      <c r="A21"/>
      <c r="B21"/>
      <c r="C21"/>
      <c r="D21"/>
      <c r="E21"/>
      <c r="F21"/>
      <c r="G21"/>
      <c r="H21"/>
      <c r="I21"/>
    </row>
    <row r="22" spans="1:9" ht="15" x14ac:dyDescent="0.25">
      <c r="A22"/>
      <c r="B22"/>
      <c r="C22"/>
      <c r="D22"/>
      <c r="E22"/>
      <c r="F22"/>
      <c r="G22"/>
      <c r="H22"/>
      <c r="I22"/>
    </row>
    <row r="23" spans="1:9" ht="15" x14ac:dyDescent="0.25">
      <c r="A23"/>
      <c r="B23"/>
      <c r="C23"/>
      <c r="D23"/>
      <c r="E23"/>
      <c r="F23"/>
      <c r="G23"/>
      <c r="H23"/>
      <c r="I23"/>
    </row>
    <row r="24" spans="1:9" ht="15" x14ac:dyDescent="0.25">
      <c r="A24"/>
      <c r="B24"/>
      <c r="C24"/>
      <c r="D24"/>
      <c r="E24"/>
      <c r="F24"/>
      <c r="G24"/>
      <c r="H24"/>
      <c r="I24"/>
    </row>
    <row r="25" spans="1:9" ht="15" x14ac:dyDescent="0.25">
      <c r="A25"/>
      <c r="B25"/>
      <c r="C25"/>
      <c r="D25"/>
      <c r="E25"/>
      <c r="F25"/>
      <c r="G25"/>
      <c r="H25"/>
      <c r="I25"/>
    </row>
    <row r="26" spans="1:9" ht="15" x14ac:dyDescent="0.25">
      <c r="A26"/>
      <c r="B26"/>
      <c r="C26"/>
      <c r="D26"/>
      <c r="E26"/>
      <c r="F26"/>
      <c r="G26"/>
      <c r="H26"/>
      <c r="I26"/>
    </row>
    <row r="27" spans="1:9" ht="15" x14ac:dyDescent="0.25">
      <c r="A27"/>
      <c r="B27"/>
      <c r="C27"/>
      <c r="D27"/>
      <c r="E27"/>
      <c r="F27"/>
      <c r="G27"/>
      <c r="H27"/>
      <c r="I27"/>
    </row>
    <row r="28" spans="1:9" ht="15" x14ac:dyDescent="0.25">
      <c r="A28"/>
      <c r="B28"/>
      <c r="C28"/>
      <c r="D28"/>
      <c r="E28"/>
      <c r="F28"/>
      <c r="G28"/>
      <c r="H28"/>
      <c r="I28"/>
    </row>
    <row r="29" spans="1:9" ht="15" x14ac:dyDescent="0.25">
      <c r="A29"/>
      <c r="B29"/>
      <c r="C29"/>
      <c r="D29"/>
      <c r="E29"/>
      <c r="F29"/>
      <c r="G29"/>
      <c r="H29"/>
      <c r="I29"/>
    </row>
    <row r="30" spans="1:9" ht="15" x14ac:dyDescent="0.25">
      <c r="A30"/>
      <c r="B30"/>
      <c r="C30"/>
      <c r="D30"/>
      <c r="E30"/>
      <c r="F30"/>
      <c r="G30"/>
      <c r="H30"/>
      <c r="I30"/>
    </row>
    <row r="31" spans="1:9" ht="15" x14ac:dyDescent="0.25">
      <c r="A31"/>
      <c r="B31"/>
      <c r="C31"/>
      <c r="D31"/>
      <c r="E31"/>
      <c r="F31"/>
      <c r="G31"/>
      <c r="H31"/>
      <c r="I31"/>
    </row>
    <row r="32" spans="1:9" ht="15" x14ac:dyDescent="0.25">
      <c r="A32"/>
      <c r="B32"/>
      <c r="C32"/>
      <c r="D32"/>
      <c r="E32"/>
      <c r="F32"/>
      <c r="G32"/>
      <c r="H32"/>
      <c r="I32"/>
    </row>
    <row r="33" spans="1:9" ht="15" x14ac:dyDescent="0.25">
      <c r="A33"/>
      <c r="B33"/>
      <c r="C33"/>
      <c r="D33"/>
      <c r="E33"/>
      <c r="F33"/>
      <c r="G33"/>
      <c r="H33"/>
      <c r="I33"/>
    </row>
    <row r="34" spans="1:9" ht="15" x14ac:dyDescent="0.25">
      <c r="A34"/>
      <c r="B34"/>
      <c r="C34"/>
      <c r="D34"/>
      <c r="E34"/>
      <c r="F34"/>
      <c r="G34"/>
      <c r="H34"/>
      <c r="I34"/>
    </row>
    <row r="35" spans="1:9" ht="15" x14ac:dyDescent="0.25">
      <c r="A35"/>
      <c r="B35"/>
      <c r="C35"/>
      <c r="D35"/>
      <c r="E35"/>
      <c r="F35"/>
      <c r="G35"/>
      <c r="H35"/>
      <c r="I35"/>
    </row>
    <row r="36" spans="1:9" ht="15" x14ac:dyDescent="0.25">
      <c r="A36"/>
      <c r="B36"/>
      <c r="C36"/>
      <c r="D36"/>
      <c r="E36"/>
      <c r="F36"/>
      <c r="G36"/>
      <c r="H36"/>
      <c r="I36"/>
    </row>
    <row r="37" spans="1:9" ht="15" x14ac:dyDescent="0.25">
      <c r="A37"/>
      <c r="B37"/>
      <c r="C37"/>
      <c r="D37"/>
      <c r="E37"/>
      <c r="F37"/>
      <c r="G37"/>
      <c r="H37"/>
      <c r="I37"/>
    </row>
    <row r="38" spans="1:9" ht="15" x14ac:dyDescent="0.25">
      <c r="A38"/>
      <c r="B38"/>
      <c r="C38"/>
      <c r="D38"/>
      <c r="E38"/>
      <c r="F38"/>
      <c r="G38"/>
      <c r="H38"/>
      <c r="I38"/>
    </row>
    <row r="39" spans="1:9" ht="15" x14ac:dyDescent="0.25">
      <c r="A39"/>
      <c r="B39"/>
      <c r="C39"/>
      <c r="D39"/>
      <c r="E39"/>
      <c r="F39"/>
      <c r="G39"/>
      <c r="H39"/>
      <c r="I39"/>
    </row>
    <row r="40" spans="1:9" ht="15" x14ac:dyDescent="0.25">
      <c r="A40"/>
      <c r="B40"/>
      <c r="C40"/>
      <c r="D40"/>
      <c r="E40"/>
      <c r="F40"/>
      <c r="G40"/>
      <c r="H40"/>
      <c r="I40"/>
    </row>
    <row r="41" spans="1:9" ht="15" x14ac:dyDescent="0.25">
      <c r="A41"/>
      <c r="B41"/>
      <c r="C41"/>
      <c r="D41"/>
      <c r="E41"/>
      <c r="F41"/>
      <c r="G41"/>
      <c r="H41"/>
      <c r="I41"/>
    </row>
    <row r="42" spans="1:9" ht="15" x14ac:dyDescent="0.25">
      <c r="A42"/>
      <c r="B42"/>
      <c r="C42"/>
      <c r="D42"/>
      <c r="E42"/>
      <c r="F42"/>
      <c r="G42"/>
      <c r="H42"/>
      <c r="I42"/>
    </row>
    <row r="43" spans="1:9" ht="15" x14ac:dyDescent="0.25">
      <c r="A43"/>
      <c r="B43"/>
      <c r="C43"/>
      <c r="D43"/>
      <c r="E43"/>
      <c r="F43"/>
      <c r="G43"/>
      <c r="H43"/>
      <c r="I43"/>
    </row>
    <row r="44" spans="1:9" ht="15" x14ac:dyDescent="0.25">
      <c r="A44"/>
      <c r="B44"/>
      <c r="C44"/>
      <c r="D44"/>
      <c r="E44"/>
      <c r="F44"/>
      <c r="G44"/>
      <c r="H44"/>
      <c r="I44"/>
    </row>
    <row r="45" spans="1:9" ht="15" x14ac:dyDescent="0.25">
      <c r="A45"/>
      <c r="B45"/>
      <c r="C45"/>
      <c r="D45"/>
      <c r="E45"/>
      <c r="F45"/>
      <c r="G45"/>
      <c r="H45"/>
      <c r="I45"/>
    </row>
    <row r="46" spans="1:9" ht="15" x14ac:dyDescent="0.25">
      <c r="A46"/>
      <c r="B46"/>
      <c r="C46"/>
      <c r="D46"/>
      <c r="E46"/>
      <c r="F46"/>
      <c r="G46"/>
      <c r="H46"/>
      <c r="I46"/>
    </row>
    <row r="47" spans="1:9" ht="15" x14ac:dyDescent="0.25">
      <c r="A47"/>
      <c r="B47"/>
      <c r="C47"/>
      <c r="D47"/>
      <c r="E47"/>
      <c r="F47"/>
      <c r="G47"/>
      <c r="H47"/>
      <c r="I47"/>
    </row>
    <row r="48" spans="1:9" ht="15" x14ac:dyDescent="0.25">
      <c r="A48"/>
      <c r="B48"/>
      <c r="C48"/>
      <c r="D48"/>
      <c r="E48"/>
      <c r="F48"/>
      <c r="G48"/>
      <c r="H48"/>
      <c r="I48"/>
    </row>
    <row r="49" spans="1:9" ht="15" x14ac:dyDescent="0.25">
      <c r="A49"/>
      <c r="B49"/>
      <c r="C49"/>
      <c r="D49"/>
      <c r="E49"/>
      <c r="F49"/>
      <c r="G49"/>
      <c r="H49"/>
      <c r="I49"/>
    </row>
    <row r="50" spans="1:9" ht="15" x14ac:dyDescent="0.25">
      <c r="A50"/>
      <c r="B50"/>
      <c r="C50"/>
      <c r="D50"/>
      <c r="E50"/>
      <c r="F50"/>
      <c r="G50"/>
      <c r="H50"/>
      <c r="I50"/>
    </row>
    <row r="51" spans="1:9" ht="15" x14ac:dyDescent="0.25">
      <c r="A51"/>
      <c r="B51"/>
      <c r="C51"/>
      <c r="D51"/>
      <c r="E51"/>
      <c r="F51"/>
      <c r="G51"/>
      <c r="H51"/>
      <c r="I51"/>
    </row>
    <row r="52" spans="1:9" ht="15" x14ac:dyDescent="0.25">
      <c r="A52"/>
      <c r="B52"/>
      <c r="C52"/>
      <c r="D52"/>
      <c r="E52"/>
      <c r="F52"/>
      <c r="G52"/>
      <c r="H52"/>
      <c r="I52"/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  <row r="81" spans="1:9" ht="15" x14ac:dyDescent="0.25">
      <c r="A81"/>
      <c r="B81"/>
      <c r="C81"/>
      <c r="D81"/>
      <c r="E81"/>
      <c r="F81"/>
      <c r="G81"/>
      <c r="H81"/>
      <c r="I81"/>
    </row>
    <row r="82" spans="1:9" ht="15" x14ac:dyDescent="0.25">
      <c r="A82"/>
      <c r="B82"/>
      <c r="C82"/>
      <c r="D82"/>
      <c r="E82"/>
      <c r="F82"/>
      <c r="G82"/>
      <c r="H82"/>
      <c r="I82"/>
    </row>
    <row r="83" spans="1:9" ht="15" x14ac:dyDescent="0.25">
      <c r="A83"/>
      <c r="B83"/>
      <c r="C83"/>
      <c r="D83"/>
      <c r="E83"/>
      <c r="F83"/>
      <c r="G83"/>
      <c r="H83"/>
      <c r="I83"/>
    </row>
    <row r="84" spans="1:9" ht="15" x14ac:dyDescent="0.25">
      <c r="A84"/>
      <c r="B84"/>
      <c r="C84"/>
      <c r="D84"/>
      <c r="E84"/>
      <c r="F84"/>
      <c r="G84"/>
      <c r="H84"/>
      <c r="I84"/>
    </row>
    <row r="85" spans="1:9" ht="15" x14ac:dyDescent="0.25">
      <c r="A85"/>
      <c r="B85"/>
      <c r="C85"/>
      <c r="D85"/>
      <c r="E85"/>
      <c r="F85"/>
      <c r="G85"/>
      <c r="H85"/>
      <c r="I85"/>
    </row>
    <row r="86" spans="1:9" ht="15" x14ac:dyDescent="0.25">
      <c r="A86"/>
      <c r="B86"/>
      <c r="C86"/>
      <c r="D86"/>
      <c r="E86"/>
      <c r="F86"/>
      <c r="G86"/>
      <c r="H86"/>
      <c r="I86"/>
    </row>
    <row r="87" spans="1:9" ht="15" x14ac:dyDescent="0.25">
      <c r="A87"/>
      <c r="B87"/>
      <c r="C87"/>
      <c r="D87"/>
      <c r="E87"/>
      <c r="F87"/>
      <c r="G87"/>
      <c r="H87"/>
      <c r="I87"/>
    </row>
    <row r="88" spans="1:9" ht="15" x14ac:dyDescent="0.25">
      <c r="A88"/>
      <c r="B88"/>
      <c r="C88"/>
      <c r="D88"/>
      <c r="E88"/>
      <c r="F88"/>
      <c r="G88"/>
      <c r="H88"/>
      <c r="I88"/>
    </row>
    <row r="89" spans="1:9" ht="15" x14ac:dyDescent="0.25">
      <c r="A89"/>
      <c r="B89"/>
      <c r="C89"/>
      <c r="D89"/>
      <c r="E89"/>
      <c r="F89"/>
      <c r="G89"/>
      <c r="H89"/>
      <c r="I89"/>
    </row>
    <row r="90" spans="1:9" ht="15" x14ac:dyDescent="0.25">
      <c r="A90"/>
      <c r="B90"/>
      <c r="C90"/>
      <c r="D90"/>
      <c r="E90"/>
      <c r="F90"/>
      <c r="G90"/>
      <c r="H90"/>
      <c r="I90"/>
    </row>
    <row r="91" spans="1:9" ht="15" x14ac:dyDescent="0.25">
      <c r="A91"/>
      <c r="B91"/>
      <c r="C91"/>
      <c r="D91"/>
      <c r="E91"/>
      <c r="F91"/>
      <c r="G91"/>
      <c r="H91"/>
      <c r="I91"/>
    </row>
    <row r="92" spans="1:9" ht="15" x14ac:dyDescent="0.25">
      <c r="A92"/>
      <c r="B92"/>
      <c r="C92"/>
      <c r="D92"/>
      <c r="E92"/>
      <c r="F92"/>
      <c r="G92"/>
      <c r="H92"/>
      <c r="I92"/>
    </row>
    <row r="93" spans="1:9" ht="15" x14ac:dyDescent="0.25">
      <c r="A93"/>
      <c r="B93"/>
      <c r="C93"/>
      <c r="D93"/>
      <c r="E93"/>
      <c r="F93"/>
      <c r="G93"/>
      <c r="H93"/>
      <c r="I93"/>
    </row>
    <row r="94" spans="1:9" ht="15" x14ac:dyDescent="0.25">
      <c r="A94"/>
      <c r="B94"/>
      <c r="C94"/>
      <c r="D94"/>
      <c r="E94"/>
      <c r="F94"/>
      <c r="G94"/>
      <c r="H94"/>
      <c r="I94"/>
    </row>
    <row r="95" spans="1:9" ht="15" x14ac:dyDescent="0.25">
      <c r="A95"/>
      <c r="B95"/>
      <c r="C95"/>
      <c r="D95"/>
      <c r="E95"/>
      <c r="F95"/>
      <c r="G95"/>
      <c r="H95"/>
      <c r="I95"/>
    </row>
    <row r="96" spans="1:9" ht="15" x14ac:dyDescent="0.25">
      <c r="A96"/>
      <c r="B96"/>
      <c r="C96"/>
      <c r="D96"/>
      <c r="E96"/>
      <c r="F96"/>
      <c r="G96"/>
      <c r="H96"/>
      <c r="I96"/>
    </row>
    <row r="97" spans="1:9" ht="15" x14ac:dyDescent="0.25">
      <c r="A97"/>
      <c r="B97"/>
      <c r="C97"/>
      <c r="D97"/>
      <c r="E97"/>
      <c r="F97"/>
      <c r="G97"/>
      <c r="H97"/>
      <c r="I97"/>
    </row>
    <row r="98" spans="1:9" ht="15" x14ac:dyDescent="0.25">
      <c r="A98"/>
      <c r="B98"/>
      <c r="C98"/>
      <c r="D98"/>
      <c r="E98"/>
      <c r="F98"/>
      <c r="G98"/>
      <c r="H98"/>
      <c r="I98"/>
    </row>
    <row r="99" spans="1:9" ht="15" x14ac:dyDescent="0.25">
      <c r="A99"/>
      <c r="B99"/>
      <c r="C99"/>
      <c r="D99"/>
      <c r="E99"/>
      <c r="F99"/>
      <c r="G99"/>
      <c r="H99"/>
      <c r="I99"/>
    </row>
    <row r="100" spans="1:9" ht="15" x14ac:dyDescent="0.25">
      <c r="A100"/>
      <c r="B100"/>
      <c r="C100"/>
      <c r="D100"/>
      <c r="E100"/>
      <c r="F100"/>
      <c r="G100"/>
      <c r="H100"/>
      <c r="I100"/>
    </row>
    <row r="101" spans="1:9" ht="15" x14ac:dyDescent="0.25">
      <c r="A101"/>
      <c r="B101"/>
      <c r="C101"/>
      <c r="D101"/>
      <c r="E101"/>
      <c r="F101"/>
      <c r="G101"/>
      <c r="H101"/>
      <c r="I101"/>
    </row>
    <row r="102" spans="1:9" ht="15" x14ac:dyDescent="0.25">
      <c r="A102"/>
      <c r="B102"/>
      <c r="C102"/>
      <c r="D102"/>
      <c r="E102"/>
      <c r="F102"/>
      <c r="G102"/>
      <c r="H102"/>
      <c r="I102"/>
    </row>
    <row r="103" spans="1:9" ht="15" x14ac:dyDescent="0.25">
      <c r="A103"/>
      <c r="B103"/>
      <c r="C103"/>
      <c r="D103"/>
      <c r="E103"/>
      <c r="F103"/>
      <c r="G103"/>
      <c r="H103"/>
      <c r="I103"/>
    </row>
    <row r="104" spans="1:9" ht="15" x14ac:dyDescent="0.25">
      <c r="A104"/>
      <c r="B104"/>
      <c r="C104"/>
      <c r="D104"/>
      <c r="E104"/>
      <c r="F104"/>
      <c r="G104"/>
      <c r="H104"/>
      <c r="I104"/>
    </row>
    <row r="105" spans="1:9" ht="15" x14ac:dyDescent="0.25">
      <c r="A105"/>
      <c r="B105"/>
      <c r="C105"/>
      <c r="D105"/>
      <c r="E105"/>
      <c r="F105"/>
      <c r="G105"/>
      <c r="H105"/>
      <c r="I105"/>
    </row>
    <row r="106" spans="1:9" ht="15" x14ac:dyDescent="0.25">
      <c r="A106"/>
      <c r="B106"/>
      <c r="C106"/>
      <c r="D106"/>
      <c r="E106"/>
      <c r="F106"/>
      <c r="G106"/>
      <c r="H106"/>
      <c r="I106"/>
    </row>
    <row r="107" spans="1:9" ht="15" x14ac:dyDescent="0.25">
      <c r="A107"/>
      <c r="B107"/>
      <c r="C107"/>
      <c r="D107"/>
      <c r="E107"/>
      <c r="F107"/>
      <c r="G107"/>
      <c r="H107"/>
      <c r="I107"/>
    </row>
    <row r="108" spans="1:9" ht="15" x14ac:dyDescent="0.25">
      <c r="A108"/>
      <c r="B108"/>
      <c r="C108"/>
      <c r="D108"/>
      <c r="E108"/>
      <c r="F108"/>
      <c r="G108"/>
      <c r="H108"/>
      <c r="I108"/>
    </row>
    <row r="109" spans="1:9" ht="15" x14ac:dyDescent="0.25">
      <c r="A109"/>
      <c r="B109"/>
      <c r="C109"/>
      <c r="D109"/>
      <c r="E109"/>
      <c r="F109"/>
      <c r="G109"/>
      <c r="H109"/>
      <c r="I109"/>
    </row>
    <row r="110" spans="1:9" ht="15" x14ac:dyDescent="0.25">
      <c r="A110"/>
      <c r="B110"/>
      <c r="C110"/>
      <c r="D110"/>
      <c r="E110"/>
      <c r="F110"/>
      <c r="G110"/>
      <c r="H110"/>
      <c r="I110"/>
    </row>
    <row r="111" spans="1:9" ht="15" x14ac:dyDescent="0.25">
      <c r="A111"/>
      <c r="B111"/>
      <c r="C111"/>
      <c r="D111"/>
      <c r="E111"/>
      <c r="F111"/>
      <c r="G111"/>
      <c r="H111"/>
      <c r="I111"/>
    </row>
    <row r="112" spans="1:9" ht="15" x14ac:dyDescent="0.25">
      <c r="A112"/>
      <c r="B112"/>
      <c r="C112"/>
      <c r="D112"/>
      <c r="E112"/>
      <c r="F112"/>
      <c r="G112"/>
      <c r="H112"/>
      <c r="I112"/>
    </row>
    <row r="113" spans="1:9" ht="15" x14ac:dyDescent="0.25">
      <c r="A113"/>
      <c r="B113"/>
      <c r="C113"/>
      <c r="D113"/>
      <c r="E113"/>
      <c r="F113"/>
      <c r="G113"/>
      <c r="H113"/>
      <c r="I113"/>
    </row>
    <row r="114" spans="1:9" ht="15" x14ac:dyDescent="0.25">
      <c r="A114"/>
      <c r="B114"/>
      <c r="C114"/>
      <c r="D114"/>
      <c r="E114"/>
      <c r="F114"/>
      <c r="G114"/>
      <c r="H114"/>
      <c r="I114"/>
    </row>
    <row r="115" spans="1:9" ht="15" x14ac:dyDescent="0.25">
      <c r="A115"/>
      <c r="B115"/>
      <c r="C115"/>
      <c r="D115"/>
      <c r="E115"/>
      <c r="F115"/>
      <c r="G115"/>
      <c r="H115"/>
      <c r="I115"/>
    </row>
    <row r="116" spans="1:9" ht="15" x14ac:dyDescent="0.25">
      <c r="A116"/>
      <c r="B116"/>
      <c r="C116"/>
      <c r="D116"/>
      <c r="E116"/>
      <c r="F116"/>
      <c r="G116"/>
      <c r="H116"/>
      <c r="I116"/>
    </row>
    <row r="117" spans="1:9" ht="15" x14ac:dyDescent="0.25">
      <c r="A117"/>
      <c r="B117"/>
      <c r="C117"/>
      <c r="D117"/>
      <c r="E117"/>
      <c r="F117"/>
      <c r="G117"/>
      <c r="H117"/>
      <c r="I117"/>
    </row>
    <row r="118" spans="1:9" ht="15" x14ac:dyDescent="0.25">
      <c r="A118"/>
      <c r="B118"/>
      <c r="C118"/>
      <c r="D118"/>
      <c r="E118"/>
      <c r="F118"/>
      <c r="G118"/>
      <c r="H118"/>
      <c r="I118"/>
    </row>
    <row r="119" spans="1:9" ht="15" x14ac:dyDescent="0.25">
      <c r="A119"/>
      <c r="B119"/>
      <c r="C119"/>
      <c r="D119"/>
      <c r="E119"/>
      <c r="F119"/>
      <c r="G119"/>
      <c r="H119"/>
      <c r="I119"/>
    </row>
    <row r="120" spans="1:9" ht="15" x14ac:dyDescent="0.25">
      <c r="A120"/>
      <c r="B120"/>
      <c r="C120"/>
      <c r="D120"/>
      <c r="E120"/>
      <c r="F120"/>
      <c r="G120"/>
      <c r="H120"/>
      <c r="I120"/>
    </row>
    <row r="121" spans="1:9" ht="15" x14ac:dyDescent="0.25">
      <c r="A121"/>
      <c r="B121"/>
      <c r="C121"/>
      <c r="D121"/>
      <c r="E121"/>
      <c r="F121"/>
      <c r="G121"/>
      <c r="H121"/>
      <c r="I121"/>
    </row>
    <row r="122" spans="1:9" ht="15" x14ac:dyDescent="0.25">
      <c r="A122"/>
      <c r="B122"/>
      <c r="C122"/>
      <c r="D122"/>
      <c r="E122"/>
      <c r="F122"/>
      <c r="G122"/>
      <c r="H122"/>
      <c r="I122"/>
    </row>
    <row r="123" spans="1:9" ht="15" x14ac:dyDescent="0.25">
      <c r="A123"/>
      <c r="B123"/>
      <c r="C123"/>
      <c r="D123"/>
      <c r="E123"/>
      <c r="F123"/>
      <c r="G123"/>
      <c r="H123"/>
      <c r="I123"/>
    </row>
    <row r="124" spans="1:9" ht="15" x14ac:dyDescent="0.25">
      <c r="A124"/>
      <c r="B124"/>
      <c r="C124"/>
      <c r="D124"/>
      <c r="E124"/>
      <c r="F124"/>
      <c r="G124"/>
      <c r="H124"/>
      <c r="I124"/>
    </row>
    <row r="125" spans="1:9" ht="15" x14ac:dyDescent="0.25">
      <c r="A125"/>
      <c r="B125"/>
      <c r="C125"/>
      <c r="D125"/>
      <c r="E125"/>
      <c r="F125"/>
      <c r="G125"/>
      <c r="H125"/>
      <c r="I125"/>
    </row>
    <row r="126" spans="1:9" ht="15" x14ac:dyDescent="0.25">
      <c r="A126"/>
      <c r="B126"/>
      <c r="C126"/>
      <c r="D126"/>
      <c r="E126"/>
      <c r="F126"/>
      <c r="G126"/>
      <c r="H126"/>
      <c r="I126"/>
    </row>
    <row r="127" spans="1:9" ht="15" x14ac:dyDescent="0.25">
      <c r="A127"/>
      <c r="B127"/>
      <c r="C127"/>
      <c r="D127"/>
      <c r="E127"/>
      <c r="F127"/>
      <c r="G127"/>
      <c r="H127"/>
      <c r="I127"/>
    </row>
    <row r="128" spans="1:9" ht="15" x14ac:dyDescent="0.25">
      <c r="A128"/>
      <c r="B128"/>
      <c r="C128"/>
      <c r="D128"/>
      <c r="E128"/>
      <c r="F128"/>
      <c r="G128"/>
      <c r="H128"/>
      <c r="I128"/>
    </row>
    <row r="129" spans="1:9" ht="15" x14ac:dyDescent="0.25">
      <c r="A129"/>
      <c r="B129"/>
      <c r="C129"/>
      <c r="D129"/>
      <c r="E129"/>
      <c r="F129"/>
      <c r="G129"/>
      <c r="H129"/>
      <c r="I129"/>
    </row>
    <row r="130" spans="1:9" ht="15" x14ac:dyDescent="0.25">
      <c r="A130"/>
      <c r="B130"/>
      <c r="C130"/>
      <c r="D130"/>
      <c r="E130"/>
      <c r="F130"/>
      <c r="G130"/>
      <c r="H130"/>
      <c r="I130"/>
    </row>
    <row r="131" spans="1:9" ht="15" x14ac:dyDescent="0.25">
      <c r="A131"/>
      <c r="B131"/>
      <c r="C131"/>
      <c r="D131"/>
      <c r="E131"/>
      <c r="F131"/>
      <c r="G131"/>
      <c r="H131"/>
      <c r="I131"/>
    </row>
    <row r="132" spans="1:9" ht="15" x14ac:dyDescent="0.25">
      <c r="A132"/>
      <c r="B132"/>
      <c r="C132"/>
      <c r="D132"/>
      <c r="E132"/>
      <c r="F132"/>
      <c r="G132"/>
      <c r="H132"/>
      <c r="I132"/>
    </row>
    <row r="133" spans="1:9" ht="15" x14ac:dyDescent="0.25">
      <c r="A133"/>
      <c r="B133"/>
      <c r="C133"/>
      <c r="D133"/>
      <c r="E133"/>
      <c r="F133"/>
      <c r="G133"/>
      <c r="H133"/>
      <c r="I133"/>
    </row>
    <row r="134" spans="1:9" ht="15" x14ac:dyDescent="0.25">
      <c r="A134"/>
      <c r="B134"/>
      <c r="C134"/>
      <c r="D134"/>
      <c r="E134"/>
      <c r="F134"/>
      <c r="G134"/>
      <c r="H134"/>
      <c r="I134"/>
    </row>
    <row r="135" spans="1:9" ht="15" x14ac:dyDescent="0.25">
      <c r="A135"/>
      <c r="B135"/>
      <c r="C135"/>
      <c r="D135"/>
      <c r="E135"/>
      <c r="F135"/>
      <c r="G135"/>
      <c r="H135"/>
      <c r="I135"/>
    </row>
    <row r="136" spans="1:9" ht="15" x14ac:dyDescent="0.25">
      <c r="A136"/>
      <c r="B136"/>
      <c r="C136"/>
      <c r="D136"/>
      <c r="E136"/>
      <c r="F136"/>
      <c r="G136"/>
      <c r="H136"/>
      <c r="I136"/>
    </row>
    <row r="137" spans="1:9" ht="15" x14ac:dyDescent="0.25">
      <c r="A137"/>
      <c r="B137"/>
      <c r="C137"/>
      <c r="D137"/>
      <c r="E137"/>
      <c r="F137"/>
      <c r="G137"/>
      <c r="H137"/>
      <c r="I137"/>
    </row>
    <row r="138" spans="1:9" ht="15" x14ac:dyDescent="0.25">
      <c r="A138"/>
      <c r="B138"/>
      <c r="C138"/>
      <c r="D138"/>
      <c r="E138"/>
      <c r="F138"/>
      <c r="G138"/>
      <c r="H138"/>
      <c r="I138"/>
    </row>
    <row r="139" spans="1:9" ht="15" x14ac:dyDescent="0.25">
      <c r="A139"/>
      <c r="B139"/>
      <c r="C139"/>
      <c r="D139"/>
      <c r="E139"/>
      <c r="F139"/>
      <c r="G139"/>
      <c r="H139"/>
      <c r="I139"/>
    </row>
    <row r="140" spans="1:9" ht="15" x14ac:dyDescent="0.25">
      <c r="A140"/>
      <c r="B140"/>
      <c r="C140"/>
      <c r="D140"/>
      <c r="E140"/>
      <c r="F140"/>
      <c r="G140"/>
      <c r="H140"/>
      <c r="I140"/>
    </row>
    <row r="141" spans="1:9" ht="15" x14ac:dyDescent="0.25">
      <c r="A141"/>
      <c r="B141"/>
      <c r="C141"/>
      <c r="D141"/>
      <c r="E141"/>
      <c r="F141"/>
      <c r="G141"/>
      <c r="H141"/>
      <c r="I141"/>
    </row>
    <row r="142" spans="1:9" ht="15" x14ac:dyDescent="0.25">
      <c r="A142"/>
      <c r="B142"/>
      <c r="C142"/>
      <c r="D142"/>
      <c r="E142"/>
      <c r="F142"/>
      <c r="G142"/>
      <c r="H142"/>
      <c r="I142"/>
    </row>
    <row r="143" spans="1:9" ht="15" x14ac:dyDescent="0.25">
      <c r="A143"/>
      <c r="B143"/>
      <c r="C143"/>
      <c r="D143"/>
      <c r="E143"/>
      <c r="F143"/>
      <c r="G143"/>
      <c r="H143"/>
      <c r="I143"/>
    </row>
    <row r="144" spans="1:9" ht="15" x14ac:dyDescent="0.25">
      <c r="A144"/>
      <c r="B144"/>
      <c r="C144"/>
      <c r="D144"/>
      <c r="E144"/>
      <c r="F144"/>
      <c r="G144"/>
      <c r="H144"/>
      <c r="I144"/>
    </row>
    <row r="145" spans="1:9" ht="15" x14ac:dyDescent="0.25">
      <c r="A145"/>
      <c r="B145"/>
      <c r="C145"/>
      <c r="D145"/>
      <c r="E145"/>
      <c r="F145"/>
      <c r="G145"/>
      <c r="H145"/>
      <c r="I145"/>
    </row>
    <row r="146" spans="1:9" ht="15" x14ac:dyDescent="0.25">
      <c r="A146"/>
      <c r="B146"/>
      <c r="C146"/>
      <c r="D146"/>
      <c r="E146"/>
      <c r="F146"/>
      <c r="G146"/>
      <c r="H146"/>
      <c r="I146"/>
    </row>
    <row r="147" spans="1:9" ht="15" x14ac:dyDescent="0.25">
      <c r="A147"/>
      <c r="B147"/>
      <c r="C147"/>
      <c r="D147"/>
      <c r="E147"/>
      <c r="F147"/>
      <c r="G147"/>
      <c r="H147"/>
      <c r="I147"/>
    </row>
    <row r="148" spans="1:9" ht="15" x14ac:dyDescent="0.25">
      <c r="A148"/>
      <c r="B148"/>
      <c r="C148"/>
      <c r="D148"/>
      <c r="E148"/>
      <c r="F148"/>
      <c r="G148"/>
      <c r="H148"/>
      <c r="I148"/>
    </row>
    <row r="149" spans="1:9" ht="15" x14ac:dyDescent="0.25">
      <c r="A149"/>
      <c r="B149"/>
      <c r="C149"/>
      <c r="D149"/>
      <c r="E149"/>
      <c r="F149"/>
      <c r="G149"/>
      <c r="H149"/>
      <c r="I149"/>
    </row>
    <row r="150" spans="1:9" ht="15" x14ac:dyDescent="0.25">
      <c r="A150"/>
      <c r="B150"/>
      <c r="C150"/>
      <c r="D150"/>
      <c r="E150"/>
      <c r="F150"/>
      <c r="G150"/>
      <c r="H150"/>
      <c r="I150"/>
    </row>
    <row r="151" spans="1:9" ht="15" x14ac:dyDescent="0.25">
      <c r="A151"/>
      <c r="B151"/>
      <c r="C151"/>
      <c r="D151"/>
      <c r="E151"/>
      <c r="F151"/>
      <c r="G151"/>
      <c r="H151"/>
      <c r="I151"/>
    </row>
    <row r="152" spans="1:9" ht="15" x14ac:dyDescent="0.25">
      <c r="A152"/>
      <c r="B152"/>
      <c r="C152"/>
      <c r="D152"/>
      <c r="E152"/>
      <c r="F152"/>
      <c r="G152"/>
      <c r="H152"/>
      <c r="I152"/>
    </row>
    <row r="153" spans="1:9" ht="15" x14ac:dyDescent="0.25">
      <c r="A153"/>
      <c r="B153"/>
      <c r="C153"/>
      <c r="D153"/>
      <c r="E153"/>
      <c r="F153"/>
      <c r="G153"/>
      <c r="H153"/>
      <c r="I153"/>
    </row>
    <row r="154" spans="1:9" ht="15" x14ac:dyDescent="0.25">
      <c r="A154"/>
      <c r="B154"/>
      <c r="C154"/>
      <c r="D154"/>
      <c r="E154"/>
      <c r="F154"/>
      <c r="G154"/>
      <c r="H154"/>
      <c r="I154"/>
    </row>
    <row r="155" spans="1:9" ht="15" x14ac:dyDescent="0.25">
      <c r="A155"/>
      <c r="B155"/>
      <c r="C155"/>
      <c r="D155"/>
      <c r="E155"/>
      <c r="F155"/>
      <c r="G155"/>
      <c r="H155"/>
      <c r="I155"/>
    </row>
    <row r="156" spans="1:9" ht="15" x14ac:dyDescent="0.25">
      <c r="A156"/>
      <c r="B156"/>
      <c r="C156"/>
      <c r="D156"/>
      <c r="E156"/>
      <c r="F156"/>
      <c r="G156"/>
      <c r="H156"/>
      <c r="I156"/>
    </row>
    <row r="157" spans="1:9" ht="15" x14ac:dyDescent="0.25">
      <c r="A157"/>
      <c r="B157"/>
      <c r="C157"/>
      <c r="D157"/>
      <c r="E157"/>
      <c r="F157"/>
      <c r="G157"/>
      <c r="H157"/>
      <c r="I157"/>
    </row>
    <row r="158" spans="1:9" ht="15" x14ac:dyDescent="0.25">
      <c r="A158"/>
      <c r="B158"/>
      <c r="C158"/>
      <c r="D158"/>
      <c r="E158"/>
      <c r="F158"/>
      <c r="G158"/>
      <c r="H158"/>
      <c r="I158"/>
    </row>
    <row r="159" spans="1:9" ht="15" x14ac:dyDescent="0.25">
      <c r="A159"/>
      <c r="B159"/>
      <c r="C159"/>
      <c r="D159"/>
      <c r="E159"/>
      <c r="F159"/>
      <c r="G159"/>
      <c r="H159"/>
      <c r="I159"/>
    </row>
    <row r="160" spans="1:9" ht="15" x14ac:dyDescent="0.25">
      <c r="A160"/>
      <c r="B160"/>
      <c r="C160"/>
      <c r="D160"/>
      <c r="E160"/>
      <c r="F160"/>
      <c r="G160"/>
      <c r="H160"/>
      <c r="I160"/>
    </row>
    <row r="161" spans="1:9" ht="15" x14ac:dyDescent="0.25">
      <c r="A161"/>
      <c r="B161"/>
      <c r="C161"/>
      <c r="D161"/>
      <c r="E161"/>
      <c r="F161"/>
      <c r="G161"/>
      <c r="H161"/>
      <c r="I161"/>
    </row>
    <row r="162" spans="1:9" ht="15" x14ac:dyDescent="0.25">
      <c r="A162"/>
      <c r="B162"/>
      <c r="C162"/>
      <c r="D162"/>
      <c r="E162"/>
      <c r="F162"/>
      <c r="G162"/>
      <c r="H162"/>
      <c r="I162"/>
    </row>
    <row r="163" spans="1:9" ht="15" x14ac:dyDescent="0.25">
      <c r="A163"/>
      <c r="B163"/>
      <c r="C163"/>
      <c r="D163"/>
      <c r="E163"/>
      <c r="F163"/>
      <c r="G163"/>
      <c r="H163"/>
      <c r="I163"/>
    </row>
    <row r="164" spans="1:9" ht="15" x14ac:dyDescent="0.25">
      <c r="A164"/>
      <c r="B164"/>
      <c r="C164"/>
      <c r="D164"/>
      <c r="E164"/>
      <c r="F164"/>
      <c r="G164"/>
      <c r="H164"/>
      <c r="I164"/>
    </row>
    <row r="165" spans="1:9" ht="15" x14ac:dyDescent="0.25">
      <c r="A165"/>
      <c r="B165"/>
      <c r="C165"/>
      <c r="D165"/>
      <c r="E165"/>
      <c r="F165"/>
      <c r="G165"/>
      <c r="H165"/>
      <c r="I165"/>
    </row>
    <row r="166" spans="1:9" ht="15" x14ac:dyDescent="0.25">
      <c r="A166"/>
      <c r="B166"/>
      <c r="C166"/>
      <c r="D166"/>
      <c r="E166"/>
      <c r="F166"/>
      <c r="G166"/>
      <c r="H166"/>
      <c r="I166"/>
    </row>
    <row r="167" spans="1:9" ht="15" x14ac:dyDescent="0.25">
      <c r="A167"/>
      <c r="B167"/>
      <c r="C167"/>
      <c r="D167"/>
      <c r="E167"/>
      <c r="F167"/>
      <c r="G167"/>
      <c r="H167"/>
      <c r="I167"/>
    </row>
    <row r="168" spans="1:9" ht="15" x14ac:dyDescent="0.25">
      <c r="A168"/>
      <c r="B168"/>
      <c r="C168"/>
      <c r="D168"/>
      <c r="E168"/>
      <c r="F168"/>
      <c r="G168"/>
      <c r="H168"/>
      <c r="I168"/>
    </row>
    <row r="169" spans="1:9" ht="15" x14ac:dyDescent="0.25">
      <c r="A169"/>
      <c r="B169"/>
      <c r="C169"/>
      <c r="D169"/>
      <c r="E169"/>
      <c r="F169"/>
      <c r="G169"/>
      <c r="H169"/>
      <c r="I169"/>
    </row>
    <row r="170" spans="1:9" ht="15" x14ac:dyDescent="0.25">
      <c r="A170"/>
      <c r="B170"/>
      <c r="C170"/>
      <c r="D170"/>
      <c r="E170"/>
      <c r="F170"/>
      <c r="G170"/>
      <c r="H170"/>
      <c r="I170"/>
    </row>
    <row r="171" spans="1:9" ht="15" x14ac:dyDescent="0.25">
      <c r="A171"/>
      <c r="B171"/>
      <c r="C171"/>
      <c r="D171"/>
      <c r="E171"/>
      <c r="F171"/>
      <c r="G171"/>
      <c r="H171"/>
      <c r="I171"/>
    </row>
    <row r="172" spans="1:9" ht="15" x14ac:dyDescent="0.25">
      <c r="A172"/>
      <c r="B172"/>
      <c r="C172"/>
      <c r="D172"/>
      <c r="E172"/>
      <c r="F172"/>
      <c r="G172"/>
      <c r="H172"/>
      <c r="I172"/>
    </row>
    <row r="173" spans="1:9" ht="15" x14ac:dyDescent="0.25">
      <c r="A173"/>
      <c r="B173"/>
      <c r="C173"/>
      <c r="D173"/>
      <c r="E173"/>
      <c r="F173"/>
      <c r="G173"/>
      <c r="H173"/>
      <c r="I173"/>
    </row>
    <row r="174" spans="1:9" ht="15" x14ac:dyDescent="0.25">
      <c r="A174"/>
      <c r="B174"/>
      <c r="C174"/>
      <c r="D174"/>
      <c r="E174"/>
      <c r="F174"/>
      <c r="G174"/>
      <c r="H174"/>
      <c r="I174"/>
    </row>
    <row r="175" spans="1:9" ht="15" x14ac:dyDescent="0.25">
      <c r="A175"/>
      <c r="B175"/>
      <c r="C175"/>
      <c r="D175"/>
      <c r="E175"/>
      <c r="F175"/>
      <c r="G175"/>
      <c r="H175"/>
      <c r="I175"/>
    </row>
    <row r="176" spans="1:9" ht="15" x14ac:dyDescent="0.25">
      <c r="A176"/>
      <c r="B176"/>
      <c r="C176"/>
      <c r="D176"/>
      <c r="E176"/>
      <c r="F176"/>
      <c r="G176"/>
      <c r="H176"/>
      <c r="I176"/>
    </row>
    <row r="177" spans="1:9" ht="15" x14ac:dyDescent="0.25">
      <c r="A177"/>
      <c r="B177"/>
      <c r="C177"/>
      <c r="D177"/>
      <c r="E177"/>
      <c r="F177"/>
      <c r="G177"/>
      <c r="H177"/>
      <c r="I177"/>
    </row>
    <row r="178" spans="1:9" ht="15" x14ac:dyDescent="0.25">
      <c r="A178"/>
      <c r="B178"/>
      <c r="C178"/>
      <c r="D178"/>
      <c r="E178"/>
      <c r="F178"/>
      <c r="G178"/>
      <c r="H178"/>
      <c r="I178"/>
    </row>
    <row r="179" spans="1:9" ht="15" x14ac:dyDescent="0.25">
      <c r="A179"/>
      <c r="B179"/>
      <c r="C179"/>
      <c r="D179"/>
      <c r="E179"/>
      <c r="F179"/>
      <c r="G179"/>
      <c r="H179"/>
      <c r="I179"/>
    </row>
    <row r="180" spans="1:9" ht="15" x14ac:dyDescent="0.25">
      <c r="A180"/>
      <c r="B180"/>
      <c r="C180"/>
      <c r="D180"/>
      <c r="E180"/>
      <c r="F180"/>
      <c r="G180"/>
      <c r="H180"/>
      <c r="I180"/>
    </row>
    <row r="181" spans="1:9" ht="15" x14ac:dyDescent="0.25">
      <c r="A181"/>
      <c r="B181"/>
      <c r="C181"/>
      <c r="D181"/>
      <c r="E181"/>
      <c r="F181"/>
      <c r="G181"/>
      <c r="H181"/>
      <c r="I181"/>
    </row>
    <row r="182" spans="1:9" ht="15" x14ac:dyDescent="0.25">
      <c r="A182"/>
      <c r="B182"/>
      <c r="C182"/>
      <c r="D182"/>
      <c r="E182"/>
      <c r="F182"/>
      <c r="G182"/>
      <c r="H182"/>
      <c r="I182"/>
    </row>
    <row r="183" spans="1:9" ht="15" x14ac:dyDescent="0.25">
      <c r="A183"/>
      <c r="B183"/>
      <c r="C183"/>
      <c r="D183"/>
      <c r="E183"/>
      <c r="F183"/>
      <c r="G183"/>
      <c r="H183"/>
      <c r="I183"/>
    </row>
    <row r="184" spans="1:9" ht="15" x14ac:dyDescent="0.25">
      <c r="A184"/>
      <c r="B184"/>
      <c r="C184"/>
      <c r="D184"/>
      <c r="E184"/>
      <c r="F184"/>
      <c r="G184"/>
      <c r="H184"/>
      <c r="I184"/>
    </row>
    <row r="185" spans="1:9" ht="15" x14ac:dyDescent="0.25">
      <c r="A185"/>
      <c r="B185"/>
      <c r="C185"/>
      <c r="D185"/>
      <c r="E185"/>
      <c r="F185"/>
      <c r="G185"/>
      <c r="H185"/>
      <c r="I185"/>
    </row>
    <row r="186" spans="1:9" ht="15" x14ac:dyDescent="0.25">
      <c r="A186"/>
      <c r="B186"/>
      <c r="C186"/>
      <c r="D186"/>
      <c r="E186"/>
      <c r="F186"/>
      <c r="G186"/>
      <c r="H186"/>
      <c r="I186"/>
    </row>
    <row r="187" spans="1:9" ht="15" x14ac:dyDescent="0.25">
      <c r="A187"/>
      <c r="B187"/>
      <c r="C187"/>
      <c r="D187"/>
      <c r="E187"/>
      <c r="F187"/>
      <c r="G187"/>
      <c r="H187"/>
      <c r="I187"/>
    </row>
    <row r="188" spans="1:9" ht="15" x14ac:dyDescent="0.25">
      <c r="A188"/>
      <c r="B188"/>
      <c r="C188"/>
      <c r="D188"/>
      <c r="E188"/>
      <c r="F188"/>
      <c r="G188"/>
      <c r="H188"/>
      <c r="I188"/>
    </row>
    <row r="189" spans="1:9" ht="15" x14ac:dyDescent="0.25">
      <c r="A189"/>
      <c r="B189"/>
      <c r="C189"/>
      <c r="D189"/>
      <c r="E189"/>
      <c r="F189"/>
      <c r="G189"/>
      <c r="H189"/>
      <c r="I189"/>
    </row>
    <row r="190" spans="1:9" ht="15" x14ac:dyDescent="0.25">
      <c r="A190"/>
      <c r="B190"/>
      <c r="C190"/>
      <c r="D190"/>
      <c r="E190"/>
      <c r="F190"/>
      <c r="G190"/>
      <c r="H190"/>
      <c r="I190"/>
    </row>
    <row r="191" spans="1:9" ht="15" x14ac:dyDescent="0.25">
      <c r="A191"/>
      <c r="B191"/>
      <c r="C191"/>
      <c r="D191"/>
      <c r="E191"/>
      <c r="F191"/>
      <c r="G191"/>
      <c r="H191"/>
      <c r="I191"/>
    </row>
    <row r="192" spans="1:9" ht="15" x14ac:dyDescent="0.25">
      <c r="A192"/>
      <c r="B192"/>
      <c r="C192"/>
      <c r="D192"/>
      <c r="E192"/>
      <c r="F192"/>
      <c r="G192"/>
      <c r="H192"/>
      <c r="I192"/>
    </row>
    <row r="193" spans="1:9" ht="15" x14ac:dyDescent="0.25">
      <c r="A193"/>
      <c r="B193"/>
      <c r="C193"/>
      <c r="D193"/>
      <c r="E193"/>
      <c r="F193"/>
      <c r="G193"/>
      <c r="H193"/>
      <c r="I193"/>
    </row>
    <row r="194" spans="1:9" ht="15" x14ac:dyDescent="0.25">
      <c r="A194"/>
      <c r="B194"/>
      <c r="C194"/>
      <c r="D194"/>
      <c r="E194"/>
      <c r="F194"/>
      <c r="G194"/>
      <c r="H194"/>
      <c r="I194"/>
    </row>
    <row r="195" spans="1:9" ht="15" x14ac:dyDescent="0.25">
      <c r="A195"/>
      <c r="B195"/>
      <c r="C195"/>
      <c r="D195"/>
      <c r="E195"/>
      <c r="F195"/>
      <c r="G195"/>
      <c r="H195"/>
      <c r="I195"/>
    </row>
    <row r="196" spans="1:9" ht="15" x14ac:dyDescent="0.25">
      <c r="A196"/>
      <c r="B196"/>
      <c r="C196"/>
      <c r="D196"/>
      <c r="E196"/>
      <c r="F196"/>
      <c r="G196"/>
      <c r="H196"/>
      <c r="I196"/>
    </row>
    <row r="197" spans="1:9" ht="15" x14ac:dyDescent="0.25">
      <c r="A197"/>
      <c r="B197"/>
      <c r="C197"/>
      <c r="D197"/>
      <c r="E197"/>
      <c r="F197"/>
      <c r="G197"/>
      <c r="H197"/>
      <c r="I197"/>
    </row>
    <row r="198" spans="1:9" ht="15" x14ac:dyDescent="0.25">
      <c r="A198"/>
      <c r="B198"/>
      <c r="C198"/>
      <c r="D198"/>
      <c r="E198"/>
      <c r="F198"/>
      <c r="G198"/>
      <c r="H198"/>
      <c r="I198"/>
    </row>
    <row r="199" spans="1:9" ht="15" x14ac:dyDescent="0.25">
      <c r="A199"/>
      <c r="B199"/>
      <c r="C199"/>
      <c r="D199"/>
      <c r="E199"/>
      <c r="F199"/>
      <c r="G199"/>
      <c r="H199"/>
      <c r="I199"/>
    </row>
    <row r="200" spans="1:9" ht="15" x14ac:dyDescent="0.25">
      <c r="A200"/>
      <c r="B200"/>
      <c r="C200"/>
      <c r="D200"/>
      <c r="E200"/>
      <c r="F200"/>
      <c r="G200"/>
      <c r="H200"/>
      <c r="I200"/>
    </row>
    <row r="201" spans="1:9" ht="15" x14ac:dyDescent="0.25">
      <c r="A201"/>
      <c r="B201"/>
      <c r="C201"/>
      <c r="D201"/>
      <c r="E201"/>
      <c r="F201"/>
      <c r="G201"/>
      <c r="H201"/>
      <c r="I201"/>
    </row>
    <row r="202" spans="1:9" ht="15" x14ac:dyDescent="0.25">
      <c r="A202"/>
      <c r="B202"/>
      <c r="C202"/>
      <c r="D202"/>
      <c r="E202"/>
      <c r="F202"/>
      <c r="G202"/>
      <c r="H202"/>
      <c r="I202"/>
    </row>
    <row r="203" spans="1:9" ht="15" x14ac:dyDescent="0.25">
      <c r="A203"/>
      <c r="B203"/>
      <c r="C203"/>
      <c r="D203"/>
      <c r="E203"/>
      <c r="F203"/>
      <c r="G203"/>
      <c r="H203"/>
      <c r="I203"/>
    </row>
    <row r="204" spans="1:9" ht="15" x14ac:dyDescent="0.25">
      <c r="A204"/>
      <c r="B204"/>
      <c r="C204"/>
      <c r="D204"/>
      <c r="E204"/>
      <c r="F204"/>
      <c r="G204"/>
      <c r="H204"/>
      <c r="I204"/>
    </row>
    <row r="205" spans="1:9" ht="15" x14ac:dyDescent="0.25">
      <c r="A205"/>
      <c r="B205"/>
      <c r="C205"/>
      <c r="D205"/>
      <c r="E205"/>
      <c r="F205"/>
      <c r="G205"/>
      <c r="H205"/>
      <c r="I205"/>
    </row>
    <row r="206" spans="1:9" ht="15" x14ac:dyDescent="0.25">
      <c r="A206"/>
      <c r="B206"/>
      <c r="C206"/>
      <c r="D206"/>
      <c r="E206"/>
      <c r="F206"/>
      <c r="G206"/>
      <c r="H206"/>
      <c r="I206"/>
    </row>
    <row r="207" spans="1:9" ht="15" x14ac:dyDescent="0.25">
      <c r="A207"/>
      <c r="B207"/>
      <c r="C207"/>
      <c r="D207"/>
      <c r="E207"/>
      <c r="F207"/>
      <c r="G207"/>
      <c r="H207"/>
      <c r="I207"/>
    </row>
    <row r="208" spans="1:9" ht="15" x14ac:dyDescent="0.25">
      <c r="A208"/>
      <c r="B208"/>
      <c r="C208"/>
      <c r="D208"/>
      <c r="E208"/>
      <c r="F208"/>
      <c r="G208"/>
      <c r="H208"/>
      <c r="I208"/>
    </row>
    <row r="209" spans="1:9" ht="15" x14ac:dyDescent="0.25">
      <c r="A209"/>
      <c r="B209"/>
      <c r="C209"/>
      <c r="D209"/>
      <c r="E209"/>
      <c r="F209"/>
      <c r="G209"/>
      <c r="H209"/>
      <c r="I209"/>
    </row>
    <row r="210" spans="1:9" ht="15" x14ac:dyDescent="0.25">
      <c r="A210"/>
      <c r="B210"/>
      <c r="C210"/>
      <c r="D210"/>
      <c r="E210"/>
      <c r="F210"/>
      <c r="G210"/>
      <c r="H210"/>
      <c r="I210"/>
    </row>
    <row r="211" spans="1:9" ht="15" x14ac:dyDescent="0.25">
      <c r="A211"/>
      <c r="B211"/>
      <c r="C211"/>
      <c r="D211"/>
      <c r="E211"/>
      <c r="F211"/>
      <c r="G211"/>
      <c r="H211"/>
      <c r="I211"/>
    </row>
    <row r="212" spans="1:9" ht="15" x14ac:dyDescent="0.25">
      <c r="A212"/>
      <c r="B212"/>
      <c r="C212"/>
      <c r="D212"/>
      <c r="E212"/>
      <c r="F212"/>
      <c r="G212"/>
      <c r="H212"/>
      <c r="I212"/>
    </row>
    <row r="213" spans="1:9" ht="15" x14ac:dyDescent="0.25">
      <c r="A213"/>
      <c r="B213"/>
      <c r="C213"/>
      <c r="D213"/>
      <c r="E213"/>
      <c r="F213"/>
      <c r="G213"/>
      <c r="H213"/>
      <c r="I213"/>
    </row>
    <row r="214" spans="1:9" ht="15" x14ac:dyDescent="0.25">
      <c r="A214"/>
      <c r="B214"/>
      <c r="C214"/>
      <c r="D214"/>
      <c r="E214"/>
      <c r="F214"/>
      <c r="G214"/>
      <c r="H214"/>
      <c r="I214"/>
    </row>
    <row r="215" spans="1:9" ht="15" x14ac:dyDescent="0.25">
      <c r="A215"/>
      <c r="B215"/>
      <c r="C215"/>
      <c r="D215"/>
      <c r="E215"/>
      <c r="F215"/>
      <c r="G215"/>
      <c r="H215"/>
      <c r="I215"/>
    </row>
    <row r="216" spans="1:9" ht="15" x14ac:dyDescent="0.25">
      <c r="A216"/>
      <c r="B216"/>
      <c r="C216"/>
      <c r="D216"/>
      <c r="E216"/>
      <c r="F216"/>
      <c r="G216"/>
      <c r="H216"/>
      <c r="I216"/>
    </row>
    <row r="217" spans="1:9" ht="15" x14ac:dyDescent="0.25">
      <c r="A217"/>
      <c r="B217"/>
      <c r="C217"/>
      <c r="D217"/>
      <c r="E217"/>
      <c r="F217"/>
      <c r="G217"/>
      <c r="H217"/>
      <c r="I217"/>
    </row>
    <row r="218" spans="1:9" ht="15" x14ac:dyDescent="0.25">
      <c r="A218"/>
      <c r="B218"/>
      <c r="C218"/>
      <c r="D218"/>
      <c r="E218"/>
      <c r="F218"/>
      <c r="G218"/>
      <c r="H218"/>
      <c r="I218"/>
    </row>
    <row r="219" spans="1:9" ht="15" x14ac:dyDescent="0.25">
      <c r="A219"/>
      <c r="B219"/>
      <c r="C219"/>
      <c r="D219"/>
      <c r="E219"/>
      <c r="F219"/>
      <c r="G219"/>
      <c r="H219"/>
      <c r="I219"/>
    </row>
    <row r="220" spans="1:9" ht="15" x14ac:dyDescent="0.25">
      <c r="A220"/>
      <c r="B220"/>
      <c r="C220"/>
      <c r="D220"/>
      <c r="E220"/>
      <c r="F220"/>
      <c r="G220"/>
      <c r="H220"/>
      <c r="I220"/>
    </row>
    <row r="221" spans="1:9" ht="15" x14ac:dyDescent="0.25">
      <c r="A221"/>
      <c r="B221"/>
      <c r="C221"/>
      <c r="D221"/>
      <c r="E221"/>
      <c r="F221"/>
      <c r="G221"/>
      <c r="H221"/>
      <c r="I221"/>
    </row>
    <row r="222" spans="1:9" ht="15" x14ac:dyDescent="0.25">
      <c r="A222"/>
      <c r="B222"/>
      <c r="C222"/>
      <c r="D222"/>
      <c r="E222"/>
      <c r="F222"/>
      <c r="G222"/>
      <c r="H222"/>
      <c r="I222"/>
    </row>
    <row r="223" spans="1:9" ht="15" x14ac:dyDescent="0.25">
      <c r="A223"/>
      <c r="B223"/>
      <c r="C223"/>
      <c r="D223"/>
      <c r="E223"/>
      <c r="F223"/>
      <c r="G223"/>
      <c r="H223"/>
      <c r="I223"/>
    </row>
    <row r="224" spans="1:9" ht="15" x14ac:dyDescent="0.25">
      <c r="A224"/>
      <c r="B224"/>
      <c r="C224"/>
      <c r="D224"/>
      <c r="E224"/>
      <c r="F224"/>
      <c r="G224"/>
      <c r="H224"/>
      <c r="I224"/>
    </row>
    <row r="225" spans="1:9" ht="15" x14ac:dyDescent="0.25">
      <c r="A225"/>
      <c r="B225"/>
      <c r="C225"/>
      <c r="D225"/>
      <c r="E225"/>
      <c r="F225"/>
      <c r="G225"/>
      <c r="H225"/>
      <c r="I225"/>
    </row>
    <row r="226" spans="1:9" ht="15" x14ac:dyDescent="0.25">
      <c r="A226"/>
      <c r="B226"/>
      <c r="C226"/>
      <c r="D226"/>
      <c r="E226"/>
      <c r="F226"/>
      <c r="G226"/>
      <c r="H226"/>
      <c r="I226"/>
    </row>
    <row r="227" spans="1:9" ht="15" x14ac:dyDescent="0.25">
      <c r="A227"/>
      <c r="B227"/>
      <c r="C227"/>
      <c r="D227"/>
      <c r="E227"/>
      <c r="F227"/>
      <c r="G227"/>
      <c r="H227"/>
      <c r="I227"/>
    </row>
    <row r="228" spans="1:9" ht="15" x14ac:dyDescent="0.25">
      <c r="A228"/>
      <c r="B228"/>
      <c r="C228"/>
      <c r="D228"/>
      <c r="E228"/>
      <c r="F228"/>
      <c r="G228"/>
      <c r="H228"/>
      <c r="I228"/>
    </row>
    <row r="229" spans="1:9" ht="15" x14ac:dyDescent="0.25">
      <c r="A229"/>
      <c r="B229"/>
      <c r="C229"/>
      <c r="D229"/>
      <c r="E229"/>
      <c r="F229"/>
      <c r="G229"/>
      <c r="H229"/>
      <c r="I229"/>
    </row>
    <row r="230" spans="1:9" ht="15" x14ac:dyDescent="0.25">
      <c r="A230"/>
      <c r="B230"/>
      <c r="C230"/>
      <c r="D230"/>
      <c r="E230"/>
      <c r="F230"/>
      <c r="G230"/>
      <c r="H230"/>
      <c r="I230"/>
    </row>
    <row r="231" spans="1:9" ht="15" x14ac:dyDescent="0.25">
      <c r="A231"/>
      <c r="B231"/>
      <c r="C231"/>
      <c r="D231"/>
      <c r="E231"/>
      <c r="F231"/>
      <c r="G231"/>
      <c r="H231"/>
      <c r="I231"/>
    </row>
    <row r="232" spans="1:9" ht="15" x14ac:dyDescent="0.25">
      <c r="A232"/>
      <c r="B232"/>
      <c r="C232"/>
      <c r="D232"/>
      <c r="E232"/>
      <c r="F232"/>
      <c r="G232"/>
      <c r="H232"/>
      <c r="I232"/>
    </row>
    <row r="233" spans="1:9" ht="15" x14ac:dyDescent="0.25">
      <c r="A233"/>
      <c r="B233"/>
      <c r="C233"/>
      <c r="D233"/>
      <c r="E233"/>
      <c r="F233"/>
      <c r="G233"/>
      <c r="H233"/>
      <c r="I233"/>
    </row>
    <row r="234" spans="1:9" ht="15" x14ac:dyDescent="0.25">
      <c r="A234"/>
      <c r="B234"/>
      <c r="C234"/>
      <c r="D234"/>
      <c r="E234"/>
      <c r="F234"/>
      <c r="G234"/>
      <c r="H234"/>
      <c r="I234"/>
    </row>
    <row r="235" spans="1:9" ht="15" x14ac:dyDescent="0.25">
      <c r="A235"/>
      <c r="B235"/>
      <c r="C235"/>
      <c r="D235"/>
      <c r="E235"/>
      <c r="F235"/>
      <c r="G235"/>
      <c r="H235"/>
      <c r="I235"/>
    </row>
    <row r="236" spans="1:9" ht="15" x14ac:dyDescent="0.25">
      <c r="A236"/>
      <c r="B236"/>
      <c r="C236"/>
      <c r="D236"/>
      <c r="E236"/>
      <c r="F236"/>
      <c r="G236"/>
      <c r="H236"/>
      <c r="I236"/>
    </row>
    <row r="237" spans="1:9" ht="15" x14ac:dyDescent="0.25">
      <c r="A237"/>
      <c r="B237"/>
      <c r="C237"/>
      <c r="D237"/>
      <c r="E237"/>
      <c r="F237"/>
      <c r="G237"/>
      <c r="H237"/>
      <c r="I237"/>
    </row>
    <row r="238" spans="1:9" ht="15" x14ac:dyDescent="0.25">
      <c r="A238"/>
      <c r="B238"/>
      <c r="C238"/>
      <c r="D238"/>
      <c r="E238"/>
      <c r="F238"/>
      <c r="G238"/>
      <c r="H238"/>
      <c r="I238"/>
    </row>
    <row r="239" spans="1:9" ht="15" x14ac:dyDescent="0.25">
      <c r="A239"/>
      <c r="B239"/>
      <c r="C239"/>
      <c r="D239"/>
      <c r="E239"/>
      <c r="F239"/>
      <c r="G239"/>
      <c r="H239"/>
      <c r="I239"/>
    </row>
    <row r="240" spans="1:9" ht="15" x14ac:dyDescent="0.25">
      <c r="A240"/>
      <c r="B240"/>
      <c r="C240"/>
      <c r="D240"/>
      <c r="E240"/>
      <c r="F240"/>
      <c r="G240"/>
      <c r="H240"/>
      <c r="I240"/>
    </row>
    <row r="241" spans="1:9" ht="15" x14ac:dyDescent="0.25">
      <c r="A241"/>
      <c r="B241"/>
      <c r="C241"/>
      <c r="D241"/>
      <c r="E241"/>
      <c r="F241"/>
      <c r="G241"/>
      <c r="H241"/>
      <c r="I241"/>
    </row>
    <row r="242" spans="1:9" ht="15" x14ac:dyDescent="0.25">
      <c r="A242"/>
      <c r="B242"/>
      <c r="C242"/>
      <c r="D242"/>
      <c r="E242"/>
      <c r="F242"/>
      <c r="G242"/>
      <c r="H242"/>
      <c r="I242"/>
    </row>
    <row r="243" spans="1:9" ht="15" x14ac:dyDescent="0.25">
      <c r="A243"/>
      <c r="B243"/>
      <c r="C243"/>
      <c r="D243"/>
      <c r="E243"/>
      <c r="F243"/>
      <c r="G243"/>
      <c r="H243"/>
      <c r="I243"/>
    </row>
    <row r="244" spans="1:9" ht="15" x14ac:dyDescent="0.25">
      <c r="A244"/>
      <c r="B244"/>
      <c r="C244"/>
      <c r="D244"/>
      <c r="E244"/>
      <c r="F244"/>
      <c r="G244"/>
      <c r="H244"/>
      <c r="I244"/>
    </row>
    <row r="245" spans="1:9" ht="15" x14ac:dyDescent="0.25">
      <c r="A245"/>
      <c r="B245"/>
      <c r="C245"/>
      <c r="D245"/>
      <c r="E245"/>
      <c r="F245"/>
      <c r="G245"/>
      <c r="H245"/>
      <c r="I245"/>
    </row>
    <row r="246" spans="1:9" ht="15" x14ac:dyDescent="0.25">
      <c r="A246"/>
      <c r="B246"/>
      <c r="C246"/>
      <c r="D246"/>
      <c r="E246"/>
      <c r="F246"/>
      <c r="G246"/>
      <c r="H246"/>
      <c r="I246"/>
    </row>
    <row r="247" spans="1:9" ht="15" x14ac:dyDescent="0.25">
      <c r="A247"/>
      <c r="B247"/>
      <c r="C247"/>
      <c r="D247"/>
      <c r="E247"/>
      <c r="F247"/>
      <c r="G247"/>
      <c r="H247"/>
      <c r="I247"/>
    </row>
    <row r="248" spans="1:9" ht="15" x14ac:dyDescent="0.25">
      <c r="A248"/>
      <c r="B248"/>
      <c r="C248"/>
      <c r="D248"/>
      <c r="E248"/>
      <c r="F248"/>
      <c r="G248"/>
      <c r="H248"/>
      <c r="I248"/>
    </row>
  </sheetData>
  <autoFilter ref="A3:I3" xr:uid="{F7F44E2F-0633-42B7-8978-CE6606F45AA2}">
    <sortState xmlns:xlrd2="http://schemas.microsoft.com/office/spreadsheetml/2017/richdata2" ref="A4:I3">
      <sortCondition ref="A3:A44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/>
  <dimension ref="A1:I220"/>
  <sheetViews>
    <sheetView showZeros="0" zoomScaleNormal="100" workbookViewId="0">
      <pane ySplit="3" topLeftCell="A4" activePane="bottomLeft" state="frozen"/>
      <selection sqref="A1:I2"/>
      <selection pane="bottomLeft" activeCell="A4" sqref="A4"/>
    </sheetView>
  </sheetViews>
  <sheetFormatPr defaultColWidth="9.28515625" defaultRowHeight="13.5" x14ac:dyDescent="0.25"/>
  <cols>
    <col min="1" max="1" width="11.28515625" style="59" bestFit="1" customWidth="1"/>
    <col min="2" max="2" width="44.140625" style="59" bestFit="1" customWidth="1"/>
    <col min="3" max="3" width="12.28515625" style="60" bestFit="1" customWidth="1"/>
    <col min="4" max="4" width="10" style="60" bestFit="1" customWidth="1"/>
    <col min="5" max="5" width="11.140625" style="60" bestFit="1" customWidth="1"/>
    <col min="6" max="6" width="24.42578125" style="60" bestFit="1" customWidth="1"/>
    <col min="7" max="7" width="10" style="60" bestFit="1" customWidth="1"/>
    <col min="8" max="8" width="51" style="59" bestFit="1" customWidth="1"/>
    <col min="9" max="9" width="42.85546875" style="59" bestFit="1" customWidth="1"/>
    <col min="10" max="16384" width="9.28515625" style="59"/>
  </cols>
  <sheetData>
    <row r="1" spans="1:9" x14ac:dyDescent="0.25">
      <c r="A1" s="122" t="s">
        <v>505</v>
      </c>
      <c r="B1" s="123"/>
      <c r="C1" s="123"/>
      <c r="D1" s="123"/>
      <c r="E1" s="123"/>
      <c r="F1" s="123"/>
      <c r="G1" s="123"/>
      <c r="H1" s="123"/>
      <c r="I1" s="124"/>
    </row>
    <row r="2" spans="1:9" ht="14.25" thickBot="1" x14ac:dyDescent="0.3">
      <c r="A2" s="125"/>
      <c r="B2" s="125"/>
      <c r="C2" s="125"/>
      <c r="D2" s="125"/>
      <c r="E2" s="125"/>
      <c r="F2" s="125"/>
      <c r="G2" s="125"/>
      <c r="H2" s="125"/>
      <c r="I2" s="126"/>
    </row>
    <row r="3" spans="1:9" ht="15" x14ac:dyDescent="0.25">
      <c r="A3" s="31" t="s">
        <v>98</v>
      </c>
      <c r="B3" s="32" t="s">
        <v>99</v>
      </c>
      <c r="C3" s="32" t="s">
        <v>3</v>
      </c>
      <c r="D3" s="32" t="s">
        <v>4</v>
      </c>
      <c r="E3" s="32" t="s">
        <v>5</v>
      </c>
      <c r="F3" s="32" t="s">
        <v>100</v>
      </c>
      <c r="G3" s="32" t="s">
        <v>6</v>
      </c>
      <c r="H3" s="33" t="s">
        <v>101</v>
      </c>
      <c r="I3" s="34" t="s">
        <v>7</v>
      </c>
    </row>
    <row r="4" spans="1:9" ht="15" x14ac:dyDescent="0.25">
      <c r="A4"/>
      <c r="B4"/>
      <c r="C4"/>
      <c r="D4"/>
      <c r="E4"/>
      <c r="F4"/>
      <c r="G4"/>
      <c r="H4"/>
      <c r="I4"/>
    </row>
    <row r="5" spans="1:9" ht="15" x14ac:dyDescent="0.25">
      <c r="A5"/>
      <c r="B5"/>
      <c r="C5"/>
      <c r="D5"/>
      <c r="E5"/>
      <c r="F5"/>
      <c r="G5"/>
      <c r="H5"/>
      <c r="I5"/>
    </row>
    <row r="6" spans="1:9" ht="15" x14ac:dyDescent="0.25">
      <c r="A6"/>
      <c r="B6"/>
      <c r="C6"/>
      <c r="D6"/>
      <c r="E6"/>
      <c r="F6"/>
      <c r="G6"/>
      <c r="H6"/>
      <c r="I6"/>
    </row>
    <row r="7" spans="1:9" ht="15" x14ac:dyDescent="0.25">
      <c r="A7"/>
      <c r="B7"/>
      <c r="C7"/>
      <c r="D7"/>
      <c r="E7"/>
      <c r="F7"/>
      <c r="G7"/>
      <c r="H7"/>
      <c r="I7"/>
    </row>
    <row r="8" spans="1:9" ht="15" x14ac:dyDescent="0.25">
      <c r="A8"/>
      <c r="B8"/>
      <c r="C8"/>
      <c r="D8"/>
      <c r="E8"/>
      <c r="F8"/>
      <c r="G8"/>
      <c r="H8"/>
      <c r="I8"/>
    </row>
    <row r="9" spans="1:9" ht="15" x14ac:dyDescent="0.25">
      <c r="A9"/>
      <c r="B9"/>
      <c r="C9"/>
      <c r="D9"/>
      <c r="E9"/>
      <c r="F9"/>
      <c r="G9"/>
      <c r="H9"/>
      <c r="I9"/>
    </row>
    <row r="10" spans="1:9" ht="15" x14ac:dyDescent="0.25">
      <c r="A10"/>
      <c r="B10"/>
      <c r="C10"/>
      <c r="D10"/>
      <c r="E10"/>
      <c r="F10"/>
      <c r="G10"/>
      <c r="H10"/>
      <c r="I10"/>
    </row>
    <row r="11" spans="1:9" ht="15" x14ac:dyDescent="0.25">
      <c r="A11"/>
      <c r="B11"/>
      <c r="C11"/>
      <c r="D11"/>
      <c r="E11"/>
      <c r="F11"/>
      <c r="G11"/>
      <c r="H11"/>
      <c r="I11"/>
    </row>
    <row r="12" spans="1:9" ht="15" x14ac:dyDescent="0.25">
      <c r="A12"/>
      <c r="B12"/>
      <c r="C12"/>
      <c r="D12"/>
      <c r="E12"/>
      <c r="F12"/>
      <c r="G12"/>
      <c r="H12"/>
      <c r="I12"/>
    </row>
    <row r="13" spans="1:9" ht="15" x14ac:dyDescent="0.25">
      <c r="A13"/>
      <c r="B13"/>
      <c r="C13"/>
      <c r="D13"/>
      <c r="E13"/>
      <c r="F13"/>
      <c r="G13"/>
      <c r="H13"/>
      <c r="I13"/>
    </row>
    <row r="14" spans="1:9" ht="15" x14ac:dyDescent="0.25">
      <c r="A14"/>
      <c r="B14"/>
      <c r="C14"/>
      <c r="D14"/>
      <c r="E14"/>
      <c r="F14"/>
      <c r="G14"/>
      <c r="H14"/>
      <c r="I14"/>
    </row>
    <row r="15" spans="1:9" ht="15" x14ac:dyDescent="0.25">
      <c r="A15"/>
      <c r="B15"/>
      <c r="C15"/>
      <c r="D15"/>
      <c r="E15"/>
      <c r="F15"/>
      <c r="G15"/>
      <c r="H15"/>
      <c r="I15"/>
    </row>
    <row r="16" spans="1:9" ht="15" x14ac:dyDescent="0.25">
      <c r="A16"/>
      <c r="B16"/>
      <c r="C16"/>
      <c r="D16"/>
      <c r="E16"/>
      <c r="F16"/>
      <c r="G16"/>
      <c r="H16"/>
      <c r="I16"/>
    </row>
    <row r="17" spans="1:9" ht="15" x14ac:dyDescent="0.25">
      <c r="A17"/>
      <c r="B17"/>
      <c r="C17"/>
      <c r="D17"/>
      <c r="E17"/>
      <c r="F17"/>
      <c r="G17"/>
      <c r="H17"/>
      <c r="I17"/>
    </row>
    <row r="18" spans="1:9" ht="15" x14ac:dyDescent="0.25">
      <c r="A18"/>
      <c r="B18"/>
      <c r="C18"/>
      <c r="D18"/>
      <c r="E18"/>
      <c r="F18"/>
      <c r="G18"/>
      <c r="H18"/>
      <c r="I18"/>
    </row>
    <row r="19" spans="1:9" ht="15" x14ac:dyDescent="0.25">
      <c r="A19"/>
      <c r="B19"/>
      <c r="C19"/>
      <c r="D19"/>
      <c r="E19"/>
      <c r="F19"/>
      <c r="G19"/>
      <c r="H19"/>
      <c r="I19"/>
    </row>
    <row r="20" spans="1:9" ht="15" x14ac:dyDescent="0.25">
      <c r="A20"/>
      <c r="B20"/>
      <c r="C20"/>
      <c r="D20"/>
      <c r="E20"/>
      <c r="F20"/>
      <c r="G20"/>
      <c r="H20"/>
      <c r="I20"/>
    </row>
    <row r="21" spans="1:9" ht="15" x14ac:dyDescent="0.25">
      <c r="A21"/>
      <c r="B21"/>
      <c r="C21"/>
      <c r="D21"/>
      <c r="E21"/>
      <c r="F21"/>
      <c r="G21"/>
      <c r="H21"/>
      <c r="I21"/>
    </row>
    <row r="22" spans="1:9" ht="15" x14ac:dyDescent="0.25">
      <c r="A22"/>
      <c r="B22"/>
      <c r="C22"/>
      <c r="D22"/>
      <c r="E22"/>
      <c r="F22"/>
      <c r="G22"/>
      <c r="H22"/>
      <c r="I22"/>
    </row>
    <row r="23" spans="1:9" ht="15" x14ac:dyDescent="0.25">
      <c r="A23"/>
      <c r="B23"/>
      <c r="C23"/>
      <c r="D23"/>
      <c r="E23"/>
      <c r="F23"/>
      <c r="G23"/>
      <c r="H23"/>
      <c r="I23"/>
    </row>
    <row r="24" spans="1:9" ht="15" x14ac:dyDescent="0.25">
      <c r="A24"/>
      <c r="B24"/>
      <c r="C24"/>
      <c r="D24"/>
      <c r="E24"/>
      <c r="F24"/>
      <c r="G24"/>
      <c r="H24"/>
      <c r="I24"/>
    </row>
    <row r="25" spans="1:9" ht="15" x14ac:dyDescent="0.25">
      <c r="A25"/>
      <c r="B25"/>
      <c r="C25"/>
      <c r="D25"/>
      <c r="E25"/>
      <c r="F25"/>
      <c r="G25"/>
      <c r="H25"/>
      <c r="I25"/>
    </row>
    <row r="26" spans="1:9" ht="15" x14ac:dyDescent="0.25">
      <c r="A26"/>
      <c r="B26"/>
      <c r="C26"/>
      <c r="D26"/>
      <c r="E26"/>
      <c r="F26"/>
      <c r="G26"/>
      <c r="H26"/>
      <c r="I26"/>
    </row>
    <row r="27" spans="1:9" ht="15" x14ac:dyDescent="0.25">
      <c r="A27"/>
      <c r="B27"/>
      <c r="C27"/>
      <c r="D27"/>
      <c r="E27"/>
      <c r="F27"/>
      <c r="G27"/>
      <c r="H27"/>
      <c r="I27"/>
    </row>
    <row r="28" spans="1:9" ht="15" x14ac:dyDescent="0.25">
      <c r="A28"/>
      <c r="B28"/>
      <c r="C28"/>
      <c r="D28"/>
      <c r="E28"/>
      <c r="F28"/>
      <c r="G28"/>
      <c r="H28"/>
      <c r="I28"/>
    </row>
    <row r="29" spans="1:9" ht="15" x14ac:dyDescent="0.25">
      <c r="A29"/>
      <c r="B29"/>
      <c r="C29"/>
      <c r="D29"/>
      <c r="E29"/>
      <c r="F29"/>
      <c r="G29"/>
      <c r="H29"/>
      <c r="I29"/>
    </row>
    <row r="30" spans="1:9" ht="15" x14ac:dyDescent="0.25">
      <c r="A30"/>
      <c r="B30"/>
      <c r="C30"/>
      <c r="D30"/>
      <c r="E30"/>
      <c r="F30"/>
      <c r="G30"/>
      <c r="H30"/>
      <c r="I30"/>
    </row>
    <row r="31" spans="1:9" ht="15" x14ac:dyDescent="0.25">
      <c r="A31"/>
      <c r="B31"/>
      <c r="C31"/>
      <c r="D31"/>
      <c r="E31"/>
      <c r="F31"/>
      <c r="G31"/>
      <c r="H31"/>
      <c r="I31"/>
    </row>
    <row r="32" spans="1:9" ht="15" x14ac:dyDescent="0.25">
      <c r="A32"/>
      <c r="B32"/>
      <c r="C32"/>
      <c r="D32"/>
      <c r="E32"/>
      <c r="F32"/>
      <c r="G32"/>
      <c r="H32"/>
      <c r="I32"/>
    </row>
    <row r="33" spans="1:9" ht="15" x14ac:dyDescent="0.25">
      <c r="A33"/>
      <c r="B33"/>
      <c r="C33"/>
      <c r="D33"/>
      <c r="E33"/>
      <c r="F33"/>
      <c r="G33"/>
      <c r="H33"/>
      <c r="I33"/>
    </row>
    <row r="34" spans="1:9" ht="15" x14ac:dyDescent="0.25">
      <c r="A34"/>
      <c r="B34"/>
      <c r="C34"/>
      <c r="D34"/>
      <c r="E34"/>
      <c r="F34"/>
      <c r="G34"/>
      <c r="H34"/>
      <c r="I34"/>
    </row>
    <row r="35" spans="1:9" ht="15" x14ac:dyDescent="0.25">
      <c r="A35"/>
      <c r="B35"/>
      <c r="C35"/>
      <c r="D35"/>
      <c r="E35"/>
      <c r="F35"/>
      <c r="G35"/>
      <c r="H35"/>
      <c r="I35"/>
    </row>
    <row r="36" spans="1:9" ht="15" x14ac:dyDescent="0.25">
      <c r="A36"/>
      <c r="B36"/>
      <c r="C36"/>
      <c r="D36"/>
      <c r="E36"/>
      <c r="F36"/>
      <c r="G36"/>
      <c r="H36"/>
      <c r="I36"/>
    </row>
    <row r="37" spans="1:9" ht="15" x14ac:dyDescent="0.25">
      <c r="A37"/>
      <c r="B37"/>
      <c r="C37"/>
      <c r="D37"/>
      <c r="E37"/>
      <c r="F37"/>
      <c r="G37"/>
      <c r="H37"/>
      <c r="I37"/>
    </row>
    <row r="38" spans="1:9" ht="15" x14ac:dyDescent="0.25">
      <c r="A38"/>
      <c r="B38"/>
      <c r="C38"/>
      <c r="D38"/>
      <c r="E38"/>
      <c r="F38"/>
      <c r="G38"/>
      <c r="H38"/>
      <c r="I38"/>
    </row>
    <row r="39" spans="1:9" ht="15" x14ac:dyDescent="0.25">
      <c r="A39"/>
      <c r="B39"/>
      <c r="C39"/>
      <c r="D39"/>
      <c r="E39"/>
      <c r="F39"/>
      <c r="G39"/>
      <c r="H39"/>
      <c r="I39"/>
    </row>
    <row r="40" spans="1:9" ht="15" x14ac:dyDescent="0.25">
      <c r="A40"/>
      <c r="B40"/>
      <c r="C40"/>
      <c r="D40"/>
      <c r="E40"/>
      <c r="F40"/>
      <c r="G40"/>
      <c r="H40"/>
      <c r="I40"/>
    </row>
    <row r="41" spans="1:9" ht="15" x14ac:dyDescent="0.25">
      <c r="A41"/>
      <c r="B41"/>
      <c r="C41"/>
      <c r="D41"/>
      <c r="E41"/>
      <c r="F41"/>
      <c r="G41"/>
      <c r="H41"/>
      <c r="I41"/>
    </row>
    <row r="42" spans="1:9" ht="15" x14ac:dyDescent="0.25">
      <c r="A42"/>
      <c r="B42"/>
      <c r="C42"/>
      <c r="D42"/>
      <c r="E42"/>
      <c r="F42"/>
      <c r="G42"/>
      <c r="H42"/>
      <c r="I42"/>
    </row>
    <row r="43" spans="1:9" ht="15" x14ac:dyDescent="0.25">
      <c r="A43"/>
      <c r="B43"/>
      <c r="C43"/>
      <c r="D43"/>
      <c r="E43"/>
      <c r="F43"/>
      <c r="G43"/>
      <c r="H43"/>
      <c r="I43"/>
    </row>
    <row r="44" spans="1:9" ht="15" x14ac:dyDescent="0.25">
      <c r="A44"/>
      <c r="B44"/>
      <c r="C44"/>
      <c r="D44"/>
      <c r="E44"/>
      <c r="F44"/>
      <c r="G44"/>
      <c r="H44"/>
      <c r="I44"/>
    </row>
    <row r="45" spans="1:9" ht="15" x14ac:dyDescent="0.25">
      <c r="A45"/>
      <c r="B45"/>
      <c r="C45"/>
      <c r="D45"/>
      <c r="E45"/>
      <c r="F45"/>
      <c r="G45"/>
      <c r="H45"/>
      <c r="I45"/>
    </row>
    <row r="46" spans="1:9" ht="15" x14ac:dyDescent="0.25">
      <c r="A46"/>
      <c r="B46"/>
      <c r="C46"/>
      <c r="D46"/>
      <c r="E46"/>
      <c r="F46"/>
      <c r="G46"/>
      <c r="H46"/>
      <c r="I46"/>
    </row>
    <row r="47" spans="1:9" ht="15" x14ac:dyDescent="0.25">
      <c r="A47"/>
      <c r="B47"/>
      <c r="C47"/>
      <c r="D47"/>
      <c r="E47"/>
      <c r="F47"/>
      <c r="G47"/>
      <c r="H47"/>
      <c r="I47"/>
    </row>
    <row r="48" spans="1:9" ht="15" x14ac:dyDescent="0.25">
      <c r="A48"/>
      <c r="B48"/>
      <c r="C48"/>
      <c r="D48"/>
      <c r="E48"/>
      <c r="F48"/>
      <c r="G48"/>
      <c r="H48"/>
      <c r="I48"/>
    </row>
    <row r="49" spans="1:9" ht="15" x14ac:dyDescent="0.25">
      <c r="A49"/>
      <c r="B49"/>
      <c r="C49"/>
      <c r="D49"/>
      <c r="E49"/>
      <c r="F49"/>
      <c r="G49"/>
      <c r="H49"/>
      <c r="I49"/>
    </row>
    <row r="50" spans="1:9" ht="15" x14ac:dyDescent="0.25">
      <c r="A50"/>
      <c r="B50"/>
      <c r="C50"/>
      <c r="D50"/>
      <c r="E50"/>
      <c r="F50"/>
      <c r="G50"/>
      <c r="H50"/>
      <c r="I50"/>
    </row>
    <row r="51" spans="1:9" ht="15" x14ac:dyDescent="0.25">
      <c r="A51"/>
      <c r="B51"/>
      <c r="C51"/>
      <c r="D51"/>
      <c r="E51"/>
      <c r="F51"/>
      <c r="G51"/>
      <c r="H51"/>
      <c r="I51"/>
    </row>
    <row r="52" spans="1:9" ht="15" x14ac:dyDescent="0.25">
      <c r="A52"/>
      <c r="B52"/>
      <c r="C52"/>
      <c r="D52"/>
      <c r="E52"/>
      <c r="F52"/>
      <c r="G52"/>
      <c r="H52"/>
      <c r="I52"/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  <row r="81" spans="1:9" ht="15" x14ac:dyDescent="0.25">
      <c r="A81"/>
      <c r="B81"/>
      <c r="C81"/>
      <c r="D81"/>
      <c r="E81"/>
      <c r="F81"/>
      <c r="G81"/>
      <c r="H81"/>
      <c r="I81"/>
    </row>
    <row r="82" spans="1:9" ht="15" x14ac:dyDescent="0.25">
      <c r="A82"/>
      <c r="B82"/>
      <c r="C82"/>
      <c r="D82"/>
      <c r="E82"/>
      <c r="F82"/>
      <c r="G82"/>
      <c r="H82"/>
      <c r="I82"/>
    </row>
    <row r="83" spans="1:9" ht="15" x14ac:dyDescent="0.25">
      <c r="A83"/>
      <c r="B83"/>
      <c r="C83"/>
      <c r="D83"/>
      <c r="E83"/>
      <c r="F83"/>
      <c r="G83"/>
      <c r="H83"/>
      <c r="I83"/>
    </row>
    <row r="84" spans="1:9" ht="15" x14ac:dyDescent="0.25">
      <c r="A84"/>
      <c r="B84"/>
      <c r="C84"/>
      <c r="D84"/>
      <c r="E84"/>
      <c r="F84"/>
      <c r="G84"/>
      <c r="H84"/>
      <c r="I84"/>
    </row>
    <row r="85" spans="1:9" ht="15" x14ac:dyDescent="0.25">
      <c r="A85"/>
      <c r="B85"/>
      <c r="C85"/>
      <c r="D85"/>
      <c r="E85"/>
      <c r="F85"/>
      <c r="G85"/>
      <c r="H85"/>
      <c r="I85"/>
    </row>
    <row r="86" spans="1:9" ht="15" x14ac:dyDescent="0.25">
      <c r="A86"/>
      <c r="B86"/>
      <c r="C86"/>
      <c r="D86"/>
      <c r="E86"/>
      <c r="F86"/>
      <c r="G86"/>
      <c r="H86"/>
      <c r="I86"/>
    </row>
    <row r="87" spans="1:9" ht="15" x14ac:dyDescent="0.25">
      <c r="A87"/>
      <c r="B87"/>
      <c r="C87"/>
      <c r="D87"/>
      <c r="E87"/>
      <c r="F87"/>
      <c r="G87"/>
      <c r="H87"/>
      <c r="I87"/>
    </row>
    <row r="88" spans="1:9" ht="15" x14ac:dyDescent="0.25">
      <c r="A88"/>
      <c r="B88"/>
      <c r="C88"/>
      <c r="D88"/>
      <c r="E88"/>
      <c r="F88"/>
      <c r="G88"/>
      <c r="H88"/>
      <c r="I88"/>
    </row>
    <row r="89" spans="1:9" ht="15" x14ac:dyDescent="0.25">
      <c r="A89"/>
      <c r="B89"/>
      <c r="C89"/>
      <c r="D89"/>
      <c r="E89"/>
      <c r="F89"/>
      <c r="G89"/>
      <c r="H89"/>
      <c r="I89"/>
    </row>
    <row r="90" spans="1:9" ht="15" x14ac:dyDescent="0.25">
      <c r="A90"/>
      <c r="B90"/>
      <c r="C90"/>
      <c r="D90"/>
      <c r="E90"/>
      <c r="F90"/>
      <c r="G90"/>
      <c r="H90"/>
      <c r="I90"/>
    </row>
    <row r="91" spans="1:9" ht="15" x14ac:dyDescent="0.25">
      <c r="A91"/>
      <c r="B91"/>
      <c r="C91"/>
      <c r="D91"/>
      <c r="E91"/>
      <c r="F91"/>
      <c r="G91"/>
      <c r="H91"/>
      <c r="I91"/>
    </row>
    <row r="92" spans="1:9" ht="15" x14ac:dyDescent="0.25">
      <c r="A92"/>
      <c r="B92"/>
      <c r="C92"/>
      <c r="D92"/>
      <c r="E92"/>
      <c r="F92"/>
      <c r="G92"/>
      <c r="H92"/>
      <c r="I92"/>
    </row>
    <row r="93" spans="1:9" ht="15" x14ac:dyDescent="0.25">
      <c r="A93"/>
      <c r="B93"/>
      <c r="C93"/>
      <c r="D93"/>
      <c r="E93"/>
      <c r="F93"/>
      <c r="G93"/>
      <c r="H93"/>
      <c r="I93"/>
    </row>
    <row r="94" spans="1:9" ht="15" x14ac:dyDescent="0.25">
      <c r="A94"/>
      <c r="B94"/>
      <c r="C94"/>
      <c r="D94"/>
      <c r="E94"/>
      <c r="F94"/>
      <c r="G94"/>
      <c r="H94"/>
      <c r="I94"/>
    </row>
    <row r="95" spans="1:9" ht="15" x14ac:dyDescent="0.25">
      <c r="A95"/>
      <c r="B95"/>
      <c r="C95"/>
      <c r="D95"/>
      <c r="E95"/>
      <c r="F95"/>
      <c r="G95"/>
      <c r="H95"/>
      <c r="I95"/>
    </row>
    <row r="96" spans="1:9" ht="15" x14ac:dyDescent="0.25">
      <c r="A96"/>
      <c r="B96"/>
      <c r="C96"/>
      <c r="D96"/>
      <c r="E96"/>
      <c r="F96"/>
      <c r="G96"/>
      <c r="H96"/>
      <c r="I96"/>
    </row>
    <row r="97" spans="1:9" ht="15" x14ac:dyDescent="0.25">
      <c r="A97"/>
      <c r="B97"/>
      <c r="C97"/>
      <c r="D97"/>
      <c r="E97"/>
      <c r="F97"/>
      <c r="G97"/>
      <c r="H97"/>
      <c r="I97"/>
    </row>
    <row r="98" spans="1:9" ht="15" x14ac:dyDescent="0.25">
      <c r="A98"/>
      <c r="B98"/>
      <c r="C98"/>
      <c r="D98"/>
      <c r="E98"/>
      <c r="F98"/>
      <c r="G98"/>
      <c r="H98"/>
      <c r="I98"/>
    </row>
    <row r="99" spans="1:9" ht="15" x14ac:dyDescent="0.25">
      <c r="A99"/>
      <c r="B99"/>
      <c r="C99"/>
      <c r="D99"/>
      <c r="E99"/>
      <c r="F99"/>
      <c r="G99"/>
      <c r="H99"/>
      <c r="I99"/>
    </row>
    <row r="100" spans="1:9" ht="15" x14ac:dyDescent="0.25">
      <c r="A100"/>
      <c r="B100"/>
      <c r="C100"/>
      <c r="D100"/>
      <c r="E100"/>
      <c r="F100"/>
      <c r="G100"/>
      <c r="H100"/>
      <c r="I100"/>
    </row>
    <row r="101" spans="1:9" ht="15" x14ac:dyDescent="0.25">
      <c r="A101"/>
      <c r="B101"/>
      <c r="C101"/>
      <c r="D101"/>
      <c r="E101"/>
      <c r="F101"/>
      <c r="G101"/>
      <c r="H101"/>
      <c r="I101"/>
    </row>
    <row r="102" spans="1:9" ht="15" x14ac:dyDescent="0.25">
      <c r="A102"/>
      <c r="B102"/>
      <c r="C102"/>
      <c r="D102"/>
      <c r="E102"/>
      <c r="F102"/>
      <c r="G102"/>
      <c r="H102"/>
      <c r="I102"/>
    </row>
    <row r="103" spans="1:9" ht="15" x14ac:dyDescent="0.25">
      <c r="A103"/>
      <c r="B103"/>
      <c r="C103"/>
      <c r="D103"/>
      <c r="E103"/>
      <c r="F103"/>
      <c r="G103"/>
      <c r="H103"/>
      <c r="I103"/>
    </row>
    <row r="104" spans="1:9" ht="15" x14ac:dyDescent="0.25">
      <c r="A104"/>
      <c r="B104"/>
      <c r="C104"/>
      <c r="D104"/>
      <c r="E104"/>
      <c r="F104"/>
      <c r="G104"/>
      <c r="H104"/>
      <c r="I104"/>
    </row>
    <row r="105" spans="1:9" ht="15" x14ac:dyDescent="0.25">
      <c r="A105"/>
      <c r="B105"/>
      <c r="C105"/>
      <c r="D105"/>
      <c r="E105"/>
      <c r="F105"/>
      <c r="G105"/>
      <c r="H105"/>
      <c r="I105"/>
    </row>
    <row r="106" spans="1:9" ht="15" x14ac:dyDescent="0.25">
      <c r="A106"/>
      <c r="B106"/>
      <c r="C106"/>
      <c r="D106"/>
      <c r="E106"/>
      <c r="F106"/>
      <c r="G106"/>
      <c r="H106"/>
      <c r="I106"/>
    </row>
    <row r="107" spans="1:9" ht="15" x14ac:dyDescent="0.25">
      <c r="A107"/>
      <c r="B107"/>
      <c r="C107"/>
      <c r="D107"/>
      <c r="E107"/>
      <c r="F107"/>
      <c r="G107"/>
      <c r="H107"/>
      <c r="I107"/>
    </row>
    <row r="108" spans="1:9" ht="15" x14ac:dyDescent="0.25">
      <c r="A108"/>
      <c r="B108"/>
      <c r="C108"/>
      <c r="D108"/>
      <c r="E108"/>
      <c r="F108"/>
      <c r="G108"/>
      <c r="H108"/>
      <c r="I108"/>
    </row>
    <row r="109" spans="1:9" ht="15" x14ac:dyDescent="0.25">
      <c r="A109"/>
      <c r="B109"/>
      <c r="C109"/>
      <c r="D109"/>
      <c r="E109"/>
      <c r="F109"/>
      <c r="G109"/>
      <c r="H109"/>
      <c r="I109"/>
    </row>
    <row r="110" spans="1:9" ht="15" x14ac:dyDescent="0.25">
      <c r="A110"/>
      <c r="B110"/>
      <c r="C110"/>
      <c r="D110"/>
      <c r="E110"/>
      <c r="F110"/>
      <c r="G110"/>
      <c r="H110"/>
      <c r="I110"/>
    </row>
    <row r="111" spans="1:9" ht="15" x14ac:dyDescent="0.25">
      <c r="A111"/>
      <c r="B111"/>
      <c r="C111"/>
      <c r="D111"/>
      <c r="E111"/>
      <c r="F111"/>
      <c r="G111"/>
      <c r="H111"/>
      <c r="I111"/>
    </row>
    <row r="112" spans="1:9" ht="15" x14ac:dyDescent="0.25">
      <c r="A112"/>
      <c r="B112"/>
      <c r="C112"/>
      <c r="D112"/>
      <c r="E112"/>
      <c r="F112"/>
      <c r="G112"/>
      <c r="H112"/>
      <c r="I112"/>
    </row>
    <row r="113" spans="1:9" ht="15" x14ac:dyDescent="0.25">
      <c r="A113"/>
      <c r="B113"/>
      <c r="C113"/>
      <c r="D113"/>
      <c r="E113"/>
      <c r="F113"/>
      <c r="G113"/>
      <c r="H113"/>
      <c r="I113"/>
    </row>
    <row r="114" spans="1:9" ht="15" x14ac:dyDescent="0.25">
      <c r="A114"/>
      <c r="B114"/>
      <c r="C114"/>
      <c r="D114"/>
      <c r="E114"/>
      <c r="F114"/>
      <c r="G114"/>
      <c r="H114"/>
      <c r="I114"/>
    </row>
    <row r="115" spans="1:9" ht="15" x14ac:dyDescent="0.25">
      <c r="A115"/>
      <c r="B115"/>
      <c r="C115"/>
      <c r="D115"/>
      <c r="E115"/>
      <c r="F115"/>
      <c r="G115"/>
      <c r="H115"/>
      <c r="I115"/>
    </row>
    <row r="116" spans="1:9" ht="15" x14ac:dyDescent="0.25">
      <c r="A116"/>
      <c r="B116"/>
      <c r="C116"/>
      <c r="D116"/>
      <c r="E116"/>
      <c r="F116"/>
      <c r="G116"/>
      <c r="H116"/>
      <c r="I116"/>
    </row>
    <row r="117" spans="1:9" ht="15" x14ac:dyDescent="0.25">
      <c r="A117"/>
      <c r="B117"/>
      <c r="C117"/>
      <c r="D117"/>
      <c r="E117"/>
      <c r="F117"/>
      <c r="G117"/>
      <c r="H117"/>
      <c r="I117"/>
    </row>
    <row r="118" spans="1:9" ht="15" x14ac:dyDescent="0.25">
      <c r="A118"/>
      <c r="B118"/>
      <c r="C118"/>
      <c r="D118"/>
      <c r="E118"/>
      <c r="F118"/>
      <c r="G118"/>
      <c r="H118"/>
      <c r="I118"/>
    </row>
    <row r="119" spans="1:9" ht="15" x14ac:dyDescent="0.25">
      <c r="A119"/>
      <c r="B119"/>
      <c r="C119"/>
      <c r="D119"/>
      <c r="E119"/>
      <c r="F119"/>
      <c r="G119"/>
      <c r="H119"/>
      <c r="I119"/>
    </row>
    <row r="120" spans="1:9" ht="15" x14ac:dyDescent="0.25">
      <c r="A120"/>
      <c r="B120"/>
      <c r="C120"/>
      <c r="D120"/>
      <c r="E120"/>
      <c r="F120"/>
      <c r="G120"/>
      <c r="H120"/>
      <c r="I120"/>
    </row>
    <row r="121" spans="1:9" ht="15" x14ac:dyDescent="0.25">
      <c r="A121"/>
      <c r="B121"/>
      <c r="C121"/>
      <c r="D121"/>
      <c r="E121"/>
      <c r="F121"/>
      <c r="G121"/>
      <c r="H121"/>
      <c r="I121"/>
    </row>
    <row r="122" spans="1:9" ht="15" x14ac:dyDescent="0.25">
      <c r="A122"/>
      <c r="B122"/>
      <c r="C122"/>
      <c r="D122"/>
      <c r="E122"/>
      <c r="F122"/>
      <c r="G122"/>
      <c r="H122"/>
      <c r="I122"/>
    </row>
    <row r="123" spans="1:9" ht="15" x14ac:dyDescent="0.25">
      <c r="A123"/>
      <c r="B123"/>
      <c r="C123"/>
      <c r="D123"/>
      <c r="E123"/>
      <c r="F123"/>
      <c r="G123"/>
      <c r="H123"/>
      <c r="I123"/>
    </row>
    <row r="124" spans="1:9" ht="15" x14ac:dyDescent="0.25">
      <c r="A124"/>
      <c r="B124"/>
      <c r="C124"/>
      <c r="D124"/>
      <c r="E124"/>
      <c r="F124"/>
      <c r="G124"/>
      <c r="H124"/>
      <c r="I124"/>
    </row>
    <row r="125" spans="1:9" ht="15" x14ac:dyDescent="0.25">
      <c r="A125"/>
      <c r="B125"/>
      <c r="C125"/>
      <c r="D125"/>
      <c r="E125"/>
      <c r="F125"/>
      <c r="G125"/>
      <c r="H125"/>
      <c r="I125"/>
    </row>
    <row r="126" spans="1:9" ht="15" x14ac:dyDescent="0.25">
      <c r="A126"/>
      <c r="B126"/>
      <c r="C126"/>
      <c r="D126"/>
      <c r="E126"/>
      <c r="F126"/>
      <c r="G126"/>
      <c r="H126"/>
      <c r="I126"/>
    </row>
    <row r="127" spans="1:9" ht="15" x14ac:dyDescent="0.25">
      <c r="A127"/>
      <c r="B127"/>
      <c r="C127"/>
      <c r="D127"/>
      <c r="E127"/>
      <c r="F127"/>
      <c r="G127"/>
      <c r="H127"/>
      <c r="I127"/>
    </row>
    <row r="128" spans="1:9" ht="15" x14ac:dyDescent="0.25">
      <c r="A128"/>
      <c r="B128"/>
      <c r="C128"/>
      <c r="D128"/>
      <c r="E128"/>
      <c r="F128"/>
      <c r="G128"/>
      <c r="H128"/>
      <c r="I128"/>
    </row>
    <row r="129" spans="1:9" ht="15" x14ac:dyDescent="0.25">
      <c r="A129"/>
      <c r="B129"/>
      <c r="C129"/>
      <c r="D129"/>
      <c r="E129"/>
      <c r="F129"/>
      <c r="G129"/>
      <c r="H129"/>
      <c r="I129"/>
    </row>
    <row r="130" spans="1:9" ht="15" x14ac:dyDescent="0.25">
      <c r="A130"/>
      <c r="B130"/>
      <c r="C130"/>
      <c r="D130"/>
      <c r="E130"/>
      <c r="F130"/>
      <c r="G130"/>
      <c r="H130"/>
      <c r="I130"/>
    </row>
    <row r="131" spans="1:9" ht="15" x14ac:dyDescent="0.25">
      <c r="A131"/>
      <c r="B131"/>
      <c r="C131"/>
      <c r="D131"/>
      <c r="E131"/>
      <c r="F131"/>
      <c r="G131"/>
      <c r="H131"/>
      <c r="I131"/>
    </row>
    <row r="132" spans="1:9" ht="15" x14ac:dyDescent="0.25">
      <c r="A132"/>
      <c r="B132"/>
      <c r="C132"/>
      <c r="D132"/>
      <c r="E132"/>
      <c r="F132"/>
      <c r="G132"/>
      <c r="H132"/>
      <c r="I132"/>
    </row>
    <row r="133" spans="1:9" ht="15" x14ac:dyDescent="0.25">
      <c r="A133"/>
      <c r="B133"/>
      <c r="C133"/>
      <c r="D133"/>
      <c r="E133"/>
      <c r="F133"/>
      <c r="G133"/>
      <c r="H133"/>
      <c r="I133"/>
    </row>
    <row r="134" spans="1:9" ht="15" x14ac:dyDescent="0.25">
      <c r="A134"/>
      <c r="B134"/>
      <c r="C134"/>
      <c r="D134"/>
      <c r="E134"/>
      <c r="F134"/>
      <c r="G134"/>
      <c r="H134"/>
      <c r="I134"/>
    </row>
    <row r="135" spans="1:9" ht="15" x14ac:dyDescent="0.25">
      <c r="A135"/>
      <c r="B135"/>
      <c r="C135"/>
      <c r="D135"/>
      <c r="E135"/>
      <c r="F135"/>
      <c r="G135"/>
      <c r="H135"/>
      <c r="I135"/>
    </row>
    <row r="136" spans="1:9" ht="15" x14ac:dyDescent="0.25">
      <c r="A136"/>
      <c r="B136"/>
      <c r="C136"/>
      <c r="D136"/>
      <c r="E136"/>
      <c r="F136"/>
      <c r="G136"/>
      <c r="H136"/>
      <c r="I136"/>
    </row>
    <row r="137" spans="1:9" ht="15" x14ac:dyDescent="0.25">
      <c r="A137"/>
      <c r="B137"/>
      <c r="C137"/>
      <c r="D137"/>
      <c r="E137"/>
      <c r="F137"/>
      <c r="G137"/>
      <c r="H137"/>
      <c r="I137"/>
    </row>
    <row r="138" spans="1:9" ht="15" x14ac:dyDescent="0.25">
      <c r="A138"/>
      <c r="B138"/>
      <c r="C138"/>
      <c r="D138"/>
      <c r="E138"/>
      <c r="F138"/>
      <c r="G138"/>
      <c r="H138"/>
      <c r="I138"/>
    </row>
    <row r="139" spans="1:9" ht="15" x14ac:dyDescent="0.25">
      <c r="A139"/>
      <c r="B139"/>
      <c r="C139"/>
      <c r="D139"/>
      <c r="E139"/>
      <c r="F139"/>
      <c r="G139"/>
      <c r="H139"/>
      <c r="I139"/>
    </row>
    <row r="140" spans="1:9" ht="15" x14ac:dyDescent="0.25">
      <c r="A140"/>
      <c r="B140"/>
      <c r="C140"/>
      <c r="D140"/>
      <c r="E140"/>
      <c r="F140"/>
      <c r="G140"/>
      <c r="H140"/>
      <c r="I140"/>
    </row>
    <row r="141" spans="1:9" ht="15" x14ac:dyDescent="0.25">
      <c r="A141"/>
      <c r="B141"/>
      <c r="C141"/>
      <c r="D141"/>
      <c r="E141"/>
      <c r="F141"/>
      <c r="G141"/>
      <c r="H141"/>
      <c r="I141"/>
    </row>
    <row r="142" spans="1:9" ht="15" x14ac:dyDescent="0.25">
      <c r="A142"/>
      <c r="B142"/>
      <c r="C142"/>
      <c r="D142"/>
      <c r="E142"/>
      <c r="F142"/>
      <c r="G142"/>
      <c r="H142"/>
      <c r="I142"/>
    </row>
    <row r="143" spans="1:9" ht="15" x14ac:dyDescent="0.25">
      <c r="A143"/>
      <c r="B143"/>
      <c r="C143"/>
      <c r="D143"/>
      <c r="E143"/>
      <c r="F143"/>
      <c r="G143"/>
      <c r="H143"/>
      <c r="I143"/>
    </row>
    <row r="144" spans="1:9" ht="15" x14ac:dyDescent="0.25">
      <c r="A144"/>
      <c r="B144"/>
      <c r="C144"/>
      <c r="D144"/>
      <c r="E144"/>
      <c r="F144"/>
      <c r="G144"/>
      <c r="H144"/>
      <c r="I144"/>
    </row>
    <row r="145" spans="1:9" ht="15" x14ac:dyDescent="0.25">
      <c r="A145"/>
      <c r="B145"/>
      <c r="C145"/>
      <c r="D145"/>
      <c r="E145"/>
      <c r="F145"/>
      <c r="G145"/>
      <c r="H145"/>
      <c r="I145"/>
    </row>
    <row r="146" spans="1:9" ht="15" x14ac:dyDescent="0.25">
      <c r="A146"/>
      <c r="B146"/>
      <c r="C146"/>
      <c r="D146"/>
      <c r="E146"/>
      <c r="F146"/>
      <c r="G146"/>
      <c r="H146"/>
      <c r="I146"/>
    </row>
    <row r="147" spans="1:9" ht="15" x14ac:dyDescent="0.25">
      <c r="A147"/>
      <c r="B147"/>
      <c r="C147"/>
      <c r="D147"/>
      <c r="E147"/>
      <c r="F147"/>
      <c r="G147"/>
      <c r="H147"/>
      <c r="I147"/>
    </row>
    <row r="148" spans="1:9" ht="15" x14ac:dyDescent="0.25">
      <c r="A148"/>
      <c r="B148"/>
      <c r="C148"/>
      <c r="D148"/>
      <c r="E148"/>
      <c r="F148"/>
      <c r="G148"/>
      <c r="H148"/>
      <c r="I148"/>
    </row>
    <row r="149" spans="1:9" ht="15" x14ac:dyDescent="0.25">
      <c r="A149"/>
      <c r="B149"/>
      <c r="C149"/>
      <c r="D149"/>
      <c r="E149"/>
      <c r="F149"/>
      <c r="G149"/>
      <c r="H149"/>
      <c r="I149"/>
    </row>
    <row r="150" spans="1:9" ht="15" x14ac:dyDescent="0.25">
      <c r="A150"/>
      <c r="B150"/>
      <c r="C150"/>
      <c r="D150"/>
      <c r="E150"/>
      <c r="F150"/>
      <c r="G150"/>
      <c r="H150"/>
      <c r="I150"/>
    </row>
    <row r="151" spans="1:9" ht="15" x14ac:dyDescent="0.25">
      <c r="A151"/>
      <c r="B151"/>
      <c r="C151"/>
      <c r="D151"/>
      <c r="E151"/>
      <c r="F151"/>
      <c r="G151"/>
      <c r="H151"/>
      <c r="I151"/>
    </row>
    <row r="152" spans="1:9" ht="15" x14ac:dyDescent="0.25">
      <c r="A152"/>
      <c r="B152"/>
      <c r="C152"/>
      <c r="D152"/>
      <c r="E152"/>
      <c r="F152"/>
      <c r="G152"/>
      <c r="H152"/>
      <c r="I152"/>
    </row>
    <row r="153" spans="1:9" ht="15" x14ac:dyDescent="0.25">
      <c r="A153"/>
      <c r="B153"/>
      <c r="C153"/>
      <c r="D153"/>
      <c r="E153"/>
      <c r="F153"/>
      <c r="G153"/>
      <c r="H153"/>
      <c r="I153"/>
    </row>
    <row r="154" spans="1:9" ht="15" x14ac:dyDescent="0.25">
      <c r="A154"/>
      <c r="B154"/>
      <c r="C154"/>
      <c r="D154"/>
      <c r="E154"/>
      <c r="F154"/>
      <c r="G154"/>
      <c r="H154"/>
      <c r="I154"/>
    </row>
    <row r="155" spans="1:9" ht="15" x14ac:dyDescent="0.25">
      <c r="A155"/>
      <c r="B155"/>
      <c r="C155"/>
      <c r="D155"/>
      <c r="E155"/>
      <c r="F155"/>
      <c r="G155"/>
      <c r="H155"/>
      <c r="I155"/>
    </row>
    <row r="156" spans="1:9" ht="15" x14ac:dyDescent="0.25">
      <c r="A156"/>
      <c r="B156"/>
      <c r="C156"/>
      <c r="D156"/>
      <c r="E156"/>
      <c r="F156"/>
      <c r="G156"/>
      <c r="H156"/>
      <c r="I156"/>
    </row>
    <row r="157" spans="1:9" ht="15" x14ac:dyDescent="0.25">
      <c r="A157"/>
      <c r="B157"/>
      <c r="C157"/>
      <c r="D157"/>
      <c r="E157"/>
      <c r="F157"/>
      <c r="G157"/>
      <c r="H157"/>
      <c r="I157"/>
    </row>
    <row r="158" spans="1:9" ht="15" x14ac:dyDescent="0.25">
      <c r="A158"/>
      <c r="B158"/>
      <c r="C158"/>
      <c r="D158"/>
      <c r="E158"/>
      <c r="F158"/>
      <c r="G158"/>
      <c r="H158"/>
      <c r="I158"/>
    </row>
    <row r="159" spans="1:9" ht="15" x14ac:dyDescent="0.25">
      <c r="A159"/>
      <c r="B159"/>
      <c r="C159"/>
      <c r="D159"/>
      <c r="E159"/>
      <c r="F159"/>
      <c r="G159"/>
      <c r="H159"/>
      <c r="I159"/>
    </row>
    <row r="160" spans="1:9" ht="15" x14ac:dyDescent="0.25">
      <c r="A160"/>
      <c r="B160"/>
      <c r="C160"/>
      <c r="D160"/>
      <c r="E160"/>
      <c r="F160"/>
      <c r="G160"/>
      <c r="H160"/>
      <c r="I160"/>
    </row>
    <row r="161" spans="1:9" ht="15" x14ac:dyDescent="0.25">
      <c r="A161"/>
      <c r="B161"/>
      <c r="C161"/>
      <c r="D161"/>
      <c r="E161"/>
      <c r="F161"/>
      <c r="G161"/>
      <c r="H161"/>
      <c r="I161"/>
    </row>
    <row r="162" spans="1:9" ht="15" x14ac:dyDescent="0.25">
      <c r="A162"/>
      <c r="B162"/>
      <c r="C162"/>
      <c r="D162"/>
      <c r="E162"/>
      <c r="F162"/>
      <c r="G162"/>
      <c r="H162"/>
      <c r="I162"/>
    </row>
    <row r="163" spans="1:9" ht="15" x14ac:dyDescent="0.25">
      <c r="A163"/>
      <c r="B163"/>
      <c r="C163"/>
      <c r="D163"/>
      <c r="E163"/>
      <c r="F163"/>
      <c r="G163"/>
      <c r="H163"/>
      <c r="I163"/>
    </row>
    <row r="164" spans="1:9" ht="15" x14ac:dyDescent="0.25">
      <c r="A164"/>
      <c r="B164"/>
      <c r="C164"/>
      <c r="D164"/>
      <c r="E164"/>
      <c r="F164"/>
      <c r="G164"/>
      <c r="H164"/>
      <c r="I164"/>
    </row>
    <row r="165" spans="1:9" ht="15" x14ac:dyDescent="0.25">
      <c r="A165"/>
      <c r="B165"/>
      <c r="C165"/>
      <c r="D165"/>
      <c r="E165"/>
      <c r="F165"/>
      <c r="G165"/>
      <c r="H165"/>
      <c r="I165"/>
    </row>
    <row r="166" spans="1:9" ht="15" x14ac:dyDescent="0.25">
      <c r="A166"/>
      <c r="B166"/>
      <c r="C166"/>
      <c r="D166"/>
      <c r="E166"/>
      <c r="F166"/>
      <c r="G166"/>
      <c r="H166"/>
      <c r="I166"/>
    </row>
    <row r="167" spans="1:9" ht="15" x14ac:dyDescent="0.25">
      <c r="A167"/>
      <c r="B167"/>
      <c r="C167"/>
      <c r="D167"/>
      <c r="E167"/>
      <c r="F167"/>
      <c r="G167"/>
      <c r="H167"/>
      <c r="I167"/>
    </row>
    <row r="168" spans="1:9" ht="15" x14ac:dyDescent="0.25">
      <c r="A168"/>
      <c r="B168"/>
      <c r="C168"/>
      <c r="D168"/>
      <c r="E168"/>
      <c r="F168"/>
      <c r="G168"/>
      <c r="H168"/>
      <c r="I168"/>
    </row>
    <row r="169" spans="1:9" ht="15" x14ac:dyDescent="0.25">
      <c r="A169"/>
      <c r="B169"/>
      <c r="C169"/>
      <c r="D169"/>
      <c r="E169"/>
      <c r="F169"/>
      <c r="G169"/>
      <c r="H169"/>
      <c r="I169"/>
    </row>
    <row r="170" spans="1:9" ht="15" x14ac:dyDescent="0.25">
      <c r="A170"/>
      <c r="B170"/>
      <c r="C170"/>
      <c r="D170"/>
      <c r="E170"/>
      <c r="F170"/>
      <c r="G170"/>
      <c r="H170"/>
      <c r="I170"/>
    </row>
    <row r="171" spans="1:9" ht="15" x14ac:dyDescent="0.25">
      <c r="A171"/>
      <c r="B171"/>
      <c r="C171"/>
      <c r="D171"/>
      <c r="E171"/>
      <c r="F171"/>
      <c r="G171"/>
      <c r="H171"/>
      <c r="I171"/>
    </row>
    <row r="172" spans="1:9" ht="15" x14ac:dyDescent="0.25">
      <c r="A172"/>
      <c r="B172"/>
      <c r="C172"/>
      <c r="D172"/>
      <c r="E172"/>
      <c r="F172"/>
      <c r="G172"/>
      <c r="H172"/>
      <c r="I172"/>
    </row>
    <row r="173" spans="1:9" ht="15" x14ac:dyDescent="0.25">
      <c r="A173"/>
      <c r="B173"/>
      <c r="C173"/>
      <c r="D173"/>
      <c r="E173"/>
      <c r="F173"/>
      <c r="G173"/>
      <c r="H173"/>
      <c r="I173"/>
    </row>
    <row r="174" spans="1:9" ht="15" x14ac:dyDescent="0.25">
      <c r="A174"/>
      <c r="B174"/>
      <c r="C174"/>
      <c r="D174"/>
      <c r="E174"/>
      <c r="F174"/>
      <c r="G174"/>
      <c r="H174"/>
      <c r="I174"/>
    </row>
    <row r="175" spans="1:9" ht="15" x14ac:dyDescent="0.25">
      <c r="A175"/>
      <c r="B175"/>
      <c r="C175"/>
      <c r="D175"/>
      <c r="E175"/>
      <c r="F175"/>
      <c r="G175"/>
      <c r="H175"/>
      <c r="I175"/>
    </row>
    <row r="176" spans="1:9" ht="15" x14ac:dyDescent="0.25">
      <c r="A176"/>
      <c r="B176"/>
      <c r="C176"/>
      <c r="D176"/>
      <c r="E176"/>
      <c r="F176"/>
      <c r="G176"/>
      <c r="H176"/>
      <c r="I176"/>
    </row>
    <row r="177" spans="1:9" ht="15" x14ac:dyDescent="0.25">
      <c r="A177"/>
      <c r="B177"/>
      <c r="C177"/>
      <c r="D177"/>
      <c r="E177"/>
      <c r="F177"/>
      <c r="G177"/>
      <c r="H177"/>
      <c r="I177"/>
    </row>
    <row r="178" spans="1:9" ht="15" x14ac:dyDescent="0.25">
      <c r="A178"/>
      <c r="B178"/>
      <c r="C178"/>
      <c r="D178"/>
      <c r="E178"/>
      <c r="F178"/>
      <c r="G178"/>
      <c r="H178"/>
      <c r="I178"/>
    </row>
    <row r="179" spans="1:9" ht="15" x14ac:dyDescent="0.25">
      <c r="A179"/>
      <c r="B179"/>
      <c r="C179"/>
      <c r="D179"/>
      <c r="E179"/>
      <c r="F179"/>
      <c r="G179"/>
      <c r="H179"/>
      <c r="I179"/>
    </row>
    <row r="180" spans="1:9" ht="15" x14ac:dyDescent="0.25">
      <c r="A180"/>
      <c r="B180"/>
      <c r="C180"/>
      <c r="D180"/>
      <c r="E180"/>
      <c r="F180"/>
      <c r="G180"/>
      <c r="H180"/>
      <c r="I180"/>
    </row>
    <row r="181" spans="1:9" ht="15" x14ac:dyDescent="0.25">
      <c r="A181"/>
      <c r="B181"/>
      <c r="C181"/>
      <c r="D181"/>
      <c r="E181"/>
      <c r="F181"/>
      <c r="G181"/>
      <c r="H181"/>
      <c r="I181"/>
    </row>
    <row r="182" spans="1:9" ht="15" x14ac:dyDescent="0.25">
      <c r="A182"/>
      <c r="B182"/>
      <c r="C182"/>
      <c r="D182"/>
      <c r="E182"/>
      <c r="F182"/>
      <c r="G182"/>
      <c r="H182"/>
      <c r="I182"/>
    </row>
    <row r="183" spans="1:9" ht="15" x14ac:dyDescent="0.25">
      <c r="A183"/>
      <c r="B183"/>
      <c r="C183"/>
      <c r="D183"/>
      <c r="E183"/>
      <c r="F183"/>
      <c r="G183"/>
      <c r="H183"/>
      <c r="I183"/>
    </row>
    <row r="184" spans="1:9" ht="15" x14ac:dyDescent="0.25">
      <c r="A184"/>
      <c r="B184"/>
      <c r="C184"/>
      <c r="D184"/>
      <c r="E184"/>
      <c r="F184"/>
      <c r="G184"/>
      <c r="H184"/>
      <c r="I184"/>
    </row>
    <row r="185" spans="1:9" ht="15" x14ac:dyDescent="0.25">
      <c r="A185"/>
      <c r="B185"/>
      <c r="C185"/>
      <c r="D185"/>
      <c r="E185"/>
      <c r="F185"/>
      <c r="G185"/>
      <c r="H185"/>
      <c r="I185"/>
    </row>
    <row r="186" spans="1:9" ht="15" x14ac:dyDescent="0.25">
      <c r="A186"/>
      <c r="B186"/>
      <c r="C186"/>
      <c r="D186"/>
      <c r="E186"/>
      <c r="F186"/>
      <c r="G186"/>
      <c r="H186"/>
      <c r="I186"/>
    </row>
    <row r="187" spans="1:9" ht="15" x14ac:dyDescent="0.25">
      <c r="A187"/>
      <c r="B187"/>
      <c r="C187"/>
      <c r="D187"/>
      <c r="E187"/>
      <c r="F187"/>
      <c r="G187"/>
      <c r="H187"/>
      <c r="I187"/>
    </row>
    <row r="188" spans="1:9" ht="15" x14ac:dyDescent="0.25">
      <c r="A188"/>
      <c r="B188"/>
      <c r="C188"/>
      <c r="D188"/>
      <c r="E188"/>
      <c r="F188"/>
      <c r="G188"/>
      <c r="H188"/>
      <c r="I188"/>
    </row>
    <row r="189" spans="1:9" ht="15" x14ac:dyDescent="0.25">
      <c r="A189"/>
      <c r="B189"/>
      <c r="C189"/>
      <c r="D189"/>
      <c r="E189"/>
      <c r="F189"/>
      <c r="G189"/>
      <c r="H189"/>
      <c r="I189"/>
    </row>
    <row r="190" spans="1:9" ht="15" x14ac:dyDescent="0.25">
      <c r="A190"/>
      <c r="B190"/>
      <c r="C190"/>
      <c r="D190"/>
      <c r="E190"/>
      <c r="F190"/>
      <c r="G190"/>
      <c r="H190"/>
      <c r="I190"/>
    </row>
    <row r="191" spans="1:9" ht="15" x14ac:dyDescent="0.25">
      <c r="A191"/>
      <c r="B191"/>
      <c r="C191"/>
      <c r="D191"/>
      <c r="E191"/>
      <c r="F191"/>
      <c r="G191"/>
      <c r="H191"/>
      <c r="I191"/>
    </row>
    <row r="192" spans="1:9" ht="15" x14ac:dyDescent="0.25">
      <c r="A192"/>
      <c r="B192"/>
      <c r="C192"/>
      <c r="D192"/>
      <c r="E192"/>
      <c r="F192"/>
      <c r="G192"/>
      <c r="H192"/>
      <c r="I192"/>
    </row>
    <row r="193" spans="1:9" ht="15" x14ac:dyDescent="0.25">
      <c r="A193"/>
      <c r="B193"/>
      <c r="C193"/>
      <c r="D193"/>
      <c r="E193"/>
      <c r="F193"/>
      <c r="G193"/>
      <c r="H193"/>
      <c r="I193"/>
    </row>
    <row r="194" spans="1:9" ht="15" x14ac:dyDescent="0.25">
      <c r="A194"/>
      <c r="B194"/>
      <c r="C194"/>
      <c r="D194"/>
      <c r="E194"/>
      <c r="F194"/>
      <c r="G194"/>
      <c r="H194"/>
      <c r="I194"/>
    </row>
    <row r="195" spans="1:9" ht="15" x14ac:dyDescent="0.25">
      <c r="A195"/>
      <c r="B195"/>
      <c r="C195"/>
      <c r="D195"/>
      <c r="E195"/>
      <c r="F195"/>
      <c r="G195"/>
      <c r="H195"/>
      <c r="I195"/>
    </row>
    <row r="196" spans="1:9" ht="15" x14ac:dyDescent="0.25">
      <c r="A196"/>
      <c r="B196"/>
      <c r="C196"/>
      <c r="D196"/>
      <c r="E196"/>
      <c r="F196"/>
      <c r="G196"/>
      <c r="H196"/>
      <c r="I196"/>
    </row>
    <row r="197" spans="1:9" ht="15" x14ac:dyDescent="0.25">
      <c r="A197"/>
      <c r="B197"/>
      <c r="C197"/>
      <c r="D197"/>
      <c r="E197"/>
      <c r="F197"/>
      <c r="G197"/>
      <c r="H197"/>
      <c r="I197"/>
    </row>
    <row r="198" spans="1:9" ht="15" x14ac:dyDescent="0.25">
      <c r="A198"/>
      <c r="B198"/>
      <c r="C198"/>
      <c r="D198"/>
      <c r="E198"/>
      <c r="F198"/>
      <c r="G198"/>
      <c r="H198"/>
      <c r="I198"/>
    </row>
    <row r="199" spans="1:9" ht="15" x14ac:dyDescent="0.25">
      <c r="A199"/>
      <c r="B199"/>
      <c r="C199"/>
      <c r="D199"/>
      <c r="E199"/>
      <c r="F199"/>
      <c r="G199"/>
      <c r="H199"/>
      <c r="I199"/>
    </row>
    <row r="200" spans="1:9" ht="15" x14ac:dyDescent="0.25">
      <c r="A200"/>
      <c r="B200"/>
      <c r="C200"/>
      <c r="D200"/>
      <c r="E200"/>
      <c r="F200"/>
      <c r="G200"/>
      <c r="H200"/>
      <c r="I200"/>
    </row>
    <row r="201" spans="1:9" ht="15" x14ac:dyDescent="0.25">
      <c r="A201"/>
      <c r="B201"/>
      <c r="C201"/>
      <c r="D201"/>
      <c r="E201"/>
      <c r="F201"/>
      <c r="G201"/>
      <c r="H201"/>
      <c r="I201"/>
    </row>
    <row r="202" spans="1:9" ht="15" x14ac:dyDescent="0.25">
      <c r="A202"/>
      <c r="B202"/>
      <c r="C202"/>
      <c r="D202"/>
      <c r="E202"/>
      <c r="F202"/>
      <c r="G202"/>
      <c r="H202"/>
      <c r="I202"/>
    </row>
    <row r="203" spans="1:9" ht="15" x14ac:dyDescent="0.25">
      <c r="A203"/>
      <c r="B203"/>
      <c r="C203"/>
      <c r="D203"/>
      <c r="E203"/>
      <c r="F203"/>
      <c r="G203"/>
      <c r="H203"/>
      <c r="I203"/>
    </row>
    <row r="204" spans="1:9" ht="15" x14ac:dyDescent="0.25">
      <c r="A204"/>
      <c r="B204"/>
      <c r="C204"/>
      <c r="D204"/>
      <c r="E204"/>
      <c r="F204"/>
      <c r="G204"/>
      <c r="H204"/>
      <c r="I204"/>
    </row>
    <row r="205" spans="1:9" ht="15" x14ac:dyDescent="0.25">
      <c r="A205"/>
      <c r="B205"/>
      <c r="C205"/>
      <c r="D205"/>
      <c r="E205"/>
      <c r="F205"/>
      <c r="G205"/>
      <c r="H205"/>
      <c r="I205"/>
    </row>
    <row r="206" spans="1:9" ht="15" x14ac:dyDescent="0.25">
      <c r="A206"/>
      <c r="B206"/>
      <c r="C206"/>
      <c r="D206"/>
      <c r="E206"/>
      <c r="F206"/>
      <c r="G206"/>
      <c r="H206"/>
      <c r="I206"/>
    </row>
    <row r="207" spans="1:9" ht="15" x14ac:dyDescent="0.25">
      <c r="A207"/>
      <c r="B207"/>
      <c r="C207"/>
      <c r="D207"/>
      <c r="E207"/>
      <c r="F207"/>
      <c r="G207"/>
      <c r="H207"/>
      <c r="I207"/>
    </row>
    <row r="208" spans="1:9" ht="15" x14ac:dyDescent="0.25">
      <c r="A208"/>
      <c r="B208"/>
      <c r="C208"/>
      <c r="D208"/>
      <c r="E208"/>
      <c r="F208"/>
      <c r="G208"/>
      <c r="H208"/>
      <c r="I208"/>
    </row>
    <row r="209" spans="1:9" ht="15" x14ac:dyDescent="0.25">
      <c r="A209"/>
      <c r="B209"/>
      <c r="C209"/>
      <c r="D209"/>
      <c r="E209"/>
      <c r="F209"/>
      <c r="G209"/>
      <c r="H209"/>
      <c r="I209"/>
    </row>
    <row r="210" spans="1:9" ht="15" x14ac:dyDescent="0.25">
      <c r="A210"/>
      <c r="B210"/>
      <c r="C210"/>
      <c r="D210"/>
      <c r="E210"/>
      <c r="F210"/>
      <c r="G210"/>
      <c r="H210"/>
      <c r="I210"/>
    </row>
    <row r="211" spans="1:9" ht="15" x14ac:dyDescent="0.25">
      <c r="A211"/>
      <c r="B211"/>
      <c r="C211"/>
      <c r="D211"/>
      <c r="E211"/>
      <c r="F211"/>
      <c r="G211"/>
      <c r="H211"/>
      <c r="I211"/>
    </row>
    <row r="212" spans="1:9" ht="15" x14ac:dyDescent="0.25">
      <c r="A212"/>
      <c r="B212"/>
      <c r="C212"/>
      <c r="D212"/>
      <c r="E212"/>
      <c r="F212"/>
      <c r="G212"/>
      <c r="H212"/>
      <c r="I212"/>
    </row>
    <row r="213" spans="1:9" ht="15" x14ac:dyDescent="0.25">
      <c r="A213"/>
      <c r="B213"/>
      <c r="C213"/>
      <c r="D213"/>
      <c r="E213"/>
      <c r="F213"/>
      <c r="G213"/>
      <c r="H213"/>
      <c r="I213"/>
    </row>
    <row r="214" spans="1:9" ht="15" x14ac:dyDescent="0.25">
      <c r="A214"/>
      <c r="B214"/>
      <c r="C214"/>
      <c r="D214"/>
      <c r="E214"/>
      <c r="F214"/>
      <c r="G214"/>
      <c r="H214"/>
      <c r="I214"/>
    </row>
    <row r="215" spans="1:9" ht="15" x14ac:dyDescent="0.25">
      <c r="A215"/>
      <c r="B215"/>
      <c r="C215"/>
      <c r="D215"/>
      <c r="E215"/>
      <c r="F215"/>
      <c r="G215"/>
      <c r="H215"/>
      <c r="I215"/>
    </row>
    <row r="216" spans="1:9" ht="15" x14ac:dyDescent="0.25">
      <c r="A216"/>
      <c r="B216"/>
      <c r="C216"/>
      <c r="D216"/>
      <c r="E216"/>
      <c r="F216"/>
      <c r="G216"/>
      <c r="H216"/>
      <c r="I216"/>
    </row>
    <row r="217" spans="1:9" ht="15" x14ac:dyDescent="0.25">
      <c r="A217"/>
      <c r="B217"/>
      <c r="C217"/>
      <c r="D217"/>
      <c r="E217"/>
      <c r="F217"/>
      <c r="G217"/>
      <c r="H217"/>
      <c r="I217"/>
    </row>
    <row r="218" spans="1:9" ht="15" x14ac:dyDescent="0.25">
      <c r="A218"/>
      <c r="B218"/>
      <c r="C218"/>
      <c r="D218"/>
      <c r="E218"/>
      <c r="F218"/>
      <c r="G218"/>
      <c r="H218"/>
      <c r="I218"/>
    </row>
    <row r="219" spans="1:9" ht="15" x14ac:dyDescent="0.25">
      <c r="A219"/>
      <c r="B219"/>
      <c r="C219"/>
      <c r="D219"/>
      <c r="E219"/>
      <c r="F219"/>
      <c r="G219"/>
      <c r="H219"/>
      <c r="I219"/>
    </row>
    <row r="220" spans="1:9" ht="15" x14ac:dyDescent="0.25">
      <c r="A220"/>
      <c r="B220"/>
      <c r="C220"/>
      <c r="D220"/>
      <c r="E220"/>
      <c r="F220"/>
      <c r="G220"/>
      <c r="H220"/>
      <c r="I220"/>
    </row>
  </sheetData>
  <autoFilter ref="A3:I3" xr:uid="{F7F44E2F-0633-42B7-8978-CE6606F45AA2}">
    <sortState xmlns:xlrd2="http://schemas.microsoft.com/office/spreadsheetml/2017/richdata2" ref="A4:I3">
      <sortCondition ref="A3:A220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3"/>
  <sheetViews>
    <sheetView showZeros="0" workbookViewId="0">
      <pane ySplit="3" topLeftCell="A4" activePane="bottomLeft" state="frozen"/>
      <selection pane="bottomLeft" activeCell="A4" sqref="A4"/>
    </sheetView>
  </sheetViews>
  <sheetFormatPr defaultRowHeight="13.5" x14ac:dyDescent="0.25"/>
  <cols>
    <col min="1" max="1" width="11.28515625" style="116" bestFit="1" customWidth="1"/>
    <col min="2" max="2" width="44.140625" style="116" bestFit="1" customWidth="1"/>
    <col min="3" max="3" width="12.28515625" style="116" bestFit="1" customWidth="1"/>
    <col min="4" max="4" width="9" style="116" bestFit="1" customWidth="1"/>
    <col min="5" max="5" width="11.140625" style="116" bestFit="1" customWidth="1"/>
    <col min="6" max="6" width="21.28515625" style="116" bestFit="1" customWidth="1"/>
    <col min="7" max="7" width="10" style="116" bestFit="1" customWidth="1"/>
    <col min="8" max="8" width="51" style="116" bestFit="1" customWidth="1"/>
    <col min="9" max="9" width="42.85546875" style="116" bestFit="1" customWidth="1"/>
    <col min="10" max="16384" width="9.140625" style="116"/>
  </cols>
  <sheetData>
    <row r="1" spans="1:9" x14ac:dyDescent="0.25">
      <c r="A1" s="122" t="s">
        <v>497</v>
      </c>
      <c r="B1" s="122"/>
      <c r="C1" s="122"/>
      <c r="D1" s="122"/>
      <c r="E1" s="122"/>
      <c r="F1" s="122"/>
      <c r="G1" s="122"/>
      <c r="H1" s="122"/>
      <c r="I1" s="127"/>
    </row>
    <row r="2" spans="1:9" ht="14.25" thickBot="1" x14ac:dyDescent="0.3">
      <c r="A2" s="128"/>
      <c r="B2" s="128"/>
      <c r="C2" s="128"/>
      <c r="D2" s="128"/>
      <c r="E2" s="128"/>
      <c r="F2" s="128"/>
      <c r="G2" s="128"/>
      <c r="H2" s="128"/>
      <c r="I2" s="129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</sheetData>
  <autoFilter ref="A3:I308" xr:uid="{F476CE54-98D6-4475-AD15-D3EE4F674097}">
    <sortState xmlns:xlrd2="http://schemas.microsoft.com/office/spreadsheetml/2017/richdata2" ref="A4:I308">
      <sortCondition ref="B3:B308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356-5D70-4488-95B0-A7D7F394D7AB}">
  <dimension ref="A1:N329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7.85546875" style="98" bestFit="1" customWidth="1"/>
    <col min="2" max="2" width="9.7109375" style="98" bestFit="1" customWidth="1"/>
    <col min="3" max="3" width="8.140625" style="98" bestFit="1" customWidth="1"/>
    <col min="4" max="4" width="7.28515625" style="98" bestFit="1" customWidth="1"/>
    <col min="5" max="5" width="12.42578125" style="98" bestFit="1" customWidth="1"/>
    <col min="6" max="6" width="44.140625" style="98" bestFit="1" customWidth="1"/>
    <col min="7" max="7" width="12.28515625" style="98" bestFit="1" customWidth="1"/>
    <col min="8" max="8" width="9" style="98" bestFit="1" customWidth="1"/>
    <col min="9" max="9" width="11.140625" style="98" bestFit="1" customWidth="1"/>
    <col min="10" max="10" width="21.28515625" style="98" bestFit="1" customWidth="1"/>
    <col min="11" max="11" width="10" style="98" bestFit="1" customWidth="1"/>
    <col min="12" max="12" width="51" style="98" bestFit="1" customWidth="1"/>
    <col min="13" max="13" width="42.85546875" style="98" bestFit="1" customWidth="1"/>
    <col min="14" max="14" width="9.7109375" style="98" bestFit="1" customWidth="1"/>
    <col min="15" max="16384" width="9.28515625" style="98"/>
  </cols>
  <sheetData>
    <row r="1" spans="1:14" x14ac:dyDescent="0.25">
      <c r="A1" s="122" t="s">
        <v>511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7"/>
    </row>
    <row r="2" spans="1:14" ht="14.25" thickBo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9"/>
    </row>
    <row r="3" spans="1:14" x14ac:dyDescent="0.25">
      <c r="A3" s="99" t="s">
        <v>0</v>
      </c>
      <c r="B3" s="99" t="s">
        <v>1</v>
      </c>
      <c r="C3" s="99" t="s">
        <v>2</v>
      </c>
      <c r="D3" s="99" t="s">
        <v>96</v>
      </c>
      <c r="E3" s="99" t="s">
        <v>466</v>
      </c>
      <c r="F3" s="100" t="s">
        <v>99</v>
      </c>
      <c r="G3" s="100" t="s">
        <v>3</v>
      </c>
      <c r="H3" s="100" t="s">
        <v>4</v>
      </c>
      <c r="I3" s="100" t="s">
        <v>5</v>
      </c>
      <c r="J3" s="100" t="s">
        <v>100</v>
      </c>
      <c r="K3" s="100" t="s">
        <v>6</v>
      </c>
      <c r="L3" s="101" t="s">
        <v>101</v>
      </c>
      <c r="M3" s="102" t="s">
        <v>7</v>
      </c>
      <c r="N3" s="102" t="s">
        <v>508</v>
      </c>
    </row>
    <row r="4" spans="1:14" x14ac:dyDescent="0.25">
      <c r="A4" s="103" t="s">
        <v>507</v>
      </c>
      <c r="B4" s="103" t="s">
        <v>507</v>
      </c>
      <c r="C4" s="104" t="s">
        <v>510</v>
      </c>
      <c r="D4" s="103" t="s">
        <v>507</v>
      </c>
      <c r="E4" s="104" t="s">
        <v>510</v>
      </c>
      <c r="F4" s="105" t="str">
        <f>Originals!B4</f>
        <v>Advanced Signal Processing Toolkit</v>
      </c>
      <c r="G4" s="105" t="str">
        <f>Originals!C4</f>
        <v>15.0.0</v>
      </c>
      <c r="H4" s="105" t="str">
        <f>Originals!D4</f>
        <v>32</v>
      </c>
      <c r="I4" s="105" t="str">
        <f>Originals!E4</f>
        <v>2015</v>
      </c>
      <c r="J4" s="105" t="str">
        <f>Originals!F4</f>
        <v>Development</v>
      </c>
      <c r="K4" s="105" t="str">
        <f>Originals!G4</f>
        <v>NI</v>
      </c>
      <c r="L4" s="105" t="str">
        <f>Originals!H4</f>
        <v>Advanced Signal Processing Toolkit 15.0.0</v>
      </c>
      <c r="M4" s="105" t="str">
        <f>Originals!I4</f>
        <v>NI Developer Suite 2015 DS2 Install</v>
      </c>
      <c r="N4" s="98" t="s">
        <v>136</v>
      </c>
    </row>
    <row r="5" spans="1:14" x14ac:dyDescent="0.25">
      <c r="A5" s="103" t="s">
        <v>507</v>
      </c>
      <c r="B5" s="103" t="s">
        <v>507</v>
      </c>
      <c r="C5" s="104" t="s">
        <v>510</v>
      </c>
      <c r="D5" s="104" t="s">
        <v>510</v>
      </c>
      <c r="E5" s="104" t="s">
        <v>510</v>
      </c>
      <c r="F5" s="105" t="str">
        <f>Originals!B5</f>
        <v>C Series Module Support</v>
      </c>
      <c r="G5" s="105" t="str">
        <f>Originals!C5</f>
        <v>15.0.0</v>
      </c>
      <c r="H5" s="105" t="str">
        <f>Originals!D5</f>
        <v>32</v>
      </c>
      <c r="I5" s="105" t="str">
        <f>Originals!E5</f>
        <v>2015</v>
      </c>
      <c r="J5" s="105" t="str">
        <f>Originals!F5</f>
        <v>Development</v>
      </c>
      <c r="K5" s="105" t="str">
        <f>Originals!G5</f>
        <v>NI</v>
      </c>
      <c r="L5" s="105" t="str">
        <f>Originals!H5</f>
        <v>C Series Module Support 15.0.0</v>
      </c>
      <c r="M5" s="105" t="str">
        <f>Originals!I5</f>
        <v>NI Developer Suite 2015 DS2 Install</v>
      </c>
      <c r="N5" s="98" t="s">
        <v>136</v>
      </c>
    </row>
    <row r="6" spans="1:14" x14ac:dyDescent="0.25">
      <c r="A6" s="104" t="s">
        <v>510</v>
      </c>
      <c r="B6" s="104" t="s">
        <v>510</v>
      </c>
      <c r="C6" s="103" t="s">
        <v>507</v>
      </c>
      <c r="D6" s="104" t="s">
        <v>510</v>
      </c>
      <c r="E6" s="104" t="s">
        <v>510</v>
      </c>
      <c r="F6" s="106" t="str">
        <f>Originals!B166</f>
        <v>C Series Module Support</v>
      </c>
      <c r="G6" s="106" t="str">
        <f>Originals!C166</f>
        <v>15.5.0</v>
      </c>
      <c r="H6" s="106" t="str">
        <f>Originals!D166</f>
        <v>32</v>
      </c>
      <c r="I6" s="106">
        <f>Originals!E166</f>
        <v>2015</v>
      </c>
      <c r="J6" s="106" t="str">
        <f>Originals!F166</f>
        <v>Development</v>
      </c>
      <c r="K6" s="106" t="str">
        <f>Originals!G166</f>
        <v>NI</v>
      </c>
      <c r="L6" s="106" t="str">
        <f>Originals!H166</f>
        <v>C Series Module Support 15.5.0</v>
      </c>
      <c r="M6" s="106">
        <f>Originals!I166</f>
        <v>0</v>
      </c>
      <c r="N6" s="107" t="s">
        <v>2</v>
      </c>
    </row>
    <row r="7" spans="1:14" x14ac:dyDescent="0.25">
      <c r="A7" s="104" t="s">
        <v>510</v>
      </c>
      <c r="B7" s="104" t="s">
        <v>510</v>
      </c>
      <c r="C7" s="104" t="s">
        <v>510</v>
      </c>
      <c r="D7" s="103" t="s">
        <v>507</v>
      </c>
      <c r="E7" s="104" t="s">
        <v>510</v>
      </c>
      <c r="F7" s="108" t="str">
        <f>Scott!B5</f>
        <v>C Series Module Support</v>
      </c>
      <c r="G7" s="108" t="str">
        <f>Scott!C5</f>
        <v>18.1.0</v>
      </c>
      <c r="H7" s="108" t="str">
        <f>Scott!D5</f>
        <v>32</v>
      </c>
      <c r="I7" s="108" t="str">
        <f>Scott!E5</f>
        <v>2018</v>
      </c>
      <c r="J7" s="108" t="str">
        <f>Scott!F5</f>
        <v>Development</v>
      </c>
      <c r="K7" s="108" t="str">
        <f>Scott!G5</f>
        <v>NI</v>
      </c>
      <c r="L7" s="108" t="str">
        <f>Scott!H5</f>
        <v>C Series Module Support 18.1.0</v>
      </c>
      <c r="M7" s="108" t="str">
        <f>Scott!I5</f>
        <v>CompactRIO 18.1.0</v>
      </c>
      <c r="N7" s="109" t="s">
        <v>96</v>
      </c>
    </row>
    <row r="8" spans="1:14" x14ac:dyDescent="0.25">
      <c r="A8" s="104" t="s">
        <v>510</v>
      </c>
      <c r="B8" s="104" t="s">
        <v>510</v>
      </c>
      <c r="C8" s="103" t="s">
        <v>507</v>
      </c>
      <c r="D8" s="103" t="s">
        <v>507</v>
      </c>
      <c r="E8" s="104" t="s">
        <v>510</v>
      </c>
      <c r="F8" s="105" t="str">
        <f>Originals!B167</f>
        <v>Caraya Unit Test Framework</v>
      </c>
      <c r="G8" s="105" t="str">
        <f>Originals!C167</f>
        <v>0.6.3.54</v>
      </c>
      <c r="H8" s="105" t="str">
        <f>Originals!D167</f>
        <v>32</v>
      </c>
      <c r="I8" s="105" t="str">
        <f>Originals!E167</f>
        <v>N/A</v>
      </c>
      <c r="J8" s="105" t="str">
        <f>Originals!F167</f>
        <v>Development</v>
      </c>
      <c r="K8" s="105" t="str">
        <f>Originals!G167</f>
        <v>JKI</v>
      </c>
      <c r="L8" s="105" t="str">
        <f>Originals!H167</f>
        <v>Caraya Unit Test Framework 0.6.3.54</v>
      </c>
      <c r="M8" s="105" t="str">
        <f>Originals!I167</f>
        <v>VIPM Community</v>
      </c>
      <c r="N8" s="98" t="s">
        <v>136</v>
      </c>
    </row>
    <row r="9" spans="1:14" x14ac:dyDescent="0.25">
      <c r="A9" s="103" t="s">
        <v>507</v>
      </c>
      <c r="B9" s="103" t="s">
        <v>507</v>
      </c>
      <c r="C9" s="104" t="s">
        <v>510</v>
      </c>
      <c r="D9" s="104" t="s">
        <v>510</v>
      </c>
      <c r="E9" s="104" t="s">
        <v>510</v>
      </c>
      <c r="F9" s="105" t="str">
        <f>Originals!B6</f>
        <v>CompactRIO</v>
      </c>
      <c r="G9" s="105" t="str">
        <f>Originals!C6</f>
        <v>15.0.0</v>
      </c>
      <c r="H9" s="105" t="str">
        <f>Originals!D6</f>
        <v>32</v>
      </c>
      <c r="I9" s="105" t="str">
        <f>Originals!E6</f>
        <v>2015</v>
      </c>
      <c r="J9" s="105" t="str">
        <f>Originals!F6</f>
        <v>Development</v>
      </c>
      <c r="K9" s="105" t="str">
        <f>Originals!G6</f>
        <v>NI</v>
      </c>
      <c r="L9" s="105" t="str">
        <f>Originals!H6</f>
        <v>CompactRIO 15.0.0</v>
      </c>
      <c r="M9" s="105" t="str">
        <f>Originals!I6</f>
        <v>NI Developer Suite 2015 DS2 Install</v>
      </c>
      <c r="N9" s="98" t="s">
        <v>136</v>
      </c>
    </row>
    <row r="10" spans="1:14" x14ac:dyDescent="0.25">
      <c r="A10" s="104" t="s">
        <v>510</v>
      </c>
      <c r="B10" s="104" t="s">
        <v>510</v>
      </c>
      <c r="C10" s="103" t="s">
        <v>507</v>
      </c>
      <c r="D10" s="104" t="s">
        <v>510</v>
      </c>
      <c r="E10" s="104" t="s">
        <v>510</v>
      </c>
      <c r="F10" s="105" t="str">
        <f>Originals!B168</f>
        <v>CompactRIO</v>
      </c>
      <c r="G10" s="105" t="str">
        <f>Originals!C168</f>
        <v>15.5.0</v>
      </c>
      <c r="H10" s="105" t="str">
        <f>Originals!D168</f>
        <v>32</v>
      </c>
      <c r="I10" s="105">
        <f>Originals!E168</f>
        <v>2015</v>
      </c>
      <c r="J10" s="105" t="str">
        <f>Originals!F168</f>
        <v>Development</v>
      </c>
      <c r="K10" s="105" t="str">
        <f>Originals!G168</f>
        <v>NI</v>
      </c>
      <c r="L10" s="105" t="str">
        <f>Originals!H168</f>
        <v>CompactRIO 15.5.0</v>
      </c>
      <c r="M10" s="105">
        <f>Originals!I168</f>
        <v>0</v>
      </c>
      <c r="N10" s="98" t="s">
        <v>136</v>
      </c>
    </row>
    <row r="11" spans="1:14" x14ac:dyDescent="0.25">
      <c r="A11" s="104" t="s">
        <v>510</v>
      </c>
      <c r="B11" s="104" t="s">
        <v>510</v>
      </c>
      <c r="C11" s="104" t="s">
        <v>510</v>
      </c>
      <c r="D11" s="103" t="s">
        <v>507</v>
      </c>
      <c r="E11" s="103" t="s">
        <v>507</v>
      </c>
      <c r="F11" s="105" t="str">
        <f>Originals!B369</f>
        <v>CompactRIO</v>
      </c>
      <c r="G11" s="105" t="str">
        <f>Originals!C369</f>
        <v>18.1.0</v>
      </c>
      <c r="H11" s="105" t="str">
        <f>Originals!D369</f>
        <v>32</v>
      </c>
      <c r="I11" s="105" t="str">
        <f>Originals!E369</f>
        <v>2018</v>
      </c>
      <c r="J11" s="105" t="str">
        <f>Originals!F369</f>
        <v>Development</v>
      </c>
      <c r="K11" s="105" t="str">
        <f>Originals!G369</f>
        <v>NI</v>
      </c>
      <c r="L11" s="105" t="str">
        <f>Originals!H369</f>
        <v>CompactRIO 18.1.0</v>
      </c>
      <c r="M11" s="105" t="str">
        <f>Originals!I369</f>
        <v>CompactRIO 18.1.0</v>
      </c>
      <c r="N11" s="98" t="s">
        <v>136</v>
      </c>
    </row>
    <row r="12" spans="1:14" x14ac:dyDescent="0.25">
      <c r="A12" s="104" t="s">
        <v>510</v>
      </c>
      <c r="B12" s="104" t="s">
        <v>510</v>
      </c>
      <c r="C12" s="103" t="s">
        <v>507</v>
      </c>
      <c r="D12" s="104" t="s">
        <v>510</v>
      </c>
      <c r="E12" s="104" t="s">
        <v>510</v>
      </c>
      <c r="F12" s="105" t="str">
        <f>Originals!B169</f>
        <v>CompactRIO Suport</v>
      </c>
      <c r="G12" s="105" t="str">
        <f>Originals!C169</f>
        <v>15.5</v>
      </c>
      <c r="H12" s="105" t="str">
        <f>Originals!D169</f>
        <v>32</v>
      </c>
      <c r="I12" s="105" t="str">
        <f>Originals!E169</f>
        <v>2015</v>
      </c>
      <c r="J12" s="105" t="str">
        <f>Originals!F169</f>
        <v>C-RIO</v>
      </c>
      <c r="K12" s="105" t="str">
        <f>Originals!G169</f>
        <v>NI</v>
      </c>
      <c r="L12" s="105" t="str">
        <f>Originals!H169</f>
        <v>CompactRIO Suport 15.5</v>
      </c>
      <c r="M12" s="105">
        <f>Originals!I169</f>
        <v>0</v>
      </c>
      <c r="N12" s="98" t="s">
        <v>136</v>
      </c>
    </row>
    <row r="13" spans="1:14" x14ac:dyDescent="0.25">
      <c r="A13" s="103" t="s">
        <v>507</v>
      </c>
      <c r="B13" s="103" t="s">
        <v>507</v>
      </c>
      <c r="C13" s="104" t="s">
        <v>510</v>
      </c>
      <c r="D13" s="103" t="s">
        <v>507</v>
      </c>
      <c r="E13" s="104" t="s">
        <v>510</v>
      </c>
      <c r="F13" s="105" t="str">
        <f>Originals!B7</f>
        <v>CVI</v>
      </c>
      <c r="G13" s="105" t="str">
        <f>Originals!C7</f>
        <v>15.0.0.408</v>
      </c>
      <c r="H13" s="105" t="str">
        <f>Originals!D7</f>
        <v>32</v>
      </c>
      <c r="I13" s="105" t="str">
        <f>Originals!E7</f>
        <v>2015</v>
      </c>
      <c r="J13" s="105" t="str">
        <f>Originals!F7</f>
        <v>Runtime</v>
      </c>
      <c r="K13" s="105" t="str">
        <f>Originals!G7</f>
        <v>NI</v>
      </c>
      <c r="L13" s="105" t="str">
        <f>Originals!H7</f>
        <v>CVI 15.0.0.408</v>
      </c>
      <c r="M13" s="105" t="str">
        <f>Originals!I7</f>
        <v>LabVIEW 2015 SP1</v>
      </c>
      <c r="N13" s="98" t="s">
        <v>136</v>
      </c>
    </row>
    <row r="14" spans="1:14" x14ac:dyDescent="0.25">
      <c r="A14" s="104" t="s">
        <v>510</v>
      </c>
      <c r="B14" s="104" t="s">
        <v>510</v>
      </c>
      <c r="C14" s="103" t="s">
        <v>507</v>
      </c>
      <c r="D14" s="104" t="s">
        <v>510</v>
      </c>
      <c r="E14" s="104" t="s">
        <v>510</v>
      </c>
      <c r="F14" s="105" t="str">
        <f>Originals!B170</f>
        <v>CVI</v>
      </c>
      <c r="G14" s="105" t="str">
        <f>Originals!C170</f>
        <v>19.0.0.49154</v>
      </c>
      <c r="H14" s="105" t="str">
        <f>Originals!D170</f>
        <v>32</v>
      </c>
      <c r="I14" s="105" t="str">
        <f>Originals!E170</f>
        <v>2019</v>
      </c>
      <c r="J14" s="105" t="str">
        <f>Originals!F170</f>
        <v>Runtime</v>
      </c>
      <c r="K14" s="105" t="str">
        <f>Originals!G170</f>
        <v>NI</v>
      </c>
      <c r="L14" s="105" t="str">
        <f>Originals!H170</f>
        <v>CVI 19.0.0.49154</v>
      </c>
      <c r="M14" s="105">
        <f>Originals!I170</f>
        <v>0</v>
      </c>
      <c r="N14" s="98" t="s">
        <v>136</v>
      </c>
    </row>
    <row r="15" spans="1:14" x14ac:dyDescent="0.25">
      <c r="A15" s="104" t="s">
        <v>510</v>
      </c>
      <c r="B15" s="104" t="s">
        <v>510</v>
      </c>
      <c r="C15" s="104" t="s">
        <v>510</v>
      </c>
      <c r="D15" s="103" t="s">
        <v>507</v>
      </c>
      <c r="E15" s="104" t="s">
        <v>510</v>
      </c>
      <c r="F15" s="105" t="str">
        <f>Scott!B7</f>
        <v>CompactRIO</v>
      </c>
      <c r="G15" s="105" t="str">
        <f>Scott!C7</f>
        <v>18.1.0</v>
      </c>
      <c r="H15" s="105" t="str">
        <f>Scott!D7</f>
        <v>32</v>
      </c>
      <c r="I15" s="105" t="str">
        <f>Scott!E7</f>
        <v>2018</v>
      </c>
      <c r="J15" s="105" t="str">
        <f>Scott!F7</f>
        <v>Development</v>
      </c>
      <c r="K15" s="105" t="str">
        <f>Scott!G7</f>
        <v>NI</v>
      </c>
      <c r="L15" s="105" t="str">
        <f>Scott!H7</f>
        <v>CompactRIO 18.1.0</v>
      </c>
      <c r="M15" s="105" t="str">
        <f>Scott!I7</f>
        <v>CompactRIO 18.1.0</v>
      </c>
      <c r="N15" s="98" t="s">
        <v>136</v>
      </c>
    </row>
    <row r="16" spans="1:14" x14ac:dyDescent="0.25">
      <c r="A16" s="104" t="s">
        <v>510</v>
      </c>
      <c r="B16" s="104" t="s">
        <v>510</v>
      </c>
      <c r="C16" s="104" t="s">
        <v>510</v>
      </c>
      <c r="D16" s="103" t="s">
        <v>507</v>
      </c>
      <c r="E16" s="104" t="s">
        <v>510</v>
      </c>
      <c r="F16" s="105" t="str">
        <f>Scott!B9</f>
        <v>CVI</v>
      </c>
      <c r="G16" s="105" t="str">
        <f>Scott!C9</f>
        <v>15.0.0.408</v>
      </c>
      <c r="H16" s="105">
        <f>Scott!D9</f>
        <v>32</v>
      </c>
      <c r="I16" s="105">
        <f>Scott!E9</f>
        <v>2015</v>
      </c>
      <c r="J16" s="105" t="str">
        <f>Scott!F9</f>
        <v>Runtime</v>
      </c>
      <c r="K16" s="105" t="str">
        <f>Scott!G9</f>
        <v>NI</v>
      </c>
      <c r="L16" s="105" t="str">
        <f>Scott!H9</f>
        <v>CVI 15.0.0.408</v>
      </c>
      <c r="M16" s="105" t="str">
        <f>Scott!I9</f>
        <v>LabVIEW 2015 SP1</v>
      </c>
      <c r="N16" s="98" t="s">
        <v>136</v>
      </c>
    </row>
    <row r="17" spans="1:14" x14ac:dyDescent="0.25">
      <c r="A17" s="103" t="s">
        <v>507</v>
      </c>
      <c r="B17" s="103" t="s">
        <v>507</v>
      </c>
      <c r="C17" s="103" t="s">
        <v>507</v>
      </c>
      <c r="D17" s="103" t="s">
        <v>507</v>
      </c>
      <c r="E17" s="103" t="s">
        <v>507</v>
      </c>
      <c r="F17" s="105" t="str">
        <f>Originals!B8</f>
        <v>Database Connectivity Toolkit</v>
      </c>
      <c r="G17" s="105" t="str">
        <f>Originals!C8</f>
        <v>15.0.0</v>
      </c>
      <c r="H17" s="105" t="str">
        <f>Originals!D8</f>
        <v>32</v>
      </c>
      <c r="I17" s="105" t="str">
        <f>Originals!E8</f>
        <v>2015</v>
      </c>
      <c r="J17" s="105" t="str">
        <f>Originals!F8</f>
        <v>Development</v>
      </c>
      <c r="K17" s="105" t="str">
        <f>Originals!G8</f>
        <v>NI</v>
      </c>
      <c r="L17" s="105" t="str">
        <f>Originals!H8</f>
        <v>Database Connectivity Toolkit 15.0.0</v>
      </c>
      <c r="M17" s="105" t="str">
        <f>Originals!I8</f>
        <v>NI Developer Suite 2015 DS2 Install</v>
      </c>
      <c r="N17" s="98" t="s">
        <v>136</v>
      </c>
    </row>
    <row r="18" spans="1:14" x14ac:dyDescent="0.25">
      <c r="A18" s="103" t="s">
        <v>507</v>
      </c>
      <c r="B18" s="103" t="s">
        <v>507</v>
      </c>
      <c r="C18" s="104" t="s">
        <v>510</v>
      </c>
      <c r="D18" s="103" t="s">
        <v>507</v>
      </c>
      <c r="E18" s="104" t="s">
        <v>510</v>
      </c>
      <c r="F18" s="105" t="str">
        <f>Originals!B9</f>
        <v>DataFinder Toolkit</v>
      </c>
      <c r="G18" s="105" t="str">
        <f>Originals!C9</f>
        <v>15.0.06020</v>
      </c>
      <c r="H18" s="105" t="str">
        <f>Originals!D9</f>
        <v>32</v>
      </c>
      <c r="I18" s="105" t="str">
        <f>Originals!E9</f>
        <v>2015</v>
      </c>
      <c r="J18" s="105" t="str">
        <f>Originals!F9</f>
        <v>Development</v>
      </c>
      <c r="K18" s="105" t="str">
        <f>Originals!G9</f>
        <v>NI</v>
      </c>
      <c r="L18" s="105" t="str">
        <f>Originals!H9</f>
        <v>DataFinder Toolkit 15.0.06020</v>
      </c>
      <c r="M18" s="105" t="str">
        <f>Originals!I9</f>
        <v>NI Developer Suite 2015 DS2 Install</v>
      </c>
      <c r="N18" s="98" t="s">
        <v>136</v>
      </c>
    </row>
    <row r="19" spans="1:14" x14ac:dyDescent="0.25">
      <c r="A19" s="104" t="s">
        <v>510</v>
      </c>
      <c r="B19" s="104" t="s">
        <v>510</v>
      </c>
      <c r="C19" s="103" t="s">
        <v>507</v>
      </c>
      <c r="D19" s="103" t="s">
        <v>507</v>
      </c>
      <c r="E19" s="104" t="s">
        <v>510</v>
      </c>
      <c r="F19" s="105" t="str">
        <f>Originals!B172</f>
        <v>Delacor QMH</v>
      </c>
      <c r="G19" s="105" t="str">
        <f>Originals!C172</f>
        <v>4.0.0.28</v>
      </c>
      <c r="H19" s="105" t="str">
        <f>Originals!D172</f>
        <v>32</v>
      </c>
      <c r="I19" s="105" t="str">
        <f>Originals!E172</f>
        <v>N/A</v>
      </c>
      <c r="J19" s="105" t="str">
        <f>Originals!F172</f>
        <v>Development</v>
      </c>
      <c r="K19" s="105" t="str">
        <f>Originals!G172</f>
        <v>DQMH Consortium</v>
      </c>
      <c r="L19" s="105" t="str">
        <f>Originals!H172</f>
        <v>Delacor QMH 4.0.0.28</v>
      </c>
      <c r="M19" s="105" t="str">
        <f>Originals!I172</f>
        <v>VIPM Community</v>
      </c>
      <c r="N19" s="98" t="s">
        <v>136</v>
      </c>
    </row>
    <row r="20" spans="1:14" x14ac:dyDescent="0.25">
      <c r="A20" s="104" t="s">
        <v>510</v>
      </c>
      <c r="B20" s="104" t="s">
        <v>510</v>
      </c>
      <c r="C20" s="103" t="s">
        <v>507</v>
      </c>
      <c r="D20" s="103" t="s">
        <v>507</v>
      </c>
      <c r="E20" s="104" t="s">
        <v>510</v>
      </c>
      <c r="F20" s="105" t="str">
        <f>Originals!B173</f>
        <v>Delacor QMH Event Scripter</v>
      </c>
      <c r="G20" s="105" t="str">
        <f>Originals!C173</f>
        <v>4.0.0.68</v>
      </c>
      <c r="H20" s="105" t="str">
        <f>Originals!D173</f>
        <v>32</v>
      </c>
      <c r="I20" s="105" t="str">
        <f>Originals!E173</f>
        <v>N/A</v>
      </c>
      <c r="J20" s="105" t="str">
        <f>Originals!F173</f>
        <v>Development</v>
      </c>
      <c r="K20" s="105" t="str">
        <f>Originals!G173</f>
        <v>DQMH Consortium</v>
      </c>
      <c r="L20" s="105" t="str">
        <f>Originals!H173</f>
        <v>Delacor QMH Event Scripter 4.0.0.68</v>
      </c>
      <c r="M20" s="105" t="str">
        <f>Originals!I173</f>
        <v>VIPM Community</v>
      </c>
      <c r="N20" s="98" t="s">
        <v>136</v>
      </c>
    </row>
    <row r="21" spans="1:14" x14ac:dyDescent="0.25">
      <c r="A21" s="104" t="s">
        <v>510</v>
      </c>
      <c r="B21" s="104" t="s">
        <v>510</v>
      </c>
      <c r="C21" s="103" t="s">
        <v>507</v>
      </c>
      <c r="D21" s="103" t="s">
        <v>507</v>
      </c>
      <c r="E21" s="104" t="s">
        <v>510</v>
      </c>
      <c r="F21" s="105" t="str">
        <f>Originals!B174</f>
        <v>Delacor QMH Palette</v>
      </c>
      <c r="G21" s="105" t="str">
        <f>Originals!C174</f>
        <v>3.0.0.1</v>
      </c>
      <c r="H21" s="105" t="str">
        <f>Originals!D174</f>
        <v>32</v>
      </c>
      <c r="I21" s="105" t="str">
        <f>Originals!E174</f>
        <v>N/A</v>
      </c>
      <c r="J21" s="105" t="str">
        <f>Originals!F174</f>
        <v>Development</v>
      </c>
      <c r="K21" s="105" t="str">
        <f>Originals!G174</f>
        <v>DQMH Consortium</v>
      </c>
      <c r="L21" s="105" t="str">
        <f>Originals!H174</f>
        <v>Delacor QMH Palette 3.0.0.1</v>
      </c>
      <c r="M21" s="105" t="str">
        <f>Originals!I174</f>
        <v>VIPM Community</v>
      </c>
      <c r="N21" s="98" t="s">
        <v>136</v>
      </c>
    </row>
    <row r="22" spans="1:14" x14ac:dyDescent="0.25">
      <c r="A22" s="104" t="s">
        <v>510</v>
      </c>
      <c r="B22" s="104" t="s">
        <v>510</v>
      </c>
      <c r="C22" s="103" t="s">
        <v>507</v>
      </c>
      <c r="D22" s="103" t="s">
        <v>507</v>
      </c>
      <c r="E22" s="104" t="s">
        <v>510</v>
      </c>
      <c r="F22" s="105" t="str">
        <f>Originals!B175</f>
        <v>Delacor QMH Project Template</v>
      </c>
      <c r="G22" s="105" t="str">
        <f>Originals!C175</f>
        <v>4.0.0.47</v>
      </c>
      <c r="H22" s="105" t="str">
        <f>Originals!D175</f>
        <v>32</v>
      </c>
      <c r="I22" s="105" t="str">
        <f>Originals!E175</f>
        <v>N/A</v>
      </c>
      <c r="J22" s="105" t="str">
        <f>Originals!F175</f>
        <v>Development</v>
      </c>
      <c r="K22" s="105" t="str">
        <f>Originals!G175</f>
        <v>DQMH Consortium</v>
      </c>
      <c r="L22" s="105" t="str">
        <f>Originals!H175</f>
        <v>Delacor QMH Project Template 4.0.0.47</v>
      </c>
      <c r="M22" s="105" t="str">
        <f>Originals!I175</f>
        <v>VIPM Community</v>
      </c>
      <c r="N22" s="98" t="s">
        <v>136</v>
      </c>
    </row>
    <row r="23" spans="1:14" x14ac:dyDescent="0.25">
      <c r="A23" s="104" t="s">
        <v>510</v>
      </c>
      <c r="B23" s="104" t="s">
        <v>510</v>
      </c>
      <c r="C23" s="103" t="s">
        <v>507</v>
      </c>
      <c r="D23" s="103" t="s">
        <v>507</v>
      </c>
      <c r="E23" s="104" t="s">
        <v>510</v>
      </c>
      <c r="F23" s="105" t="str">
        <f>Originals!B176</f>
        <v>Delacor QMH Thermal Chamber Examples</v>
      </c>
      <c r="G23" s="105" t="str">
        <f>Originals!C176</f>
        <v>4.0.0.21</v>
      </c>
      <c r="H23" s="105" t="str">
        <f>Originals!D176</f>
        <v>32</v>
      </c>
      <c r="I23" s="105" t="str">
        <f>Originals!E176</f>
        <v>N/A</v>
      </c>
      <c r="J23" s="105" t="str">
        <f>Originals!F176</f>
        <v>Development</v>
      </c>
      <c r="K23" s="105" t="str">
        <f>Originals!G176</f>
        <v>DQMH Consortium</v>
      </c>
      <c r="L23" s="105" t="str">
        <f>Originals!H176</f>
        <v>Delacor QMH Thermal Chamber Examples 4.0.0.21</v>
      </c>
      <c r="M23" s="105" t="str">
        <f>Originals!I176</f>
        <v>VIPM Community</v>
      </c>
      <c r="N23" s="98" t="s">
        <v>136</v>
      </c>
    </row>
    <row r="24" spans="1:14" x14ac:dyDescent="0.25">
      <c r="A24" s="103" t="s">
        <v>507</v>
      </c>
      <c r="B24" s="103" t="s">
        <v>507</v>
      </c>
      <c r="C24" s="104" t="s">
        <v>510</v>
      </c>
      <c r="D24" s="103" t="s">
        <v>507</v>
      </c>
      <c r="E24" s="104" t="s">
        <v>510</v>
      </c>
      <c r="F24" s="105" t="str">
        <f>Originals!B10</f>
        <v>Digital Filter Design Toolkit</v>
      </c>
      <c r="G24" s="105" t="str">
        <f>Originals!C10</f>
        <v>15.0.0</v>
      </c>
      <c r="H24" s="105" t="str">
        <f>Originals!D10</f>
        <v>32</v>
      </c>
      <c r="I24" s="105" t="str">
        <f>Originals!E10</f>
        <v>2015</v>
      </c>
      <c r="J24" s="105" t="str">
        <f>Originals!F10</f>
        <v>Development</v>
      </c>
      <c r="K24" s="105" t="str">
        <f>Originals!G10</f>
        <v>NI</v>
      </c>
      <c r="L24" s="105" t="str">
        <f>Originals!H10</f>
        <v>Digital Filter Design Toolkit 15.0.0</v>
      </c>
      <c r="M24" s="105" t="str">
        <f>Originals!I10</f>
        <v>NI Developer Suite 2015 DS2 Install</v>
      </c>
      <c r="N24" s="98" t="s">
        <v>136</v>
      </c>
    </row>
    <row r="25" spans="1:14" x14ac:dyDescent="0.25">
      <c r="A25" s="104" t="s">
        <v>510</v>
      </c>
      <c r="B25" s="104" t="s">
        <v>510</v>
      </c>
      <c r="C25" s="103" t="s">
        <v>507</v>
      </c>
      <c r="D25" s="104" t="s">
        <v>510</v>
      </c>
      <c r="E25" s="104" t="s">
        <v>510</v>
      </c>
      <c r="F25" s="105" t="str">
        <f>Originals!B177</f>
        <v>DMC UX Toolkit</v>
      </c>
      <c r="G25" s="105" t="str">
        <f>Originals!C177</f>
        <v>1.0.0.2</v>
      </c>
      <c r="H25" s="105" t="str">
        <f>Originals!D177</f>
        <v>32</v>
      </c>
      <c r="I25" s="105" t="str">
        <f>Originals!E177</f>
        <v>N/A</v>
      </c>
      <c r="J25" s="105" t="str">
        <f>Originals!F177</f>
        <v>Development</v>
      </c>
      <c r="K25" s="105" t="str">
        <f>Originals!G177</f>
        <v>DMC</v>
      </c>
      <c r="L25" s="105" t="str">
        <f>Originals!H177</f>
        <v>DMC UX Toolkit 1.0.0.2</v>
      </c>
      <c r="M25" s="105">
        <f>Originals!I177</f>
        <v>0</v>
      </c>
      <c r="N25" s="98" t="s">
        <v>136</v>
      </c>
    </row>
    <row r="26" spans="1:14" x14ac:dyDescent="0.25">
      <c r="A26" s="104" t="s">
        <v>510</v>
      </c>
      <c r="B26" s="104" t="s">
        <v>510</v>
      </c>
      <c r="C26" s="103" t="s">
        <v>507</v>
      </c>
      <c r="D26" s="104" t="s">
        <v>510</v>
      </c>
      <c r="E26" s="104" t="s">
        <v>510</v>
      </c>
      <c r="F26" s="105" t="str">
        <f>Originals!B178</f>
        <v>FieldPoint</v>
      </c>
      <c r="G26" s="105">
        <f>Originals!C178</f>
        <v>15</v>
      </c>
      <c r="H26" s="105" t="str">
        <f>Originals!D178</f>
        <v>32</v>
      </c>
      <c r="I26" s="105" t="str">
        <f>Originals!E178</f>
        <v>2015</v>
      </c>
      <c r="J26" s="105" t="str">
        <f>Originals!F178</f>
        <v>Development</v>
      </c>
      <c r="K26" s="105" t="str">
        <f>Originals!G178</f>
        <v>NI</v>
      </c>
      <c r="L26" s="105" t="str">
        <f>Originals!H178</f>
        <v>FieldPoint 15</v>
      </c>
      <c r="M26" s="105">
        <f>Originals!I178</f>
        <v>0</v>
      </c>
      <c r="N26" s="98" t="s">
        <v>136</v>
      </c>
    </row>
    <row r="27" spans="1:14" x14ac:dyDescent="0.25">
      <c r="A27" s="103" t="s">
        <v>507</v>
      </c>
      <c r="B27" s="103" t="s">
        <v>507</v>
      </c>
      <c r="C27" s="103" t="s">
        <v>507</v>
      </c>
      <c r="D27" s="103" t="s">
        <v>507</v>
      </c>
      <c r="E27" s="104" t="s">
        <v>510</v>
      </c>
      <c r="F27" s="105" t="str">
        <f>Originals!B11</f>
        <v>FlexRIO</v>
      </c>
      <c r="G27" s="105" t="str">
        <f>Originals!C11</f>
        <v xml:space="preserve">15.0.0f0 </v>
      </c>
      <c r="H27" s="105" t="str">
        <f>Originals!D11</f>
        <v>32</v>
      </c>
      <c r="I27" s="105" t="str">
        <f>Originals!E11</f>
        <v>2015</v>
      </c>
      <c r="J27" s="105" t="str">
        <f>Originals!F11</f>
        <v>Development</v>
      </c>
      <c r="K27" s="105" t="str">
        <f>Originals!G11</f>
        <v>NI</v>
      </c>
      <c r="L27" s="105" t="str">
        <f>Originals!H11</f>
        <v xml:space="preserve">FlexRIO 15.0.0f0 </v>
      </c>
      <c r="M27" s="105" t="str">
        <f>Originals!I11</f>
        <v>NI Developer Suite 2015 DS2 Install</v>
      </c>
      <c r="N27" s="98" t="s">
        <v>136</v>
      </c>
    </row>
    <row r="28" spans="1:14" x14ac:dyDescent="0.25">
      <c r="A28" s="104" t="s">
        <v>510</v>
      </c>
      <c r="B28" s="104" t="s">
        <v>510</v>
      </c>
      <c r="C28" s="103" t="s">
        <v>507</v>
      </c>
      <c r="D28" s="104" t="s">
        <v>510</v>
      </c>
      <c r="E28" s="104" t="s">
        <v>510</v>
      </c>
      <c r="F28" s="105" t="str">
        <f>Originals!B180</f>
        <v>FPGA</v>
      </c>
      <c r="G28" s="105" t="str">
        <f>Originals!C180</f>
        <v>15.0.1</v>
      </c>
      <c r="H28" s="105" t="str">
        <f>Originals!D180</f>
        <v>32</v>
      </c>
      <c r="I28" s="105">
        <f>Originals!E180</f>
        <v>2015</v>
      </c>
      <c r="J28" s="105" t="str">
        <f>Originals!F180</f>
        <v>Development</v>
      </c>
      <c r="K28" s="105" t="str">
        <f>Originals!G180</f>
        <v>NI</v>
      </c>
      <c r="L28" s="105" t="str">
        <f>Originals!H180</f>
        <v>FPGA 15.0.1</v>
      </c>
      <c r="M28" s="105">
        <f>Originals!I180</f>
        <v>0</v>
      </c>
      <c r="N28" s="98" t="s">
        <v>136</v>
      </c>
    </row>
    <row r="29" spans="1:14" x14ac:dyDescent="0.25">
      <c r="A29" s="104" t="s">
        <v>510</v>
      </c>
      <c r="B29" s="104" t="s">
        <v>510</v>
      </c>
      <c r="C29" s="104" t="s">
        <v>510</v>
      </c>
      <c r="D29" s="103" t="s">
        <v>507</v>
      </c>
      <c r="E29" s="104" t="s">
        <v>510</v>
      </c>
      <c r="F29" s="105" t="str">
        <f>Scott!B14</f>
        <v>Delacor QMH Event Scripter</v>
      </c>
      <c r="G29" s="105" t="str">
        <f>Scott!C14</f>
        <v>4.0.0.68</v>
      </c>
      <c r="H29" s="105" t="str">
        <f>Scott!D14</f>
        <v>32</v>
      </c>
      <c r="I29" s="105" t="str">
        <f>Scott!E14</f>
        <v>N/A</v>
      </c>
      <c r="J29" s="105" t="str">
        <f>Scott!F14</f>
        <v>Development</v>
      </c>
      <c r="K29" s="105" t="str">
        <f>Scott!G14</f>
        <v>DQMH Consortium</v>
      </c>
      <c r="L29" s="105" t="str">
        <f>Scott!H14</f>
        <v>Delacor QMH Event Scripter 4.0.0.68</v>
      </c>
      <c r="M29" s="105" t="str">
        <f>Scott!I14</f>
        <v>VIPM Community</v>
      </c>
      <c r="N29" s="98" t="s">
        <v>136</v>
      </c>
    </row>
    <row r="30" spans="1:14" x14ac:dyDescent="0.25">
      <c r="A30" s="104" t="s">
        <v>510</v>
      </c>
      <c r="B30" s="104" t="s">
        <v>510</v>
      </c>
      <c r="C30" s="103" t="s">
        <v>507</v>
      </c>
      <c r="D30" s="103" t="s">
        <v>507</v>
      </c>
      <c r="E30" s="104" t="s">
        <v>510</v>
      </c>
      <c r="F30" s="105" t="str">
        <f>Originals!B181</f>
        <v>GPower All Toolsets</v>
      </c>
      <c r="G30" s="105" t="str">
        <f>Originals!C181</f>
        <v>2017.0.0.11</v>
      </c>
      <c r="H30" s="105" t="str">
        <f>Originals!D181</f>
        <v>32</v>
      </c>
      <c r="I30" s="105" t="str">
        <f>Originals!E181</f>
        <v>N/A</v>
      </c>
      <c r="J30" s="105" t="str">
        <f>Originals!F181</f>
        <v>Development</v>
      </c>
      <c r="K30" s="105" t="str">
        <f>Originals!G181</f>
        <v>GPower</v>
      </c>
      <c r="L30" s="105" t="str">
        <f>Originals!H181</f>
        <v>GPower All Toolsets 2017.0.0.11</v>
      </c>
      <c r="M30" s="105" t="str">
        <f>Originals!I181</f>
        <v>VIPM Community</v>
      </c>
      <c r="N30" s="98" t="s">
        <v>136</v>
      </c>
    </row>
    <row r="31" spans="1:14" x14ac:dyDescent="0.25">
      <c r="A31" s="104" t="s">
        <v>510</v>
      </c>
      <c r="B31" s="104" t="s">
        <v>510</v>
      </c>
      <c r="C31" s="103" t="s">
        <v>507</v>
      </c>
      <c r="D31" s="103" t="s">
        <v>507</v>
      </c>
      <c r="E31" s="104" t="s">
        <v>510</v>
      </c>
      <c r="F31" s="105" t="str">
        <f>Originals!B182</f>
        <v>GPower Array</v>
      </c>
      <c r="G31" s="105" t="str">
        <f>Originals!C182</f>
        <v>2016.2.0.27</v>
      </c>
      <c r="H31" s="105" t="str">
        <f>Originals!D182</f>
        <v>32</v>
      </c>
      <c r="I31" s="105" t="str">
        <f>Originals!E182</f>
        <v>N/A</v>
      </c>
      <c r="J31" s="105" t="str">
        <f>Originals!F182</f>
        <v>Development</v>
      </c>
      <c r="K31" s="105" t="str">
        <f>Originals!G182</f>
        <v>GPower</v>
      </c>
      <c r="L31" s="105" t="str">
        <f>Originals!H182</f>
        <v>GPower Array 2016.2.0.27</v>
      </c>
      <c r="M31" s="105" t="str">
        <f>Originals!I182</f>
        <v>VIPM Community</v>
      </c>
      <c r="N31" s="98" t="s">
        <v>136</v>
      </c>
    </row>
    <row r="32" spans="1:14" x14ac:dyDescent="0.25">
      <c r="A32" s="104" t="s">
        <v>510</v>
      </c>
      <c r="B32" s="104" t="s">
        <v>510</v>
      </c>
      <c r="C32" s="103" t="s">
        <v>507</v>
      </c>
      <c r="D32" s="104" t="s">
        <v>510</v>
      </c>
      <c r="E32" s="104" t="s">
        <v>510</v>
      </c>
      <c r="F32" s="105" t="str">
        <f>Originals!B183</f>
        <v>Gpower Array Library</v>
      </c>
      <c r="G32" s="105" t="str">
        <f>Originals!C183</f>
        <v>2016.2.0.27</v>
      </c>
      <c r="H32" s="105" t="str">
        <f>Originals!D183</f>
        <v>32</v>
      </c>
      <c r="I32" s="105" t="str">
        <f>Originals!E183</f>
        <v>2016</v>
      </c>
      <c r="J32" s="105" t="str">
        <f>Originals!F183</f>
        <v>Development</v>
      </c>
      <c r="K32" s="105" t="str">
        <f>Originals!G183</f>
        <v>Gpower</v>
      </c>
      <c r="L32" s="105" t="str">
        <f>Originals!H183</f>
        <v>Gpower Array Library 2016.2.0.27</v>
      </c>
      <c r="M32" s="105" t="str">
        <f>Originals!I183</f>
        <v>VIPM Community</v>
      </c>
      <c r="N32" s="98" t="s">
        <v>136</v>
      </c>
    </row>
    <row r="33" spans="1:14" x14ac:dyDescent="0.25">
      <c r="A33" s="104" t="s">
        <v>510</v>
      </c>
      <c r="B33" s="104" t="s">
        <v>510</v>
      </c>
      <c r="C33" s="103" t="s">
        <v>507</v>
      </c>
      <c r="D33" s="103" t="s">
        <v>507</v>
      </c>
      <c r="E33" s="104" t="s">
        <v>510</v>
      </c>
      <c r="F33" s="105" t="str">
        <f>Originals!B184</f>
        <v>GPower Comparison</v>
      </c>
      <c r="G33" s="105" t="str">
        <f>Originals!C184</f>
        <v>2016.0.0.4</v>
      </c>
      <c r="H33" s="105" t="str">
        <f>Originals!D184</f>
        <v>32</v>
      </c>
      <c r="I33" s="105" t="str">
        <f>Originals!E184</f>
        <v>N/A</v>
      </c>
      <c r="J33" s="105" t="str">
        <f>Originals!F184</f>
        <v>Development</v>
      </c>
      <c r="K33" s="105" t="str">
        <f>Originals!G184</f>
        <v>GPower</v>
      </c>
      <c r="L33" s="105" t="str">
        <f>Originals!H184</f>
        <v>GPower Comparison 2016.0.0.4</v>
      </c>
      <c r="M33" s="105" t="str">
        <f>Originals!I184</f>
        <v>VIPM Community</v>
      </c>
      <c r="N33" s="98" t="s">
        <v>136</v>
      </c>
    </row>
    <row r="34" spans="1:14" x14ac:dyDescent="0.25">
      <c r="A34" s="104" t="s">
        <v>510</v>
      </c>
      <c r="B34" s="104" t="s">
        <v>510</v>
      </c>
      <c r="C34" s="103" t="s">
        <v>507</v>
      </c>
      <c r="D34" s="103" t="s">
        <v>507</v>
      </c>
      <c r="E34" s="104" t="s">
        <v>510</v>
      </c>
      <c r="F34" s="105" t="str">
        <f>Originals!B185</f>
        <v>GPower Error &amp; Warning</v>
      </c>
      <c r="G34" s="105" t="str">
        <f>Originals!C185</f>
        <v>2014.0.0.38</v>
      </c>
      <c r="H34" s="105" t="str">
        <f>Originals!D185</f>
        <v>32</v>
      </c>
      <c r="I34" s="105" t="str">
        <f>Originals!E185</f>
        <v>N/A</v>
      </c>
      <c r="J34" s="105" t="str">
        <f>Originals!F185</f>
        <v>Development</v>
      </c>
      <c r="K34" s="105" t="str">
        <f>Originals!G185</f>
        <v>GPower</v>
      </c>
      <c r="L34" s="105" t="str">
        <f>Originals!H185</f>
        <v>GPower Error &amp; Warning 2014.0.0.38</v>
      </c>
      <c r="M34" s="105" t="str">
        <f>Originals!I185</f>
        <v>VIPM Community</v>
      </c>
      <c r="N34" s="98" t="s">
        <v>136</v>
      </c>
    </row>
    <row r="35" spans="1:14" x14ac:dyDescent="0.25">
      <c r="A35" s="104" t="s">
        <v>510</v>
      </c>
      <c r="B35" s="104" t="s">
        <v>510</v>
      </c>
      <c r="C35" s="103" t="s">
        <v>507</v>
      </c>
      <c r="D35" s="103" t="s">
        <v>507</v>
      </c>
      <c r="E35" s="104" t="s">
        <v>510</v>
      </c>
      <c r="F35" s="105" t="str">
        <f>Originals!B186</f>
        <v>GPower Events</v>
      </c>
      <c r="G35" s="105" t="str">
        <f>Originals!C186</f>
        <v>2012.0.0.7</v>
      </c>
      <c r="H35" s="105" t="str">
        <f>Originals!D186</f>
        <v>32</v>
      </c>
      <c r="I35" s="105" t="str">
        <f>Originals!E186</f>
        <v>N/A</v>
      </c>
      <c r="J35" s="105" t="str">
        <f>Originals!F186</f>
        <v>Development</v>
      </c>
      <c r="K35" s="105" t="str">
        <f>Originals!G186</f>
        <v>GPower</v>
      </c>
      <c r="L35" s="105" t="str">
        <f>Originals!H186</f>
        <v>GPower Events 2012.0.0.7</v>
      </c>
      <c r="M35" s="105" t="str">
        <f>Originals!I186</f>
        <v>VIPM Community</v>
      </c>
      <c r="N35" s="98" t="s">
        <v>136</v>
      </c>
    </row>
    <row r="36" spans="1:14" x14ac:dyDescent="0.25">
      <c r="A36" s="104" t="s">
        <v>510</v>
      </c>
      <c r="B36" s="104" t="s">
        <v>510</v>
      </c>
      <c r="C36" s="103" t="s">
        <v>507</v>
      </c>
      <c r="D36" s="103" t="s">
        <v>507</v>
      </c>
      <c r="E36" s="104" t="s">
        <v>510</v>
      </c>
      <c r="F36" s="105" t="str">
        <f>Originals!B187</f>
        <v>GPower Math</v>
      </c>
      <c r="G36" s="105" t="str">
        <f>Originals!C187</f>
        <v>2012.1.0.6</v>
      </c>
      <c r="H36" s="105" t="str">
        <f>Originals!D187</f>
        <v>32</v>
      </c>
      <c r="I36" s="105" t="str">
        <f>Originals!E187</f>
        <v>N/A</v>
      </c>
      <c r="J36" s="105" t="str">
        <f>Originals!F187</f>
        <v>Development</v>
      </c>
      <c r="K36" s="105" t="str">
        <f>Originals!G187</f>
        <v>GPower</v>
      </c>
      <c r="L36" s="105" t="str">
        <f>Originals!H187</f>
        <v>GPower Math 2012.1.0.6</v>
      </c>
      <c r="M36" s="105" t="str">
        <f>Originals!I187</f>
        <v>VIPM Community</v>
      </c>
      <c r="N36" s="98" t="s">
        <v>136</v>
      </c>
    </row>
    <row r="37" spans="1:14" x14ac:dyDescent="0.25">
      <c r="A37" s="104" t="s">
        <v>510</v>
      </c>
      <c r="B37" s="104" t="s">
        <v>510</v>
      </c>
      <c r="C37" s="103" t="s">
        <v>507</v>
      </c>
      <c r="D37" s="103" t="s">
        <v>507</v>
      </c>
      <c r="E37" s="104" t="s">
        <v>510</v>
      </c>
      <c r="F37" s="105" t="str">
        <f>Originals!B188</f>
        <v>GPower Numeric</v>
      </c>
      <c r="G37" s="105" t="str">
        <f>Originals!C188</f>
        <v>2016.2.0.14</v>
      </c>
      <c r="H37" s="105" t="str">
        <f>Originals!D188</f>
        <v>32</v>
      </c>
      <c r="I37" s="105" t="str">
        <f>Originals!E188</f>
        <v>N/A</v>
      </c>
      <c r="J37" s="105" t="str">
        <f>Originals!F188</f>
        <v>Development</v>
      </c>
      <c r="K37" s="105" t="str">
        <f>Originals!G188</f>
        <v>GPower</v>
      </c>
      <c r="L37" s="105" t="str">
        <f>Originals!H188</f>
        <v>GPower Numeric 2016.2.0.14</v>
      </c>
      <c r="M37" s="105" t="str">
        <f>Originals!I188</f>
        <v>VIPM Community</v>
      </c>
      <c r="N37" s="98" t="s">
        <v>136</v>
      </c>
    </row>
    <row r="38" spans="1:14" x14ac:dyDescent="0.25">
      <c r="A38" s="104" t="s">
        <v>510</v>
      </c>
      <c r="B38" s="104" t="s">
        <v>510</v>
      </c>
      <c r="C38" s="103" t="s">
        <v>507</v>
      </c>
      <c r="D38" s="103" t="s">
        <v>507</v>
      </c>
      <c r="E38" s="104" t="s">
        <v>510</v>
      </c>
      <c r="F38" s="105" t="str">
        <f>Originals!B189</f>
        <v>GPower Overflow</v>
      </c>
      <c r="G38" s="105" t="str">
        <f>Originals!C189</f>
        <v>2014.0.0.4</v>
      </c>
      <c r="H38" s="105" t="str">
        <f>Originals!D189</f>
        <v>32</v>
      </c>
      <c r="I38" s="105" t="str">
        <f>Originals!E189</f>
        <v>N/A</v>
      </c>
      <c r="J38" s="105" t="str">
        <f>Originals!F189</f>
        <v>Development</v>
      </c>
      <c r="K38" s="105" t="str">
        <f>Originals!G189</f>
        <v>GPower</v>
      </c>
      <c r="L38" s="105" t="str">
        <f>Originals!H189</f>
        <v>GPower Overflow 2014.0.0.4</v>
      </c>
      <c r="M38" s="105" t="str">
        <f>Originals!I189</f>
        <v>VIPM Community</v>
      </c>
      <c r="N38" s="98" t="s">
        <v>136</v>
      </c>
    </row>
    <row r="39" spans="1:14" x14ac:dyDescent="0.25">
      <c r="A39" s="104" t="s">
        <v>510</v>
      </c>
      <c r="B39" s="104" t="s">
        <v>510</v>
      </c>
      <c r="C39" s="103" t="s">
        <v>507</v>
      </c>
      <c r="D39" s="103" t="s">
        <v>507</v>
      </c>
      <c r="E39" s="104" t="s">
        <v>510</v>
      </c>
      <c r="F39" s="105" t="str">
        <f>Originals!B190</f>
        <v>GPower String</v>
      </c>
      <c r="G39" s="105" t="str">
        <f>Originals!C190</f>
        <v>2016.1.0.11</v>
      </c>
      <c r="H39" s="105" t="str">
        <f>Originals!D190</f>
        <v>32</v>
      </c>
      <c r="I39" s="105" t="str">
        <f>Originals!E190</f>
        <v>N/A</v>
      </c>
      <c r="J39" s="105" t="str">
        <f>Originals!F190</f>
        <v>Development</v>
      </c>
      <c r="K39" s="105" t="str">
        <f>Originals!G190</f>
        <v>GPower</v>
      </c>
      <c r="L39" s="105" t="str">
        <f>Originals!H190</f>
        <v>GPower String 2016.1.0.11</v>
      </c>
      <c r="M39" s="105" t="str">
        <f>Originals!I190</f>
        <v>VIPM Community</v>
      </c>
      <c r="N39" s="98" t="s">
        <v>136</v>
      </c>
    </row>
    <row r="40" spans="1:14" x14ac:dyDescent="0.25">
      <c r="A40" s="104" t="s">
        <v>510</v>
      </c>
      <c r="B40" s="104" t="s">
        <v>510</v>
      </c>
      <c r="C40" s="103" t="s">
        <v>507</v>
      </c>
      <c r="D40" s="103" t="s">
        <v>507</v>
      </c>
      <c r="E40" s="104" t="s">
        <v>510</v>
      </c>
      <c r="F40" s="105" t="str">
        <f>Originals!B191</f>
        <v>GPower Timing</v>
      </c>
      <c r="G40" s="105" t="str">
        <f>Originals!C191</f>
        <v>2017.0.0.26</v>
      </c>
      <c r="H40" s="105" t="str">
        <f>Originals!D191</f>
        <v>32</v>
      </c>
      <c r="I40" s="105" t="str">
        <f>Originals!E191</f>
        <v>N/A</v>
      </c>
      <c r="J40" s="105" t="str">
        <f>Originals!F191</f>
        <v>Development</v>
      </c>
      <c r="K40" s="105" t="str">
        <f>Originals!G191</f>
        <v>GPower</v>
      </c>
      <c r="L40" s="105" t="str">
        <f>Originals!H191</f>
        <v>GPower Timing 2017.0.0.26</v>
      </c>
      <c r="M40" s="105" t="str">
        <f>Originals!I191</f>
        <v>VIPM Community</v>
      </c>
      <c r="N40" s="98" t="s">
        <v>136</v>
      </c>
    </row>
    <row r="41" spans="1:14" x14ac:dyDescent="0.25">
      <c r="A41" s="104" t="s">
        <v>510</v>
      </c>
      <c r="B41" s="104" t="s">
        <v>510</v>
      </c>
      <c r="C41" s="103" t="s">
        <v>507</v>
      </c>
      <c r="D41" s="103" t="s">
        <v>507</v>
      </c>
      <c r="E41" s="104" t="s">
        <v>510</v>
      </c>
      <c r="F41" s="105" t="str">
        <f>Originals!B192</f>
        <v>GPower VI Launcher</v>
      </c>
      <c r="G41" s="105" t="str">
        <f>Originals!C192</f>
        <v>2012.2.0.26</v>
      </c>
      <c r="H41" s="105" t="str">
        <f>Originals!D192</f>
        <v>32</v>
      </c>
      <c r="I41" s="105" t="str">
        <f>Originals!E192</f>
        <v>N/A</v>
      </c>
      <c r="J41" s="105" t="str">
        <f>Originals!F192</f>
        <v>Development</v>
      </c>
      <c r="K41" s="105" t="str">
        <f>Originals!G192</f>
        <v>GPower</v>
      </c>
      <c r="L41" s="105" t="str">
        <f>Originals!H192</f>
        <v>GPower VI Launcher 2012.2.0.26</v>
      </c>
      <c r="M41" s="105" t="str">
        <f>Originals!I192</f>
        <v>VIPM Community</v>
      </c>
      <c r="N41" s="98" t="s">
        <v>136</v>
      </c>
    </row>
    <row r="42" spans="1:14" x14ac:dyDescent="0.25">
      <c r="A42" s="104" t="s">
        <v>510</v>
      </c>
      <c r="B42" s="104" t="s">
        <v>510</v>
      </c>
      <c r="C42" s="103" t="s">
        <v>507</v>
      </c>
      <c r="D42" s="103" t="s">
        <v>507</v>
      </c>
      <c r="E42" s="104" t="s">
        <v>510</v>
      </c>
      <c r="F42" s="105" t="str">
        <f>Originals!B193</f>
        <v>GPower VI Register</v>
      </c>
      <c r="G42" s="105" t="str">
        <f>Originals!C193</f>
        <v>2016.0.0.31</v>
      </c>
      <c r="H42" s="105" t="str">
        <f>Originals!D193</f>
        <v>32</v>
      </c>
      <c r="I42" s="105" t="str">
        <f>Originals!E193</f>
        <v>N/A</v>
      </c>
      <c r="J42" s="105" t="str">
        <f>Originals!F193</f>
        <v>Development</v>
      </c>
      <c r="K42" s="105" t="str">
        <f>Originals!G193</f>
        <v>GPower</v>
      </c>
      <c r="L42" s="105" t="str">
        <f>Originals!H193</f>
        <v>GPower VI Register 2016.0.0.31</v>
      </c>
      <c r="M42" s="105" t="str">
        <f>Originals!I193</f>
        <v>VIPM Community</v>
      </c>
      <c r="N42" s="98" t="s">
        <v>136</v>
      </c>
    </row>
    <row r="43" spans="1:14" x14ac:dyDescent="0.25">
      <c r="A43" s="104" t="s">
        <v>510</v>
      </c>
      <c r="B43" s="104" t="s">
        <v>510</v>
      </c>
      <c r="C43" s="103" t="s">
        <v>507</v>
      </c>
      <c r="D43" s="104" t="s">
        <v>510</v>
      </c>
      <c r="E43" s="104" t="s">
        <v>510</v>
      </c>
      <c r="F43" s="105" t="str">
        <f>Originals!B194</f>
        <v>Hardware Configuration and Web Support</v>
      </c>
      <c r="G43" s="105" t="str">
        <f>Originals!C194</f>
        <v>15.0.0</v>
      </c>
      <c r="H43" s="105" t="str">
        <f>Originals!D194</f>
        <v>32</v>
      </c>
      <c r="I43" s="105" t="str">
        <f>Originals!E194</f>
        <v>2015</v>
      </c>
      <c r="J43" s="105" t="str">
        <f>Originals!F194</f>
        <v>C-RIO</v>
      </c>
      <c r="K43" s="105" t="str">
        <f>Originals!G194</f>
        <v>NI</v>
      </c>
      <c r="L43" s="105" t="str">
        <f>Originals!H194</f>
        <v>Hardware Configuration and Web Support 15.0.0</v>
      </c>
      <c r="M43" s="105">
        <f>Originals!I194</f>
        <v>0</v>
      </c>
      <c r="N43" s="98" t="s">
        <v>136</v>
      </c>
    </row>
    <row r="44" spans="1:14" x14ac:dyDescent="0.25">
      <c r="A44" s="104" t="s">
        <v>510</v>
      </c>
      <c r="B44" s="104" t="s">
        <v>510</v>
      </c>
      <c r="C44" s="103" t="s">
        <v>507</v>
      </c>
      <c r="D44" s="104" t="s">
        <v>510</v>
      </c>
      <c r="E44" s="104" t="s">
        <v>510</v>
      </c>
      <c r="F44" s="105" t="str">
        <f>Originals!B195</f>
        <v>HTTP Client with SSL Support</v>
      </c>
      <c r="G44" s="105" t="str">
        <f>Originals!C195</f>
        <v>15.0.0</v>
      </c>
      <c r="H44" s="105" t="str">
        <f>Originals!D195</f>
        <v>32</v>
      </c>
      <c r="I44" s="105" t="str">
        <f>Originals!E195</f>
        <v>2015</v>
      </c>
      <c r="J44" s="105" t="str">
        <f>Originals!F195</f>
        <v>C-RIO</v>
      </c>
      <c r="K44" s="105" t="str">
        <f>Originals!G195</f>
        <v>NI</v>
      </c>
      <c r="L44" s="105" t="str">
        <f>Originals!H195</f>
        <v>HTTP Client with SSL Support 15.0.0</v>
      </c>
      <c r="M44" s="105">
        <f>Originals!I195</f>
        <v>0</v>
      </c>
      <c r="N44" s="98" t="s">
        <v>136</v>
      </c>
    </row>
    <row r="45" spans="1:14" x14ac:dyDescent="0.25">
      <c r="A45" s="104" t="s">
        <v>510</v>
      </c>
      <c r="B45" s="104" t="s">
        <v>510</v>
      </c>
      <c r="C45" s="103" t="s">
        <v>507</v>
      </c>
      <c r="D45" s="104" t="s">
        <v>510</v>
      </c>
      <c r="E45" s="104" t="s">
        <v>510</v>
      </c>
      <c r="F45" s="105" t="str">
        <f>Originals!B196</f>
        <v>I/O Variable Remorte Configuration Web Server</v>
      </c>
      <c r="G45" s="105">
        <f>Originals!C196</f>
        <v>0</v>
      </c>
      <c r="H45" s="105" t="str">
        <f>Originals!D196</f>
        <v>32</v>
      </c>
      <c r="I45" s="105" t="str">
        <f>Originals!E196</f>
        <v>N/A</v>
      </c>
      <c r="J45" s="105" t="str">
        <f>Originals!F196</f>
        <v>C-RIO</v>
      </c>
      <c r="K45" s="105" t="str">
        <f>Originals!G196</f>
        <v>NI</v>
      </c>
      <c r="L45" s="105" t="str">
        <f>Originals!H196</f>
        <v xml:space="preserve">I/O Variable Remorte Configuration Web Server </v>
      </c>
      <c r="M45" s="105">
        <f>Originals!I196</f>
        <v>0</v>
      </c>
      <c r="N45" s="98" t="s">
        <v>136</v>
      </c>
    </row>
    <row r="46" spans="1:14" x14ac:dyDescent="0.25">
      <c r="A46" s="104" t="s">
        <v>510</v>
      </c>
      <c r="B46" s="104" t="s">
        <v>510</v>
      </c>
      <c r="C46" s="103" t="s">
        <v>507</v>
      </c>
      <c r="D46" s="103" t="s">
        <v>507</v>
      </c>
      <c r="E46" s="104" t="s">
        <v>510</v>
      </c>
      <c r="F46" s="105" t="str">
        <f>Originals!B197</f>
        <v>Image Processing and Machine Vision</v>
      </c>
      <c r="G46" s="105" t="str">
        <f>Originals!C197</f>
        <v>19.5.0.49152</v>
      </c>
      <c r="H46" s="105" t="str">
        <f>Originals!D197</f>
        <v>32</v>
      </c>
      <c r="I46" s="105" t="str">
        <f>Originals!E197</f>
        <v>2019</v>
      </c>
      <c r="J46" s="105" t="str">
        <f>Originals!F197</f>
        <v>Development</v>
      </c>
      <c r="K46" s="105" t="str">
        <f>Originals!G197</f>
        <v>NI</v>
      </c>
      <c r="L46" s="105" t="str">
        <f>Originals!H197</f>
        <v>Image Processing and Machine Vision 19.5.0.49152</v>
      </c>
      <c r="M46" s="105" t="str">
        <f>Originals!I197</f>
        <v>LabVIEW 2019</v>
      </c>
      <c r="N46" s="98" t="s">
        <v>136</v>
      </c>
    </row>
    <row r="47" spans="1:14" x14ac:dyDescent="0.25">
      <c r="A47" s="104" t="s">
        <v>510</v>
      </c>
      <c r="B47" s="104" t="s">
        <v>510</v>
      </c>
      <c r="C47" s="103" t="s">
        <v>507</v>
      </c>
      <c r="D47" s="103" t="s">
        <v>507</v>
      </c>
      <c r="E47" s="104" t="s">
        <v>510</v>
      </c>
      <c r="F47" s="105" t="str">
        <f>Originals!B198</f>
        <v>Image Services</v>
      </c>
      <c r="G47" s="105" t="str">
        <f>Originals!C198</f>
        <v>19.5.0.49152</v>
      </c>
      <c r="H47" s="105" t="str">
        <f>Originals!D198</f>
        <v>32</v>
      </c>
      <c r="I47" s="105" t="str">
        <f>Originals!E198</f>
        <v>2019</v>
      </c>
      <c r="J47" s="105" t="str">
        <f>Originals!F198</f>
        <v>Development</v>
      </c>
      <c r="K47" s="105" t="str">
        <f>Originals!G198</f>
        <v>NI</v>
      </c>
      <c r="L47" s="105" t="str">
        <f>Originals!H198</f>
        <v>Image Services 19.5.0.49152</v>
      </c>
      <c r="M47" s="105" t="str">
        <f>Originals!I198</f>
        <v>LabVIEW 2019</v>
      </c>
      <c r="N47" s="98" t="s">
        <v>136</v>
      </c>
    </row>
    <row r="48" spans="1:14" x14ac:dyDescent="0.25">
      <c r="A48" s="103" t="s">
        <v>507</v>
      </c>
      <c r="B48" s="103" t="s">
        <v>507</v>
      </c>
      <c r="C48" s="104" t="s">
        <v>510</v>
      </c>
      <c r="D48" s="103" t="s">
        <v>507</v>
      </c>
      <c r="E48" s="104" t="s">
        <v>510</v>
      </c>
      <c r="F48" s="105" t="str">
        <f>Originals!B12</f>
        <v>IVI Compliance Package</v>
      </c>
      <c r="G48" s="105" t="str">
        <f>Originals!C12</f>
        <v>15.0</v>
      </c>
      <c r="H48" s="105" t="str">
        <f>Originals!D12</f>
        <v>32</v>
      </c>
      <c r="I48" s="105" t="str">
        <f>Originals!E12</f>
        <v>2015</v>
      </c>
      <c r="J48" s="105" t="str">
        <f>Originals!F12</f>
        <v>Development</v>
      </c>
      <c r="K48" s="105" t="str">
        <f>Originals!G12</f>
        <v>NI</v>
      </c>
      <c r="L48" s="105" t="str">
        <f>Originals!H12</f>
        <v>IVI Compliance Package 15.0</v>
      </c>
      <c r="M48" s="105" t="str">
        <f>Originals!I12</f>
        <v>NI Developer Suite 2015 DS2 Install</v>
      </c>
      <c r="N48" s="98" t="s">
        <v>136</v>
      </c>
    </row>
    <row r="49" spans="1:14" x14ac:dyDescent="0.25">
      <c r="A49" s="104" t="s">
        <v>510</v>
      </c>
      <c r="B49" s="104" t="s">
        <v>510</v>
      </c>
      <c r="C49" s="103" t="s">
        <v>507</v>
      </c>
      <c r="D49" s="104" t="s">
        <v>510</v>
      </c>
      <c r="E49" s="104" t="s">
        <v>510</v>
      </c>
      <c r="F49" s="105" t="str">
        <f>Originals!B199</f>
        <v>IVI Driver Toolset</v>
      </c>
      <c r="G49" s="105">
        <f>Originals!C199</f>
        <v>1.5</v>
      </c>
      <c r="H49" s="105" t="str">
        <f>Originals!D199</f>
        <v>32</v>
      </c>
      <c r="I49" s="105" t="str">
        <f>Originals!E199</f>
        <v>N/A</v>
      </c>
      <c r="J49" s="105" t="str">
        <f>Originals!F199</f>
        <v>Development</v>
      </c>
      <c r="K49" s="105" t="str">
        <f>Originals!G199</f>
        <v>NI</v>
      </c>
      <c r="L49" s="105" t="str">
        <f>Originals!H199</f>
        <v>IVI Driver Toolset 1.5</v>
      </c>
      <c r="M49" s="105">
        <f>Originals!I199</f>
        <v>0</v>
      </c>
      <c r="N49" s="98" t="s">
        <v>136</v>
      </c>
    </row>
    <row r="50" spans="1:14" x14ac:dyDescent="0.25">
      <c r="A50" s="104" t="s">
        <v>510</v>
      </c>
      <c r="B50" s="104" t="s">
        <v>510</v>
      </c>
      <c r="C50" s="103" t="s">
        <v>507</v>
      </c>
      <c r="D50" s="104" t="s">
        <v>510</v>
      </c>
      <c r="E50" s="104" t="s">
        <v>510</v>
      </c>
      <c r="F50" s="105" t="str">
        <f>Originals!B200</f>
        <v>IVI Engine</v>
      </c>
      <c r="G50" s="105" t="str">
        <f>Originals!C200</f>
        <v>15.0.0.f0</v>
      </c>
      <c r="H50" s="105" t="str">
        <f>Originals!D200</f>
        <v>32</v>
      </c>
      <c r="I50" s="105">
        <f>Originals!E200</f>
        <v>2015</v>
      </c>
      <c r="J50" s="105" t="str">
        <f>Originals!F200</f>
        <v>Development</v>
      </c>
      <c r="K50" s="105" t="str">
        <f>Originals!G200</f>
        <v>NI</v>
      </c>
      <c r="L50" s="105" t="str">
        <f>Originals!H200</f>
        <v>IVI Engine 15.0.0.f0</v>
      </c>
      <c r="M50" s="105">
        <f>Originals!I200</f>
        <v>0</v>
      </c>
      <c r="N50" s="98" t="s">
        <v>136</v>
      </c>
    </row>
    <row r="51" spans="1:14" x14ac:dyDescent="0.25">
      <c r="A51" s="104" t="s">
        <v>510</v>
      </c>
      <c r="B51" s="104" t="s">
        <v>510</v>
      </c>
      <c r="C51" s="103" t="s">
        <v>507</v>
      </c>
      <c r="D51" s="104" t="s">
        <v>510</v>
      </c>
      <c r="E51" s="104" t="s">
        <v>510</v>
      </c>
      <c r="F51" s="105" t="str">
        <f>Originals!B201</f>
        <v>JKI State Machine</v>
      </c>
      <c r="G51" s="105" t="str">
        <f>Originals!C201</f>
        <v>3.0.0.8</v>
      </c>
      <c r="H51" s="105" t="str">
        <f>Originals!D201</f>
        <v>32</v>
      </c>
      <c r="I51" s="105" t="str">
        <f>Originals!E201</f>
        <v>N/A</v>
      </c>
      <c r="J51" s="105" t="str">
        <f>Originals!F201</f>
        <v>Development</v>
      </c>
      <c r="K51" s="105" t="str">
        <f>Originals!G201</f>
        <v>JKI</v>
      </c>
      <c r="L51" s="105" t="str">
        <f>Originals!H201</f>
        <v>JKI State Machine 3.0.0.8</v>
      </c>
      <c r="M51" s="105" t="str">
        <f>Originals!I201</f>
        <v>VIPM Community</v>
      </c>
      <c r="N51" s="98" t="s">
        <v>136</v>
      </c>
    </row>
    <row r="52" spans="1:14" x14ac:dyDescent="0.25">
      <c r="A52" s="104" t="s">
        <v>510</v>
      </c>
      <c r="B52" s="104" t="s">
        <v>510</v>
      </c>
      <c r="C52" s="103" t="s">
        <v>507</v>
      </c>
      <c r="D52" s="103" t="s">
        <v>507</v>
      </c>
      <c r="E52" s="104" t="s">
        <v>510</v>
      </c>
      <c r="F52" s="105" t="str">
        <f>Originals!B202</f>
        <v>JKI State Machine Editor</v>
      </c>
      <c r="G52" s="105" t="str">
        <f>Originals!C202</f>
        <v>2013.6.3.239</v>
      </c>
      <c r="H52" s="105" t="str">
        <f>Originals!D202</f>
        <v>32</v>
      </c>
      <c r="I52" s="105" t="str">
        <f>Originals!E202</f>
        <v>N/A</v>
      </c>
      <c r="J52" s="105" t="str">
        <f>Originals!F202</f>
        <v>Development</v>
      </c>
      <c r="K52" s="105" t="str">
        <f>Originals!G202</f>
        <v>JKI</v>
      </c>
      <c r="L52" s="105" t="str">
        <f>Originals!H202</f>
        <v>JKI State Machine Editor 2013.6.3.239</v>
      </c>
      <c r="M52" s="105" t="str">
        <f>Originals!I202</f>
        <v>VIPM Community</v>
      </c>
      <c r="N52" s="98" t="s">
        <v>136</v>
      </c>
    </row>
    <row r="53" spans="1:14" x14ac:dyDescent="0.25">
      <c r="A53" s="104" t="s">
        <v>510</v>
      </c>
      <c r="B53" s="104" t="s">
        <v>510</v>
      </c>
      <c r="C53" s="103" t="s">
        <v>507</v>
      </c>
      <c r="D53" s="103" t="s">
        <v>507</v>
      </c>
      <c r="E53" s="104" t="s">
        <v>510</v>
      </c>
      <c r="F53" s="105" t="str">
        <f>Originals!B203</f>
        <v>JKI State Machine Objects (SMO)</v>
      </c>
      <c r="G53" s="105" t="str">
        <f>Originals!C203</f>
        <v>1.3.0.56</v>
      </c>
      <c r="H53" s="105" t="str">
        <f>Originals!D203</f>
        <v>32</v>
      </c>
      <c r="I53" s="105" t="str">
        <f>Originals!E203</f>
        <v>N/A</v>
      </c>
      <c r="J53" s="105" t="str">
        <f>Originals!F203</f>
        <v>Development</v>
      </c>
      <c r="K53" s="105" t="str">
        <f>Originals!G203</f>
        <v>JKI</v>
      </c>
      <c r="L53" s="105" t="str">
        <f>Originals!H203</f>
        <v>JKI State Machine Objects (SMO) 1.3.0.56</v>
      </c>
      <c r="M53" s="105" t="str">
        <f>Originals!I203</f>
        <v>VIPM Community</v>
      </c>
      <c r="N53" s="98" t="s">
        <v>136</v>
      </c>
    </row>
    <row r="54" spans="1:14" x14ac:dyDescent="0.25">
      <c r="A54" s="104" t="s">
        <v>510</v>
      </c>
      <c r="B54" s="104" t="s">
        <v>510</v>
      </c>
      <c r="C54" s="103" t="s">
        <v>507</v>
      </c>
      <c r="D54" s="104" t="s">
        <v>510</v>
      </c>
      <c r="E54" s="104" t="s">
        <v>510</v>
      </c>
      <c r="F54" s="105" t="str">
        <f>Originals!B204</f>
        <v>JKI VIPM</v>
      </c>
      <c r="G54" s="105">
        <f>Originals!C204</f>
        <v>0</v>
      </c>
      <c r="H54" s="105">
        <f>Originals!D204</f>
        <v>0</v>
      </c>
      <c r="I54" s="105" t="str">
        <f>Originals!E204</f>
        <v>N/A</v>
      </c>
      <c r="J54" s="105" t="str">
        <f>Originals!F204</f>
        <v>Development</v>
      </c>
      <c r="K54" s="105" t="str">
        <f>Originals!G204</f>
        <v>NI</v>
      </c>
      <c r="L54" s="105" t="str">
        <f>Originals!H204</f>
        <v xml:space="preserve">JKI VIPM </v>
      </c>
      <c r="M54" s="105" t="str">
        <f>Originals!I204</f>
        <v>vipm-22.0.2371-windows-setup</v>
      </c>
      <c r="N54" s="98" t="s">
        <v>136</v>
      </c>
    </row>
    <row r="55" spans="1:14" x14ac:dyDescent="0.25">
      <c r="A55" s="104" t="s">
        <v>510</v>
      </c>
      <c r="B55" s="104" t="s">
        <v>510</v>
      </c>
      <c r="C55" s="103" t="s">
        <v>507</v>
      </c>
      <c r="D55" s="103" t="s">
        <v>507</v>
      </c>
      <c r="E55" s="104" t="s">
        <v>510</v>
      </c>
      <c r="F55" s="105" t="str">
        <f>Originals!B205</f>
        <v>jki_rsc_toolkits_palette</v>
      </c>
      <c r="G55" s="105" t="str">
        <f>Originals!C205</f>
        <v>1.1-1</v>
      </c>
      <c r="H55" s="105" t="str">
        <f>Originals!D205</f>
        <v>32</v>
      </c>
      <c r="I55" s="105" t="str">
        <f>Originals!E205</f>
        <v>N/A</v>
      </c>
      <c r="J55" s="105" t="str">
        <f>Originals!F205</f>
        <v>Development</v>
      </c>
      <c r="K55" s="105" t="str">
        <f>Originals!G205</f>
        <v>JKI Software</v>
      </c>
      <c r="L55" s="105" t="str">
        <f>Originals!H205</f>
        <v>jki_rsc_toolkits_palette 1.1-1</v>
      </c>
      <c r="M55" s="105" t="str">
        <f>Originals!I205</f>
        <v>VIPM Community</v>
      </c>
      <c r="N55" s="98" t="s">
        <v>136</v>
      </c>
    </row>
    <row r="56" spans="1:14" x14ac:dyDescent="0.25">
      <c r="A56" s="103" t="s">
        <v>507</v>
      </c>
      <c r="B56" s="103" t="s">
        <v>507</v>
      </c>
      <c r="C56" s="104" t="s">
        <v>510</v>
      </c>
      <c r="D56" s="104" t="s">
        <v>510</v>
      </c>
      <c r="E56" s="103" t="s">
        <v>507</v>
      </c>
      <c r="F56" s="105" t="str">
        <f>Originals!B13</f>
        <v>LabVIEW</v>
      </c>
      <c r="G56" s="105" t="str">
        <f>Originals!C13</f>
        <v>15.0.1</v>
      </c>
      <c r="H56" s="105" t="str">
        <f>Originals!D13</f>
        <v>32</v>
      </c>
      <c r="I56" s="105" t="str">
        <f>Originals!E13</f>
        <v>2015 SP1 f10</v>
      </c>
      <c r="J56" s="105" t="str">
        <f>Originals!F13</f>
        <v>Development</v>
      </c>
      <c r="K56" s="105" t="str">
        <f>Originals!G13</f>
        <v>NI</v>
      </c>
      <c r="L56" s="105" t="str">
        <f>Originals!H13</f>
        <v>LabVIEW 2015 SP1 f10 15.0.1</v>
      </c>
      <c r="M56" s="105" t="str">
        <f>Originals!I13</f>
        <v>2015 SP1 Update Service</v>
      </c>
      <c r="N56" s="98" t="s">
        <v>136</v>
      </c>
    </row>
    <row r="57" spans="1:14" x14ac:dyDescent="0.25">
      <c r="A57" s="103" t="s">
        <v>507</v>
      </c>
      <c r="B57" s="104" t="s">
        <v>510</v>
      </c>
      <c r="C57" s="104" t="s">
        <v>510</v>
      </c>
      <c r="D57" s="104" t="s">
        <v>510</v>
      </c>
      <c r="E57" s="104" t="s">
        <v>510</v>
      </c>
      <c r="F57" s="110" t="str">
        <f>Originals!B14</f>
        <v>LabVIEW</v>
      </c>
      <c r="G57" s="110" t="str">
        <f>Originals!C14</f>
        <v>15.0.1</v>
      </c>
      <c r="H57" s="110" t="str">
        <f>Originals!D14</f>
        <v>32</v>
      </c>
      <c r="I57" s="110" t="str">
        <f>Originals!E14</f>
        <v>2015 SP1</v>
      </c>
      <c r="J57" s="110" t="str">
        <f>Originals!F14</f>
        <v>Runtime</v>
      </c>
      <c r="K57" s="110" t="str">
        <f>Originals!G14</f>
        <v>NI</v>
      </c>
      <c r="L57" s="110" t="str">
        <f>Originals!H14</f>
        <v>LabVIEW 2015 SP1 15.0.1</v>
      </c>
      <c r="M57" s="110" t="str">
        <f>Originals!I14</f>
        <v>LabVIEW 2015 SP1</v>
      </c>
      <c r="N57" s="111" t="s">
        <v>0</v>
      </c>
    </row>
    <row r="58" spans="1:14" x14ac:dyDescent="0.25">
      <c r="A58" s="103" t="s">
        <v>507</v>
      </c>
      <c r="B58" s="103" t="s">
        <v>507</v>
      </c>
      <c r="C58" s="103" t="s">
        <v>507</v>
      </c>
      <c r="D58" s="103" t="s">
        <v>507</v>
      </c>
      <c r="E58" s="103" t="s">
        <v>507</v>
      </c>
      <c r="F58" s="105" t="str">
        <f>Originals!B15</f>
        <v>LabVIEW</v>
      </c>
      <c r="G58" s="105" t="str">
        <f>Originals!C15</f>
        <v>12.0.1</v>
      </c>
      <c r="H58" s="105" t="str">
        <f>Originals!D15</f>
        <v>32</v>
      </c>
      <c r="I58" s="105" t="str">
        <f>Originals!E15</f>
        <v>2012 SP1 f9</v>
      </c>
      <c r="J58" s="105" t="str">
        <f>Originals!F15</f>
        <v>Runtime</v>
      </c>
      <c r="K58" s="105" t="str">
        <f>Originals!G15</f>
        <v>NI</v>
      </c>
      <c r="L58" s="105" t="str">
        <f>Originals!H15</f>
        <v>LabVIEW 2012 SP1 f9 12.0.1</v>
      </c>
      <c r="M58" s="105" t="str">
        <f>Originals!I15</f>
        <v>NI Developer Suite 2015 DS2 Install</v>
      </c>
      <c r="N58" s="98" t="s">
        <v>136</v>
      </c>
    </row>
    <row r="59" spans="1:14" x14ac:dyDescent="0.25">
      <c r="A59" s="103" t="s">
        <v>507</v>
      </c>
      <c r="B59" s="103" t="s">
        <v>507</v>
      </c>
      <c r="C59" s="104" t="s">
        <v>510</v>
      </c>
      <c r="D59" s="103" t="s">
        <v>507</v>
      </c>
      <c r="E59" s="104" t="s">
        <v>510</v>
      </c>
      <c r="F59" s="105" t="str">
        <f>Originals!B16</f>
        <v>LabVIEW</v>
      </c>
      <c r="G59" s="105" t="str">
        <f>Originals!C16</f>
        <v>12.0.1</v>
      </c>
      <c r="H59" s="105" t="str">
        <f>Originals!D16</f>
        <v>64</v>
      </c>
      <c r="I59" s="105" t="str">
        <f>Originals!E16</f>
        <v>2012 SP1 f9</v>
      </c>
      <c r="J59" s="105" t="str">
        <f>Originals!F16</f>
        <v>Runtime</v>
      </c>
      <c r="K59" s="105" t="str">
        <f>Originals!G16</f>
        <v>NI</v>
      </c>
      <c r="L59" s="105" t="str">
        <f>Originals!H16</f>
        <v>LabVIEW 2012 SP1 f9 12.0.1</v>
      </c>
      <c r="M59" s="105" t="str">
        <f>Originals!I16</f>
        <v>NI Developer Suite 2015 DS2 Install</v>
      </c>
      <c r="N59" s="98" t="s">
        <v>136</v>
      </c>
    </row>
    <row r="60" spans="1:14" x14ac:dyDescent="0.25">
      <c r="A60" s="103" t="s">
        <v>507</v>
      </c>
      <c r="B60" s="103" t="s">
        <v>507</v>
      </c>
      <c r="C60" s="104" t="s">
        <v>510</v>
      </c>
      <c r="D60" s="103" t="s">
        <v>507</v>
      </c>
      <c r="E60" s="104" t="s">
        <v>510</v>
      </c>
      <c r="F60" s="105" t="str">
        <f>Originals!B17</f>
        <v>LabVIEW</v>
      </c>
      <c r="G60" s="105" t="str">
        <f>Originals!C17</f>
        <v>13.0.1</v>
      </c>
      <c r="H60" s="105" t="str">
        <f>Originals!D17</f>
        <v>32</v>
      </c>
      <c r="I60" s="105" t="str">
        <f>Originals!E17</f>
        <v>2013 SP1 f6</v>
      </c>
      <c r="J60" s="105" t="str">
        <f>Originals!F17</f>
        <v>Runtime</v>
      </c>
      <c r="K60" s="105" t="str">
        <f>Originals!G17</f>
        <v>NI</v>
      </c>
      <c r="L60" s="105" t="str">
        <f>Originals!H17</f>
        <v>LabVIEW 2013 SP1 f6 13.0.1</v>
      </c>
      <c r="M60" s="105" t="str">
        <f>Originals!I17</f>
        <v>NI Developer Suite 2015 DS2 Install</v>
      </c>
      <c r="N60" s="98" t="s">
        <v>136</v>
      </c>
    </row>
    <row r="61" spans="1:14" x14ac:dyDescent="0.25">
      <c r="A61" s="103" t="s">
        <v>507</v>
      </c>
      <c r="B61" s="103" t="s">
        <v>507</v>
      </c>
      <c r="C61" s="103" t="s">
        <v>507</v>
      </c>
      <c r="D61" s="103" t="s">
        <v>507</v>
      </c>
      <c r="E61" s="103" t="s">
        <v>507</v>
      </c>
      <c r="F61" s="105" t="str">
        <f>Originals!B18</f>
        <v>LabVIEW</v>
      </c>
      <c r="G61" s="105" t="str">
        <f>Originals!C18</f>
        <v>14.0.1</v>
      </c>
      <c r="H61" s="105" t="str">
        <f>Originals!D18</f>
        <v>32</v>
      </c>
      <c r="I61" s="105" t="str">
        <f>Originals!E18</f>
        <v>2014 SP1 f11</v>
      </c>
      <c r="J61" s="105" t="str">
        <f>Originals!F18</f>
        <v>Runtime</v>
      </c>
      <c r="K61" s="105" t="str">
        <f>Originals!G18</f>
        <v>NI</v>
      </c>
      <c r="L61" s="105" t="str">
        <f>Originals!H18</f>
        <v>LabVIEW 2014 SP1 f11 14.0.1</v>
      </c>
      <c r="M61" s="105" t="str">
        <f>Originals!I18</f>
        <v>2015 SP1 Update Service</v>
      </c>
      <c r="N61" s="98" t="s">
        <v>136</v>
      </c>
    </row>
    <row r="62" spans="1:14" x14ac:dyDescent="0.25">
      <c r="A62" s="103" t="s">
        <v>507</v>
      </c>
      <c r="B62" s="103" t="s">
        <v>507</v>
      </c>
      <c r="C62" s="104" t="s">
        <v>510</v>
      </c>
      <c r="D62" s="103" t="s">
        <v>507</v>
      </c>
      <c r="E62" s="104" t="s">
        <v>510</v>
      </c>
      <c r="F62" s="105" t="str">
        <f>Originals!B19</f>
        <v>LabVIEW</v>
      </c>
      <c r="G62" s="105" t="str">
        <f>Originals!C19</f>
        <v>14.0.1</v>
      </c>
      <c r="H62" s="105" t="str">
        <f>Originals!D19</f>
        <v>64</v>
      </c>
      <c r="I62" s="105" t="str">
        <f>Originals!E19</f>
        <v>2014 SP1 f11</v>
      </c>
      <c r="J62" s="105" t="str">
        <f>Originals!F19</f>
        <v>Runtime</v>
      </c>
      <c r="K62" s="105" t="str">
        <f>Originals!G19</f>
        <v>NI</v>
      </c>
      <c r="L62" s="105" t="str">
        <f>Originals!H19</f>
        <v>LabVIEW 2014 SP1 f11 14.0.1</v>
      </c>
      <c r="M62" s="105" t="str">
        <f>Originals!I19</f>
        <v>2015 SP1 Update Service</v>
      </c>
      <c r="N62" s="98" t="s">
        <v>136</v>
      </c>
    </row>
    <row r="63" spans="1:14" x14ac:dyDescent="0.25">
      <c r="A63" s="103" t="s">
        <v>507</v>
      </c>
      <c r="B63" s="104" t="s">
        <v>510</v>
      </c>
      <c r="C63" s="104" t="s">
        <v>510</v>
      </c>
      <c r="D63" s="104" t="s">
        <v>510</v>
      </c>
      <c r="E63" s="104" t="s">
        <v>510</v>
      </c>
      <c r="F63" s="110" t="str">
        <f>Originals!B20</f>
        <v>LabVIEW</v>
      </c>
      <c r="G63" s="110" t="str">
        <f>Originals!C20</f>
        <v>19.0.1</v>
      </c>
      <c r="H63" s="110" t="str">
        <f>Originals!D20</f>
        <v>32</v>
      </c>
      <c r="I63" s="110" t="str">
        <f>Originals!E20</f>
        <v>2019 SP1 f3</v>
      </c>
      <c r="J63" s="110" t="str">
        <f>Originals!F20</f>
        <v>Runtime</v>
      </c>
      <c r="K63" s="110" t="str">
        <f>Originals!G20</f>
        <v>NI</v>
      </c>
      <c r="L63" s="110" t="str">
        <f>Originals!H20</f>
        <v>LabVIEW 2019 SP1 f3 19.0.1</v>
      </c>
      <c r="M63" s="110">
        <f>Originals!I20</f>
        <v>0</v>
      </c>
      <c r="N63" s="111" t="s">
        <v>0</v>
      </c>
    </row>
    <row r="64" spans="1:14" x14ac:dyDescent="0.25">
      <c r="A64" s="104" t="s">
        <v>510</v>
      </c>
      <c r="B64" s="103" t="s">
        <v>507</v>
      </c>
      <c r="C64" s="103" t="s">
        <v>507</v>
      </c>
      <c r="D64" s="103" t="s">
        <v>507</v>
      </c>
      <c r="E64" s="104" t="s">
        <v>510</v>
      </c>
      <c r="F64" s="105" t="str">
        <f>Originals!B98</f>
        <v>LabVIEW</v>
      </c>
      <c r="G64" s="105" t="str">
        <f>Originals!C98</f>
        <v>15.0.1</v>
      </c>
      <c r="H64" s="105" t="str">
        <f>Originals!D98</f>
        <v>32</v>
      </c>
      <c r="I64" s="105" t="str">
        <f>Originals!E98</f>
        <v>2015 SP1</v>
      </c>
      <c r="J64" s="105" t="str">
        <f>Originals!F98</f>
        <v>Runtime</v>
      </c>
      <c r="K64" s="105" t="str">
        <f>Originals!G98</f>
        <v>NI</v>
      </c>
      <c r="L64" s="105" t="str">
        <f>Originals!H98</f>
        <v>LabVIEW 2015 SP1 15.0.1</v>
      </c>
      <c r="M64" s="105" t="str">
        <f>Originals!I98</f>
        <v>LabVIEW 2015 SP1</v>
      </c>
      <c r="N64" s="98" t="s">
        <v>136</v>
      </c>
    </row>
    <row r="65" spans="1:14" x14ac:dyDescent="0.25">
      <c r="A65" s="104" t="s">
        <v>510</v>
      </c>
      <c r="B65" s="103" t="s">
        <v>507</v>
      </c>
      <c r="C65" s="104" t="s">
        <v>510</v>
      </c>
      <c r="D65" s="104" t="s">
        <v>510</v>
      </c>
      <c r="E65" s="104" t="s">
        <v>510</v>
      </c>
      <c r="F65" s="112" t="str">
        <f>Originals!B99</f>
        <v>LabVIEW</v>
      </c>
      <c r="G65" s="112" t="str">
        <f>Originals!C99</f>
        <v>19.0.1</v>
      </c>
      <c r="H65" s="112" t="str">
        <f>Originals!D99</f>
        <v>32</v>
      </c>
      <c r="I65" s="112" t="str">
        <f>Originals!E99</f>
        <v>2019 SP1 f5</v>
      </c>
      <c r="J65" s="112" t="str">
        <f>Originals!F99</f>
        <v>Runtime</v>
      </c>
      <c r="K65" s="112" t="str">
        <f>Originals!G99</f>
        <v>NI</v>
      </c>
      <c r="L65" s="112" t="str">
        <f>Originals!H99</f>
        <v>LabVIEW 2019 SP1 f5 19.0.1</v>
      </c>
      <c r="M65" s="112">
        <f>Originals!I99</f>
        <v>0</v>
      </c>
      <c r="N65" s="113" t="s">
        <v>1</v>
      </c>
    </row>
    <row r="66" spans="1:14" x14ac:dyDescent="0.25">
      <c r="A66" s="104" t="s">
        <v>510</v>
      </c>
      <c r="B66" s="104" t="s">
        <v>510</v>
      </c>
      <c r="C66" s="103" t="s">
        <v>507</v>
      </c>
      <c r="D66" s="104" t="s">
        <v>510</v>
      </c>
      <c r="E66" s="104" t="s">
        <v>510</v>
      </c>
      <c r="F66" s="106" t="str">
        <f>Originals!B208</f>
        <v>LabVIEW</v>
      </c>
      <c r="G66" s="106" t="str">
        <f>Originals!C208</f>
        <v>16.0.0</v>
      </c>
      <c r="H66" s="106" t="str">
        <f>Originals!D208</f>
        <v>32</v>
      </c>
      <c r="I66" s="106" t="str">
        <f>Originals!E208</f>
        <v>2016  f6</v>
      </c>
      <c r="J66" s="106" t="str">
        <f>Originals!F208</f>
        <v>Runtime</v>
      </c>
      <c r="K66" s="106" t="str">
        <f>Originals!G208</f>
        <v>NI</v>
      </c>
      <c r="L66" s="106" t="str">
        <f>Originals!H208</f>
        <v>LabVIEW 2016  f6 16.0.0</v>
      </c>
      <c r="M66" s="106">
        <f>Originals!I208</f>
        <v>0</v>
      </c>
      <c r="N66" s="107" t="s">
        <v>2</v>
      </c>
    </row>
    <row r="67" spans="1:14" x14ac:dyDescent="0.25">
      <c r="A67" s="104" t="s">
        <v>510</v>
      </c>
      <c r="B67" s="104" t="s">
        <v>510</v>
      </c>
      <c r="C67" s="103" t="s">
        <v>507</v>
      </c>
      <c r="D67" s="103" t="s">
        <v>507</v>
      </c>
      <c r="E67" s="103" t="s">
        <v>507</v>
      </c>
      <c r="F67" s="105" t="str">
        <f>Originals!B209</f>
        <v>LabVIEW</v>
      </c>
      <c r="G67" s="105" t="str">
        <f>Originals!C209</f>
        <v>17.0.1</v>
      </c>
      <c r="H67" s="105" t="str">
        <f>Originals!D209</f>
        <v>32</v>
      </c>
      <c r="I67" s="105" t="str">
        <f>Originals!E209</f>
        <v>2017 SP1 f3</v>
      </c>
      <c r="J67" s="105" t="str">
        <f>Originals!F209</f>
        <v>Runtime</v>
      </c>
      <c r="K67" s="105" t="str">
        <f>Originals!G209</f>
        <v>NI</v>
      </c>
      <c r="L67" s="105" t="str">
        <f>Originals!H209</f>
        <v>LabVIEW 2017 SP1 f3 17.0.1</v>
      </c>
      <c r="M67" s="105">
        <f>Originals!I209</f>
        <v>0</v>
      </c>
      <c r="N67" s="98" t="s">
        <v>136</v>
      </c>
    </row>
    <row r="68" spans="1:14" x14ac:dyDescent="0.25">
      <c r="A68" s="104" t="s">
        <v>510</v>
      </c>
      <c r="B68" s="104" t="s">
        <v>510</v>
      </c>
      <c r="C68" s="103" t="s">
        <v>507</v>
      </c>
      <c r="D68" s="104" t="s">
        <v>510</v>
      </c>
      <c r="E68" s="104" t="s">
        <v>510</v>
      </c>
      <c r="F68" s="106" t="str">
        <f>Originals!B210</f>
        <v>LabVIEW</v>
      </c>
      <c r="G68" s="106" t="str">
        <f>Originals!C210</f>
        <v>18.0.1</v>
      </c>
      <c r="H68" s="106" t="str">
        <f>Originals!D210</f>
        <v>64</v>
      </c>
      <c r="I68" s="106" t="str">
        <f>Originals!E210</f>
        <v>2018 SP1</v>
      </c>
      <c r="J68" s="106" t="str">
        <f>Originals!F210</f>
        <v>Runtime</v>
      </c>
      <c r="K68" s="106" t="str">
        <f>Originals!G210</f>
        <v>NI</v>
      </c>
      <c r="L68" s="106" t="str">
        <f>Originals!H210</f>
        <v>LabVIEW 2018 SP1 18.0.1</v>
      </c>
      <c r="M68" s="106" t="str">
        <f>Originals!I210</f>
        <v>LabVIEW 2019</v>
      </c>
      <c r="N68" s="107" t="s">
        <v>2</v>
      </c>
    </row>
    <row r="69" spans="1:14" x14ac:dyDescent="0.25">
      <c r="A69" s="104" t="s">
        <v>510</v>
      </c>
      <c r="B69" s="104" t="s">
        <v>510</v>
      </c>
      <c r="C69" s="103" t="s">
        <v>507</v>
      </c>
      <c r="D69" s="104" t="s">
        <v>510</v>
      </c>
      <c r="E69" s="104" t="s">
        <v>510</v>
      </c>
      <c r="F69" s="106" t="str">
        <f>Originals!B211</f>
        <v>LabVIEW</v>
      </c>
      <c r="G69" s="106" t="str">
        <f>Originals!C211</f>
        <v>19.0.1</v>
      </c>
      <c r="H69" s="106" t="str">
        <f>Originals!D211</f>
        <v>32</v>
      </c>
      <c r="I69" s="106" t="str">
        <f>Originals!E211</f>
        <v>2019 SP1 f1</v>
      </c>
      <c r="J69" s="106" t="str">
        <f>Originals!F211</f>
        <v>Runtime</v>
      </c>
      <c r="K69" s="106" t="str">
        <f>Originals!G211</f>
        <v>NI</v>
      </c>
      <c r="L69" s="106" t="str">
        <f>Originals!H211</f>
        <v>LabVIEW 2019 SP1 f1 19.0.1</v>
      </c>
      <c r="M69" s="106">
        <f>Originals!I211</f>
        <v>0</v>
      </c>
      <c r="N69" s="107" t="s">
        <v>2</v>
      </c>
    </row>
    <row r="70" spans="1:14" x14ac:dyDescent="0.25">
      <c r="A70" s="104" t="s">
        <v>510</v>
      </c>
      <c r="B70" s="104" t="s">
        <v>510</v>
      </c>
      <c r="C70" s="103" t="s">
        <v>507</v>
      </c>
      <c r="D70" s="104" t="s">
        <v>510</v>
      </c>
      <c r="E70" s="104" t="s">
        <v>510</v>
      </c>
      <c r="F70" s="106" t="str">
        <f>Originals!B212</f>
        <v>LabVIEW</v>
      </c>
      <c r="G70" s="106" t="str">
        <f>Originals!C212</f>
        <v>15</v>
      </c>
      <c r="H70" s="106" t="str">
        <f>Originals!D212</f>
        <v>32</v>
      </c>
      <c r="I70" s="106" t="str">
        <f>Originals!E212</f>
        <v>2015 SP1 f7</v>
      </c>
      <c r="J70" s="106" t="str">
        <f>Originals!F212</f>
        <v>Development</v>
      </c>
      <c r="K70" s="106" t="str">
        <f>Originals!G212</f>
        <v>NI</v>
      </c>
      <c r="L70" s="106" t="str">
        <f>Originals!H212</f>
        <v>LabVIEW 2015 SP1 f7 15</v>
      </c>
      <c r="M70" s="106">
        <f>Originals!I212</f>
        <v>0</v>
      </c>
      <c r="N70" s="107" t="s">
        <v>2</v>
      </c>
    </row>
    <row r="71" spans="1:14" x14ac:dyDescent="0.25">
      <c r="A71" s="104" t="s">
        <v>510</v>
      </c>
      <c r="B71" s="104" t="s">
        <v>510</v>
      </c>
      <c r="C71" s="104" t="s">
        <v>510</v>
      </c>
      <c r="D71" s="103" t="s">
        <v>507</v>
      </c>
      <c r="E71" s="103" t="s">
        <v>507</v>
      </c>
      <c r="F71" s="105" t="str">
        <f>Originals!B373</f>
        <v>LabVIEW</v>
      </c>
      <c r="G71" s="105" t="str">
        <f>Originals!C373</f>
        <v>16.0.0</v>
      </c>
      <c r="H71" s="105" t="str">
        <f>Originals!D373</f>
        <v>32</v>
      </c>
      <c r="I71" s="105" t="str">
        <f>Originals!E373</f>
        <v>2016 f5</v>
      </c>
      <c r="J71" s="105" t="str">
        <f>Originals!F373</f>
        <v>Runtime</v>
      </c>
      <c r="K71" s="105" t="str">
        <f>Originals!G373</f>
        <v>NI</v>
      </c>
      <c r="L71" s="105" t="str">
        <f>Originals!H373</f>
        <v>LabVIEW 2016 f5 16.0.0</v>
      </c>
      <c r="M71" s="105" t="str">
        <f>Originals!I373</f>
        <v>CompactRIO 18.1.0</v>
      </c>
      <c r="N71" s="98" t="s">
        <v>136</v>
      </c>
    </row>
    <row r="72" spans="1:14" x14ac:dyDescent="0.25">
      <c r="A72" s="104" t="s">
        <v>510</v>
      </c>
      <c r="B72" s="104" t="s">
        <v>510</v>
      </c>
      <c r="C72" s="104" t="s">
        <v>510</v>
      </c>
      <c r="D72" s="104" t="s">
        <v>510</v>
      </c>
      <c r="E72" s="103" t="s">
        <v>507</v>
      </c>
      <c r="F72" s="114" t="str">
        <f>Originals!B375</f>
        <v>LabVIEW</v>
      </c>
      <c r="G72" s="114" t="str">
        <f>Originals!C375</f>
        <v>18.0.0</v>
      </c>
      <c r="H72" s="114" t="str">
        <f>Originals!D375</f>
        <v>32</v>
      </c>
      <c r="I72" s="114" t="str">
        <f>Originals!E375</f>
        <v>2018 f2</v>
      </c>
      <c r="J72" s="114" t="str">
        <f>Originals!F375</f>
        <v>Runtime</v>
      </c>
      <c r="K72" s="114" t="str">
        <f>Originals!G375</f>
        <v>NI</v>
      </c>
      <c r="L72" s="114" t="str">
        <f>Originals!H375</f>
        <v>LabVIEW 2018 f2 18.0.0</v>
      </c>
      <c r="M72" s="114">
        <f>Originals!I375</f>
        <v>0</v>
      </c>
      <c r="N72" s="115" t="s">
        <v>466</v>
      </c>
    </row>
    <row r="73" spans="1:14" x14ac:dyDescent="0.25">
      <c r="A73" s="104" t="s">
        <v>510</v>
      </c>
      <c r="B73" s="104" t="s">
        <v>510</v>
      </c>
      <c r="C73" s="104" t="s">
        <v>510</v>
      </c>
      <c r="D73" s="104" t="s">
        <v>510</v>
      </c>
      <c r="E73" s="103" t="s">
        <v>507</v>
      </c>
      <c r="F73" s="114" t="str">
        <f>Originals!B377</f>
        <v>LabVIEW</v>
      </c>
      <c r="G73" s="114" t="str">
        <f>Originals!C377</f>
        <v>15.0.1</v>
      </c>
      <c r="H73" s="114" t="str">
        <f>Originals!D377</f>
        <v>32</v>
      </c>
      <c r="I73" s="114" t="str">
        <f>Originals!E377</f>
        <v>2015 SP1 f10</v>
      </c>
      <c r="J73" s="114" t="str">
        <f>Originals!F377</f>
        <v>Runtime</v>
      </c>
      <c r="K73" s="114" t="str">
        <f>Originals!G377</f>
        <v>NI</v>
      </c>
      <c r="L73" s="114" t="str">
        <f>Originals!H377</f>
        <v>LabVIEW 2015 SP1 f10 15.0.1</v>
      </c>
      <c r="M73" s="114">
        <f>Originals!I377</f>
        <v>0</v>
      </c>
      <c r="N73" s="115" t="s">
        <v>466</v>
      </c>
    </row>
    <row r="74" spans="1:14" x14ac:dyDescent="0.25">
      <c r="A74" s="104" t="s">
        <v>510</v>
      </c>
      <c r="B74" s="104" t="s">
        <v>510</v>
      </c>
      <c r="C74" s="103" t="s">
        <v>507</v>
      </c>
      <c r="D74" s="103" t="s">
        <v>507</v>
      </c>
      <c r="E74" s="104" t="s">
        <v>510</v>
      </c>
      <c r="F74" s="105" t="str">
        <f>Scott!B18</f>
        <v>Digital Filter Design Toolkit</v>
      </c>
      <c r="G74" s="105" t="str">
        <f>Scott!C18</f>
        <v>15.0.0</v>
      </c>
      <c r="H74" s="105">
        <f>Scott!D18</f>
        <v>32</v>
      </c>
      <c r="I74" s="105">
        <f>Scott!E18</f>
        <v>2015</v>
      </c>
      <c r="J74" s="105" t="str">
        <f>Scott!F18</f>
        <v>Development</v>
      </c>
      <c r="K74" s="105" t="str">
        <f>Scott!G18</f>
        <v>NI</v>
      </c>
      <c r="L74" s="105" t="str">
        <f>Scott!H18</f>
        <v>Digital Filter Design Toolkit 15.0.0</v>
      </c>
      <c r="M74" s="105" t="str">
        <f>Scott!I18</f>
        <v>NI Developer Suite 2015 DS2 Install</v>
      </c>
      <c r="N74" s="98" t="s">
        <v>136</v>
      </c>
    </row>
    <row r="75" spans="1:14" x14ac:dyDescent="0.25">
      <c r="A75" s="104" t="s">
        <v>510</v>
      </c>
      <c r="B75" s="104" t="s">
        <v>510</v>
      </c>
      <c r="C75" s="103" t="s">
        <v>507</v>
      </c>
      <c r="D75" s="103" t="s">
        <v>507</v>
      </c>
      <c r="E75" s="104" t="s">
        <v>510</v>
      </c>
      <c r="F75" s="105" t="str">
        <f>Scott!B19</f>
        <v>FlexRIO</v>
      </c>
      <c r="G75" s="105" t="str">
        <f>Scott!C19</f>
        <v>15.0.0f0</v>
      </c>
      <c r="H75" s="105">
        <f>Scott!D19</f>
        <v>32</v>
      </c>
      <c r="I75" s="105">
        <f>Scott!E19</f>
        <v>2015</v>
      </c>
      <c r="J75" s="105" t="str">
        <f>Scott!F19</f>
        <v>Development</v>
      </c>
      <c r="K75" s="105" t="str">
        <f>Scott!G19</f>
        <v>NI</v>
      </c>
      <c r="L75" s="105" t="str">
        <f>Scott!H19</f>
        <v>FlexRIO 15.0.0f0</v>
      </c>
      <c r="M75" s="105" t="str">
        <f>Scott!I19</f>
        <v>NI Developer Suite 2015 DS2 Install</v>
      </c>
      <c r="N75" s="98" t="s">
        <v>136</v>
      </c>
    </row>
    <row r="76" spans="1:14" x14ac:dyDescent="0.25">
      <c r="A76" s="104" t="s">
        <v>510</v>
      </c>
      <c r="B76" s="104" t="s">
        <v>510</v>
      </c>
      <c r="C76" s="103" t="s">
        <v>507</v>
      </c>
      <c r="D76" s="103" t="s">
        <v>507</v>
      </c>
      <c r="E76" s="104" t="s">
        <v>510</v>
      </c>
      <c r="F76" s="105" t="str">
        <f>Scott!B25</f>
        <v>GPower Events</v>
      </c>
      <c r="G76" s="105" t="str">
        <f>Scott!C25</f>
        <v>2012.0.0.7</v>
      </c>
      <c r="H76" s="105" t="str">
        <f>Scott!D25</f>
        <v>32</v>
      </c>
      <c r="I76" s="105" t="str">
        <f>Scott!E25</f>
        <v>N/A</v>
      </c>
      <c r="J76" s="105" t="str">
        <f>Scott!F25</f>
        <v>Development</v>
      </c>
      <c r="K76" s="105" t="str">
        <f>Scott!G25</f>
        <v>GPower</v>
      </c>
      <c r="L76" s="105" t="str">
        <f>Scott!H25</f>
        <v>GPower Events 2012.0.0.7</v>
      </c>
      <c r="M76" s="105" t="str">
        <f>Scott!I25</f>
        <v>VIPM Community</v>
      </c>
      <c r="N76" s="98" t="s">
        <v>136</v>
      </c>
    </row>
    <row r="77" spans="1:14" x14ac:dyDescent="0.25">
      <c r="A77" s="104" t="s">
        <v>510</v>
      </c>
      <c r="B77" s="104" t="s">
        <v>510</v>
      </c>
      <c r="C77" s="103" t="s">
        <v>507</v>
      </c>
      <c r="D77" s="103" t="s">
        <v>507</v>
      </c>
      <c r="E77" s="104" t="s">
        <v>510</v>
      </c>
      <c r="F77" s="105" t="str">
        <f>Scott!B26</f>
        <v>GPower Math</v>
      </c>
      <c r="G77" s="105" t="str">
        <f>Scott!C26</f>
        <v>2012.1.0.6</v>
      </c>
      <c r="H77" s="105" t="str">
        <f>Scott!D26</f>
        <v>32</v>
      </c>
      <c r="I77" s="105" t="str">
        <f>Scott!E26</f>
        <v>N/A</v>
      </c>
      <c r="J77" s="105" t="str">
        <f>Scott!F26</f>
        <v>Development</v>
      </c>
      <c r="K77" s="105" t="str">
        <f>Scott!G26</f>
        <v>GPower</v>
      </c>
      <c r="L77" s="105" t="str">
        <f>Scott!H26</f>
        <v>GPower Math 2012.1.0.6</v>
      </c>
      <c r="M77" s="105" t="str">
        <f>Scott!I26</f>
        <v>VIPM Community</v>
      </c>
      <c r="N77" s="98" t="s">
        <v>136</v>
      </c>
    </row>
    <row r="78" spans="1:14" x14ac:dyDescent="0.25">
      <c r="A78" s="104" t="s">
        <v>510</v>
      </c>
      <c r="B78" s="104" t="s">
        <v>510</v>
      </c>
      <c r="C78" s="104" t="s">
        <v>510</v>
      </c>
      <c r="D78" s="103" t="s">
        <v>507</v>
      </c>
      <c r="E78" s="104" t="s">
        <v>510</v>
      </c>
      <c r="F78" s="108" t="str">
        <f>Scott!B28</f>
        <v>GPower Overflow</v>
      </c>
      <c r="G78" s="108" t="str">
        <f>Scott!C28</f>
        <v>2014.0.0.4</v>
      </c>
      <c r="H78" s="108" t="str">
        <f>Scott!D28</f>
        <v>32</v>
      </c>
      <c r="I78" s="108" t="str">
        <f>Scott!E28</f>
        <v>N/A</v>
      </c>
      <c r="J78" s="108" t="str">
        <f>Scott!F28</f>
        <v>Development</v>
      </c>
      <c r="K78" s="108" t="str">
        <f>Scott!G28</f>
        <v>GPower</v>
      </c>
      <c r="L78" s="108" t="str">
        <f>Scott!H28</f>
        <v>GPower Overflow 2014.0.0.4</v>
      </c>
      <c r="M78" s="108" t="str">
        <f>Scott!I28</f>
        <v>VIPM Community</v>
      </c>
      <c r="N78" s="109" t="s">
        <v>96</v>
      </c>
    </row>
    <row r="79" spans="1:14" x14ac:dyDescent="0.25">
      <c r="A79" s="104" t="s">
        <v>510</v>
      </c>
      <c r="B79" s="104" t="s">
        <v>510</v>
      </c>
      <c r="C79" s="103" t="s">
        <v>507</v>
      </c>
      <c r="D79" s="104" t="s">
        <v>510</v>
      </c>
      <c r="E79" s="104" t="s">
        <v>510</v>
      </c>
      <c r="F79" s="106" t="str">
        <f>Originals!B215</f>
        <v>LabVIEW Real-Time</v>
      </c>
      <c r="G79" s="106" t="str">
        <f>Originals!C215</f>
        <v>15.0.1</v>
      </c>
      <c r="H79" s="106" t="str">
        <f>Originals!D215</f>
        <v>32</v>
      </c>
      <c r="I79" s="106" t="str">
        <f>Originals!E215</f>
        <v>2015</v>
      </c>
      <c r="J79" s="106" t="str">
        <f>Originals!F215</f>
        <v>C-RIO</v>
      </c>
      <c r="K79" s="106" t="str">
        <f>Originals!G215</f>
        <v>NI</v>
      </c>
      <c r="L79" s="106" t="str">
        <f>Originals!H215</f>
        <v>LabVIEW Real-Time 15.0.1</v>
      </c>
      <c r="M79" s="106">
        <f>Originals!I215</f>
        <v>0</v>
      </c>
      <c r="N79" s="107" t="s">
        <v>2</v>
      </c>
    </row>
    <row r="80" spans="1:14" x14ac:dyDescent="0.25">
      <c r="A80" s="104" t="s">
        <v>510</v>
      </c>
      <c r="B80" s="104" t="s">
        <v>510</v>
      </c>
      <c r="C80" s="104" t="s">
        <v>510</v>
      </c>
      <c r="D80" s="104" t="s">
        <v>510</v>
      </c>
      <c r="E80" s="103" t="s">
        <v>507</v>
      </c>
      <c r="F80" s="114" t="str">
        <f>Originals!B378</f>
        <v xml:space="preserve">LabWindows/CVI </v>
      </c>
      <c r="G80" s="114">
        <f>Originals!C378</f>
        <v>0</v>
      </c>
      <c r="H80" s="114" t="str">
        <f>Originals!D378</f>
        <v>32</v>
      </c>
      <c r="I80" s="114" t="str">
        <f>Originals!E378</f>
        <v>2013 SP2</v>
      </c>
      <c r="J80" s="114" t="str">
        <f>Originals!F378</f>
        <v>Runtime</v>
      </c>
      <c r="K80" s="114" t="str">
        <f>Originals!G378</f>
        <v>NI</v>
      </c>
      <c r="L80" s="114" t="str">
        <f>Originals!H378</f>
        <v xml:space="preserve">LabWindows/CVI  </v>
      </c>
      <c r="M80" s="114">
        <f>Originals!I378</f>
        <v>0</v>
      </c>
      <c r="N80" s="115" t="s">
        <v>466</v>
      </c>
    </row>
    <row r="81" spans="1:14" x14ac:dyDescent="0.25">
      <c r="A81" s="104" t="s">
        <v>510</v>
      </c>
      <c r="B81" s="104" t="s">
        <v>510</v>
      </c>
      <c r="C81" s="103" t="s">
        <v>507</v>
      </c>
      <c r="D81" s="103" t="s">
        <v>507</v>
      </c>
      <c r="E81" s="104" t="s">
        <v>510</v>
      </c>
      <c r="F81" s="105" t="str">
        <f>Originals!B216</f>
        <v>LAVA Palette</v>
      </c>
      <c r="G81" s="105" t="str">
        <f>Originals!C216</f>
        <v>1.0.0.1</v>
      </c>
      <c r="H81" s="105" t="str">
        <f>Originals!D216</f>
        <v>32</v>
      </c>
      <c r="I81" s="105" t="str">
        <f>Originals!E216</f>
        <v>N/A</v>
      </c>
      <c r="J81" s="105" t="str">
        <f>Originals!F216</f>
        <v>Development</v>
      </c>
      <c r="K81" s="105" t="str">
        <f>Originals!G216</f>
        <v>LAVA</v>
      </c>
      <c r="L81" s="105" t="str">
        <f>Originals!H216</f>
        <v>LAVA Palette 1.0.0.1</v>
      </c>
      <c r="M81" s="105" t="str">
        <f>Originals!I216</f>
        <v>VIPM Community</v>
      </c>
      <c r="N81" s="98" t="s">
        <v>136</v>
      </c>
    </row>
    <row r="82" spans="1:14" x14ac:dyDescent="0.25">
      <c r="A82" s="103" t="s">
        <v>507</v>
      </c>
      <c r="B82" s="104" t="s">
        <v>510</v>
      </c>
      <c r="C82" s="104" t="s">
        <v>510</v>
      </c>
      <c r="D82" s="103" t="s">
        <v>507</v>
      </c>
      <c r="E82" s="104" t="s">
        <v>510</v>
      </c>
      <c r="F82" s="105" t="str">
        <f>Originals!B21</f>
        <v>MathScript RT Module</v>
      </c>
      <c r="G82" s="105" t="str">
        <f>Originals!C21</f>
        <v>15.0.0</v>
      </c>
      <c r="H82" s="105" t="str">
        <f>Originals!D21</f>
        <v>32</v>
      </c>
      <c r="I82" s="105" t="str">
        <f>Originals!E21</f>
        <v>2015</v>
      </c>
      <c r="J82" s="105" t="str">
        <f>Originals!F21</f>
        <v>Development</v>
      </c>
      <c r="K82" s="105" t="str">
        <f>Originals!G21</f>
        <v>NI</v>
      </c>
      <c r="L82" s="105" t="str">
        <f>Originals!H21</f>
        <v>MathScript RT Module 15.0.0</v>
      </c>
      <c r="M82" s="105" t="str">
        <f>Originals!I21</f>
        <v>NI Developer Suite 2015 DS2 Install</v>
      </c>
      <c r="N82" s="98" t="s">
        <v>136</v>
      </c>
    </row>
    <row r="83" spans="1:14" x14ac:dyDescent="0.25">
      <c r="A83" s="103" t="s">
        <v>507</v>
      </c>
      <c r="B83" s="103" t="s">
        <v>507</v>
      </c>
      <c r="C83" s="104" t="s">
        <v>510</v>
      </c>
      <c r="D83" s="104" t="s">
        <v>510</v>
      </c>
      <c r="E83" s="104" t="s">
        <v>510</v>
      </c>
      <c r="F83" s="105" t="str">
        <f>Originals!B22</f>
        <v>Measurement &amp; Automation Explorer</v>
      </c>
      <c r="G83" s="105" t="str">
        <f>Originals!C22</f>
        <v>15.3.0f0</v>
      </c>
      <c r="H83" s="105" t="str">
        <f>Originals!D22</f>
        <v>32</v>
      </c>
      <c r="I83" s="105" t="str">
        <f>Originals!E22</f>
        <v>2015</v>
      </c>
      <c r="J83" s="105" t="str">
        <f>Originals!F22</f>
        <v>Development</v>
      </c>
      <c r="K83" s="105" t="str">
        <f>Originals!G22</f>
        <v>NI</v>
      </c>
      <c r="L83" s="105" t="str">
        <f>Originals!H22</f>
        <v>Measurement &amp; Automation Explorer 15.3.0f0</v>
      </c>
      <c r="M83" s="105" t="str">
        <f>Originals!I22</f>
        <v>LabVIEW 2015 SP1</v>
      </c>
      <c r="N83" s="98" t="s">
        <v>136</v>
      </c>
    </row>
    <row r="84" spans="1:14" x14ac:dyDescent="0.25">
      <c r="A84" s="104" t="s">
        <v>510</v>
      </c>
      <c r="B84" s="104" t="s">
        <v>510</v>
      </c>
      <c r="C84" s="103" t="s">
        <v>507</v>
      </c>
      <c r="D84" s="104" t="s">
        <v>510</v>
      </c>
      <c r="E84" s="104" t="s">
        <v>510</v>
      </c>
      <c r="F84" s="106" t="str">
        <f>Originals!B217</f>
        <v>Measurement &amp; Automation Explorer</v>
      </c>
      <c r="G84" s="106" t="str">
        <f>Originals!C217</f>
        <v>19.5.0f0</v>
      </c>
      <c r="H84" s="106" t="str">
        <f>Originals!D217</f>
        <v>32</v>
      </c>
      <c r="I84" s="106" t="str">
        <f>Originals!E217</f>
        <v>2019</v>
      </c>
      <c r="J84" s="106" t="str">
        <f>Originals!F217</f>
        <v>Development</v>
      </c>
      <c r="K84" s="106" t="str">
        <f>Originals!G217</f>
        <v>NI</v>
      </c>
      <c r="L84" s="106" t="str">
        <f>Originals!H217</f>
        <v>Measurement &amp; Automation Explorer 19.5.0f0</v>
      </c>
      <c r="M84" s="106">
        <f>Originals!I217</f>
        <v>0</v>
      </c>
      <c r="N84" s="107" t="s">
        <v>2</v>
      </c>
    </row>
    <row r="85" spans="1:14" x14ac:dyDescent="0.25">
      <c r="A85" s="104" t="s">
        <v>510</v>
      </c>
      <c r="B85" s="104" t="s">
        <v>510</v>
      </c>
      <c r="C85" s="104" t="s">
        <v>510</v>
      </c>
      <c r="D85" s="103" t="s">
        <v>507</v>
      </c>
      <c r="E85" s="103" t="s">
        <v>507</v>
      </c>
      <c r="F85" s="105" t="str">
        <f>Scott!B32</f>
        <v>GPower VI Register</v>
      </c>
      <c r="G85" s="105" t="str">
        <f>Scott!C32</f>
        <v>2016.0.0.31</v>
      </c>
      <c r="H85" s="105" t="str">
        <f>Scott!D32</f>
        <v>32</v>
      </c>
      <c r="I85" s="105" t="str">
        <f>Scott!E32</f>
        <v>N/A</v>
      </c>
      <c r="J85" s="105" t="str">
        <f>Scott!F32</f>
        <v>Development</v>
      </c>
      <c r="K85" s="105" t="str">
        <f>Scott!G32</f>
        <v>GPower</v>
      </c>
      <c r="L85" s="105" t="str">
        <f>Scott!H32</f>
        <v>GPower VI Register 2016.0.0.31</v>
      </c>
      <c r="M85" s="105" t="str">
        <f>Scott!I32</f>
        <v>VIPM Community</v>
      </c>
      <c r="N85" s="98" t="s">
        <v>136</v>
      </c>
    </row>
    <row r="86" spans="1:14" x14ac:dyDescent="0.25">
      <c r="A86" s="103" t="s">
        <v>507</v>
      </c>
      <c r="B86" s="103" t="s">
        <v>507</v>
      </c>
      <c r="C86" s="103" t="s">
        <v>507</v>
      </c>
      <c r="D86" s="103" t="s">
        <v>507</v>
      </c>
      <c r="E86" s="104" t="s">
        <v>510</v>
      </c>
      <c r="F86" s="105" t="str">
        <f>Originals!B23</f>
        <v>Measurement Studio</v>
      </c>
      <c r="G86" s="105">
        <f>Originals!C23</f>
        <v>0</v>
      </c>
      <c r="H86" s="105" t="str">
        <f>Originals!D23</f>
        <v>32</v>
      </c>
      <c r="I86" s="105" t="str">
        <f>Originals!E23</f>
        <v>2010</v>
      </c>
      <c r="J86" s="105" t="str">
        <f>Originals!F23</f>
        <v>Development</v>
      </c>
      <c r="K86" s="105" t="str">
        <f>Originals!G23</f>
        <v>NI</v>
      </c>
      <c r="L86" s="105" t="str">
        <f>Originals!H23</f>
        <v xml:space="preserve">Measurement Studio </v>
      </c>
      <c r="M86" s="105" t="str">
        <f>Originals!I23</f>
        <v>NI Developer Suite 2015 DS2 Install</v>
      </c>
      <c r="N86" s="98" t="s">
        <v>136</v>
      </c>
    </row>
    <row r="87" spans="1:14" x14ac:dyDescent="0.25">
      <c r="A87" s="104" t="s">
        <v>510</v>
      </c>
      <c r="B87" s="104" t="s">
        <v>510</v>
      </c>
      <c r="C87" s="103" t="s">
        <v>507</v>
      </c>
      <c r="D87" s="104" t="s">
        <v>510</v>
      </c>
      <c r="E87" s="104" t="s">
        <v>510</v>
      </c>
      <c r="F87" s="106" t="str">
        <f>Originals!B218</f>
        <v>Measurement Studio</v>
      </c>
      <c r="G87" s="106">
        <f>Originals!C218</f>
        <v>0</v>
      </c>
      <c r="H87" s="106" t="str">
        <f>Originals!D218</f>
        <v>32</v>
      </c>
      <c r="I87" s="106" t="str">
        <f>Originals!E218</f>
        <v>2005</v>
      </c>
      <c r="J87" s="106" t="str">
        <f>Originals!F218</f>
        <v>Development</v>
      </c>
      <c r="K87" s="106" t="str">
        <f>Originals!G218</f>
        <v>NI</v>
      </c>
      <c r="L87" s="106" t="str">
        <f>Originals!H218</f>
        <v xml:space="preserve">Measurement Studio </v>
      </c>
      <c r="M87" s="106">
        <f>Originals!I218</f>
        <v>0</v>
      </c>
      <c r="N87" s="107" t="s">
        <v>2</v>
      </c>
    </row>
    <row r="88" spans="1:14" x14ac:dyDescent="0.25">
      <c r="A88" s="104" t="s">
        <v>510</v>
      </c>
      <c r="B88" s="104" t="s">
        <v>510</v>
      </c>
      <c r="C88" s="103" t="s">
        <v>507</v>
      </c>
      <c r="D88" s="104" t="s">
        <v>510</v>
      </c>
      <c r="E88" s="104" t="s">
        <v>510</v>
      </c>
      <c r="F88" s="106" t="str">
        <f>Originals!B219</f>
        <v>Measurement Studio</v>
      </c>
      <c r="G88" s="106">
        <f>Originals!C219</f>
        <v>0</v>
      </c>
      <c r="H88" s="106" t="str">
        <f>Originals!D219</f>
        <v>32</v>
      </c>
      <c r="I88" s="106" t="str">
        <f>Originals!E219</f>
        <v>2018</v>
      </c>
      <c r="J88" s="106" t="str">
        <f>Originals!F219</f>
        <v>Development</v>
      </c>
      <c r="K88" s="106" t="str">
        <f>Originals!G219</f>
        <v>NI</v>
      </c>
      <c r="L88" s="106" t="str">
        <f>Originals!H219</f>
        <v xml:space="preserve">Measurement Studio </v>
      </c>
      <c r="M88" s="106">
        <f>Originals!I219</f>
        <v>0</v>
      </c>
      <c r="N88" s="107" t="s">
        <v>2</v>
      </c>
    </row>
    <row r="89" spans="1:14" x14ac:dyDescent="0.25">
      <c r="A89" s="103" t="s">
        <v>507</v>
      </c>
      <c r="B89" s="104" t="s">
        <v>510</v>
      </c>
      <c r="C89" s="103" t="s">
        <v>507</v>
      </c>
      <c r="D89" s="103" t="s">
        <v>507</v>
      </c>
      <c r="E89" s="104" t="s">
        <v>510</v>
      </c>
      <c r="F89" s="105" t="str">
        <f>Originals!B24</f>
        <v>Measurement Studio Common</v>
      </c>
      <c r="G89" s="105" t="str">
        <f>Originals!C24</f>
        <v>15.0.40.49154</v>
      </c>
      <c r="H89" s="105" t="str">
        <f>Originals!D24</f>
        <v>32</v>
      </c>
      <c r="I89" s="105" t="str">
        <f>Originals!E24</f>
        <v>2015</v>
      </c>
      <c r="J89" s="105" t="str">
        <f>Originals!F24</f>
        <v>Development</v>
      </c>
      <c r="K89" s="105" t="str">
        <f>Originals!G24</f>
        <v>NI</v>
      </c>
      <c r="L89" s="105" t="str">
        <f>Originals!H24</f>
        <v>Measurement Studio Common 15.0.40.49154</v>
      </c>
      <c r="M89" s="105" t="str">
        <f>Originals!I24</f>
        <v>NI Developer Suite 2015 DS2 Install</v>
      </c>
      <c r="N89" s="98" t="s">
        <v>136</v>
      </c>
    </row>
    <row r="90" spans="1:14" x14ac:dyDescent="0.25">
      <c r="A90" s="103" t="s">
        <v>507</v>
      </c>
      <c r="B90" s="104" t="s">
        <v>510</v>
      </c>
      <c r="C90" s="103" t="s">
        <v>507</v>
      </c>
      <c r="D90" s="103" t="s">
        <v>507</v>
      </c>
      <c r="E90" s="104" t="s">
        <v>510</v>
      </c>
      <c r="F90" s="105" t="str">
        <f>Originals!B25</f>
        <v>Measurement Studio Common</v>
      </c>
      <c r="G90" s="105" t="str">
        <f>Originals!C25</f>
        <v>15.0.40.49154</v>
      </c>
      <c r="H90" s="105" t="str">
        <f>Originals!D25</f>
        <v>64</v>
      </c>
      <c r="I90" s="105" t="str">
        <f>Originals!E25</f>
        <v>2015</v>
      </c>
      <c r="J90" s="105" t="str">
        <f>Originals!F25</f>
        <v>Development</v>
      </c>
      <c r="K90" s="105" t="str">
        <f>Originals!G25</f>
        <v>NI</v>
      </c>
      <c r="L90" s="105" t="str">
        <f>Originals!H25</f>
        <v>Measurement Studio Common 15.0.40.49154</v>
      </c>
      <c r="M90" s="105" t="str">
        <f>Originals!I25</f>
        <v>NI Developer Suite 2015 DS2 Install</v>
      </c>
      <c r="N90" s="98" t="s">
        <v>136</v>
      </c>
    </row>
    <row r="91" spans="1:14" x14ac:dyDescent="0.25">
      <c r="A91" s="104" t="s">
        <v>510</v>
      </c>
      <c r="B91" s="103" t="s">
        <v>507</v>
      </c>
      <c r="C91" s="104" t="s">
        <v>510</v>
      </c>
      <c r="D91" s="104" t="s">
        <v>510</v>
      </c>
      <c r="E91" s="104" t="s">
        <v>510</v>
      </c>
      <c r="F91" s="112" t="str">
        <f>Originals!B102</f>
        <v>Measurement Studio Common</v>
      </c>
      <c r="G91" s="112" t="str">
        <f>Originals!C102</f>
        <v>15.1.40.49152</v>
      </c>
      <c r="H91" s="112" t="str">
        <f>Originals!D102</f>
        <v>32</v>
      </c>
      <c r="I91" s="112" t="str">
        <f>Originals!E102</f>
        <v>2015</v>
      </c>
      <c r="J91" s="112" t="str">
        <f>Originals!F102</f>
        <v>Development</v>
      </c>
      <c r="K91" s="112" t="str">
        <f>Originals!G102</f>
        <v>NI</v>
      </c>
      <c r="L91" s="112" t="str">
        <f>Originals!H102</f>
        <v>Measurement Studio Common 15.1.40.49152</v>
      </c>
      <c r="M91" s="112">
        <f>Originals!I102</f>
        <v>0</v>
      </c>
      <c r="N91" s="113" t="s">
        <v>1</v>
      </c>
    </row>
    <row r="92" spans="1:14" x14ac:dyDescent="0.25">
      <c r="A92" s="104" t="s">
        <v>510</v>
      </c>
      <c r="B92" s="103" t="s">
        <v>507</v>
      </c>
      <c r="C92" s="104" t="s">
        <v>510</v>
      </c>
      <c r="D92" s="104" t="s">
        <v>510</v>
      </c>
      <c r="E92" s="104" t="s">
        <v>510</v>
      </c>
      <c r="F92" s="112" t="str">
        <f>Originals!B103</f>
        <v>Measurement Studio Common</v>
      </c>
      <c r="G92" s="112" t="str">
        <f>Originals!C103</f>
        <v>15.1.40.49152</v>
      </c>
      <c r="H92" s="112" t="str">
        <f>Originals!D103</f>
        <v>64</v>
      </c>
      <c r="I92" s="112" t="str">
        <f>Originals!E103</f>
        <v>2015</v>
      </c>
      <c r="J92" s="112" t="str">
        <f>Originals!F103</f>
        <v>Development</v>
      </c>
      <c r="K92" s="112" t="str">
        <f>Originals!G103</f>
        <v>NI</v>
      </c>
      <c r="L92" s="112" t="str">
        <f>Originals!H103</f>
        <v>Measurement Studio Common 15.1.40.49152</v>
      </c>
      <c r="M92" s="112">
        <f>Originals!I103</f>
        <v>0</v>
      </c>
      <c r="N92" s="113" t="s">
        <v>1</v>
      </c>
    </row>
    <row r="93" spans="1:14" x14ac:dyDescent="0.25">
      <c r="A93" s="104" t="s">
        <v>510</v>
      </c>
      <c r="B93" s="104" t="s">
        <v>510</v>
      </c>
      <c r="C93" s="103" t="s">
        <v>507</v>
      </c>
      <c r="D93" s="104" t="s">
        <v>510</v>
      </c>
      <c r="E93" s="104" t="s">
        <v>510</v>
      </c>
      <c r="F93" s="106" t="str">
        <f>Originals!B221</f>
        <v>Measurement Studio Common</v>
      </c>
      <c r="G93" s="106" t="str">
        <f>Originals!C221</f>
        <v>12.0.20.258</v>
      </c>
      <c r="H93" s="106" t="str">
        <f>Originals!D221</f>
        <v>32</v>
      </c>
      <c r="I93" s="106" t="str">
        <f>Originals!E221</f>
        <v>2005</v>
      </c>
      <c r="J93" s="106" t="str">
        <f>Originals!F221</f>
        <v>Development</v>
      </c>
      <c r="K93" s="106" t="str">
        <f>Originals!G221</f>
        <v>NI</v>
      </c>
      <c r="L93" s="106" t="str">
        <f>Originals!H221</f>
        <v>Measurement Studio Common 12.0.20.258</v>
      </c>
      <c r="M93" s="106">
        <f>Originals!I221</f>
        <v>0</v>
      </c>
      <c r="N93" s="107" t="s">
        <v>2</v>
      </c>
    </row>
    <row r="94" spans="1:14" x14ac:dyDescent="0.25">
      <c r="A94" s="104" t="s">
        <v>510</v>
      </c>
      <c r="B94" s="104" t="s">
        <v>510</v>
      </c>
      <c r="C94" s="103" t="s">
        <v>507</v>
      </c>
      <c r="D94" s="104" t="s">
        <v>510</v>
      </c>
      <c r="E94" s="104" t="s">
        <v>510</v>
      </c>
      <c r="F94" s="106" t="str">
        <f>Originals!B222</f>
        <v>Measurement Studio Common</v>
      </c>
      <c r="G94" s="106" t="str">
        <f>Originals!C222</f>
        <v>13.5.35.173</v>
      </c>
      <c r="H94" s="106" t="str">
        <f>Originals!D222</f>
        <v>32</v>
      </c>
      <c r="I94" s="106" t="str">
        <f>Originals!E222</f>
        <v>2018</v>
      </c>
      <c r="J94" s="106" t="str">
        <f>Originals!F222</f>
        <v>Development</v>
      </c>
      <c r="K94" s="106" t="str">
        <f>Originals!G222</f>
        <v>NI</v>
      </c>
      <c r="L94" s="106" t="str">
        <f>Originals!H222</f>
        <v>Measurement Studio Common 13.5.35.173</v>
      </c>
      <c r="M94" s="106">
        <f>Originals!I222</f>
        <v>0</v>
      </c>
      <c r="N94" s="107" t="s">
        <v>2</v>
      </c>
    </row>
    <row r="95" spans="1:14" x14ac:dyDescent="0.25">
      <c r="A95" s="104" t="s">
        <v>510</v>
      </c>
      <c r="B95" s="104" t="s">
        <v>510</v>
      </c>
      <c r="C95" s="103" t="s">
        <v>507</v>
      </c>
      <c r="D95" s="104" t="s">
        <v>510</v>
      </c>
      <c r="E95" s="104" t="s">
        <v>510</v>
      </c>
      <c r="F95" s="106" t="str">
        <f>Originals!B223</f>
        <v>Measurement Studio Common</v>
      </c>
      <c r="G95" s="106" t="str">
        <f>Originals!C223</f>
        <v>13.5.35.173</v>
      </c>
      <c r="H95" s="106" t="str">
        <f>Originals!D223</f>
        <v>64</v>
      </c>
      <c r="I95" s="106" t="str">
        <f>Originals!E223</f>
        <v>2018</v>
      </c>
      <c r="J95" s="106" t="str">
        <f>Originals!F223</f>
        <v>Development</v>
      </c>
      <c r="K95" s="106" t="str">
        <f>Originals!G223</f>
        <v>NI</v>
      </c>
      <c r="L95" s="106" t="str">
        <f>Originals!H223</f>
        <v>Measurement Studio Common 13.5.35.173</v>
      </c>
      <c r="M95" s="106">
        <f>Originals!I223</f>
        <v>0</v>
      </c>
      <c r="N95" s="107" t="s">
        <v>2</v>
      </c>
    </row>
    <row r="96" spans="1:14" x14ac:dyDescent="0.25">
      <c r="A96" s="103" t="s">
        <v>507</v>
      </c>
      <c r="B96" s="103" t="s">
        <v>507</v>
      </c>
      <c r="C96" s="103" t="s">
        <v>507</v>
      </c>
      <c r="D96" s="103" t="s">
        <v>507</v>
      </c>
      <c r="E96" s="104" t="s">
        <v>510</v>
      </c>
      <c r="F96" s="105" t="str">
        <f>Originals!B26</f>
        <v>Measurement Studio DotNET</v>
      </c>
      <c r="G96" s="105">
        <f>Originals!C26</f>
        <v>0</v>
      </c>
      <c r="H96" s="105" t="str">
        <f>Originals!D26</f>
        <v>32</v>
      </c>
      <c r="I96" s="105" t="str">
        <f>Originals!E26</f>
        <v>2010</v>
      </c>
      <c r="J96" s="105" t="str">
        <f>Originals!F26</f>
        <v>Development</v>
      </c>
      <c r="K96" s="105" t="str">
        <f>Originals!G26</f>
        <v>NI</v>
      </c>
      <c r="L96" s="105" t="str">
        <f>Originals!H26</f>
        <v xml:space="preserve">Measurement Studio DotNET </v>
      </c>
      <c r="M96" s="105" t="str">
        <f>Originals!I26</f>
        <v>NI Developer Suite 2015 DS2 Install</v>
      </c>
      <c r="N96" s="98" t="s">
        <v>136</v>
      </c>
    </row>
    <row r="97" spans="1:14" x14ac:dyDescent="0.25">
      <c r="A97" s="104" t="s">
        <v>510</v>
      </c>
      <c r="B97" s="104" t="s">
        <v>510</v>
      </c>
      <c r="C97" s="103" t="s">
        <v>507</v>
      </c>
      <c r="D97" s="104" t="s">
        <v>510</v>
      </c>
      <c r="E97" s="104" t="s">
        <v>510</v>
      </c>
      <c r="F97" s="106" t="str">
        <f>Originals!B226</f>
        <v>Measurement Studio DotNET</v>
      </c>
      <c r="G97" s="106">
        <f>Originals!C226</f>
        <v>0</v>
      </c>
      <c r="H97" s="106" t="str">
        <f>Originals!D226</f>
        <v>32</v>
      </c>
      <c r="I97" s="106" t="str">
        <f>Originals!E226</f>
        <v>2005</v>
      </c>
      <c r="J97" s="106" t="str">
        <f>Originals!F226</f>
        <v>Development</v>
      </c>
      <c r="K97" s="106" t="str">
        <f>Originals!G226</f>
        <v>NI</v>
      </c>
      <c r="L97" s="106" t="str">
        <f>Originals!H226</f>
        <v xml:space="preserve">Measurement Studio DotNET </v>
      </c>
      <c r="M97" s="106">
        <f>Originals!I226</f>
        <v>0</v>
      </c>
      <c r="N97" s="107" t="s">
        <v>2</v>
      </c>
    </row>
    <row r="98" spans="1:14" x14ac:dyDescent="0.25">
      <c r="A98" s="104" t="s">
        <v>510</v>
      </c>
      <c r="B98" s="104" t="s">
        <v>510</v>
      </c>
      <c r="C98" s="103" t="s">
        <v>507</v>
      </c>
      <c r="D98" s="104" t="s">
        <v>510</v>
      </c>
      <c r="E98" s="104" t="s">
        <v>510</v>
      </c>
      <c r="F98" s="106" t="str">
        <f>Originals!B227</f>
        <v>Measurement Studio DotNET</v>
      </c>
      <c r="G98" s="106">
        <f>Originals!C227</f>
        <v>0</v>
      </c>
      <c r="H98" s="106" t="str">
        <f>Originals!D227</f>
        <v>32</v>
      </c>
      <c r="I98" s="106" t="str">
        <f>Originals!E227</f>
        <v>2018</v>
      </c>
      <c r="J98" s="106" t="str">
        <f>Originals!F227</f>
        <v>Development</v>
      </c>
      <c r="K98" s="106" t="str">
        <f>Originals!G227</f>
        <v>NI</v>
      </c>
      <c r="L98" s="106" t="str">
        <f>Originals!H227</f>
        <v xml:space="preserve">Measurement Studio DotNET </v>
      </c>
      <c r="M98" s="106">
        <f>Originals!I227</f>
        <v>0</v>
      </c>
      <c r="N98" s="107" t="s">
        <v>2</v>
      </c>
    </row>
    <row r="99" spans="1:14" x14ac:dyDescent="0.25">
      <c r="A99" s="104" t="s">
        <v>510</v>
      </c>
      <c r="B99" s="104" t="s">
        <v>510</v>
      </c>
      <c r="C99" s="103" t="s">
        <v>507</v>
      </c>
      <c r="D99" s="104" t="s">
        <v>510</v>
      </c>
      <c r="E99" s="104" t="s">
        <v>510</v>
      </c>
      <c r="F99" s="106" t="str">
        <f>Originals!B229</f>
        <v>Measurement Studio Vision</v>
      </c>
      <c r="G99" s="106">
        <f>Originals!C229</f>
        <v>0</v>
      </c>
      <c r="H99" s="106" t="str">
        <f>Originals!D229</f>
        <v>32</v>
      </c>
      <c r="I99" s="106" t="str">
        <f>Originals!E229</f>
        <v>2005</v>
      </c>
      <c r="J99" s="106" t="str">
        <f>Originals!F229</f>
        <v>Development</v>
      </c>
      <c r="K99" s="106" t="str">
        <f>Originals!G229</f>
        <v>NI</v>
      </c>
      <c r="L99" s="106" t="str">
        <f>Originals!H229</f>
        <v xml:space="preserve">Measurement Studio Vision </v>
      </c>
      <c r="M99" s="106">
        <f>Originals!I229</f>
        <v>0</v>
      </c>
      <c r="N99" s="107" t="s">
        <v>2</v>
      </c>
    </row>
    <row r="100" spans="1:14" x14ac:dyDescent="0.25">
      <c r="A100" s="104" t="s">
        <v>510</v>
      </c>
      <c r="B100" s="104" t="s">
        <v>510</v>
      </c>
      <c r="C100" s="103" t="s">
        <v>507</v>
      </c>
      <c r="D100" s="104" t="s">
        <v>510</v>
      </c>
      <c r="E100" s="104" t="s">
        <v>510</v>
      </c>
      <c r="F100" s="106" t="str">
        <f>Originals!B230</f>
        <v>Measurement Studio Vision</v>
      </c>
      <c r="G100" s="106">
        <f>Originals!C230</f>
        <v>0</v>
      </c>
      <c r="H100" s="106" t="str">
        <f>Originals!D230</f>
        <v>32</v>
      </c>
      <c r="I100" s="106" t="str">
        <f>Originals!E230</f>
        <v>2018</v>
      </c>
      <c r="J100" s="106" t="str">
        <f>Originals!F230</f>
        <v>Development</v>
      </c>
      <c r="K100" s="106" t="str">
        <f>Originals!G230</f>
        <v>NI</v>
      </c>
      <c r="L100" s="106" t="str">
        <f>Originals!H230</f>
        <v xml:space="preserve">Measurement Studio Vision </v>
      </c>
      <c r="M100" s="106">
        <f>Originals!I230</f>
        <v>0</v>
      </c>
      <c r="N100" s="107" t="s">
        <v>2</v>
      </c>
    </row>
    <row r="101" spans="1:14" x14ac:dyDescent="0.25">
      <c r="A101" s="104" t="s">
        <v>510</v>
      </c>
      <c r="B101" s="104" t="s">
        <v>510</v>
      </c>
      <c r="C101" s="103" t="s">
        <v>507</v>
      </c>
      <c r="D101" s="103" t="s">
        <v>507</v>
      </c>
      <c r="E101" s="104" t="s">
        <v>510</v>
      </c>
      <c r="F101" s="105" t="str">
        <f>Originals!B231</f>
        <v>MGI 1D Array</v>
      </c>
      <c r="G101" s="105" t="str">
        <f>Originals!C231</f>
        <v>1.0.2.3</v>
      </c>
      <c r="H101" s="105" t="str">
        <f>Originals!D231</f>
        <v>32</v>
      </c>
      <c r="I101" s="105" t="str">
        <f>Originals!E231</f>
        <v>N/A</v>
      </c>
      <c r="J101" s="105" t="str">
        <f>Originals!F231</f>
        <v>Development</v>
      </c>
      <c r="K101" s="105" t="str">
        <f>Originals!G231</f>
        <v>MGI</v>
      </c>
      <c r="L101" s="105" t="str">
        <f>Originals!H231</f>
        <v>MGI 1D Array 1.0.2.3</v>
      </c>
      <c r="M101" s="105" t="str">
        <f>Originals!I231</f>
        <v>VIPM Community</v>
      </c>
      <c r="N101" s="98" t="s">
        <v>136</v>
      </c>
    </row>
    <row r="102" spans="1:14" x14ac:dyDescent="0.25">
      <c r="A102" s="104" t="s">
        <v>510</v>
      </c>
      <c r="B102" s="104" t="s">
        <v>510</v>
      </c>
      <c r="C102" s="103" t="s">
        <v>507</v>
      </c>
      <c r="D102" s="103" t="s">
        <v>507</v>
      </c>
      <c r="E102" s="104" t="s">
        <v>510</v>
      </c>
      <c r="F102" s="105" t="str">
        <f>Originals!B232</f>
        <v>MGI 2D Array</v>
      </c>
      <c r="G102" s="105" t="str">
        <f>Originals!C232</f>
        <v>1.1.1.5</v>
      </c>
      <c r="H102" s="105" t="str">
        <f>Originals!D232</f>
        <v>32</v>
      </c>
      <c r="I102" s="105" t="str">
        <f>Originals!E232</f>
        <v>N/A</v>
      </c>
      <c r="J102" s="105" t="str">
        <f>Originals!F232</f>
        <v>Development</v>
      </c>
      <c r="K102" s="105" t="str">
        <f>Originals!G232</f>
        <v>MGI</v>
      </c>
      <c r="L102" s="105" t="str">
        <f>Originals!H232</f>
        <v>MGI 2D Array 1.1.1.5</v>
      </c>
      <c r="M102" s="105" t="str">
        <f>Originals!I232</f>
        <v>VIPM Community</v>
      </c>
      <c r="N102" s="98" t="s">
        <v>136</v>
      </c>
    </row>
    <row r="103" spans="1:14" x14ac:dyDescent="0.25">
      <c r="A103" s="104" t="s">
        <v>510</v>
      </c>
      <c r="B103" s="104" t="s">
        <v>510</v>
      </c>
      <c r="C103" s="103" t="s">
        <v>507</v>
      </c>
      <c r="D103" s="103" t="s">
        <v>507</v>
      </c>
      <c r="E103" s="104" t="s">
        <v>510</v>
      </c>
      <c r="F103" s="105" t="str">
        <f>Originals!B233</f>
        <v>MGI Actor Framework Message Maker</v>
      </c>
      <c r="G103" s="105" t="str">
        <f>Originals!C233</f>
        <v>1.0.1.6</v>
      </c>
      <c r="H103" s="105" t="str">
        <f>Originals!D233</f>
        <v>32</v>
      </c>
      <c r="I103" s="105" t="str">
        <f>Originals!E233</f>
        <v>N/A</v>
      </c>
      <c r="J103" s="105" t="str">
        <f>Originals!F233</f>
        <v>Development</v>
      </c>
      <c r="K103" s="105" t="str">
        <f>Originals!G233</f>
        <v>MGI</v>
      </c>
      <c r="L103" s="105" t="str">
        <f>Originals!H233</f>
        <v>MGI Actor Framework Message Maker 1.0.1.6</v>
      </c>
      <c r="M103" s="105" t="str">
        <f>Originals!I233</f>
        <v>VIPM Community</v>
      </c>
      <c r="N103" s="98" t="s">
        <v>136</v>
      </c>
    </row>
    <row r="104" spans="1:14" x14ac:dyDescent="0.25">
      <c r="A104" s="104" t="s">
        <v>510</v>
      </c>
      <c r="B104" s="104" t="s">
        <v>510</v>
      </c>
      <c r="C104" s="103" t="s">
        <v>507</v>
      </c>
      <c r="D104" s="103" t="s">
        <v>507</v>
      </c>
      <c r="E104" s="104" t="s">
        <v>510</v>
      </c>
      <c r="F104" s="105" t="str">
        <f>Originals!B234</f>
        <v>MGI Application Control</v>
      </c>
      <c r="G104" s="105" t="str">
        <f>Originals!C234</f>
        <v>1.1.1.10</v>
      </c>
      <c r="H104" s="105" t="str">
        <f>Originals!D234</f>
        <v>32</v>
      </c>
      <c r="I104" s="105" t="str">
        <f>Originals!E234</f>
        <v>N/A</v>
      </c>
      <c r="J104" s="105" t="str">
        <f>Originals!F234</f>
        <v>Development</v>
      </c>
      <c r="K104" s="105" t="str">
        <f>Originals!G234</f>
        <v>MGI</v>
      </c>
      <c r="L104" s="105" t="str">
        <f>Originals!H234</f>
        <v>MGI Application Control 1.1.1.10</v>
      </c>
      <c r="M104" s="105" t="str">
        <f>Originals!I234</f>
        <v>VIPM Community</v>
      </c>
      <c r="N104" s="98" t="s">
        <v>136</v>
      </c>
    </row>
    <row r="105" spans="1:14" x14ac:dyDescent="0.25">
      <c r="A105" s="104" t="s">
        <v>510</v>
      </c>
      <c r="B105" s="104" t="s">
        <v>510</v>
      </c>
      <c r="C105" s="103" t="s">
        <v>507</v>
      </c>
      <c r="D105" s="103" t="s">
        <v>507</v>
      </c>
      <c r="E105" s="104" t="s">
        <v>510</v>
      </c>
      <c r="F105" s="105" t="str">
        <f>Originals!B235</f>
        <v>MGI Bezier</v>
      </c>
      <c r="G105" s="105" t="str">
        <f>Originals!C235</f>
        <v>1.1.1.2</v>
      </c>
      <c r="H105" s="105" t="str">
        <f>Originals!D235</f>
        <v>32</v>
      </c>
      <c r="I105" s="105" t="str">
        <f>Originals!E235</f>
        <v>N/A</v>
      </c>
      <c r="J105" s="105" t="str">
        <f>Originals!F235</f>
        <v>Development</v>
      </c>
      <c r="K105" s="105" t="str">
        <f>Originals!G235</f>
        <v>MGI</v>
      </c>
      <c r="L105" s="105" t="str">
        <f>Originals!H235</f>
        <v>MGI Bezier 1.1.1.2</v>
      </c>
      <c r="M105" s="105" t="str">
        <f>Originals!I235</f>
        <v>VIPM Community</v>
      </c>
      <c r="N105" s="98" t="s">
        <v>136</v>
      </c>
    </row>
    <row r="106" spans="1:14" x14ac:dyDescent="0.25">
      <c r="A106" s="104" t="s">
        <v>510</v>
      </c>
      <c r="B106" s="104" t="s">
        <v>510</v>
      </c>
      <c r="C106" s="103" t="s">
        <v>507</v>
      </c>
      <c r="D106" s="103" t="s">
        <v>507</v>
      </c>
      <c r="E106" s="104" t="s">
        <v>510</v>
      </c>
      <c r="F106" s="105" t="str">
        <f>Originals!B236</f>
        <v>MGI Boolean</v>
      </c>
      <c r="G106" s="105" t="str">
        <f>Originals!C236</f>
        <v>1.0.1.3</v>
      </c>
      <c r="H106" s="105" t="str">
        <f>Originals!D236</f>
        <v>32</v>
      </c>
      <c r="I106" s="105" t="str">
        <f>Originals!E236</f>
        <v>N/A</v>
      </c>
      <c r="J106" s="105" t="str">
        <f>Originals!F236</f>
        <v>Development</v>
      </c>
      <c r="K106" s="105" t="str">
        <f>Originals!G236</f>
        <v>MGI</v>
      </c>
      <c r="L106" s="105" t="str">
        <f>Originals!H236</f>
        <v>MGI Boolean 1.0.1.3</v>
      </c>
      <c r="M106" s="105" t="str">
        <f>Originals!I236</f>
        <v>VIPM Community</v>
      </c>
      <c r="N106" s="98" t="s">
        <v>136</v>
      </c>
    </row>
    <row r="107" spans="1:14" x14ac:dyDescent="0.25">
      <c r="A107" s="104" t="s">
        <v>510</v>
      </c>
      <c r="B107" s="104" t="s">
        <v>510</v>
      </c>
      <c r="C107" s="103" t="s">
        <v>507</v>
      </c>
      <c r="D107" s="103" t="s">
        <v>507</v>
      </c>
      <c r="E107" s="104" t="s">
        <v>510</v>
      </c>
      <c r="F107" s="105" t="str">
        <f>Originals!B237</f>
        <v>MGI Class Method Browser</v>
      </c>
      <c r="G107" s="105" t="str">
        <f>Originals!C237</f>
        <v>1.0.0.20</v>
      </c>
      <c r="H107" s="105" t="str">
        <f>Originals!D237</f>
        <v>32</v>
      </c>
      <c r="I107" s="105" t="str">
        <f>Originals!E237</f>
        <v>N/A</v>
      </c>
      <c r="J107" s="105" t="str">
        <f>Originals!F237</f>
        <v>Development</v>
      </c>
      <c r="K107" s="105" t="str">
        <f>Originals!G237</f>
        <v>MGI</v>
      </c>
      <c r="L107" s="105" t="str">
        <f>Originals!H237</f>
        <v>MGI Class Method Browser 1.0.0.20</v>
      </c>
      <c r="M107" s="105" t="str">
        <f>Originals!I237</f>
        <v>VIPM Community</v>
      </c>
      <c r="N107" s="98" t="s">
        <v>136</v>
      </c>
    </row>
    <row r="108" spans="1:14" x14ac:dyDescent="0.25">
      <c r="A108" s="104" t="s">
        <v>510</v>
      </c>
      <c r="B108" s="104" t="s">
        <v>510</v>
      </c>
      <c r="C108" s="103" t="s">
        <v>507</v>
      </c>
      <c r="D108" s="103" t="s">
        <v>507</v>
      </c>
      <c r="E108" s="104" t="s">
        <v>510</v>
      </c>
      <c r="F108" s="105" t="str">
        <f>Originals!B238</f>
        <v>MGI Cluster</v>
      </c>
      <c r="G108" s="105" t="str">
        <f>Originals!C238</f>
        <v>1.1.0.1</v>
      </c>
      <c r="H108" s="105" t="str">
        <f>Originals!D238</f>
        <v>32</v>
      </c>
      <c r="I108" s="105" t="str">
        <f>Originals!E238</f>
        <v>N/A</v>
      </c>
      <c r="J108" s="105" t="str">
        <f>Originals!F238</f>
        <v>Development</v>
      </c>
      <c r="K108" s="105" t="str">
        <f>Originals!G238</f>
        <v>MGI</v>
      </c>
      <c r="L108" s="105" t="str">
        <f>Originals!H238</f>
        <v>MGI Cluster 1.1.0.1</v>
      </c>
      <c r="M108" s="105" t="str">
        <f>Originals!I238</f>
        <v>VIPM Community</v>
      </c>
      <c r="N108" s="98" t="s">
        <v>136</v>
      </c>
    </row>
    <row r="109" spans="1:14" x14ac:dyDescent="0.25">
      <c r="A109" s="104" t="s">
        <v>510</v>
      </c>
      <c r="B109" s="104" t="s">
        <v>510</v>
      </c>
      <c r="C109" s="103" t="s">
        <v>507</v>
      </c>
      <c r="D109" s="103" t="s">
        <v>507</v>
      </c>
      <c r="E109" s="104" t="s">
        <v>510</v>
      </c>
      <c r="F109" s="105" t="str">
        <f>Originals!B239</f>
        <v>MGI Coordinates</v>
      </c>
      <c r="G109" s="105" t="str">
        <f>Originals!C239</f>
        <v>1.1.1.2</v>
      </c>
      <c r="H109" s="105" t="str">
        <f>Originals!D239</f>
        <v>32</v>
      </c>
      <c r="I109" s="105" t="str">
        <f>Originals!E239</f>
        <v>N/A</v>
      </c>
      <c r="J109" s="105" t="str">
        <f>Originals!F239</f>
        <v>Development</v>
      </c>
      <c r="K109" s="105" t="str">
        <f>Originals!G239</f>
        <v>MGI</v>
      </c>
      <c r="L109" s="105" t="str">
        <f>Originals!H239</f>
        <v>MGI Coordinates 1.1.1.2</v>
      </c>
      <c r="M109" s="105" t="str">
        <f>Originals!I239</f>
        <v>VIPM Community</v>
      </c>
      <c r="N109" s="98" t="s">
        <v>136</v>
      </c>
    </row>
    <row r="110" spans="1:14" x14ac:dyDescent="0.25">
      <c r="A110" s="104" t="s">
        <v>510</v>
      </c>
      <c r="B110" s="104" t="s">
        <v>510</v>
      </c>
      <c r="C110" s="103" t="s">
        <v>507</v>
      </c>
      <c r="D110" s="103" t="s">
        <v>507</v>
      </c>
      <c r="E110" s="104" t="s">
        <v>510</v>
      </c>
      <c r="F110" s="105" t="str">
        <f>Originals!B240</f>
        <v>MGI Error Handling</v>
      </c>
      <c r="G110" s="105" t="str">
        <f>Originals!C240</f>
        <v>1.1.1.3</v>
      </c>
      <c r="H110" s="105" t="str">
        <f>Originals!D240</f>
        <v>32</v>
      </c>
      <c r="I110" s="105" t="str">
        <f>Originals!E240</f>
        <v>N/A</v>
      </c>
      <c r="J110" s="105" t="str">
        <f>Originals!F240</f>
        <v>Development</v>
      </c>
      <c r="K110" s="105" t="str">
        <f>Originals!G240</f>
        <v>MGI</v>
      </c>
      <c r="L110" s="105" t="str">
        <f>Originals!H240</f>
        <v>MGI Error Handling 1.1.1.3</v>
      </c>
      <c r="M110" s="105" t="str">
        <f>Originals!I240</f>
        <v>VIPM Community</v>
      </c>
      <c r="N110" s="98" t="s">
        <v>136</v>
      </c>
    </row>
    <row r="111" spans="1:14" x14ac:dyDescent="0.25">
      <c r="A111" s="104" t="s">
        <v>510</v>
      </c>
      <c r="B111" s="104" t="s">
        <v>510</v>
      </c>
      <c r="C111" s="103" t="s">
        <v>507</v>
      </c>
      <c r="D111" s="103" t="s">
        <v>507</v>
      </c>
      <c r="E111" s="104" t="s">
        <v>510</v>
      </c>
      <c r="F111" s="105" t="str">
        <f>Originals!B241</f>
        <v>MGI Error Reporter</v>
      </c>
      <c r="G111" s="105" t="str">
        <f>Originals!C241</f>
        <v>1.0.2.5</v>
      </c>
      <c r="H111" s="105" t="str">
        <f>Originals!D241</f>
        <v>32</v>
      </c>
      <c r="I111" s="105" t="str">
        <f>Originals!E241</f>
        <v>N/A</v>
      </c>
      <c r="J111" s="105" t="str">
        <f>Originals!F241</f>
        <v>Development</v>
      </c>
      <c r="K111" s="105" t="str">
        <f>Originals!G241</f>
        <v>MGI</v>
      </c>
      <c r="L111" s="105" t="str">
        <f>Originals!H241</f>
        <v>MGI Error Reporter 1.0.2.5</v>
      </c>
      <c r="M111" s="105" t="str">
        <f>Originals!I241</f>
        <v>VIPM Community</v>
      </c>
      <c r="N111" s="98" t="s">
        <v>136</v>
      </c>
    </row>
    <row r="112" spans="1:14" x14ac:dyDescent="0.25">
      <c r="A112" s="104" t="s">
        <v>510</v>
      </c>
      <c r="B112" s="104" t="s">
        <v>510</v>
      </c>
      <c r="C112" s="103" t="s">
        <v>507</v>
      </c>
      <c r="D112" s="103" t="s">
        <v>507</v>
      </c>
      <c r="E112" s="104" t="s">
        <v>510</v>
      </c>
      <c r="F112" s="105" t="str">
        <f>Originals!B242</f>
        <v>MGI File</v>
      </c>
      <c r="G112" s="105" t="str">
        <f>Originals!C242</f>
        <v>1.1.0.4</v>
      </c>
      <c r="H112" s="105" t="str">
        <f>Originals!D242</f>
        <v>32</v>
      </c>
      <c r="I112" s="105" t="str">
        <f>Originals!E242</f>
        <v>N/A</v>
      </c>
      <c r="J112" s="105" t="str">
        <f>Originals!F242</f>
        <v>Development</v>
      </c>
      <c r="K112" s="105" t="str">
        <f>Originals!G242</f>
        <v>MGI</v>
      </c>
      <c r="L112" s="105" t="str">
        <f>Originals!H242</f>
        <v>MGI File 1.1.0.4</v>
      </c>
      <c r="M112" s="105" t="str">
        <f>Originals!I242</f>
        <v>VIPM Community</v>
      </c>
      <c r="N112" s="98" t="s">
        <v>136</v>
      </c>
    </row>
    <row r="113" spans="1:14" x14ac:dyDescent="0.25">
      <c r="A113" s="104" t="s">
        <v>510</v>
      </c>
      <c r="B113" s="104" t="s">
        <v>510</v>
      </c>
      <c r="C113" s="103" t="s">
        <v>507</v>
      </c>
      <c r="D113" s="103" t="s">
        <v>507</v>
      </c>
      <c r="E113" s="104" t="s">
        <v>510</v>
      </c>
      <c r="F113" s="105" t="str">
        <f>Originals!B243</f>
        <v>MGI Graph</v>
      </c>
      <c r="G113" s="105" t="str">
        <f>Originals!C243</f>
        <v>1.0.2.6</v>
      </c>
      <c r="H113" s="105" t="str">
        <f>Originals!D243</f>
        <v>32</v>
      </c>
      <c r="I113" s="105" t="str">
        <f>Originals!E243</f>
        <v>N/A</v>
      </c>
      <c r="J113" s="105" t="str">
        <f>Originals!F243</f>
        <v>Development</v>
      </c>
      <c r="K113" s="105" t="str">
        <f>Originals!G243</f>
        <v>MGI</v>
      </c>
      <c r="L113" s="105" t="str">
        <f>Originals!H243</f>
        <v>MGI Graph 1.0.2.6</v>
      </c>
      <c r="M113" s="105" t="str">
        <f>Originals!I243</f>
        <v>VIPM Community</v>
      </c>
      <c r="N113" s="98" t="s">
        <v>136</v>
      </c>
    </row>
    <row r="114" spans="1:14" x14ac:dyDescent="0.25">
      <c r="A114" s="104" t="s">
        <v>510</v>
      </c>
      <c r="B114" s="104" t="s">
        <v>510</v>
      </c>
      <c r="C114" s="103" t="s">
        <v>507</v>
      </c>
      <c r="D114" s="103" t="s">
        <v>507</v>
      </c>
      <c r="E114" s="104" t="s">
        <v>510</v>
      </c>
      <c r="F114" s="105" t="str">
        <f>Originals!B244</f>
        <v>MGI Library</v>
      </c>
      <c r="G114" s="105" t="str">
        <f>Originals!C244</f>
        <v>1.2.0.4</v>
      </c>
      <c r="H114" s="105" t="str">
        <f>Originals!D244</f>
        <v>32</v>
      </c>
      <c r="I114" s="105" t="str">
        <f>Originals!E244</f>
        <v>N/A</v>
      </c>
      <c r="J114" s="105" t="str">
        <f>Originals!F244</f>
        <v>Development</v>
      </c>
      <c r="K114" s="105" t="str">
        <f>Originals!G244</f>
        <v>MGI</v>
      </c>
      <c r="L114" s="105" t="str">
        <f>Originals!H244</f>
        <v>MGI Library 1.2.0.4</v>
      </c>
      <c r="M114" s="105" t="str">
        <f>Originals!I244</f>
        <v>VIPM Community</v>
      </c>
      <c r="N114" s="98" t="s">
        <v>136</v>
      </c>
    </row>
    <row r="115" spans="1:14" x14ac:dyDescent="0.25">
      <c r="A115" s="104" t="s">
        <v>510</v>
      </c>
      <c r="B115" s="104" t="s">
        <v>510</v>
      </c>
      <c r="C115" s="103" t="s">
        <v>507</v>
      </c>
      <c r="D115" s="103" t="s">
        <v>507</v>
      </c>
      <c r="E115" s="104" t="s">
        <v>510</v>
      </c>
      <c r="F115" s="105" t="str">
        <f>Originals!B245</f>
        <v>MGI Matrix &amp; Vector</v>
      </c>
      <c r="G115" s="105" t="str">
        <f>Originals!C245</f>
        <v>1.1.0.1</v>
      </c>
      <c r="H115" s="105" t="str">
        <f>Originals!D245</f>
        <v>32</v>
      </c>
      <c r="I115" s="105" t="str">
        <f>Originals!E245</f>
        <v>N/A</v>
      </c>
      <c r="J115" s="105" t="str">
        <f>Originals!F245</f>
        <v>Development</v>
      </c>
      <c r="K115" s="105" t="str">
        <f>Originals!G245</f>
        <v>MGI</v>
      </c>
      <c r="L115" s="105" t="str">
        <f>Originals!H245</f>
        <v>MGI Matrix &amp; Vector 1.1.0.1</v>
      </c>
      <c r="M115" s="105" t="str">
        <f>Originals!I245</f>
        <v>VIPM Community</v>
      </c>
      <c r="N115" s="98" t="s">
        <v>136</v>
      </c>
    </row>
    <row r="116" spans="1:14" x14ac:dyDescent="0.25">
      <c r="A116" s="104" t="s">
        <v>510</v>
      </c>
      <c r="B116" s="104" t="s">
        <v>510</v>
      </c>
      <c r="C116" s="103" t="s">
        <v>507</v>
      </c>
      <c r="D116" s="103" t="s">
        <v>507</v>
      </c>
      <c r="E116" s="104" t="s">
        <v>510</v>
      </c>
      <c r="F116" s="105" t="str">
        <f>Originals!B246</f>
        <v>MGI Menu Building</v>
      </c>
      <c r="G116" s="105" t="str">
        <f>Originals!C246</f>
        <v>1.0.1.4</v>
      </c>
      <c r="H116" s="105" t="str">
        <f>Originals!D246</f>
        <v>32</v>
      </c>
      <c r="I116" s="105" t="str">
        <f>Originals!E246</f>
        <v>N/A</v>
      </c>
      <c r="J116" s="105" t="str">
        <f>Originals!F246</f>
        <v>Development</v>
      </c>
      <c r="K116" s="105" t="str">
        <f>Originals!G246</f>
        <v>MGI</v>
      </c>
      <c r="L116" s="105" t="str">
        <f>Originals!H246</f>
        <v>MGI Menu Building 1.0.1.4</v>
      </c>
      <c r="M116" s="105" t="str">
        <f>Originals!I246</f>
        <v>VIPM Community</v>
      </c>
      <c r="N116" s="98" t="s">
        <v>136</v>
      </c>
    </row>
    <row r="117" spans="1:14" x14ac:dyDescent="0.25">
      <c r="A117" s="104" t="s">
        <v>510</v>
      </c>
      <c r="B117" s="104" t="s">
        <v>510</v>
      </c>
      <c r="C117" s="103" t="s">
        <v>507</v>
      </c>
      <c r="D117" s="103" t="s">
        <v>507</v>
      </c>
      <c r="E117" s="104" t="s">
        <v>510</v>
      </c>
      <c r="F117" s="105" t="str">
        <f>Originals!B247</f>
        <v>MGI Monitored Actor</v>
      </c>
      <c r="G117" s="105" t="str">
        <f>Originals!C247</f>
        <v>2.0.0.23</v>
      </c>
      <c r="H117" s="105" t="str">
        <f>Originals!D247</f>
        <v>32</v>
      </c>
      <c r="I117" s="105" t="str">
        <f>Originals!E247</f>
        <v>N/A</v>
      </c>
      <c r="J117" s="105" t="str">
        <f>Originals!F247</f>
        <v>Development</v>
      </c>
      <c r="K117" s="105" t="str">
        <f>Originals!G247</f>
        <v>MGI</v>
      </c>
      <c r="L117" s="105" t="str">
        <f>Originals!H247</f>
        <v>MGI Monitored Actor 2.0.0.23</v>
      </c>
      <c r="M117" s="105" t="str">
        <f>Originals!I247</f>
        <v>VIPM Community</v>
      </c>
      <c r="N117" s="98" t="s">
        <v>136</v>
      </c>
    </row>
    <row r="118" spans="1:14" x14ac:dyDescent="0.25">
      <c r="A118" s="104" t="s">
        <v>510</v>
      </c>
      <c r="B118" s="104" t="s">
        <v>510</v>
      </c>
      <c r="C118" s="103" t="s">
        <v>507</v>
      </c>
      <c r="D118" s="103" t="s">
        <v>507</v>
      </c>
      <c r="E118" s="104" t="s">
        <v>510</v>
      </c>
      <c r="F118" s="105" t="str">
        <f>Originals!B248</f>
        <v>MGI Numeric</v>
      </c>
      <c r="G118" s="105" t="str">
        <f>Originals!C248</f>
        <v>1.1.0.2</v>
      </c>
      <c r="H118" s="105" t="str">
        <f>Originals!D248</f>
        <v>32</v>
      </c>
      <c r="I118" s="105" t="str">
        <f>Originals!E248</f>
        <v>N/A</v>
      </c>
      <c r="J118" s="105" t="str">
        <f>Originals!F248</f>
        <v>Development</v>
      </c>
      <c r="K118" s="105" t="str">
        <f>Originals!G248</f>
        <v>MGI</v>
      </c>
      <c r="L118" s="105" t="str">
        <f>Originals!H248</f>
        <v>MGI Numeric 1.1.0.2</v>
      </c>
      <c r="M118" s="105" t="str">
        <f>Originals!I248</f>
        <v>VIPM Community</v>
      </c>
      <c r="N118" s="98" t="s">
        <v>136</v>
      </c>
    </row>
    <row r="119" spans="1:14" x14ac:dyDescent="0.25">
      <c r="A119" s="104" t="s">
        <v>510</v>
      </c>
      <c r="B119" s="104" t="s">
        <v>510</v>
      </c>
      <c r="C119" s="103" t="s">
        <v>507</v>
      </c>
      <c r="D119" s="103" t="s">
        <v>507</v>
      </c>
      <c r="E119" s="104" t="s">
        <v>510</v>
      </c>
      <c r="F119" s="105" t="str">
        <f>Originals!B249</f>
        <v>MGI Panel Manager</v>
      </c>
      <c r="G119" s="105" t="str">
        <f>Originals!C249</f>
        <v>1.0.1.4</v>
      </c>
      <c r="H119" s="105" t="str">
        <f>Originals!D249</f>
        <v>32</v>
      </c>
      <c r="I119" s="105" t="str">
        <f>Originals!E249</f>
        <v>N/A</v>
      </c>
      <c r="J119" s="105" t="str">
        <f>Originals!F249</f>
        <v>Development</v>
      </c>
      <c r="K119" s="105" t="str">
        <f>Originals!G249</f>
        <v>MGI</v>
      </c>
      <c r="L119" s="105" t="str">
        <f>Originals!H249</f>
        <v>MGI Panel Manager 1.0.1.4</v>
      </c>
      <c r="M119" s="105" t="str">
        <f>Originals!I249</f>
        <v>VIPM Community</v>
      </c>
      <c r="N119" s="98" t="s">
        <v>136</v>
      </c>
    </row>
    <row r="120" spans="1:14" x14ac:dyDescent="0.25">
      <c r="A120" s="104" t="s">
        <v>510</v>
      </c>
      <c r="B120" s="104" t="s">
        <v>510</v>
      </c>
      <c r="C120" s="103" t="s">
        <v>507</v>
      </c>
      <c r="D120" s="103" t="s">
        <v>507</v>
      </c>
      <c r="E120" s="104" t="s">
        <v>510</v>
      </c>
      <c r="F120" s="105" t="str">
        <f>Originals!B250</f>
        <v>MGI Panel Manager - DQMH Panels</v>
      </c>
      <c r="G120" s="105" t="str">
        <f>Originals!C250</f>
        <v>1.0.1.6</v>
      </c>
      <c r="H120" s="105" t="str">
        <f>Originals!D250</f>
        <v>32</v>
      </c>
      <c r="I120" s="105" t="str">
        <f>Originals!E250</f>
        <v>N/A</v>
      </c>
      <c r="J120" s="105" t="str">
        <f>Originals!F250</f>
        <v>Development</v>
      </c>
      <c r="K120" s="105" t="str">
        <f>Originals!G250</f>
        <v>MGI</v>
      </c>
      <c r="L120" s="105" t="str">
        <f>Originals!H250</f>
        <v>MGI Panel Manager - DQMH Panels 1.0.1.6</v>
      </c>
      <c r="M120" s="105" t="str">
        <f>Originals!I250</f>
        <v>VIPM Community</v>
      </c>
      <c r="N120" s="98" t="s">
        <v>136</v>
      </c>
    </row>
    <row r="121" spans="1:14" x14ac:dyDescent="0.25">
      <c r="A121" s="104" t="s">
        <v>510</v>
      </c>
      <c r="B121" s="104" t="s">
        <v>510</v>
      </c>
      <c r="C121" s="103" t="s">
        <v>507</v>
      </c>
      <c r="D121" s="103" t="s">
        <v>507</v>
      </c>
      <c r="E121" s="104" t="s">
        <v>510</v>
      </c>
      <c r="F121" s="105" t="str">
        <f>Originals!B251</f>
        <v>MGI Picture &amp; Image</v>
      </c>
      <c r="G121" s="105" t="str">
        <f>Originals!C251</f>
        <v>1.0.2.1</v>
      </c>
      <c r="H121" s="105" t="str">
        <f>Originals!D251</f>
        <v>32</v>
      </c>
      <c r="I121" s="105" t="str">
        <f>Originals!E251</f>
        <v>N/A</v>
      </c>
      <c r="J121" s="105" t="str">
        <f>Originals!F251</f>
        <v>Development</v>
      </c>
      <c r="K121" s="105" t="str">
        <f>Originals!G251</f>
        <v>MGI</v>
      </c>
      <c r="L121" s="105" t="str">
        <f>Originals!H251</f>
        <v>MGI Picture &amp; Image 1.0.2.1</v>
      </c>
      <c r="M121" s="105" t="str">
        <f>Originals!I251</f>
        <v>VIPM Community</v>
      </c>
      <c r="N121" s="98" t="s">
        <v>136</v>
      </c>
    </row>
    <row r="122" spans="1:14" x14ac:dyDescent="0.25">
      <c r="A122" s="104" t="s">
        <v>510</v>
      </c>
      <c r="B122" s="104" t="s">
        <v>510</v>
      </c>
      <c r="C122" s="103" t="s">
        <v>507</v>
      </c>
      <c r="D122" s="103" t="s">
        <v>507</v>
      </c>
      <c r="E122" s="104" t="s">
        <v>510</v>
      </c>
      <c r="F122" s="105" t="str">
        <f>Originals!B252</f>
        <v>MGI Read/Write Anything</v>
      </c>
      <c r="G122" s="105" t="str">
        <f>Originals!C252</f>
        <v>2.1.4.4</v>
      </c>
      <c r="H122" s="105" t="str">
        <f>Originals!D252</f>
        <v>32</v>
      </c>
      <c r="I122" s="105" t="str">
        <f>Originals!E252</f>
        <v>N/A</v>
      </c>
      <c r="J122" s="105" t="str">
        <f>Originals!F252</f>
        <v>Development</v>
      </c>
      <c r="K122" s="105" t="str">
        <f>Originals!G252</f>
        <v>MGI</v>
      </c>
      <c r="L122" s="105" t="str">
        <f>Originals!H252</f>
        <v>MGI Read/Write Anything 2.1.4.4</v>
      </c>
      <c r="M122" s="105" t="str">
        <f>Originals!I252</f>
        <v>VIPM Community</v>
      </c>
      <c r="N122" s="98" t="s">
        <v>136</v>
      </c>
    </row>
    <row r="123" spans="1:14" x14ac:dyDescent="0.25">
      <c r="A123" s="104" t="s">
        <v>510</v>
      </c>
      <c r="B123" s="104" t="s">
        <v>510</v>
      </c>
      <c r="C123" s="103" t="s">
        <v>507</v>
      </c>
      <c r="D123" s="103" t="s">
        <v>507</v>
      </c>
      <c r="E123" s="104" t="s">
        <v>510</v>
      </c>
      <c r="F123" s="105" t="str">
        <f>Originals!B253</f>
        <v>MGI Robust XML</v>
      </c>
      <c r="G123" s="105" t="str">
        <f>Originals!C253</f>
        <v>1.0.3.4</v>
      </c>
      <c r="H123" s="105" t="str">
        <f>Originals!D253</f>
        <v>32</v>
      </c>
      <c r="I123" s="105" t="str">
        <f>Originals!E253</f>
        <v>N/A</v>
      </c>
      <c r="J123" s="105" t="str">
        <f>Originals!F253</f>
        <v>Development</v>
      </c>
      <c r="K123" s="105" t="str">
        <f>Originals!G253</f>
        <v>MGI</v>
      </c>
      <c r="L123" s="105" t="str">
        <f>Originals!H253</f>
        <v>MGI Robust XML 1.0.3.4</v>
      </c>
      <c r="M123" s="105" t="str">
        <f>Originals!I253</f>
        <v>VIPM Community</v>
      </c>
      <c r="N123" s="98" t="s">
        <v>136</v>
      </c>
    </row>
    <row r="124" spans="1:14" x14ac:dyDescent="0.25">
      <c r="A124" s="104" t="s">
        <v>510</v>
      </c>
      <c r="B124" s="104" t="s">
        <v>510</v>
      </c>
      <c r="C124" s="103" t="s">
        <v>507</v>
      </c>
      <c r="D124" s="103" t="s">
        <v>507</v>
      </c>
      <c r="E124" s="104" t="s">
        <v>510</v>
      </c>
      <c r="F124" s="105" t="str">
        <f>Originals!B254</f>
        <v>MGI Spline</v>
      </c>
      <c r="G124" s="105" t="str">
        <f>Originals!C254</f>
        <v>1.1.0.1</v>
      </c>
      <c r="H124" s="105" t="str">
        <f>Originals!D254</f>
        <v>32</v>
      </c>
      <c r="I124" s="105" t="str">
        <f>Originals!E254</f>
        <v>N/A</v>
      </c>
      <c r="J124" s="105" t="str">
        <f>Originals!F254</f>
        <v>Development</v>
      </c>
      <c r="K124" s="105" t="str">
        <f>Originals!G254</f>
        <v>MGI</v>
      </c>
      <c r="L124" s="105" t="str">
        <f>Originals!H254</f>
        <v>MGI Spline 1.1.0.1</v>
      </c>
      <c r="M124" s="105" t="str">
        <f>Originals!I254</f>
        <v>VIPM Community</v>
      </c>
      <c r="N124" s="98" t="s">
        <v>136</v>
      </c>
    </row>
    <row r="125" spans="1:14" x14ac:dyDescent="0.25">
      <c r="A125" s="104" t="s">
        <v>510</v>
      </c>
      <c r="B125" s="104" t="s">
        <v>510</v>
      </c>
      <c r="C125" s="103" t="s">
        <v>507</v>
      </c>
      <c r="D125" s="103" t="s">
        <v>507</v>
      </c>
      <c r="E125" s="104" t="s">
        <v>510</v>
      </c>
      <c r="F125" s="105" t="str">
        <f>Originals!B255</f>
        <v>MGI String</v>
      </c>
      <c r="G125" s="105" t="str">
        <f>Originals!C255</f>
        <v>1.1.1.5</v>
      </c>
      <c r="H125" s="105" t="str">
        <f>Originals!D255</f>
        <v>32</v>
      </c>
      <c r="I125" s="105" t="str">
        <f>Originals!E255</f>
        <v>N/A</v>
      </c>
      <c r="J125" s="105" t="str">
        <f>Originals!F255</f>
        <v>Development</v>
      </c>
      <c r="K125" s="105" t="str">
        <f>Originals!G255</f>
        <v>MGI</v>
      </c>
      <c r="L125" s="105" t="str">
        <f>Originals!H255</f>
        <v>MGI String 1.1.1.5</v>
      </c>
      <c r="M125" s="105" t="str">
        <f>Originals!I255</f>
        <v>VIPM Community</v>
      </c>
      <c r="N125" s="98" t="s">
        <v>136</v>
      </c>
    </row>
    <row r="126" spans="1:14" x14ac:dyDescent="0.25">
      <c r="A126" s="104" t="s">
        <v>510</v>
      </c>
      <c r="B126" s="104" t="s">
        <v>510</v>
      </c>
      <c r="C126" s="103" t="s">
        <v>507</v>
      </c>
      <c r="D126" s="103" t="s">
        <v>507</v>
      </c>
      <c r="E126" s="104" t="s">
        <v>510</v>
      </c>
      <c r="F126" s="105" t="str">
        <f>Originals!B256</f>
        <v>MGI Timing</v>
      </c>
      <c r="G126" s="105" t="str">
        <f>Originals!C256</f>
        <v>1.1.0.2</v>
      </c>
      <c r="H126" s="105" t="str">
        <f>Originals!D256</f>
        <v>32</v>
      </c>
      <c r="I126" s="105" t="str">
        <f>Originals!E256</f>
        <v>N/A</v>
      </c>
      <c r="J126" s="105" t="str">
        <f>Originals!F256</f>
        <v>Development</v>
      </c>
      <c r="K126" s="105" t="str">
        <f>Originals!G256</f>
        <v>MGI</v>
      </c>
      <c r="L126" s="105" t="str">
        <f>Originals!H256</f>
        <v>MGI Timing 1.1.0.2</v>
      </c>
      <c r="M126" s="105" t="str">
        <f>Originals!I256</f>
        <v>VIPM Community</v>
      </c>
      <c r="N126" s="98" t="s">
        <v>136</v>
      </c>
    </row>
    <row r="127" spans="1:14" x14ac:dyDescent="0.25">
      <c r="A127" s="104" t="s">
        <v>510</v>
      </c>
      <c r="B127" s="104" t="s">
        <v>510</v>
      </c>
      <c r="C127" s="103" t="s">
        <v>507</v>
      </c>
      <c r="D127" s="103" t="s">
        <v>507</v>
      </c>
      <c r="E127" s="104" t="s">
        <v>510</v>
      </c>
      <c r="F127" s="105" t="str">
        <f>Originals!B257</f>
        <v>MGI Tools</v>
      </c>
      <c r="G127" s="105" t="str">
        <f>Originals!C257</f>
        <v>1.0.0.4</v>
      </c>
      <c r="H127" s="105" t="str">
        <f>Originals!D257</f>
        <v>32</v>
      </c>
      <c r="I127" s="105" t="str">
        <f>Originals!E257</f>
        <v>N/A</v>
      </c>
      <c r="J127" s="105" t="str">
        <f>Originals!F257</f>
        <v>Development</v>
      </c>
      <c r="K127" s="105" t="str">
        <f>Originals!G257</f>
        <v>MGI</v>
      </c>
      <c r="L127" s="105" t="str">
        <f>Originals!H257</f>
        <v>MGI Tools 1.0.0.4</v>
      </c>
      <c r="M127" s="105" t="str">
        <f>Originals!I257</f>
        <v>VIPM Community</v>
      </c>
      <c r="N127" s="98" t="s">
        <v>136</v>
      </c>
    </row>
    <row r="128" spans="1:14" x14ac:dyDescent="0.25">
      <c r="A128" s="104" t="s">
        <v>510</v>
      </c>
      <c r="B128" s="104" t="s">
        <v>510</v>
      </c>
      <c r="C128" s="103" t="s">
        <v>507</v>
      </c>
      <c r="D128" s="103" t="s">
        <v>507</v>
      </c>
      <c r="E128" s="104" t="s">
        <v>510</v>
      </c>
      <c r="F128" s="105" t="str">
        <f>Originals!B258</f>
        <v>MGI Tree</v>
      </c>
      <c r="G128" s="105" t="str">
        <f>Originals!C258</f>
        <v>1.0.4.4</v>
      </c>
      <c r="H128" s="105" t="str">
        <f>Originals!D258</f>
        <v>32</v>
      </c>
      <c r="I128" s="105" t="str">
        <f>Originals!E258</f>
        <v>N/A</v>
      </c>
      <c r="J128" s="105" t="str">
        <f>Originals!F258</f>
        <v>Development</v>
      </c>
      <c r="K128" s="105" t="str">
        <f>Originals!G258</f>
        <v>MGI</v>
      </c>
      <c r="L128" s="105" t="str">
        <f>Originals!H258</f>
        <v>MGI Tree 1.0.4.4</v>
      </c>
      <c r="M128" s="105" t="str">
        <f>Originals!I258</f>
        <v>VIPM Community</v>
      </c>
      <c r="N128" s="98" t="s">
        <v>136</v>
      </c>
    </row>
    <row r="129" spans="1:14" x14ac:dyDescent="0.25">
      <c r="A129" s="104" t="s">
        <v>510</v>
      </c>
      <c r="B129" s="104" t="s">
        <v>510</v>
      </c>
      <c r="C129" s="103" t="s">
        <v>507</v>
      </c>
      <c r="D129" s="103" t="s">
        <v>507</v>
      </c>
      <c r="E129" s="104" t="s">
        <v>510</v>
      </c>
      <c r="F129" s="105" t="str">
        <f>Originals!B259</f>
        <v>MGI User Interface</v>
      </c>
      <c r="G129" s="105" t="str">
        <f>Originals!C259</f>
        <v>1.0.1.11</v>
      </c>
      <c r="H129" s="105" t="str">
        <f>Originals!D259</f>
        <v>32</v>
      </c>
      <c r="I129" s="105" t="str">
        <f>Originals!E259</f>
        <v>N/A</v>
      </c>
      <c r="J129" s="105" t="str">
        <f>Originals!F259</f>
        <v>Development</v>
      </c>
      <c r="K129" s="105" t="str">
        <f>Originals!G259</f>
        <v>MGI</v>
      </c>
      <c r="L129" s="105" t="str">
        <f>Originals!H259</f>
        <v>MGI User Interface 1.0.1.11</v>
      </c>
      <c r="M129" s="105" t="str">
        <f>Originals!I259</f>
        <v>VIPM Community</v>
      </c>
      <c r="N129" s="98" t="s">
        <v>136</v>
      </c>
    </row>
    <row r="130" spans="1:14" x14ac:dyDescent="0.25">
      <c r="A130" s="104" t="s">
        <v>510</v>
      </c>
      <c r="B130" s="104" t="s">
        <v>510</v>
      </c>
      <c r="C130" s="103" t="s">
        <v>507</v>
      </c>
      <c r="D130" s="103" t="s">
        <v>507</v>
      </c>
      <c r="E130" s="104" t="s">
        <v>510</v>
      </c>
      <c r="F130" s="105" t="str">
        <f>Originals!B260</f>
        <v>MGI WSA Framework</v>
      </c>
      <c r="G130" s="105" t="str">
        <f>Originals!C260</f>
        <v>1.0.0.27</v>
      </c>
      <c r="H130" s="105" t="str">
        <f>Originals!D260</f>
        <v>32</v>
      </c>
      <c r="I130" s="105" t="str">
        <f>Originals!E260</f>
        <v>N/A</v>
      </c>
      <c r="J130" s="105" t="str">
        <f>Originals!F260</f>
        <v>Development</v>
      </c>
      <c r="K130" s="105" t="str">
        <f>Originals!G260</f>
        <v>MGI</v>
      </c>
      <c r="L130" s="105" t="str">
        <f>Originals!H260</f>
        <v>MGI WSA Framework 1.0.0.27</v>
      </c>
      <c r="M130" s="105" t="str">
        <f>Originals!I260</f>
        <v>VIPM Community</v>
      </c>
      <c r="N130" s="98" t="s">
        <v>136</v>
      </c>
    </row>
    <row r="131" spans="1:14" x14ac:dyDescent="0.25">
      <c r="A131" s="104" t="s">
        <v>510</v>
      </c>
      <c r="B131" s="104" t="s">
        <v>510</v>
      </c>
      <c r="C131" s="103" t="s">
        <v>507</v>
      </c>
      <c r="D131" s="104" t="s">
        <v>510</v>
      </c>
      <c r="E131" s="104" t="s">
        <v>510</v>
      </c>
      <c r="F131" s="106" t="str">
        <f>Originals!B261</f>
        <v>Network Configuration Web Support</v>
      </c>
      <c r="G131" s="106" t="str">
        <f>Originals!C261</f>
        <v>15.0.0</v>
      </c>
      <c r="H131" s="106" t="str">
        <f>Originals!D261</f>
        <v>32</v>
      </c>
      <c r="I131" s="106" t="str">
        <f>Originals!E261</f>
        <v>2015</v>
      </c>
      <c r="J131" s="106" t="str">
        <f>Originals!F261</f>
        <v>C-RIO</v>
      </c>
      <c r="K131" s="106" t="str">
        <f>Originals!G261</f>
        <v>NI</v>
      </c>
      <c r="L131" s="106" t="str">
        <f>Originals!H261</f>
        <v>Network Configuration Web Support 15.0.0</v>
      </c>
      <c r="M131" s="106">
        <f>Originals!I261</f>
        <v>0</v>
      </c>
      <c r="N131" s="107" t="s">
        <v>2</v>
      </c>
    </row>
    <row r="132" spans="1:14" x14ac:dyDescent="0.25">
      <c r="A132" s="104" t="s">
        <v>510</v>
      </c>
      <c r="B132" s="104" t="s">
        <v>510</v>
      </c>
      <c r="C132" s="103" t="s">
        <v>507</v>
      </c>
      <c r="D132" s="104" t="s">
        <v>510</v>
      </c>
      <c r="E132" s="104" t="s">
        <v>510</v>
      </c>
      <c r="F132" s="106" t="str">
        <f>Originals!B262</f>
        <v>Network Streams</v>
      </c>
      <c r="G132" s="106" t="str">
        <f>Originals!C262</f>
        <v>15.0</v>
      </c>
      <c r="H132" s="106" t="str">
        <f>Originals!D262</f>
        <v>32</v>
      </c>
      <c r="I132" s="106" t="str">
        <f>Originals!E262</f>
        <v>2015</v>
      </c>
      <c r="J132" s="106" t="str">
        <f>Originals!F262</f>
        <v>C-RIO</v>
      </c>
      <c r="K132" s="106" t="str">
        <f>Originals!G262</f>
        <v>NI</v>
      </c>
      <c r="L132" s="106" t="str">
        <f>Originals!H262</f>
        <v>Network Streams 15.0</v>
      </c>
      <c r="M132" s="106">
        <f>Originals!I262</f>
        <v>0</v>
      </c>
      <c r="N132" s="107" t="s">
        <v>2</v>
      </c>
    </row>
    <row r="133" spans="1:14" x14ac:dyDescent="0.25">
      <c r="A133" s="104" t="s">
        <v>510</v>
      </c>
      <c r="B133" s="104" t="s">
        <v>510</v>
      </c>
      <c r="C133" s="103" t="s">
        <v>507</v>
      </c>
      <c r="D133" s="104" t="s">
        <v>510</v>
      </c>
      <c r="E133" s="104" t="s">
        <v>510</v>
      </c>
      <c r="F133" s="106" t="str">
        <f>Originals!B263</f>
        <v>Network Variable Engine</v>
      </c>
      <c r="G133" s="106" t="str">
        <f>Originals!C263</f>
        <v>15.0.0</v>
      </c>
      <c r="H133" s="106" t="str">
        <f>Originals!D263</f>
        <v>32</v>
      </c>
      <c r="I133" s="106" t="str">
        <f>Originals!E263</f>
        <v>2015</v>
      </c>
      <c r="J133" s="106" t="str">
        <f>Originals!F263</f>
        <v>C-RIO</v>
      </c>
      <c r="K133" s="106" t="str">
        <f>Originals!G263</f>
        <v>NI</v>
      </c>
      <c r="L133" s="106" t="str">
        <f>Originals!H263</f>
        <v>Network Variable Engine 15.0.0</v>
      </c>
      <c r="M133" s="106">
        <f>Originals!I263</f>
        <v>0</v>
      </c>
      <c r="N133" s="107" t="s">
        <v>2</v>
      </c>
    </row>
    <row r="134" spans="1:14" x14ac:dyDescent="0.25">
      <c r="A134" s="103" t="s">
        <v>507</v>
      </c>
      <c r="B134" s="103" t="s">
        <v>507</v>
      </c>
      <c r="C134" s="103" t="s">
        <v>507</v>
      </c>
      <c r="D134" s="103" t="s">
        <v>507</v>
      </c>
      <c r="E134" s="104" t="s">
        <v>510</v>
      </c>
      <c r="F134" s="105" t="str">
        <f>Originals!B27</f>
        <v>NI 1588-2008 Network Management</v>
      </c>
      <c r="G134" s="105" t="str">
        <f>Originals!C27</f>
        <v>15.0.0f0</v>
      </c>
      <c r="H134" s="105" t="str">
        <f>Originals!D27</f>
        <v>32</v>
      </c>
      <c r="I134" s="105" t="str">
        <f>Originals!E27</f>
        <v>2015</v>
      </c>
      <c r="J134" s="105" t="str">
        <f>Originals!F27</f>
        <v>Development</v>
      </c>
      <c r="K134" s="105" t="str">
        <f>Originals!G27</f>
        <v>NI</v>
      </c>
      <c r="L134" s="105" t="str">
        <f>Originals!H27</f>
        <v>NI 1588-2008 Network Management 15.0.0f0</v>
      </c>
      <c r="M134" s="105" t="str">
        <f>Originals!I27</f>
        <v>NI Developer Suite 2015 DS2 Install</v>
      </c>
      <c r="N134" s="98" t="s">
        <v>136</v>
      </c>
    </row>
    <row r="135" spans="1:14" x14ac:dyDescent="0.25">
      <c r="A135" s="104" t="s">
        <v>510</v>
      </c>
      <c r="B135" s="104" t="s">
        <v>510</v>
      </c>
      <c r="C135" s="103" t="s">
        <v>507</v>
      </c>
      <c r="D135" s="104" t="s">
        <v>510</v>
      </c>
      <c r="E135" s="104" t="s">
        <v>510</v>
      </c>
      <c r="F135" s="106" t="str">
        <f>Originals!B265</f>
        <v>NI Asynchronous Message Communication (AMC) Library</v>
      </c>
      <c r="G135" s="106" t="str">
        <f>Originals!C265</f>
        <v>3.3.1.22</v>
      </c>
      <c r="H135" s="106" t="str">
        <f>Originals!D265</f>
        <v>32</v>
      </c>
      <c r="I135" s="106" t="str">
        <f>Originals!E265</f>
        <v>N/A</v>
      </c>
      <c r="J135" s="106" t="str">
        <f>Originals!F265</f>
        <v>Development</v>
      </c>
      <c r="K135" s="106" t="str">
        <f>Originals!G265</f>
        <v>NI</v>
      </c>
      <c r="L135" s="106" t="str">
        <f>Originals!H265</f>
        <v>NI Asynchronous Message Communication (AMC) Library 3.3.1.22</v>
      </c>
      <c r="M135" s="106" t="str">
        <f>Originals!I265</f>
        <v>VIPM Community</v>
      </c>
      <c r="N135" s="107" t="s">
        <v>2</v>
      </c>
    </row>
    <row r="136" spans="1:14" x14ac:dyDescent="0.25">
      <c r="A136" s="104" t="s">
        <v>510</v>
      </c>
      <c r="B136" s="104" t="s">
        <v>510</v>
      </c>
      <c r="C136" s="103" t="s">
        <v>507</v>
      </c>
      <c r="D136" s="104" t="s">
        <v>510</v>
      </c>
      <c r="E136" s="104" t="s">
        <v>510</v>
      </c>
      <c r="F136" s="106" t="str">
        <f>Originals!B266</f>
        <v>NI CompactRIO</v>
      </c>
      <c r="G136" s="106" t="str">
        <f>Originals!C266</f>
        <v>15.5</v>
      </c>
      <c r="H136" s="106" t="str">
        <f>Originals!D266</f>
        <v>32</v>
      </c>
      <c r="I136" s="106" t="str">
        <f>Originals!E266</f>
        <v>2018</v>
      </c>
      <c r="J136" s="106" t="str">
        <f>Originals!F266</f>
        <v>C-RIO</v>
      </c>
      <c r="K136" s="106" t="str">
        <f>Originals!G266</f>
        <v>NI</v>
      </c>
      <c r="L136" s="106" t="str">
        <f>Originals!H266</f>
        <v>NI CompactRIO 15.5</v>
      </c>
      <c r="M136" s="106">
        <f>Originals!I266</f>
        <v>0</v>
      </c>
      <c r="N136" s="107" t="s">
        <v>2</v>
      </c>
    </row>
    <row r="137" spans="1:14" x14ac:dyDescent="0.25">
      <c r="A137" s="104" t="s">
        <v>510</v>
      </c>
      <c r="B137" s="104" t="s">
        <v>510</v>
      </c>
      <c r="C137" s="103" t="s">
        <v>507</v>
      </c>
      <c r="D137" s="104" t="s">
        <v>510</v>
      </c>
      <c r="E137" s="104" t="s">
        <v>510</v>
      </c>
      <c r="F137" s="106" t="str">
        <f>Originals!B267</f>
        <v>NI CompactRIO Information (CRI) Library</v>
      </c>
      <c r="G137" s="106" t="str">
        <f>Originals!C267</f>
        <v>2015.0.0.1</v>
      </c>
      <c r="H137" s="106" t="str">
        <f>Originals!D267</f>
        <v>32</v>
      </c>
      <c r="I137" s="106" t="str">
        <f>Originals!E267</f>
        <v>2015</v>
      </c>
      <c r="J137" s="106" t="str">
        <f>Originals!F267</f>
        <v>Development</v>
      </c>
      <c r="K137" s="106" t="str">
        <f>Originals!G267</f>
        <v>NI</v>
      </c>
      <c r="L137" s="106" t="str">
        <f>Originals!H267</f>
        <v>NI CompactRIO Information (CRI) Library 2015.0.0.1</v>
      </c>
      <c r="M137" s="106" t="str">
        <f>Originals!I267</f>
        <v>VIPM Community</v>
      </c>
      <c r="N137" s="107" t="s">
        <v>2</v>
      </c>
    </row>
    <row r="138" spans="1:14" x14ac:dyDescent="0.25">
      <c r="A138" s="104" t="s">
        <v>510</v>
      </c>
      <c r="B138" s="104" t="s">
        <v>510</v>
      </c>
      <c r="C138" s="103" t="s">
        <v>507</v>
      </c>
      <c r="D138" s="103" t="s">
        <v>507</v>
      </c>
      <c r="E138" s="104" t="s">
        <v>510</v>
      </c>
      <c r="F138" s="105" t="str">
        <f>Originals!B268</f>
        <v>NI GXML</v>
      </c>
      <c r="G138" s="105" t="str">
        <f>Originals!C268</f>
        <v>1.4.2.8</v>
      </c>
      <c r="H138" s="105" t="str">
        <f>Originals!D268</f>
        <v>32</v>
      </c>
      <c r="I138" s="105" t="str">
        <f>Originals!E268</f>
        <v>N/A</v>
      </c>
      <c r="J138" s="105" t="str">
        <f>Originals!F268</f>
        <v>Development</v>
      </c>
      <c r="K138" s="105" t="str">
        <f>Originals!G268</f>
        <v>NI</v>
      </c>
      <c r="L138" s="105" t="str">
        <f>Originals!H268</f>
        <v>NI GXML 1.4.2.8</v>
      </c>
      <c r="M138" s="105" t="str">
        <f>Originals!I268</f>
        <v>VIPM Community</v>
      </c>
      <c r="N138" s="98" t="s">
        <v>136</v>
      </c>
    </row>
    <row r="139" spans="1:14" x14ac:dyDescent="0.25">
      <c r="A139" s="103" t="s">
        <v>507</v>
      </c>
      <c r="B139" s="103" t="s">
        <v>507</v>
      </c>
      <c r="C139" s="104" t="s">
        <v>510</v>
      </c>
      <c r="D139" s="104" t="s">
        <v>510</v>
      </c>
      <c r="E139" s="104" t="s">
        <v>510</v>
      </c>
      <c r="F139" s="105" t="str">
        <f>Originals!B28</f>
        <v>NI I/O Trace</v>
      </c>
      <c r="G139" s="105" t="str">
        <f>Originals!C28</f>
        <v>15.0.0f0</v>
      </c>
      <c r="H139" s="105" t="str">
        <f>Originals!D28</f>
        <v>32</v>
      </c>
      <c r="I139" s="105" t="str">
        <f>Originals!E28</f>
        <v>2015</v>
      </c>
      <c r="J139" s="105" t="str">
        <f>Originals!F28</f>
        <v>Development</v>
      </c>
      <c r="K139" s="105" t="str">
        <f>Originals!G28</f>
        <v>NI</v>
      </c>
      <c r="L139" s="105" t="str">
        <f>Originals!H28</f>
        <v>NI I/O Trace 15.0.0f0</v>
      </c>
      <c r="M139" s="105" t="str">
        <f>Originals!I28</f>
        <v>NI Developer Suite 2015 DS2 Install</v>
      </c>
      <c r="N139" s="98" t="s">
        <v>136</v>
      </c>
    </row>
    <row r="140" spans="1:14" x14ac:dyDescent="0.25">
      <c r="A140" s="104" t="s">
        <v>510</v>
      </c>
      <c r="B140" s="104" t="s">
        <v>510</v>
      </c>
      <c r="C140" s="103" t="s">
        <v>507</v>
      </c>
      <c r="D140" s="104" t="s">
        <v>510</v>
      </c>
      <c r="E140" s="104" t="s">
        <v>510</v>
      </c>
      <c r="F140" s="106" t="str">
        <f>Originals!B269</f>
        <v>NI I/O Trace</v>
      </c>
      <c r="G140" s="106" t="str">
        <f>Originals!C269</f>
        <v>18.5.0f0</v>
      </c>
      <c r="H140" s="106" t="str">
        <f>Originals!D269</f>
        <v>32</v>
      </c>
      <c r="I140" s="106" t="str">
        <f>Originals!E269</f>
        <v>2018</v>
      </c>
      <c r="J140" s="106" t="str">
        <f>Originals!F269</f>
        <v>Development</v>
      </c>
      <c r="K140" s="106" t="str">
        <f>Originals!G269</f>
        <v>NI</v>
      </c>
      <c r="L140" s="106" t="str">
        <f>Originals!H269</f>
        <v>NI I/O Trace 18.5.0f0</v>
      </c>
      <c r="M140" s="106" t="str">
        <f>Originals!I269</f>
        <v>NI Developer Suite 2015 DS2 Install</v>
      </c>
      <c r="N140" s="107" t="s">
        <v>2</v>
      </c>
    </row>
    <row r="141" spans="1:14" x14ac:dyDescent="0.25">
      <c r="A141" s="104" t="s">
        <v>510</v>
      </c>
      <c r="B141" s="104" t="s">
        <v>510</v>
      </c>
      <c r="C141" s="104" t="s">
        <v>510</v>
      </c>
      <c r="D141" s="104" t="s">
        <v>510</v>
      </c>
      <c r="E141" s="103" t="s">
        <v>507</v>
      </c>
      <c r="F141" s="114" t="str">
        <f>Originals!B380</f>
        <v>NI I/O Trace</v>
      </c>
      <c r="G141" s="114" t="str">
        <f>Originals!C380</f>
        <v>18.1</v>
      </c>
      <c r="H141" s="114" t="str">
        <f>Originals!D380</f>
        <v>32</v>
      </c>
      <c r="I141" s="114" t="str">
        <f>Originals!E380</f>
        <v>2018</v>
      </c>
      <c r="J141" s="114" t="str">
        <f>Originals!F380</f>
        <v>Development</v>
      </c>
      <c r="K141" s="114" t="str">
        <f>Originals!G380</f>
        <v>NI</v>
      </c>
      <c r="L141" s="114" t="str">
        <f>Originals!H380</f>
        <v>NI I/O Trace 18.1</v>
      </c>
      <c r="M141" s="114">
        <f>Originals!I380</f>
        <v>0</v>
      </c>
      <c r="N141" s="115" t="s">
        <v>466</v>
      </c>
    </row>
    <row r="142" spans="1:14" x14ac:dyDescent="0.25">
      <c r="A142" s="104" t="s">
        <v>510</v>
      </c>
      <c r="B142" s="104" t="s">
        <v>510</v>
      </c>
      <c r="C142" s="104" t="s">
        <v>510</v>
      </c>
      <c r="D142" s="103" t="s">
        <v>507</v>
      </c>
      <c r="E142" s="104" t="s">
        <v>510</v>
      </c>
      <c r="F142" s="108" t="str">
        <f>Scott!B38</f>
        <v>jki_rsc_toolkits_palette</v>
      </c>
      <c r="G142" s="108" t="str">
        <f>Scott!C38</f>
        <v>1.1-1</v>
      </c>
      <c r="H142" s="108" t="str">
        <f>Scott!D38</f>
        <v>32</v>
      </c>
      <c r="I142" s="108" t="str">
        <f>Scott!E38</f>
        <v>N/A</v>
      </c>
      <c r="J142" s="108" t="str">
        <f>Scott!F38</f>
        <v>Development</v>
      </c>
      <c r="K142" s="108" t="str">
        <f>Scott!G38</f>
        <v>JKI Software</v>
      </c>
      <c r="L142" s="108" t="str">
        <f>Scott!H38</f>
        <v>jki_rsc_toolkits_palette 1.1-1</v>
      </c>
      <c r="M142" s="108" t="str">
        <f>Scott!I38</f>
        <v>VIPM Community</v>
      </c>
      <c r="N142" s="109" t="s">
        <v>96</v>
      </c>
    </row>
    <row r="143" spans="1:14" x14ac:dyDescent="0.25">
      <c r="A143" s="104" t="s">
        <v>510</v>
      </c>
      <c r="B143" s="104" t="s">
        <v>510</v>
      </c>
      <c r="C143" s="103" t="s">
        <v>507</v>
      </c>
      <c r="D143" s="103" t="s">
        <v>507</v>
      </c>
      <c r="E143" s="104" t="s">
        <v>510</v>
      </c>
      <c r="F143" s="105" t="str">
        <f>Originals!B270</f>
        <v>NI Keyed Array Library</v>
      </c>
      <c r="G143" s="105" t="str">
        <f>Originals!C270</f>
        <v>2.0.0.11</v>
      </c>
      <c r="H143" s="105" t="str">
        <f>Originals!D270</f>
        <v>32</v>
      </c>
      <c r="I143" s="105" t="str">
        <f>Originals!E270</f>
        <v>N/A</v>
      </c>
      <c r="J143" s="105" t="str">
        <f>Originals!F270</f>
        <v>Development</v>
      </c>
      <c r="K143" s="105" t="str">
        <f>Originals!G270</f>
        <v>NI</v>
      </c>
      <c r="L143" s="105" t="str">
        <f>Originals!H270</f>
        <v>NI Keyed Array Library 2.0.0.11</v>
      </c>
      <c r="M143" s="105" t="str">
        <f>Originals!I270</f>
        <v>VIPM Community</v>
      </c>
      <c r="N143" s="98" t="s">
        <v>136</v>
      </c>
    </row>
    <row r="144" spans="1:14" x14ac:dyDescent="0.25">
      <c r="A144" s="104" t="s">
        <v>510</v>
      </c>
      <c r="B144" s="104" t="s">
        <v>510</v>
      </c>
      <c r="C144" s="103" t="s">
        <v>507</v>
      </c>
      <c r="D144" s="103" t="s">
        <v>507</v>
      </c>
      <c r="E144" s="104" t="s">
        <v>510</v>
      </c>
      <c r="F144" s="105" t="str">
        <f>Originals!B271</f>
        <v>NI Modbus Library</v>
      </c>
      <c r="G144" s="105" t="str">
        <f>Originals!C271</f>
        <v>1.2.1.42</v>
      </c>
      <c r="H144" s="105" t="str">
        <f>Originals!D271</f>
        <v>32</v>
      </c>
      <c r="I144" s="105" t="str">
        <f>Originals!E271</f>
        <v>N/A</v>
      </c>
      <c r="J144" s="105" t="str">
        <f>Originals!F271</f>
        <v>Development</v>
      </c>
      <c r="K144" s="105" t="str">
        <f>Originals!G271</f>
        <v>NI</v>
      </c>
      <c r="L144" s="105" t="str">
        <f>Originals!H271</f>
        <v>NI Modbus Library 1.2.1.42</v>
      </c>
      <c r="M144" s="105" t="str">
        <f>Originals!I271</f>
        <v>VIPM Community</v>
      </c>
      <c r="N144" s="98" t="s">
        <v>136</v>
      </c>
    </row>
    <row r="145" spans="1:14" x14ac:dyDescent="0.25">
      <c r="A145" s="104" t="s">
        <v>510</v>
      </c>
      <c r="B145" s="103" t="s">
        <v>507</v>
      </c>
      <c r="C145" s="103" t="s">
        <v>507</v>
      </c>
      <c r="D145" s="104" t="s">
        <v>510</v>
      </c>
      <c r="E145" s="104" t="s">
        <v>510</v>
      </c>
      <c r="F145" s="105" t="str">
        <f>Originals!B107</f>
        <v>NI PXI Platform Services</v>
      </c>
      <c r="G145" s="105" t="str">
        <f>Originals!C107</f>
        <v>19.5.0f0</v>
      </c>
      <c r="H145" s="105" t="str">
        <f>Originals!D107</f>
        <v>32</v>
      </c>
      <c r="I145" s="105" t="str">
        <f>Originals!E107</f>
        <v>2019</v>
      </c>
      <c r="J145" s="105" t="str">
        <f>Originals!F107</f>
        <v>Runtime</v>
      </c>
      <c r="K145" s="105" t="str">
        <f>Originals!G107</f>
        <v>NI</v>
      </c>
      <c r="L145" s="105" t="str">
        <f>Originals!H107</f>
        <v>NI PXI Platform Services 19.5.0f0</v>
      </c>
      <c r="M145" s="105">
        <f>Originals!I107</f>
        <v>0</v>
      </c>
      <c r="N145" s="98" t="s">
        <v>136</v>
      </c>
    </row>
    <row r="146" spans="1:14" x14ac:dyDescent="0.25">
      <c r="A146" s="104" t="s">
        <v>510</v>
      </c>
      <c r="B146" s="104" t="s">
        <v>510</v>
      </c>
      <c r="C146" s="104" t="s">
        <v>510</v>
      </c>
      <c r="D146" s="104" t="s">
        <v>510</v>
      </c>
      <c r="E146" s="103" t="s">
        <v>507</v>
      </c>
      <c r="F146" s="114" t="str">
        <f>Originals!B381</f>
        <v>NI PXI Platform Services</v>
      </c>
      <c r="G146" s="114" t="str">
        <f>Originals!C381</f>
        <v>18.0</v>
      </c>
      <c r="H146" s="114" t="str">
        <f>Originals!D381</f>
        <v>32</v>
      </c>
      <c r="I146" s="114" t="str">
        <f>Originals!E381</f>
        <v>2018</v>
      </c>
      <c r="J146" s="114" t="str">
        <f>Originals!F381</f>
        <v>Runtime</v>
      </c>
      <c r="K146" s="114" t="str">
        <f>Originals!G381</f>
        <v>NI</v>
      </c>
      <c r="L146" s="114" t="str">
        <f>Originals!H381</f>
        <v>NI PXI Platform Services 18.0</v>
      </c>
      <c r="M146" s="114" t="str">
        <f>Originals!I381</f>
        <v>CompactRIO 18.1.0</v>
      </c>
      <c r="N146" s="115" t="s">
        <v>466</v>
      </c>
    </row>
    <row r="147" spans="1:14" x14ac:dyDescent="0.25">
      <c r="A147" s="104" t="s">
        <v>510</v>
      </c>
      <c r="B147" s="104" t="s">
        <v>510</v>
      </c>
      <c r="C147" s="104" t="s">
        <v>510</v>
      </c>
      <c r="D147" s="103" t="s">
        <v>507</v>
      </c>
      <c r="E147" s="104" t="s">
        <v>510</v>
      </c>
      <c r="F147" s="108" t="str">
        <f>Scott!B39</f>
        <v>LabVIEW</v>
      </c>
      <c r="G147" s="108" t="str">
        <f>Scott!C39</f>
        <v>15.0.1</v>
      </c>
      <c r="H147" s="108">
        <f>Scott!D39</f>
        <v>32</v>
      </c>
      <c r="I147" s="108" t="str">
        <f>Scott!E39</f>
        <v>2015 SP1</v>
      </c>
      <c r="J147" s="108" t="str">
        <f>Scott!F39</f>
        <v>Development</v>
      </c>
      <c r="K147" s="108" t="str">
        <f>Scott!G39</f>
        <v>NI</v>
      </c>
      <c r="L147" s="108" t="str">
        <f>Scott!H39</f>
        <v>LabVIEW 2015 SP1 15.0.1</v>
      </c>
      <c r="M147" s="108" t="str">
        <f>Scott!I39</f>
        <v>LabVIEW 2015 SP1</v>
      </c>
      <c r="N147" s="109" t="s">
        <v>96</v>
      </c>
    </row>
    <row r="148" spans="1:14" x14ac:dyDescent="0.25">
      <c r="A148" s="103" t="s">
        <v>507</v>
      </c>
      <c r="B148" s="103" t="s">
        <v>507</v>
      </c>
      <c r="C148" s="104" t="s">
        <v>510</v>
      </c>
      <c r="D148" s="104" t="s">
        <v>510</v>
      </c>
      <c r="E148" s="104" t="s">
        <v>510</v>
      </c>
      <c r="F148" s="105" t="str">
        <f>Originals!B29</f>
        <v>NI PXI Platform Services Configuration</v>
      </c>
      <c r="G148" s="105" t="str">
        <f>Originals!C29</f>
        <v>15.0.0f1</v>
      </c>
      <c r="H148" s="105" t="str">
        <f>Originals!D29</f>
        <v>32</v>
      </c>
      <c r="I148" s="105" t="str">
        <f>Originals!E29</f>
        <v>2015</v>
      </c>
      <c r="J148" s="105" t="str">
        <f>Originals!F29</f>
        <v>Development</v>
      </c>
      <c r="K148" s="105" t="str">
        <f>Originals!G29</f>
        <v>NI</v>
      </c>
      <c r="L148" s="105" t="str">
        <f>Originals!H29</f>
        <v>NI PXI Platform Services Configuration 15.0.0f1</v>
      </c>
      <c r="M148" s="105" t="str">
        <f>Originals!I29</f>
        <v>NI Developer Suite 2015 DS2 Install</v>
      </c>
      <c r="N148" s="98" t="s">
        <v>136</v>
      </c>
    </row>
    <row r="149" spans="1:14" x14ac:dyDescent="0.25">
      <c r="A149" s="103" t="s">
        <v>507</v>
      </c>
      <c r="B149" s="104" t="s">
        <v>510</v>
      </c>
      <c r="C149" s="104" t="s">
        <v>510</v>
      </c>
      <c r="D149" s="104" t="s">
        <v>510</v>
      </c>
      <c r="E149" s="104" t="s">
        <v>510</v>
      </c>
      <c r="F149" s="110" t="str">
        <f>Originals!B30</f>
        <v>NI PXI Platform Services Configuration</v>
      </c>
      <c r="G149" s="110" t="str">
        <f>Originals!C30</f>
        <v>19.5.0f0</v>
      </c>
      <c r="H149" s="110" t="str">
        <f>Originals!D30</f>
        <v>32</v>
      </c>
      <c r="I149" s="110" t="str">
        <f>Originals!E30</f>
        <v>2019</v>
      </c>
      <c r="J149" s="110" t="str">
        <f>Originals!F30</f>
        <v>Development</v>
      </c>
      <c r="K149" s="110" t="str">
        <f>Originals!G30</f>
        <v>NI</v>
      </c>
      <c r="L149" s="110" t="str">
        <f>Originals!H30</f>
        <v>NI PXI Platform Services Configuration 19.5.0f0</v>
      </c>
      <c r="M149" s="110">
        <f>Originals!I30</f>
        <v>0</v>
      </c>
      <c r="N149" s="111" t="s">
        <v>0</v>
      </c>
    </row>
    <row r="150" spans="1:14" x14ac:dyDescent="0.25">
      <c r="A150" s="104" t="s">
        <v>510</v>
      </c>
      <c r="B150" s="104" t="s">
        <v>510</v>
      </c>
      <c r="C150" s="103" t="s">
        <v>507</v>
      </c>
      <c r="D150" s="104" t="s">
        <v>510</v>
      </c>
      <c r="E150" s="104" t="s">
        <v>510</v>
      </c>
      <c r="F150" s="106" t="str">
        <f>Originals!B273</f>
        <v>NI PXI Platform Services Configuration</v>
      </c>
      <c r="G150" s="106" t="str">
        <f>Originals!C273</f>
        <v>18.5.0f2</v>
      </c>
      <c r="H150" s="106" t="str">
        <f>Originals!D273</f>
        <v>32</v>
      </c>
      <c r="I150" s="106" t="str">
        <f>Originals!E273</f>
        <v>2018</v>
      </c>
      <c r="J150" s="106" t="str">
        <f>Originals!F273</f>
        <v>Development</v>
      </c>
      <c r="K150" s="106" t="str">
        <f>Originals!G273</f>
        <v>NI</v>
      </c>
      <c r="L150" s="106" t="str">
        <f>Originals!H273</f>
        <v>NI PXI Platform Services Configuration 18.5.0f2</v>
      </c>
      <c r="M150" s="106">
        <f>Originals!I273</f>
        <v>0</v>
      </c>
      <c r="N150" s="107" t="s">
        <v>2</v>
      </c>
    </row>
    <row r="151" spans="1:14" x14ac:dyDescent="0.25">
      <c r="A151" s="104" t="s">
        <v>510</v>
      </c>
      <c r="B151" s="104" t="s">
        <v>510</v>
      </c>
      <c r="C151" s="104" t="s">
        <v>510</v>
      </c>
      <c r="D151" s="104" t="s">
        <v>510</v>
      </c>
      <c r="E151" s="103" t="s">
        <v>507</v>
      </c>
      <c r="F151" s="114" t="str">
        <f>Originals!B382</f>
        <v>NI PXI Platform Services Configuration</v>
      </c>
      <c r="G151" s="114" t="str">
        <f>Originals!C382</f>
        <v>18.0</v>
      </c>
      <c r="H151" s="114" t="str">
        <f>Originals!D382</f>
        <v>32</v>
      </c>
      <c r="I151" s="114" t="str">
        <f>Originals!E382</f>
        <v>2018</v>
      </c>
      <c r="J151" s="114" t="str">
        <f>Originals!F382</f>
        <v>Development</v>
      </c>
      <c r="K151" s="114" t="str">
        <f>Originals!G382</f>
        <v>NI</v>
      </c>
      <c r="L151" s="114" t="str">
        <f>Originals!H382</f>
        <v>NI PXI Platform Services Configuration 18.0</v>
      </c>
      <c r="M151" s="114" t="str">
        <f>Originals!I382</f>
        <v>CompactRIO 18.1.0</v>
      </c>
      <c r="N151" s="115" t="s">
        <v>466</v>
      </c>
    </row>
    <row r="152" spans="1:14" x14ac:dyDescent="0.25">
      <c r="A152" s="104" t="s">
        <v>510</v>
      </c>
      <c r="B152" s="104" t="s">
        <v>510</v>
      </c>
      <c r="C152" s="104" t="s">
        <v>510</v>
      </c>
      <c r="D152" s="103" t="s">
        <v>507</v>
      </c>
      <c r="E152" s="104" t="s">
        <v>510</v>
      </c>
      <c r="F152" s="108" t="str">
        <f>Scott!B40</f>
        <v>LabVIEW</v>
      </c>
      <c r="G152" s="108" t="str">
        <f>Scott!C40</f>
        <v>15.0.0</v>
      </c>
      <c r="H152" s="108">
        <f>Scott!D40</f>
        <v>64</v>
      </c>
      <c r="I152" s="108">
        <f>Scott!E40</f>
        <v>2015</v>
      </c>
      <c r="J152" s="108" t="str">
        <f>Scott!F40</f>
        <v>Development</v>
      </c>
      <c r="K152" s="108" t="str">
        <f>Scott!G40</f>
        <v>NI</v>
      </c>
      <c r="L152" s="108" t="str">
        <f>Scott!H40</f>
        <v>LabVIEW 2015 15.0.0</v>
      </c>
      <c r="M152" s="108" t="str">
        <f>Scott!I40</f>
        <v>NI Developer Suite 2015 DS2 Install</v>
      </c>
      <c r="N152" s="109" t="s">
        <v>96</v>
      </c>
    </row>
    <row r="153" spans="1:14" x14ac:dyDescent="0.25">
      <c r="A153" s="103" t="s">
        <v>507</v>
      </c>
      <c r="B153" s="103" t="s">
        <v>507</v>
      </c>
      <c r="C153" s="104" t="s">
        <v>510</v>
      </c>
      <c r="D153" s="103" t="s">
        <v>507</v>
      </c>
      <c r="E153" s="104" t="s">
        <v>510</v>
      </c>
      <c r="F153" s="105" t="str">
        <f>Originals!B31</f>
        <v>NI R Series Multifunction RIO</v>
      </c>
      <c r="G153" s="105" t="str">
        <f>Originals!C31</f>
        <v>15.0.0</v>
      </c>
      <c r="H153" s="105" t="str">
        <f>Originals!D31</f>
        <v>32</v>
      </c>
      <c r="I153" s="105" t="str">
        <f>Originals!E31</f>
        <v>2015</v>
      </c>
      <c r="J153" s="105" t="str">
        <f>Originals!F31</f>
        <v>Development</v>
      </c>
      <c r="K153" s="105" t="str">
        <f>Originals!G31</f>
        <v>NI</v>
      </c>
      <c r="L153" s="105" t="str">
        <f>Originals!H31</f>
        <v>NI R Series Multifunction RIO 15.0.0</v>
      </c>
      <c r="M153" s="105" t="str">
        <f>Originals!I31</f>
        <v>NI Developer Suite 2015 DS2 Install</v>
      </c>
      <c r="N153" s="98" t="s">
        <v>136</v>
      </c>
    </row>
    <row r="154" spans="1:14" x14ac:dyDescent="0.25">
      <c r="A154" s="104" t="s">
        <v>510</v>
      </c>
      <c r="B154" s="104" t="s">
        <v>510</v>
      </c>
      <c r="C154" s="103" t="s">
        <v>507</v>
      </c>
      <c r="D154" s="104" t="s">
        <v>510</v>
      </c>
      <c r="E154" s="104" t="s">
        <v>510</v>
      </c>
      <c r="F154" s="106" t="str">
        <f>Originals!B274</f>
        <v>NI R Series Multifunction RIO</v>
      </c>
      <c r="G154" s="106" t="str">
        <f>Originals!C274</f>
        <v>15.5.0</v>
      </c>
      <c r="H154" s="106" t="str">
        <f>Originals!D274</f>
        <v>32</v>
      </c>
      <c r="I154" s="106">
        <f>Originals!E274</f>
        <v>2015</v>
      </c>
      <c r="J154" s="106" t="str">
        <f>Originals!F274</f>
        <v>Development</v>
      </c>
      <c r="K154" s="106" t="str">
        <f>Originals!G274</f>
        <v>NI</v>
      </c>
      <c r="L154" s="106" t="str">
        <f>Originals!H274</f>
        <v>NI R Series Multifunction RIO 15.5.0</v>
      </c>
      <c r="M154" s="106">
        <f>Originals!I274</f>
        <v>0</v>
      </c>
      <c r="N154" s="107" t="s">
        <v>2</v>
      </c>
    </row>
    <row r="155" spans="1:14" x14ac:dyDescent="0.25">
      <c r="A155" s="104" t="s">
        <v>510</v>
      </c>
      <c r="B155" s="104" t="s">
        <v>510</v>
      </c>
      <c r="C155" s="103" t="s">
        <v>507</v>
      </c>
      <c r="D155" s="104" t="s">
        <v>510</v>
      </c>
      <c r="E155" s="104" t="s">
        <v>510</v>
      </c>
      <c r="F155" s="106" t="str">
        <f>Originals!B275</f>
        <v>NI Scan Engine</v>
      </c>
      <c r="G155" s="106" t="str">
        <f>Originals!C275</f>
        <v>4.4</v>
      </c>
      <c r="H155" s="106" t="str">
        <f>Originals!D275</f>
        <v>32</v>
      </c>
      <c r="I155" s="106" t="str">
        <f>Originals!E275</f>
        <v>N/A</v>
      </c>
      <c r="J155" s="106" t="str">
        <f>Originals!F275</f>
        <v>C-RIO</v>
      </c>
      <c r="K155" s="106" t="str">
        <f>Originals!G275</f>
        <v>NI</v>
      </c>
      <c r="L155" s="106" t="str">
        <f>Originals!H275</f>
        <v>NI Scan Engine 4.4</v>
      </c>
      <c r="M155" s="106">
        <f>Originals!I275</f>
        <v>0</v>
      </c>
      <c r="N155" s="107" t="s">
        <v>509</v>
      </c>
    </row>
    <row r="156" spans="1:14" x14ac:dyDescent="0.25">
      <c r="A156" s="103" t="s">
        <v>507</v>
      </c>
      <c r="B156" s="103" t="s">
        <v>507</v>
      </c>
      <c r="C156" s="104" t="s">
        <v>510</v>
      </c>
      <c r="D156" s="103" t="s">
        <v>507</v>
      </c>
      <c r="E156" s="104" t="s">
        <v>510</v>
      </c>
      <c r="F156" s="105" t="str">
        <f>Originals!B32</f>
        <v>NI Script Editor</v>
      </c>
      <c r="G156" s="105" t="str">
        <f>Originals!C32</f>
        <v>14.0</v>
      </c>
      <c r="H156" s="105" t="str">
        <f>Originals!D32</f>
        <v>32</v>
      </c>
      <c r="I156" s="105" t="str">
        <f>Originals!E32</f>
        <v>2014</v>
      </c>
      <c r="J156" s="105" t="str">
        <f>Originals!F32</f>
        <v>Development</v>
      </c>
      <c r="K156" s="105" t="str">
        <f>Originals!G32</f>
        <v>NI</v>
      </c>
      <c r="L156" s="105" t="str">
        <f>Originals!H32</f>
        <v>NI Script Editor 14.0</v>
      </c>
      <c r="M156" s="105" t="str">
        <f>Originals!I32</f>
        <v>NI Developer Suite 2015 DS2 Install</v>
      </c>
      <c r="N156" s="98" t="s">
        <v>136</v>
      </c>
    </row>
    <row r="157" spans="1:14" x14ac:dyDescent="0.25">
      <c r="A157" s="104" t="s">
        <v>510</v>
      </c>
      <c r="B157" s="104" t="s">
        <v>510</v>
      </c>
      <c r="C157" s="104" t="s">
        <v>510</v>
      </c>
      <c r="D157" s="104" t="s">
        <v>510</v>
      </c>
      <c r="E157" s="103" t="s">
        <v>507</v>
      </c>
      <c r="F157" s="114" t="str">
        <f>Originals!B383</f>
        <v>NI Serial</v>
      </c>
      <c r="G157" s="114" t="str">
        <f>Originals!C383</f>
        <v>17.5</v>
      </c>
      <c r="H157" s="114" t="str">
        <f>Originals!D383</f>
        <v>32</v>
      </c>
      <c r="I157" s="114" t="str">
        <f>Originals!E383</f>
        <v>2017</v>
      </c>
      <c r="J157" s="114" t="str">
        <f>Originals!F383</f>
        <v>Runtime</v>
      </c>
      <c r="K157" s="114" t="str">
        <f>Originals!G383</f>
        <v>NI</v>
      </c>
      <c r="L157" s="114" t="str">
        <f>Originals!H383</f>
        <v>NI Serial 17.5</v>
      </c>
      <c r="M157" s="114">
        <f>Originals!I383</f>
        <v>0</v>
      </c>
      <c r="N157" s="115" t="s">
        <v>466</v>
      </c>
    </row>
    <row r="158" spans="1:14" x14ac:dyDescent="0.25">
      <c r="A158" s="104" t="s">
        <v>510</v>
      </c>
      <c r="B158" s="104" t="s">
        <v>510</v>
      </c>
      <c r="C158" s="103" t="s">
        <v>507</v>
      </c>
      <c r="D158" s="104" t="s">
        <v>510</v>
      </c>
      <c r="E158" s="104" t="s">
        <v>510</v>
      </c>
      <c r="F158" s="106" t="str">
        <f>Originals!B276</f>
        <v>NI Serial 9870 and 9871 Scan Enginer Support</v>
      </c>
      <c r="G158" s="106">
        <f>Originals!C276</f>
        <v>0</v>
      </c>
      <c r="H158" s="106" t="str">
        <f>Originals!D276</f>
        <v>32</v>
      </c>
      <c r="I158" s="106" t="str">
        <f>Originals!E276</f>
        <v>N/A</v>
      </c>
      <c r="J158" s="106" t="str">
        <f>Originals!F276</f>
        <v>C-RIO</v>
      </c>
      <c r="K158" s="106" t="str">
        <f>Originals!G276</f>
        <v>NI</v>
      </c>
      <c r="L158" s="106" t="str">
        <f>Originals!H276</f>
        <v xml:space="preserve">NI Serial 9870 and 9871 Scan Enginer Support </v>
      </c>
      <c r="M158" s="106">
        <f>Originals!I276</f>
        <v>0</v>
      </c>
      <c r="N158" s="107" t="s">
        <v>2</v>
      </c>
    </row>
    <row r="159" spans="1:14" x14ac:dyDescent="0.25">
      <c r="A159" s="103" t="s">
        <v>507</v>
      </c>
      <c r="B159" s="103" t="s">
        <v>507</v>
      </c>
      <c r="C159" s="103" t="s">
        <v>507</v>
      </c>
      <c r="D159" s="104" t="s">
        <v>510</v>
      </c>
      <c r="E159" s="104" t="s">
        <v>510</v>
      </c>
      <c r="F159" s="105" t="str">
        <f>Originals!B33</f>
        <v>NI SignalExpress</v>
      </c>
      <c r="G159" s="105">
        <f>Originals!C33</f>
        <v>0</v>
      </c>
      <c r="H159" s="105" t="str">
        <f>Originals!D33</f>
        <v>32</v>
      </c>
      <c r="I159" s="105" t="str">
        <f>Originals!E33</f>
        <v>2015</v>
      </c>
      <c r="J159" s="105" t="str">
        <f>Originals!F33</f>
        <v>Development</v>
      </c>
      <c r="K159" s="105" t="str">
        <f>Originals!G33</f>
        <v>NI</v>
      </c>
      <c r="L159" s="105" t="str">
        <f>Originals!H33</f>
        <v xml:space="preserve">NI SignalExpress </v>
      </c>
      <c r="M159" s="105" t="str">
        <f>Originals!I33</f>
        <v>NI Developer Suite 2015 DS2 Install</v>
      </c>
      <c r="N159" s="98" t="s">
        <v>136</v>
      </c>
    </row>
    <row r="160" spans="1:14" x14ac:dyDescent="0.25">
      <c r="A160" s="104" t="s">
        <v>510</v>
      </c>
      <c r="B160" s="104" t="s">
        <v>510</v>
      </c>
      <c r="C160" s="103" t="s">
        <v>507</v>
      </c>
      <c r="D160" s="103" t="s">
        <v>507</v>
      </c>
      <c r="E160" s="104" t="s">
        <v>510</v>
      </c>
      <c r="F160" s="105" t="str">
        <f>Originals!B277</f>
        <v>NI String Tools Library</v>
      </c>
      <c r="G160" s="105" t="str">
        <f>Originals!C277</f>
        <v>2.0.0.5</v>
      </c>
      <c r="H160" s="105" t="str">
        <f>Originals!D277</f>
        <v>32</v>
      </c>
      <c r="I160" s="105" t="str">
        <f>Originals!E277</f>
        <v>N/A</v>
      </c>
      <c r="J160" s="105" t="str">
        <f>Originals!F277</f>
        <v>Development</v>
      </c>
      <c r="K160" s="105" t="str">
        <f>Originals!G277</f>
        <v>NI</v>
      </c>
      <c r="L160" s="105" t="str">
        <f>Originals!H277</f>
        <v>NI String Tools Library 2.0.0.5</v>
      </c>
      <c r="M160" s="105" t="str">
        <f>Originals!I277</f>
        <v>VIPM Community</v>
      </c>
      <c r="N160" s="98" t="s">
        <v>136</v>
      </c>
    </row>
    <row r="161" spans="1:14" x14ac:dyDescent="0.25">
      <c r="A161" s="103" t="s">
        <v>507</v>
      </c>
      <c r="B161" s="103" t="s">
        <v>507</v>
      </c>
      <c r="C161" s="103" t="s">
        <v>507</v>
      </c>
      <c r="D161" s="103" t="s">
        <v>507</v>
      </c>
      <c r="E161" s="104" t="s">
        <v>510</v>
      </c>
      <c r="F161" s="105" t="str">
        <f>Originals!B34</f>
        <v>NI System Configuration</v>
      </c>
      <c r="G161" s="105" t="str">
        <f>Originals!C34</f>
        <v>19.5.0f0</v>
      </c>
      <c r="H161" s="105" t="str">
        <f>Originals!D34</f>
        <v>32</v>
      </c>
      <c r="I161" s="105" t="str">
        <f>Originals!E34</f>
        <v>2019</v>
      </c>
      <c r="J161" s="105" t="str">
        <f>Originals!F34</f>
        <v>Development</v>
      </c>
      <c r="K161" s="105" t="str">
        <f>Originals!G34</f>
        <v>NI</v>
      </c>
      <c r="L161" s="105" t="str">
        <f>Originals!H34</f>
        <v>NI System Configuration 19.5.0f0</v>
      </c>
      <c r="M161" s="105">
        <f>Originals!I34</f>
        <v>0</v>
      </c>
      <c r="N161" s="98" t="s">
        <v>136</v>
      </c>
    </row>
    <row r="162" spans="1:14" x14ac:dyDescent="0.25">
      <c r="A162" s="104" t="s">
        <v>510</v>
      </c>
      <c r="B162" s="104" t="s">
        <v>510</v>
      </c>
      <c r="C162" s="104" t="s">
        <v>510</v>
      </c>
      <c r="D162" s="104" t="s">
        <v>510</v>
      </c>
      <c r="E162" s="103" t="s">
        <v>507</v>
      </c>
      <c r="F162" s="114" t="str">
        <f>Originals!B384</f>
        <v>NI System Configuration</v>
      </c>
      <c r="G162" s="114" t="str">
        <f>Originals!C384</f>
        <v>18.1</v>
      </c>
      <c r="H162" s="114" t="str">
        <f>Originals!D384</f>
        <v>32</v>
      </c>
      <c r="I162" s="114" t="str">
        <f>Originals!E384</f>
        <v>2018</v>
      </c>
      <c r="J162" s="114" t="str">
        <f>Originals!F384</f>
        <v>Development</v>
      </c>
      <c r="K162" s="114" t="str">
        <f>Originals!G384</f>
        <v>NI</v>
      </c>
      <c r="L162" s="114" t="str">
        <f>Originals!H384</f>
        <v>NI System Configuration 18.1</v>
      </c>
      <c r="M162" s="114">
        <f>Originals!I384</f>
        <v>0</v>
      </c>
      <c r="N162" s="115" t="s">
        <v>466</v>
      </c>
    </row>
    <row r="163" spans="1:14" x14ac:dyDescent="0.25">
      <c r="A163" s="104" t="s">
        <v>510</v>
      </c>
      <c r="B163" s="104" t="s">
        <v>510</v>
      </c>
      <c r="C163" s="103" t="s">
        <v>507</v>
      </c>
      <c r="D163" s="104" t="s">
        <v>510</v>
      </c>
      <c r="E163" s="104" t="s">
        <v>510</v>
      </c>
      <c r="F163" s="106" t="str">
        <f>Originals!B279</f>
        <v>NI System Configuration Remote Support</v>
      </c>
      <c r="G163" s="106">
        <f>Originals!C279</f>
        <v>0</v>
      </c>
      <c r="H163" s="106" t="str">
        <f>Originals!D279</f>
        <v>32</v>
      </c>
      <c r="I163" s="106" t="str">
        <f>Originals!E279</f>
        <v>N/A</v>
      </c>
      <c r="J163" s="106" t="str">
        <f>Originals!F279</f>
        <v>C-RIO</v>
      </c>
      <c r="K163" s="106" t="str">
        <f>Originals!G279</f>
        <v>NI</v>
      </c>
      <c r="L163" s="106" t="str">
        <f>Originals!H279</f>
        <v xml:space="preserve">NI System Configuration Remote Support </v>
      </c>
      <c r="M163" s="106">
        <f>Originals!I279</f>
        <v>0</v>
      </c>
      <c r="N163" s="107" t="s">
        <v>2</v>
      </c>
    </row>
    <row r="164" spans="1:14" x14ac:dyDescent="0.25">
      <c r="A164" s="104" t="s">
        <v>510</v>
      </c>
      <c r="B164" s="104" t="s">
        <v>510</v>
      </c>
      <c r="C164" s="103" t="s">
        <v>507</v>
      </c>
      <c r="D164" s="104" t="s">
        <v>510</v>
      </c>
      <c r="E164" s="104" t="s">
        <v>510</v>
      </c>
      <c r="F164" s="106" t="str">
        <f>Originals!B280</f>
        <v>NI Systems Configuration</v>
      </c>
      <c r="G164" s="106" t="str">
        <f>Originals!C280</f>
        <v>15.3.0</v>
      </c>
      <c r="H164" s="106" t="str">
        <f>Originals!D280</f>
        <v>32</v>
      </c>
      <c r="I164" s="106" t="str">
        <f>Originals!E280</f>
        <v>2015</v>
      </c>
      <c r="J164" s="106" t="str">
        <f>Originals!F280</f>
        <v>C-RIO</v>
      </c>
      <c r="K164" s="106" t="str">
        <f>Originals!G280</f>
        <v>NI</v>
      </c>
      <c r="L164" s="106" t="str">
        <f>Originals!H280</f>
        <v>NI Systems Configuration 15.3.0</v>
      </c>
      <c r="M164" s="106">
        <f>Originals!I280</f>
        <v>0</v>
      </c>
      <c r="N164" s="107" t="s">
        <v>2</v>
      </c>
    </row>
    <row r="165" spans="1:14" x14ac:dyDescent="0.25">
      <c r="A165" s="104" t="s">
        <v>510</v>
      </c>
      <c r="B165" s="104" t="s">
        <v>510</v>
      </c>
      <c r="C165" s="103" t="s">
        <v>507</v>
      </c>
      <c r="D165" s="104" t="s">
        <v>510</v>
      </c>
      <c r="E165" s="104" t="s">
        <v>510</v>
      </c>
      <c r="F165" s="106" t="str">
        <f>Originals!B281</f>
        <v>NI Web-based Configuration and Monitoring</v>
      </c>
      <c r="G165" s="106">
        <f>Originals!C281</f>
        <v>0</v>
      </c>
      <c r="H165" s="106" t="str">
        <f>Originals!D281</f>
        <v>32</v>
      </c>
      <c r="I165" s="106" t="str">
        <f>Originals!E281</f>
        <v>N/A</v>
      </c>
      <c r="J165" s="106" t="str">
        <f>Originals!F281</f>
        <v>C-RIO</v>
      </c>
      <c r="K165" s="106" t="str">
        <f>Originals!G281</f>
        <v>NI</v>
      </c>
      <c r="L165" s="106" t="str">
        <f>Originals!H281</f>
        <v xml:space="preserve">NI Web-based Configuration and Monitoring </v>
      </c>
      <c r="M165" s="106">
        <f>Originals!I281</f>
        <v>0</v>
      </c>
      <c r="N165" s="107" t="s">
        <v>2</v>
      </c>
    </row>
    <row r="166" spans="1:14" x14ac:dyDescent="0.25">
      <c r="A166" s="104" t="s">
        <v>510</v>
      </c>
      <c r="B166" s="104" t="s">
        <v>510</v>
      </c>
      <c r="C166" s="103" t="s">
        <v>507</v>
      </c>
      <c r="D166" s="104" t="s">
        <v>510</v>
      </c>
      <c r="E166" s="104" t="s">
        <v>510</v>
      </c>
      <c r="F166" s="106" t="str">
        <f>Originals!B282</f>
        <v>NI Wireless Certificate Web Services</v>
      </c>
      <c r="G166" s="106" t="str">
        <f>Originals!C282</f>
        <v>15.0.0</v>
      </c>
      <c r="H166" s="106" t="str">
        <f>Originals!D282</f>
        <v>32</v>
      </c>
      <c r="I166" s="106" t="str">
        <f>Originals!E282</f>
        <v>2015</v>
      </c>
      <c r="J166" s="106" t="str">
        <f>Originals!F282</f>
        <v>C-RIO</v>
      </c>
      <c r="K166" s="106" t="str">
        <f>Originals!G282</f>
        <v>NI</v>
      </c>
      <c r="L166" s="106" t="str">
        <f>Originals!H282</f>
        <v>NI Wireless Certificate Web Services 15.0.0</v>
      </c>
      <c r="M166" s="106">
        <f>Originals!I282</f>
        <v>0</v>
      </c>
      <c r="N166" s="107" t="s">
        <v>2</v>
      </c>
    </row>
    <row r="167" spans="1:14" x14ac:dyDescent="0.25">
      <c r="A167" s="103" t="s">
        <v>507</v>
      </c>
      <c r="B167" s="103" t="s">
        <v>507</v>
      </c>
      <c r="C167" s="104" t="s">
        <v>510</v>
      </c>
      <c r="D167" s="103" t="s">
        <v>507</v>
      </c>
      <c r="E167" s="104" t="s">
        <v>510</v>
      </c>
      <c r="F167" s="105" t="str">
        <f>Originals!B35</f>
        <v>NI-488.2</v>
      </c>
      <c r="G167" s="105" t="str">
        <f>Originals!C35</f>
        <v>15.0.0</v>
      </c>
      <c r="H167" s="105" t="str">
        <f>Originals!D35</f>
        <v>32</v>
      </c>
      <c r="I167" s="105" t="str">
        <f>Originals!E35</f>
        <v>2015</v>
      </c>
      <c r="J167" s="105" t="str">
        <f>Originals!F35</f>
        <v>Development</v>
      </c>
      <c r="K167" s="105" t="str">
        <f>Originals!G35</f>
        <v>NI</v>
      </c>
      <c r="L167" s="105" t="str">
        <f>Originals!H35</f>
        <v>NI-488.2 15.0.0</v>
      </c>
      <c r="M167" s="105" t="str">
        <f>Originals!I35</f>
        <v>NI Developer Suite 2015 DS2 Install</v>
      </c>
      <c r="N167" s="98" t="s">
        <v>136</v>
      </c>
    </row>
    <row r="168" spans="1:14" x14ac:dyDescent="0.25">
      <c r="A168" s="103" t="s">
        <v>507</v>
      </c>
      <c r="B168" s="103" t="s">
        <v>507</v>
      </c>
      <c r="C168" s="103" t="s">
        <v>507</v>
      </c>
      <c r="D168" s="104" t="s">
        <v>510</v>
      </c>
      <c r="E168" s="104" t="s">
        <v>510</v>
      </c>
      <c r="F168" s="105" t="str">
        <f>Originals!B36</f>
        <v>NI-488.2</v>
      </c>
      <c r="G168" s="105" t="str">
        <f>Originals!C36</f>
        <v>19.5.0</v>
      </c>
      <c r="H168" s="105" t="str">
        <f>Originals!D36</f>
        <v>32</v>
      </c>
      <c r="I168" s="105" t="str">
        <f>Originals!E36</f>
        <v>2019</v>
      </c>
      <c r="J168" s="105" t="str">
        <f>Originals!F36</f>
        <v>Runtime</v>
      </c>
      <c r="K168" s="105" t="str">
        <f>Originals!G36</f>
        <v>NI</v>
      </c>
      <c r="L168" s="105" t="str">
        <f>Originals!H36</f>
        <v>NI-488.2 19.5.0</v>
      </c>
      <c r="M168" s="105">
        <f>Originals!I36</f>
        <v>0</v>
      </c>
      <c r="N168" s="98" t="s">
        <v>136</v>
      </c>
    </row>
    <row r="169" spans="1:14" x14ac:dyDescent="0.25">
      <c r="A169" s="104" t="s">
        <v>510</v>
      </c>
      <c r="B169" s="104" t="s">
        <v>510</v>
      </c>
      <c r="C169" s="103" t="s">
        <v>507</v>
      </c>
      <c r="D169" s="104" t="s">
        <v>510</v>
      </c>
      <c r="E169" s="103" t="s">
        <v>507</v>
      </c>
      <c r="F169" s="105" t="str">
        <f>Originals!B283</f>
        <v>NI-488.2</v>
      </c>
      <c r="G169" s="105" t="str">
        <f>Originals!C283</f>
        <v>15.5.0</v>
      </c>
      <c r="H169" s="105" t="str">
        <f>Originals!D283</f>
        <v>32</v>
      </c>
      <c r="I169" s="105" t="str">
        <f>Originals!E283</f>
        <v>2019</v>
      </c>
      <c r="J169" s="105" t="str">
        <f>Originals!F283</f>
        <v>Development</v>
      </c>
      <c r="K169" s="105" t="str">
        <f>Originals!G283</f>
        <v>NI</v>
      </c>
      <c r="L169" s="105" t="str">
        <f>Originals!H283</f>
        <v>NI-488.2 15.5.0</v>
      </c>
      <c r="M169" s="105">
        <f>Originals!I283</f>
        <v>0</v>
      </c>
      <c r="N169" s="98" t="s">
        <v>136</v>
      </c>
    </row>
    <row r="170" spans="1:14" x14ac:dyDescent="0.25">
      <c r="A170" s="104" t="s">
        <v>510</v>
      </c>
      <c r="B170" s="104" t="s">
        <v>510</v>
      </c>
      <c r="C170" s="104" t="s">
        <v>510</v>
      </c>
      <c r="D170" s="103" t="s">
        <v>507</v>
      </c>
      <c r="E170" s="104" t="s">
        <v>510</v>
      </c>
      <c r="F170" s="108" t="str">
        <f>Scott!B45</f>
        <v>LabVIEW</v>
      </c>
      <c r="G170" s="108" t="str">
        <f>Scott!C45</f>
        <v>15.0.1</v>
      </c>
      <c r="H170" s="108">
        <f>Scott!D45</f>
        <v>32</v>
      </c>
      <c r="I170" s="108" t="str">
        <f>Scott!E45</f>
        <v>2015 SP1</v>
      </c>
      <c r="J170" s="108" t="str">
        <f>Scott!F45</f>
        <v>Runtime</v>
      </c>
      <c r="K170" s="108" t="str">
        <f>Scott!G45</f>
        <v>NI</v>
      </c>
      <c r="L170" s="108" t="str">
        <f>Scott!H45</f>
        <v>LabVIEW 2015 SP1 15.0.1</v>
      </c>
      <c r="M170" s="108" t="str">
        <f>Scott!I45</f>
        <v>LabVIEW 2015 SP1</v>
      </c>
      <c r="N170" s="109" t="s">
        <v>96</v>
      </c>
    </row>
    <row r="171" spans="1:14" x14ac:dyDescent="0.25">
      <c r="A171" s="104" t="s">
        <v>510</v>
      </c>
      <c r="B171" s="104" t="s">
        <v>510</v>
      </c>
      <c r="C171" s="103" t="s">
        <v>507</v>
      </c>
      <c r="D171" s="103" t="s">
        <v>507</v>
      </c>
      <c r="E171" s="104" t="s">
        <v>510</v>
      </c>
      <c r="F171" s="180" t="str">
        <f>Originals!B285</f>
        <v>NI-CAN</v>
      </c>
      <c r="G171" s="180" t="str">
        <f>Originals!C285</f>
        <v>15.0.0f0</v>
      </c>
      <c r="H171" s="180" t="str">
        <f>Originals!D285</f>
        <v>32</v>
      </c>
      <c r="I171" s="180">
        <f>Originals!E285</f>
        <v>2015</v>
      </c>
      <c r="J171" s="180" t="str">
        <f>Originals!F285</f>
        <v>Development</v>
      </c>
      <c r="K171" s="180" t="str">
        <f>Originals!G285</f>
        <v>NI</v>
      </c>
      <c r="L171" s="180" t="str">
        <f>Originals!H285</f>
        <v>NI-CAN 15.0.0f0</v>
      </c>
      <c r="M171" s="180">
        <f>Originals!I285</f>
        <v>0</v>
      </c>
      <c r="N171" s="181" t="s">
        <v>136</v>
      </c>
    </row>
    <row r="172" spans="1:14" x14ac:dyDescent="0.25">
      <c r="A172" s="103" t="s">
        <v>507</v>
      </c>
      <c r="B172" s="103" t="s">
        <v>507</v>
      </c>
      <c r="C172" s="104" t="s">
        <v>510</v>
      </c>
      <c r="D172" s="104" t="s">
        <v>510</v>
      </c>
      <c r="E172" s="104" t="s">
        <v>510</v>
      </c>
      <c r="F172" s="105" t="str">
        <f>Originals!B37</f>
        <v>NI-DAQmx ADE Support</v>
      </c>
      <c r="G172" s="105" t="str">
        <f>Originals!C37</f>
        <v>15.0.0</v>
      </c>
      <c r="H172" s="105" t="str">
        <f>Originals!D37</f>
        <v>32</v>
      </c>
      <c r="I172" s="105" t="str">
        <f>Originals!E37</f>
        <v>2015</v>
      </c>
      <c r="J172" s="105" t="str">
        <f>Originals!F37</f>
        <v>Development</v>
      </c>
      <c r="K172" s="105" t="str">
        <f>Originals!G37</f>
        <v>NI</v>
      </c>
      <c r="L172" s="105" t="str">
        <f>Originals!H37</f>
        <v>NI-DAQmx ADE Support 15.0.0</v>
      </c>
      <c r="M172" s="105" t="str">
        <f>Originals!I37</f>
        <v>NI Developer Suite 2015 DS2 Install</v>
      </c>
      <c r="N172" s="98" t="s">
        <v>136</v>
      </c>
    </row>
    <row r="173" spans="1:14" x14ac:dyDescent="0.25">
      <c r="A173" s="104" t="s">
        <v>510</v>
      </c>
      <c r="B173" s="104" t="s">
        <v>510</v>
      </c>
      <c r="C173" s="103" t="s">
        <v>507</v>
      </c>
      <c r="D173" s="104" t="s">
        <v>510</v>
      </c>
      <c r="E173" s="104" t="s">
        <v>510</v>
      </c>
      <c r="F173" s="106" t="str">
        <f>Originals!B286</f>
        <v>NI-DAQmx ADE Support</v>
      </c>
      <c r="G173" s="106" t="str">
        <f>Originals!C286</f>
        <v>18.5.0</v>
      </c>
      <c r="H173" s="106" t="str">
        <f>Originals!D286</f>
        <v>32</v>
      </c>
      <c r="I173" s="106" t="str">
        <f>Originals!E286</f>
        <v>2018</v>
      </c>
      <c r="J173" s="106" t="str">
        <f>Originals!F286</f>
        <v>Development</v>
      </c>
      <c r="K173" s="106" t="str">
        <f>Originals!G286</f>
        <v>NI</v>
      </c>
      <c r="L173" s="106" t="str">
        <f>Originals!H286</f>
        <v>NI-DAQmx ADE Support 18.5.0</v>
      </c>
      <c r="M173" s="106">
        <f>Originals!I286</f>
        <v>0</v>
      </c>
      <c r="N173" s="107" t="s">
        <v>2</v>
      </c>
    </row>
    <row r="174" spans="1:14" x14ac:dyDescent="0.25">
      <c r="A174" s="104" t="s">
        <v>510</v>
      </c>
      <c r="B174" s="104" t="s">
        <v>510</v>
      </c>
      <c r="C174" s="104" t="s">
        <v>510</v>
      </c>
      <c r="D174" s="103" t="s">
        <v>507</v>
      </c>
      <c r="E174" s="103" t="s">
        <v>507</v>
      </c>
      <c r="F174" s="105" t="str">
        <f>Scott!B47</f>
        <v>LabVIEW</v>
      </c>
      <c r="G174" s="105" t="str">
        <f>Scott!C47</f>
        <v>18.0.1</v>
      </c>
      <c r="H174" s="105" t="str">
        <f>Scott!D47</f>
        <v>32</v>
      </c>
      <c r="I174" s="105" t="str">
        <f>Scott!E47</f>
        <v>2018 SP1 f3</v>
      </c>
      <c r="J174" s="105" t="str">
        <f>Scott!F47</f>
        <v>Runtime</v>
      </c>
      <c r="K174" s="105" t="str">
        <f>Scott!G47</f>
        <v>NI</v>
      </c>
      <c r="L174" s="105" t="str">
        <f>Scott!H47</f>
        <v>LabVIEW 2019 SP1 f3 18.0.1</v>
      </c>
      <c r="M174" s="105" t="str">
        <f>Scott!I47</f>
        <v>LabVIEW 2019</v>
      </c>
      <c r="N174" s="98" t="s">
        <v>136</v>
      </c>
    </row>
    <row r="175" spans="1:14" x14ac:dyDescent="0.25">
      <c r="A175" s="103" t="s">
        <v>507</v>
      </c>
      <c r="B175" s="103" t="s">
        <v>507</v>
      </c>
      <c r="C175" s="104" t="s">
        <v>510</v>
      </c>
      <c r="D175" s="104" t="s">
        <v>510</v>
      </c>
      <c r="E175" s="104" t="s">
        <v>510</v>
      </c>
      <c r="F175" s="105" t="str">
        <f>Originals!B38</f>
        <v>NI-DAQmx Device Driver</v>
      </c>
      <c r="G175" s="105" t="str">
        <f>Originals!C38</f>
        <v>15.0.0f2</v>
      </c>
      <c r="H175" s="105" t="str">
        <f>Originals!D38</f>
        <v>32</v>
      </c>
      <c r="I175" s="105" t="str">
        <f>Originals!E38</f>
        <v>2015</v>
      </c>
      <c r="J175" s="105" t="str">
        <f>Originals!F38</f>
        <v>Development</v>
      </c>
      <c r="K175" s="105" t="str">
        <f>Originals!G38</f>
        <v>NI</v>
      </c>
      <c r="L175" s="105" t="str">
        <f>Originals!H38</f>
        <v>NI-DAQmx Device Driver 15.0.0f2</v>
      </c>
      <c r="M175" s="105" t="str">
        <f>Originals!I38</f>
        <v>NI Developer Suite 2015 DS2 Install</v>
      </c>
      <c r="N175" s="98" t="s">
        <v>136</v>
      </c>
    </row>
    <row r="176" spans="1:14" x14ac:dyDescent="0.25">
      <c r="A176" s="104" t="s">
        <v>510</v>
      </c>
      <c r="B176" s="104" t="s">
        <v>510</v>
      </c>
      <c r="C176" s="103" t="s">
        <v>507</v>
      </c>
      <c r="D176" s="104" t="s">
        <v>510</v>
      </c>
      <c r="E176" s="104" t="s">
        <v>510</v>
      </c>
      <c r="F176" s="106" t="str">
        <f>Originals!B287</f>
        <v>NI-DAQmx Device Driver</v>
      </c>
      <c r="G176" s="106" t="str">
        <f>Originals!C287</f>
        <v>19.5.0f0</v>
      </c>
      <c r="H176" s="106" t="str">
        <f>Originals!D287</f>
        <v>32</v>
      </c>
      <c r="I176" s="106" t="str">
        <f>Originals!E287</f>
        <v>2019</v>
      </c>
      <c r="J176" s="106" t="str">
        <f>Originals!F287</f>
        <v>Development</v>
      </c>
      <c r="K176" s="106" t="str">
        <f>Originals!G287</f>
        <v>NI</v>
      </c>
      <c r="L176" s="106" t="str">
        <f>Originals!H287</f>
        <v>NI-DAQmx Device Driver 19.5.0f0</v>
      </c>
      <c r="M176" s="106">
        <f>Originals!I287</f>
        <v>0</v>
      </c>
      <c r="N176" s="107" t="s">
        <v>2</v>
      </c>
    </row>
    <row r="177" spans="1:14" x14ac:dyDescent="0.25">
      <c r="A177" s="104" t="s">
        <v>510</v>
      </c>
      <c r="B177" s="104" t="s">
        <v>510</v>
      </c>
      <c r="C177" s="104" t="s">
        <v>510</v>
      </c>
      <c r="D177" s="104" t="s">
        <v>510</v>
      </c>
      <c r="E177" s="103" t="s">
        <v>507</v>
      </c>
      <c r="F177" s="114" t="str">
        <f>Originals!B387</f>
        <v>NI-DAQmx Device Driver</v>
      </c>
      <c r="G177" s="114" t="str">
        <f>Originals!C387</f>
        <v>18.1</v>
      </c>
      <c r="H177" s="114" t="str">
        <f>Originals!D387</f>
        <v>32</v>
      </c>
      <c r="I177" s="114" t="str">
        <f>Originals!E387</f>
        <v>2018</v>
      </c>
      <c r="J177" s="114" t="str">
        <f>Originals!F387</f>
        <v>Development</v>
      </c>
      <c r="K177" s="114" t="str">
        <f>Originals!G387</f>
        <v>NI</v>
      </c>
      <c r="L177" s="114" t="str">
        <f>Originals!H387</f>
        <v>NI-DAQmx Device Driver 18.1</v>
      </c>
      <c r="M177" s="114" t="str">
        <f>Originals!I387</f>
        <v>CompactRIO 18.1.0</v>
      </c>
      <c r="N177" s="115" t="s">
        <v>466</v>
      </c>
    </row>
    <row r="178" spans="1:14" x14ac:dyDescent="0.25">
      <c r="A178" s="104" t="s">
        <v>510</v>
      </c>
      <c r="B178" s="104" t="s">
        <v>510</v>
      </c>
      <c r="C178" s="104" t="s">
        <v>510</v>
      </c>
      <c r="D178" s="103" t="s">
        <v>507</v>
      </c>
      <c r="E178" s="104" t="s">
        <v>510</v>
      </c>
      <c r="F178" s="108" t="str">
        <f>Scott!B48</f>
        <v>LabVIEW</v>
      </c>
      <c r="G178" s="108" t="str">
        <f>Scott!C48</f>
        <v>14.0.1</v>
      </c>
      <c r="H178" s="108">
        <f>Scott!D48</f>
        <v>64</v>
      </c>
      <c r="I178" s="108" t="str">
        <f>Scott!E48</f>
        <v>2014 SP1 f11</v>
      </c>
      <c r="J178" s="108" t="str">
        <f>Scott!F48</f>
        <v>Runtime</v>
      </c>
      <c r="K178" s="108" t="str">
        <f>Scott!G48</f>
        <v>NI</v>
      </c>
      <c r="L178" s="108" t="str">
        <f>Scott!H48</f>
        <v>LabVIEW 2014 SP1 f11 14.0.1</v>
      </c>
      <c r="M178" s="108" t="str">
        <f>Scott!I48</f>
        <v>2015 SP1 Update Service</v>
      </c>
      <c r="N178" s="109" t="s">
        <v>96</v>
      </c>
    </row>
    <row r="179" spans="1:14" x14ac:dyDescent="0.25">
      <c r="A179" s="103" t="s">
        <v>507</v>
      </c>
      <c r="B179" s="103" t="s">
        <v>507</v>
      </c>
      <c r="C179" s="104" t="s">
        <v>510</v>
      </c>
      <c r="D179" s="104" t="s">
        <v>510</v>
      </c>
      <c r="E179" s="104" t="s">
        <v>510</v>
      </c>
      <c r="F179" s="105" t="str">
        <f>Originals!B39</f>
        <v>NI-DAQmx MAX Configuration</v>
      </c>
      <c r="G179" s="105" t="str">
        <f>Originals!C39</f>
        <v>15.0.0</v>
      </c>
      <c r="H179" s="105" t="str">
        <f>Originals!D39</f>
        <v>32</v>
      </c>
      <c r="I179" s="105" t="str">
        <f>Originals!E39</f>
        <v>2015</v>
      </c>
      <c r="J179" s="105" t="str">
        <f>Originals!F39</f>
        <v>Development</v>
      </c>
      <c r="K179" s="105" t="str">
        <f>Originals!G39</f>
        <v>NI</v>
      </c>
      <c r="L179" s="105" t="str">
        <f>Originals!H39</f>
        <v>NI-DAQmx MAX Configuration 15.0.0</v>
      </c>
      <c r="M179" s="105" t="str">
        <f>Originals!I39</f>
        <v>NI Developer Suite 2015 DS2 Install</v>
      </c>
      <c r="N179" s="98" t="s">
        <v>136</v>
      </c>
    </row>
    <row r="180" spans="1:14" x14ac:dyDescent="0.25">
      <c r="A180" s="104" t="s">
        <v>510</v>
      </c>
      <c r="B180" s="104" t="s">
        <v>510</v>
      </c>
      <c r="C180" s="103" t="s">
        <v>507</v>
      </c>
      <c r="D180" s="104" t="s">
        <v>510</v>
      </c>
      <c r="E180" s="104" t="s">
        <v>510</v>
      </c>
      <c r="F180" s="106" t="str">
        <f>Originals!B288</f>
        <v>NI-DAQmx MAX Configuration</v>
      </c>
      <c r="G180" s="106" t="str">
        <f>Originals!C288</f>
        <v>18.5.0</v>
      </c>
      <c r="H180" s="106" t="str">
        <f>Originals!D288</f>
        <v>32</v>
      </c>
      <c r="I180" s="106" t="str">
        <f>Originals!E288</f>
        <v>2018</v>
      </c>
      <c r="J180" s="106" t="str">
        <f>Originals!F288</f>
        <v>Development</v>
      </c>
      <c r="K180" s="106" t="str">
        <f>Originals!G288</f>
        <v>NI</v>
      </c>
      <c r="L180" s="106" t="str">
        <f>Originals!H288</f>
        <v>NI-DAQmx MAX Configuration 18.5.0</v>
      </c>
      <c r="M180" s="106">
        <f>Originals!I288</f>
        <v>0</v>
      </c>
      <c r="N180" s="107" t="s">
        <v>2</v>
      </c>
    </row>
    <row r="181" spans="1:14" x14ac:dyDescent="0.25">
      <c r="A181" s="104" t="s">
        <v>510</v>
      </c>
      <c r="B181" s="104" t="s">
        <v>510</v>
      </c>
      <c r="C181" s="103" t="s">
        <v>507</v>
      </c>
      <c r="D181" s="103" t="s">
        <v>507</v>
      </c>
      <c r="E181" s="104" t="s">
        <v>510</v>
      </c>
      <c r="F181" s="105" t="str">
        <f>Scott!B49</f>
        <v>LabVIEW</v>
      </c>
      <c r="G181" s="105" t="str">
        <f>Scott!C49</f>
        <v>15.0.0</v>
      </c>
      <c r="H181" s="105">
        <f>Scott!D49</f>
        <v>64</v>
      </c>
      <c r="I181" s="105" t="str">
        <f>Scott!E49</f>
        <v>2015 f2</v>
      </c>
      <c r="J181" s="105" t="str">
        <f>Scott!F49</f>
        <v>Runtime</v>
      </c>
      <c r="K181" s="105" t="str">
        <f>Scott!G49</f>
        <v>NI</v>
      </c>
      <c r="L181" s="105" t="str">
        <f>Scott!H49</f>
        <v>LabVIEW 2015 f2 15.0.0</v>
      </c>
      <c r="M181" s="105" t="str">
        <f>Scott!I49</f>
        <v>2015 SP1 Update Service</v>
      </c>
      <c r="N181" s="98" t="s">
        <v>136</v>
      </c>
    </row>
    <row r="182" spans="1:14" x14ac:dyDescent="0.25">
      <c r="A182" s="103" t="s">
        <v>507</v>
      </c>
      <c r="B182" s="103" t="s">
        <v>507</v>
      </c>
      <c r="C182" s="104" t="s">
        <v>510</v>
      </c>
      <c r="D182" s="103" t="s">
        <v>507</v>
      </c>
      <c r="E182" s="104" t="s">
        <v>510</v>
      </c>
      <c r="F182" s="105" t="str">
        <f>Originals!B40</f>
        <v>NI-DCPower</v>
      </c>
      <c r="G182" s="105" t="str">
        <f>Originals!C40</f>
        <v>15.0</v>
      </c>
      <c r="H182" s="105" t="str">
        <f>Originals!D40</f>
        <v>32</v>
      </c>
      <c r="I182" s="105" t="str">
        <f>Originals!E40</f>
        <v>2015</v>
      </c>
      <c r="J182" s="105" t="str">
        <f>Originals!F40</f>
        <v>Development</v>
      </c>
      <c r="K182" s="105" t="str">
        <f>Originals!G40</f>
        <v>NI</v>
      </c>
      <c r="L182" s="105" t="str">
        <f>Originals!H40</f>
        <v>NI-DCPower 15.0</v>
      </c>
      <c r="M182" s="105" t="str">
        <f>Originals!I40</f>
        <v>NI Developer Suite 2015 DS2 Install</v>
      </c>
      <c r="N182" s="98" t="s">
        <v>136</v>
      </c>
    </row>
    <row r="183" spans="1:14" x14ac:dyDescent="0.25">
      <c r="A183" s="103" t="s">
        <v>507</v>
      </c>
      <c r="B183" s="103" t="s">
        <v>507</v>
      </c>
      <c r="C183" s="104" t="s">
        <v>510</v>
      </c>
      <c r="D183" s="103" t="s">
        <v>507</v>
      </c>
      <c r="E183" s="104" t="s">
        <v>510</v>
      </c>
      <c r="F183" s="105" t="str">
        <f>Originals!B42</f>
        <v>NI-DCPower Configuration Support</v>
      </c>
      <c r="G183" s="105" t="str">
        <f>Originals!C42</f>
        <v>15.0</v>
      </c>
      <c r="H183" s="105" t="str">
        <f>Originals!D42</f>
        <v>32</v>
      </c>
      <c r="I183" s="105" t="str">
        <f>Originals!E42</f>
        <v>2015</v>
      </c>
      <c r="J183" s="105" t="str">
        <f>Originals!F42</f>
        <v>Development</v>
      </c>
      <c r="K183" s="105" t="str">
        <f>Originals!G42</f>
        <v>NI</v>
      </c>
      <c r="L183" s="105" t="str">
        <f>Originals!H42</f>
        <v>NI-DCPower Configuration Support 15.0</v>
      </c>
      <c r="M183" s="105" t="str">
        <f>Originals!I42</f>
        <v>NI Developer Suite 2015 DS2 Install</v>
      </c>
      <c r="N183" s="98" t="s">
        <v>136</v>
      </c>
    </row>
    <row r="184" spans="1:14" x14ac:dyDescent="0.25">
      <c r="A184" s="103" t="s">
        <v>507</v>
      </c>
      <c r="B184" s="103" t="s">
        <v>507</v>
      </c>
      <c r="C184" s="104" t="s">
        <v>510</v>
      </c>
      <c r="D184" s="103" t="s">
        <v>507</v>
      </c>
      <c r="E184" s="104" t="s">
        <v>510</v>
      </c>
      <c r="F184" s="105" t="str">
        <f>Originals!B121</f>
        <v>NI-DCPower Development Support</v>
      </c>
      <c r="G184" s="105" t="str">
        <f>Originals!C121</f>
        <v>15.0</v>
      </c>
      <c r="H184" s="105" t="str">
        <f>Originals!D121</f>
        <v>32</v>
      </c>
      <c r="I184" s="105" t="str">
        <f>Originals!E121</f>
        <v>2015</v>
      </c>
      <c r="J184" s="105" t="str">
        <f>Originals!F121</f>
        <v>Development</v>
      </c>
      <c r="K184" s="105" t="str">
        <f>Originals!G121</f>
        <v>NI</v>
      </c>
      <c r="L184" s="105" t="str">
        <f>Originals!H121</f>
        <v>NI-DCPower Development Support 15.0</v>
      </c>
      <c r="M184" s="105" t="str">
        <f>Originals!I121</f>
        <v>NI Developer Suite 2015 DS2 Install</v>
      </c>
      <c r="N184" s="98" t="s">
        <v>136</v>
      </c>
    </row>
    <row r="185" spans="1:14" x14ac:dyDescent="0.25">
      <c r="A185" s="103" t="s">
        <v>507</v>
      </c>
      <c r="B185" s="103" t="s">
        <v>507</v>
      </c>
      <c r="C185" s="104" t="s">
        <v>510</v>
      </c>
      <c r="D185" s="103" t="s">
        <v>507</v>
      </c>
      <c r="E185" s="104" t="s">
        <v>510</v>
      </c>
      <c r="F185" s="105" t="str">
        <f>Originals!B44</f>
        <v>NI-DCPower Soft Front Panel</v>
      </c>
      <c r="G185" s="105" t="str">
        <f>Originals!C44</f>
        <v>15.0</v>
      </c>
      <c r="H185" s="105" t="str">
        <f>Originals!D44</f>
        <v>32</v>
      </c>
      <c r="I185" s="105" t="str">
        <f>Originals!E44</f>
        <v>2015</v>
      </c>
      <c r="J185" s="105" t="str">
        <f>Originals!F44</f>
        <v>Development</v>
      </c>
      <c r="K185" s="105" t="str">
        <f>Originals!G44</f>
        <v>NI</v>
      </c>
      <c r="L185" s="105" t="str">
        <f>Originals!H44</f>
        <v>NI-DCPower Soft Front Panel 15.0</v>
      </c>
      <c r="M185" s="105" t="str">
        <f>Originals!I44</f>
        <v>NI Developer Suite 2015 DS2 Install</v>
      </c>
      <c r="N185" s="98" t="s">
        <v>136</v>
      </c>
    </row>
    <row r="186" spans="1:14" x14ac:dyDescent="0.25">
      <c r="A186" s="103" t="s">
        <v>507</v>
      </c>
      <c r="B186" s="103" t="s">
        <v>507</v>
      </c>
      <c r="C186" s="104" t="s">
        <v>510</v>
      </c>
      <c r="D186" s="103" t="s">
        <v>507</v>
      </c>
      <c r="E186" s="104" t="s">
        <v>510</v>
      </c>
      <c r="F186" s="105" t="str">
        <f>Originals!B45</f>
        <v>NI-DMM</v>
      </c>
      <c r="G186" s="105" t="str">
        <f>Originals!C45</f>
        <v>15.0</v>
      </c>
      <c r="H186" s="105" t="str">
        <f>Originals!D45</f>
        <v>32</v>
      </c>
      <c r="I186" s="105" t="str">
        <f>Originals!E45</f>
        <v>2015</v>
      </c>
      <c r="J186" s="105" t="str">
        <f>Originals!F45</f>
        <v>Development</v>
      </c>
      <c r="K186" s="105" t="str">
        <f>Originals!G45</f>
        <v>NI</v>
      </c>
      <c r="L186" s="105" t="str">
        <f>Originals!H45</f>
        <v>NI-DMM 15.0</v>
      </c>
      <c r="M186" s="105" t="str">
        <f>Originals!I45</f>
        <v>NI Developer Suite 2015 DS2 Install</v>
      </c>
      <c r="N186" s="98" t="s">
        <v>136</v>
      </c>
    </row>
    <row r="187" spans="1:14" x14ac:dyDescent="0.25">
      <c r="A187" s="103" t="s">
        <v>507</v>
      </c>
      <c r="B187" s="103" t="s">
        <v>507</v>
      </c>
      <c r="C187" s="104" t="s">
        <v>510</v>
      </c>
      <c r="D187" s="103" t="s">
        <v>507</v>
      </c>
      <c r="E187" s="104" t="s">
        <v>510</v>
      </c>
      <c r="F187" s="105" t="str">
        <f>Originals!B46</f>
        <v>NI-DMM</v>
      </c>
      <c r="G187" s="105" t="str">
        <f>Originals!C46</f>
        <v>15.0</v>
      </c>
      <c r="H187" s="105" t="str">
        <f>Originals!D46</f>
        <v>32</v>
      </c>
      <c r="I187" s="105" t="str">
        <f>Originals!E46</f>
        <v>2015</v>
      </c>
      <c r="J187" s="105" t="str">
        <f>Originals!F46</f>
        <v>Runtime</v>
      </c>
      <c r="K187" s="105" t="str">
        <f>Originals!G46</f>
        <v>NI</v>
      </c>
      <c r="L187" s="105" t="str">
        <f>Originals!H46</f>
        <v>NI-DMM 15.0</v>
      </c>
      <c r="M187" s="105" t="str">
        <f>Originals!I46</f>
        <v>NI Developer Suite 2015 DS2 Install</v>
      </c>
      <c r="N187" s="98" t="s">
        <v>136</v>
      </c>
    </row>
    <row r="188" spans="1:14" x14ac:dyDescent="0.25">
      <c r="A188" s="103" t="s">
        <v>507</v>
      </c>
      <c r="B188" s="103" t="s">
        <v>507</v>
      </c>
      <c r="C188" s="104" t="s">
        <v>510</v>
      </c>
      <c r="D188" s="103" t="s">
        <v>507</v>
      </c>
      <c r="E188" s="104" t="s">
        <v>510</v>
      </c>
      <c r="F188" s="105" t="str">
        <f>Originals!B47</f>
        <v>NI-DMM Configuration Support</v>
      </c>
      <c r="G188" s="105" t="str">
        <f>Originals!C47</f>
        <v>15.0</v>
      </c>
      <c r="H188" s="105" t="str">
        <f>Originals!D47</f>
        <v>32</v>
      </c>
      <c r="I188" s="105" t="str">
        <f>Originals!E47</f>
        <v>2015</v>
      </c>
      <c r="J188" s="105" t="str">
        <f>Originals!F47</f>
        <v>Development</v>
      </c>
      <c r="K188" s="105" t="str">
        <f>Originals!G47</f>
        <v>NI</v>
      </c>
      <c r="L188" s="105" t="str">
        <f>Originals!H47</f>
        <v>NI-DMM Configuration Support 15.0</v>
      </c>
      <c r="M188" s="105" t="str">
        <f>Originals!I47</f>
        <v>NI Developer Suite 2015 DS2 Install</v>
      </c>
      <c r="N188" s="98" t="s">
        <v>136</v>
      </c>
    </row>
    <row r="189" spans="1:14" x14ac:dyDescent="0.25">
      <c r="A189" s="103" t="s">
        <v>507</v>
      </c>
      <c r="B189" s="103" t="s">
        <v>507</v>
      </c>
      <c r="C189" s="104" t="s">
        <v>510</v>
      </c>
      <c r="D189" s="103" t="s">
        <v>507</v>
      </c>
      <c r="E189" s="104" t="s">
        <v>510</v>
      </c>
      <c r="F189" s="105" t="str">
        <f>Originals!B48</f>
        <v>NI-DMM Development Support</v>
      </c>
      <c r="G189" s="105" t="str">
        <f>Originals!C48</f>
        <v>15.0</v>
      </c>
      <c r="H189" s="105" t="str">
        <f>Originals!D48</f>
        <v>32</v>
      </c>
      <c r="I189" s="105" t="str">
        <f>Originals!E48</f>
        <v>2015</v>
      </c>
      <c r="J189" s="105" t="str">
        <f>Originals!F48</f>
        <v>Development</v>
      </c>
      <c r="K189" s="105" t="str">
        <f>Originals!G48</f>
        <v>NI</v>
      </c>
      <c r="L189" s="105" t="str">
        <f>Originals!H48</f>
        <v>NI-DMM Development Support 15.0</v>
      </c>
      <c r="M189" s="105" t="str">
        <f>Originals!I48</f>
        <v>NI Developer Suite 2015 DS2 Install</v>
      </c>
      <c r="N189" s="98" t="s">
        <v>136</v>
      </c>
    </row>
    <row r="190" spans="1:14" x14ac:dyDescent="0.25">
      <c r="A190" s="103" t="s">
        <v>507</v>
      </c>
      <c r="B190" s="104" t="s">
        <v>510</v>
      </c>
      <c r="C190" s="104" t="s">
        <v>510</v>
      </c>
      <c r="D190" s="103" t="s">
        <v>507</v>
      </c>
      <c r="E190" s="104" t="s">
        <v>510</v>
      </c>
      <c r="F190" s="105" t="str">
        <f>Originals!B49</f>
        <v>NI-DMM Soft Front Panel</v>
      </c>
      <c r="G190" s="105" t="str">
        <f>Originals!C49</f>
        <v>15.0</v>
      </c>
      <c r="H190" s="105" t="str">
        <f>Originals!D49</f>
        <v>32</v>
      </c>
      <c r="I190" s="105" t="str">
        <f>Originals!E49</f>
        <v>2015</v>
      </c>
      <c r="J190" s="105" t="str">
        <f>Originals!F49</f>
        <v>Development</v>
      </c>
      <c r="K190" s="105" t="str">
        <f>Originals!G49</f>
        <v>NI</v>
      </c>
      <c r="L190" s="105" t="str">
        <f>Originals!H49</f>
        <v>NI-DMM Soft Front Panel 15.0</v>
      </c>
      <c r="M190" s="105" t="str">
        <f>Originals!I49</f>
        <v>NI Developer Suite 2015 DS2 Install</v>
      </c>
      <c r="N190" s="98" t="s">
        <v>136</v>
      </c>
    </row>
    <row r="191" spans="1:14" x14ac:dyDescent="0.25">
      <c r="A191" s="103" t="s">
        <v>507</v>
      </c>
      <c r="B191" s="103" t="s">
        <v>507</v>
      </c>
      <c r="C191" s="104" t="s">
        <v>510</v>
      </c>
      <c r="D191" s="103" t="s">
        <v>507</v>
      </c>
      <c r="E191" s="104" t="s">
        <v>510</v>
      </c>
      <c r="F191" s="105" t="str">
        <f>Originals!B50</f>
        <v>NI-FGEN</v>
      </c>
      <c r="G191" s="105" t="str">
        <f>Originals!C50</f>
        <v>15.0</v>
      </c>
      <c r="H191" s="105" t="str">
        <f>Originals!D50</f>
        <v>32</v>
      </c>
      <c r="I191" s="105" t="str">
        <f>Originals!E50</f>
        <v>2015</v>
      </c>
      <c r="J191" s="105" t="str">
        <f>Originals!F50</f>
        <v>Development</v>
      </c>
      <c r="K191" s="105" t="str">
        <f>Originals!G50</f>
        <v>NI</v>
      </c>
      <c r="L191" s="105" t="str">
        <f>Originals!H50</f>
        <v>NI-FGEN 15.0</v>
      </c>
      <c r="M191" s="105" t="str">
        <f>Originals!I50</f>
        <v>NI Developer Suite 2015 DS2 Install</v>
      </c>
      <c r="N191" s="98" t="s">
        <v>136</v>
      </c>
    </row>
    <row r="192" spans="1:14" x14ac:dyDescent="0.25">
      <c r="A192" s="103" t="s">
        <v>507</v>
      </c>
      <c r="B192" s="103" t="s">
        <v>507</v>
      </c>
      <c r="C192" s="104" t="s">
        <v>510</v>
      </c>
      <c r="D192" s="103" t="s">
        <v>507</v>
      </c>
      <c r="E192" s="104" t="s">
        <v>510</v>
      </c>
      <c r="F192" s="105" t="str">
        <f>Originals!B51</f>
        <v>NI-FGEN</v>
      </c>
      <c r="G192" s="105" t="str">
        <f>Originals!C51</f>
        <v>15.0</v>
      </c>
      <c r="H192" s="105" t="str">
        <f>Originals!D51</f>
        <v>32</v>
      </c>
      <c r="I192" s="105" t="str">
        <f>Originals!E51</f>
        <v>2015</v>
      </c>
      <c r="J192" s="105" t="str">
        <f>Originals!F51</f>
        <v>Runtime</v>
      </c>
      <c r="K192" s="105" t="str">
        <f>Originals!G51</f>
        <v>NI</v>
      </c>
      <c r="L192" s="105" t="str">
        <f>Originals!H51</f>
        <v>NI-FGEN 15.0</v>
      </c>
      <c r="M192" s="105" t="str">
        <f>Originals!I51</f>
        <v>NI Developer Suite 2015 DS2 Install</v>
      </c>
      <c r="N192" s="98" t="s">
        <v>136</v>
      </c>
    </row>
    <row r="193" spans="1:14" x14ac:dyDescent="0.25">
      <c r="A193" s="103" t="s">
        <v>507</v>
      </c>
      <c r="B193" s="103" t="s">
        <v>507</v>
      </c>
      <c r="C193" s="104" t="s">
        <v>510</v>
      </c>
      <c r="D193" s="103" t="s">
        <v>507</v>
      </c>
      <c r="E193" s="104" t="s">
        <v>510</v>
      </c>
      <c r="F193" s="105" t="str">
        <f>Originals!B52</f>
        <v>NI-FGEN Configuration Support</v>
      </c>
      <c r="G193" s="105" t="str">
        <f>Originals!C52</f>
        <v>15.0</v>
      </c>
      <c r="H193" s="105" t="str">
        <f>Originals!D52</f>
        <v>32</v>
      </c>
      <c r="I193" s="105" t="str">
        <f>Originals!E52</f>
        <v>2015</v>
      </c>
      <c r="J193" s="105" t="str">
        <f>Originals!F52</f>
        <v>Development</v>
      </c>
      <c r="K193" s="105" t="str">
        <f>Originals!G52</f>
        <v>NI</v>
      </c>
      <c r="L193" s="105" t="str">
        <f>Originals!H52</f>
        <v>NI-FGEN Configuration Support 15.0</v>
      </c>
      <c r="M193" s="105" t="str">
        <f>Originals!I52</f>
        <v>NI Developer Suite 2015 DS2 Install</v>
      </c>
      <c r="N193" s="98" t="s">
        <v>136</v>
      </c>
    </row>
    <row r="194" spans="1:14" x14ac:dyDescent="0.25">
      <c r="A194" s="103" t="s">
        <v>507</v>
      </c>
      <c r="B194" s="103" t="s">
        <v>507</v>
      </c>
      <c r="C194" s="104" t="s">
        <v>510</v>
      </c>
      <c r="D194" s="103" t="s">
        <v>507</v>
      </c>
      <c r="E194" s="104" t="s">
        <v>510</v>
      </c>
      <c r="F194" s="105" t="str">
        <f>Originals!B53</f>
        <v>NI-FGEN Development Support</v>
      </c>
      <c r="G194" s="105" t="str">
        <f>Originals!C53</f>
        <v>15.0</v>
      </c>
      <c r="H194" s="105" t="str">
        <f>Originals!D53</f>
        <v>32</v>
      </c>
      <c r="I194" s="105" t="str">
        <f>Originals!E53</f>
        <v>2015</v>
      </c>
      <c r="J194" s="105" t="str">
        <f>Originals!F53</f>
        <v>Development</v>
      </c>
      <c r="K194" s="105" t="str">
        <f>Originals!G53</f>
        <v>NI</v>
      </c>
      <c r="L194" s="105" t="str">
        <f>Originals!H53</f>
        <v>NI-FGEN Development Support 15.0</v>
      </c>
      <c r="M194" s="105" t="str">
        <f>Originals!I53</f>
        <v>NI Developer Suite 2015 DS2 Install</v>
      </c>
      <c r="N194" s="98" t="s">
        <v>136</v>
      </c>
    </row>
    <row r="195" spans="1:14" x14ac:dyDescent="0.25">
      <c r="A195" s="103" t="s">
        <v>507</v>
      </c>
      <c r="B195" s="103" t="s">
        <v>507</v>
      </c>
      <c r="C195" s="104" t="s">
        <v>510</v>
      </c>
      <c r="D195" s="103" t="s">
        <v>507</v>
      </c>
      <c r="E195" s="104" t="s">
        <v>510</v>
      </c>
      <c r="F195" s="105" t="str">
        <f>Originals!B54</f>
        <v>NI-FGEN Soft Front Panel</v>
      </c>
      <c r="G195" s="105" t="str">
        <f>Originals!C54</f>
        <v>15.0</v>
      </c>
      <c r="H195" s="105" t="str">
        <f>Originals!D54</f>
        <v>32</v>
      </c>
      <c r="I195" s="105" t="str">
        <f>Originals!E54</f>
        <v>2015</v>
      </c>
      <c r="J195" s="105" t="str">
        <f>Originals!F54</f>
        <v>Development</v>
      </c>
      <c r="K195" s="105" t="str">
        <f>Originals!G54</f>
        <v>NI</v>
      </c>
      <c r="L195" s="105" t="str">
        <f>Originals!H54</f>
        <v>NI-FGEN Soft Front Panel 15.0</v>
      </c>
      <c r="M195" s="105" t="str">
        <f>Originals!I54</f>
        <v>NI Developer Suite 2015 DS2 Install</v>
      </c>
      <c r="N195" s="98" t="s">
        <v>136</v>
      </c>
    </row>
    <row r="196" spans="1:14" x14ac:dyDescent="0.25">
      <c r="A196" s="104" t="s">
        <v>510</v>
      </c>
      <c r="B196" s="103" t="s">
        <v>507</v>
      </c>
      <c r="C196" s="104" t="s">
        <v>510</v>
      </c>
      <c r="D196" s="103" t="s">
        <v>507</v>
      </c>
      <c r="E196" s="104" t="s">
        <v>510</v>
      </c>
      <c r="F196" s="105" t="str">
        <f>Originals!B132</f>
        <v>NI-HSDIO</v>
      </c>
      <c r="G196" s="105">
        <f>Originals!C132</f>
        <v>0</v>
      </c>
      <c r="H196" s="105" t="str">
        <f>Originals!D132</f>
        <v>32</v>
      </c>
      <c r="I196" s="105" t="str">
        <f>Originals!E132</f>
        <v>2015</v>
      </c>
      <c r="J196" s="105" t="str">
        <f>Originals!F132</f>
        <v>Development</v>
      </c>
      <c r="K196" s="105" t="str">
        <f>Originals!G132</f>
        <v>NI</v>
      </c>
      <c r="L196" s="105" t="str">
        <f>Originals!H132</f>
        <v xml:space="preserve">NI-HSDIO </v>
      </c>
      <c r="M196" s="105" t="str">
        <f>Originals!I132</f>
        <v>NI Developer Suite 2015 DS2 Install</v>
      </c>
      <c r="N196" s="98" t="s">
        <v>136</v>
      </c>
    </row>
    <row r="197" spans="1:14" x14ac:dyDescent="0.25">
      <c r="A197" s="104" t="s">
        <v>510</v>
      </c>
      <c r="B197" s="103" t="s">
        <v>507</v>
      </c>
      <c r="C197" s="104" t="s">
        <v>510</v>
      </c>
      <c r="D197" s="103" t="s">
        <v>507</v>
      </c>
      <c r="E197" s="104" t="s">
        <v>510</v>
      </c>
      <c r="F197" s="105" t="str">
        <f>Originals!B133</f>
        <v>NI-HSDIO</v>
      </c>
      <c r="G197" s="105" t="str">
        <f>Originals!C133</f>
        <v>15.0</v>
      </c>
      <c r="H197" s="105" t="str">
        <f>Originals!D133</f>
        <v>32</v>
      </c>
      <c r="I197" s="105" t="str">
        <f>Originals!E133</f>
        <v>2015</v>
      </c>
      <c r="J197" s="105" t="str">
        <f>Originals!F133</f>
        <v>Runtime</v>
      </c>
      <c r="K197" s="105" t="str">
        <f>Originals!G133</f>
        <v>NI</v>
      </c>
      <c r="L197" s="105" t="str">
        <f>Originals!H133</f>
        <v>NI-HSDIO 15.0</v>
      </c>
      <c r="M197" s="105" t="str">
        <f>Originals!I133</f>
        <v>NI Developer Suite 2015 DS2 Install</v>
      </c>
      <c r="N197" s="98" t="s">
        <v>136</v>
      </c>
    </row>
    <row r="198" spans="1:14" x14ac:dyDescent="0.25">
      <c r="A198" s="104" t="s">
        <v>510</v>
      </c>
      <c r="B198" s="103" t="s">
        <v>507</v>
      </c>
      <c r="C198" s="104" t="s">
        <v>510</v>
      </c>
      <c r="D198" s="103" t="s">
        <v>507</v>
      </c>
      <c r="E198" s="104" t="s">
        <v>510</v>
      </c>
      <c r="F198" s="105" t="str">
        <f>Originals!B134</f>
        <v>NI-HSDIO Configuration Support</v>
      </c>
      <c r="G198" s="105" t="str">
        <f>Originals!C134</f>
        <v>15.0</v>
      </c>
      <c r="H198" s="105" t="str">
        <f>Originals!D134</f>
        <v>32</v>
      </c>
      <c r="I198" s="105" t="str">
        <f>Originals!E134</f>
        <v>2015</v>
      </c>
      <c r="J198" s="105" t="str">
        <f>Originals!F134</f>
        <v>Development</v>
      </c>
      <c r="K198" s="105" t="str">
        <f>Originals!G134</f>
        <v>NI</v>
      </c>
      <c r="L198" s="105" t="str">
        <f>Originals!H134</f>
        <v>NI-HSDIO Configuration Support 15.0</v>
      </c>
      <c r="M198" s="105" t="str">
        <f>Originals!I134</f>
        <v>NI Developer Suite 2015 DS2 Install</v>
      </c>
      <c r="N198" s="98" t="s">
        <v>136</v>
      </c>
    </row>
    <row r="199" spans="1:14" x14ac:dyDescent="0.25">
      <c r="A199" s="104" t="s">
        <v>510</v>
      </c>
      <c r="B199" s="103" t="s">
        <v>507</v>
      </c>
      <c r="C199" s="104" t="s">
        <v>510</v>
      </c>
      <c r="D199" s="103" t="s">
        <v>507</v>
      </c>
      <c r="E199" s="104" t="s">
        <v>510</v>
      </c>
      <c r="F199" s="105" t="str">
        <f>Originals!B135</f>
        <v>NI-HSDIO Development Support</v>
      </c>
      <c r="G199" s="105" t="str">
        <f>Originals!C135</f>
        <v>15.0</v>
      </c>
      <c r="H199" s="105" t="str">
        <f>Originals!D135</f>
        <v>32</v>
      </c>
      <c r="I199" s="105" t="str">
        <f>Originals!E135</f>
        <v>2015</v>
      </c>
      <c r="J199" s="105" t="str">
        <f>Originals!F135</f>
        <v>Development</v>
      </c>
      <c r="K199" s="105" t="str">
        <f>Originals!G135</f>
        <v>NI</v>
      </c>
      <c r="L199" s="105" t="str">
        <f>Originals!H135</f>
        <v>NI-HSDIO Development Support 15.0</v>
      </c>
      <c r="M199" s="105" t="str">
        <f>Originals!I135</f>
        <v>NI Developer Suite 2015 DS2 Install</v>
      </c>
      <c r="N199" s="98" t="s">
        <v>136</v>
      </c>
    </row>
    <row r="200" spans="1:14" x14ac:dyDescent="0.25">
      <c r="A200" s="104" t="s">
        <v>510</v>
      </c>
      <c r="B200" s="103" t="s">
        <v>507</v>
      </c>
      <c r="C200" s="104" t="s">
        <v>510</v>
      </c>
      <c r="D200" s="103" t="s">
        <v>507</v>
      </c>
      <c r="E200" s="104" t="s">
        <v>510</v>
      </c>
      <c r="F200" s="105" t="str">
        <f>Originals!B136</f>
        <v>NI-HWS</v>
      </c>
      <c r="G200" s="105" t="str">
        <f>Originals!C136</f>
        <v>15.0.0</v>
      </c>
      <c r="H200" s="105" t="str">
        <f>Originals!D136</f>
        <v>32</v>
      </c>
      <c r="I200" s="105" t="str">
        <f>Originals!E136</f>
        <v>2015</v>
      </c>
      <c r="J200" s="105" t="str">
        <f>Originals!F136</f>
        <v>Development</v>
      </c>
      <c r="K200" s="105" t="str">
        <f>Originals!G136</f>
        <v>NI</v>
      </c>
      <c r="L200" s="105" t="str">
        <f>Originals!H136</f>
        <v>NI-HWS 15.0.0</v>
      </c>
      <c r="M200" s="105" t="str">
        <f>Originals!I136</f>
        <v>NI Developer Suite 2015 DS2 Install</v>
      </c>
      <c r="N200" s="98" t="s">
        <v>136</v>
      </c>
    </row>
    <row r="201" spans="1:14" x14ac:dyDescent="0.25">
      <c r="A201" s="104" t="s">
        <v>510</v>
      </c>
      <c r="B201" s="104" t="s">
        <v>510</v>
      </c>
      <c r="C201" s="103" t="s">
        <v>507</v>
      </c>
      <c r="D201" s="104" t="s">
        <v>510</v>
      </c>
      <c r="E201" s="104" t="s">
        <v>510</v>
      </c>
      <c r="F201" s="106" t="str">
        <f>Originals!B289</f>
        <v>NI-IMAQ</v>
      </c>
      <c r="G201" s="106" t="str">
        <f>Originals!C289</f>
        <v>19.5.0</v>
      </c>
      <c r="H201" s="106" t="str">
        <f>Originals!D289</f>
        <v>32</v>
      </c>
      <c r="I201" s="106" t="str">
        <f>Originals!E289</f>
        <v>2019</v>
      </c>
      <c r="J201" s="106" t="str">
        <f>Originals!F289</f>
        <v>Development</v>
      </c>
      <c r="K201" s="106" t="str">
        <f>Originals!G289</f>
        <v>NI</v>
      </c>
      <c r="L201" s="106" t="str">
        <f>Originals!H289</f>
        <v>NI-IMAQ 19.5.0</v>
      </c>
      <c r="M201" s="106">
        <f>Originals!I289</f>
        <v>0</v>
      </c>
      <c r="N201" s="107" t="s">
        <v>2</v>
      </c>
    </row>
    <row r="202" spans="1:14" x14ac:dyDescent="0.25">
      <c r="A202" s="104" t="s">
        <v>510</v>
      </c>
      <c r="B202" s="104" t="s">
        <v>510</v>
      </c>
      <c r="C202" s="103" t="s">
        <v>507</v>
      </c>
      <c r="D202" s="104" t="s">
        <v>510</v>
      </c>
      <c r="E202" s="104" t="s">
        <v>510</v>
      </c>
      <c r="F202" s="106" t="str">
        <f>Originals!B290</f>
        <v>NI-IMAQ</v>
      </c>
      <c r="G202" s="106" t="str">
        <f>Originals!C290</f>
        <v>19.5.0</v>
      </c>
      <c r="H202" s="106" t="str">
        <f>Originals!D290</f>
        <v>32</v>
      </c>
      <c r="I202" s="106" t="str">
        <f>Originals!E290</f>
        <v>2019</v>
      </c>
      <c r="J202" s="106" t="str">
        <f>Originals!F290</f>
        <v>Runtime</v>
      </c>
      <c r="K202" s="106" t="str">
        <f>Originals!G290</f>
        <v>NI</v>
      </c>
      <c r="L202" s="106" t="str">
        <f>Originals!H290</f>
        <v>NI-IMAQ 19.5.0</v>
      </c>
      <c r="M202" s="106">
        <f>Originals!I290</f>
        <v>0</v>
      </c>
      <c r="N202" s="107" t="s">
        <v>2</v>
      </c>
    </row>
    <row r="203" spans="1:14" x14ac:dyDescent="0.25">
      <c r="A203" s="104" t="s">
        <v>510</v>
      </c>
      <c r="B203" s="104" t="s">
        <v>510</v>
      </c>
      <c r="C203" s="103" t="s">
        <v>507</v>
      </c>
      <c r="D203" s="103" t="s">
        <v>507</v>
      </c>
      <c r="E203" s="104" t="s">
        <v>510</v>
      </c>
      <c r="F203" s="105" t="str">
        <f>Scott!B70</f>
        <v>MGI File</v>
      </c>
      <c r="G203" s="105" t="str">
        <f>Scott!C70</f>
        <v>1.1.0.4</v>
      </c>
      <c r="H203" s="105" t="str">
        <f>Scott!D70</f>
        <v>32</v>
      </c>
      <c r="I203" s="105" t="str">
        <f>Scott!E70</f>
        <v>N/A</v>
      </c>
      <c r="J203" s="105" t="str">
        <f>Scott!F70</f>
        <v>Development</v>
      </c>
      <c r="K203" s="105" t="str">
        <f>Scott!G70</f>
        <v>MGI</v>
      </c>
      <c r="L203" s="105" t="str">
        <f>Scott!H70</f>
        <v>MGI File 1.1.0.4</v>
      </c>
      <c r="M203" s="105" t="str">
        <f>Scott!I70</f>
        <v>VIPM Community</v>
      </c>
      <c r="N203" s="98" t="s">
        <v>136</v>
      </c>
    </row>
    <row r="204" spans="1:14" x14ac:dyDescent="0.25">
      <c r="A204" s="104" t="s">
        <v>510</v>
      </c>
      <c r="B204" s="104" t="s">
        <v>510</v>
      </c>
      <c r="C204" s="103" t="s">
        <v>507</v>
      </c>
      <c r="D204" s="103" t="s">
        <v>507</v>
      </c>
      <c r="E204" s="104" t="s">
        <v>510</v>
      </c>
      <c r="F204" s="105" t="str">
        <f>Scott!B71</f>
        <v>MGI Graph</v>
      </c>
      <c r="G204" s="105" t="str">
        <f>Scott!C71</f>
        <v>1.0.2.6</v>
      </c>
      <c r="H204" s="105" t="str">
        <f>Scott!D71</f>
        <v>32</v>
      </c>
      <c r="I204" s="105" t="str">
        <f>Scott!E71</f>
        <v>N/A</v>
      </c>
      <c r="J204" s="105" t="str">
        <f>Scott!F71</f>
        <v>Development</v>
      </c>
      <c r="K204" s="105" t="str">
        <f>Scott!G71</f>
        <v>MGI</v>
      </c>
      <c r="L204" s="105" t="str">
        <f>Scott!H71</f>
        <v>MGI Graph 1.0.2.6</v>
      </c>
      <c r="M204" s="105" t="str">
        <f>Scott!I71</f>
        <v>VIPM Community</v>
      </c>
      <c r="N204" s="98" t="s">
        <v>136</v>
      </c>
    </row>
    <row r="205" spans="1:14" x14ac:dyDescent="0.25">
      <c r="A205" s="104" t="s">
        <v>510</v>
      </c>
      <c r="B205" s="104" t="s">
        <v>510</v>
      </c>
      <c r="C205" s="103" t="s">
        <v>507</v>
      </c>
      <c r="D205" s="104" t="s">
        <v>510</v>
      </c>
      <c r="E205" s="104" t="s">
        <v>510</v>
      </c>
      <c r="F205" s="106" t="str">
        <f>Originals!B291</f>
        <v>NI-IMAQ Development Support</v>
      </c>
      <c r="G205" s="106" t="str">
        <f>Originals!C291</f>
        <v>18.5.0</v>
      </c>
      <c r="H205" s="106" t="str">
        <f>Originals!D291</f>
        <v>32</v>
      </c>
      <c r="I205" s="106" t="str">
        <f>Originals!E291</f>
        <v>2018</v>
      </c>
      <c r="J205" s="106" t="str">
        <f>Originals!F291</f>
        <v>Development</v>
      </c>
      <c r="K205" s="106" t="str">
        <f>Originals!G291</f>
        <v>NI</v>
      </c>
      <c r="L205" s="106" t="str">
        <f>Originals!H291</f>
        <v>NI-IMAQ Development Support 18.5.0</v>
      </c>
      <c r="M205" s="106">
        <f>Originals!I291</f>
        <v>0</v>
      </c>
      <c r="N205" s="107" t="s">
        <v>509</v>
      </c>
    </row>
    <row r="206" spans="1:14" x14ac:dyDescent="0.25">
      <c r="A206" s="104" t="s">
        <v>510</v>
      </c>
      <c r="B206" s="104" t="s">
        <v>510</v>
      </c>
      <c r="C206" s="103" t="s">
        <v>507</v>
      </c>
      <c r="D206" s="104" t="s">
        <v>510</v>
      </c>
      <c r="E206" s="104" t="s">
        <v>510</v>
      </c>
      <c r="F206" s="106" t="str">
        <f>Originals!B292</f>
        <v>NI-IMAQ I/O</v>
      </c>
      <c r="G206" s="106" t="str">
        <f>Originals!C292</f>
        <v>18.5.0</v>
      </c>
      <c r="H206" s="106" t="str">
        <f>Originals!D292</f>
        <v>32</v>
      </c>
      <c r="I206" s="106" t="str">
        <f>Originals!E292</f>
        <v>2018</v>
      </c>
      <c r="J206" s="106" t="str">
        <f>Originals!F292</f>
        <v>Development</v>
      </c>
      <c r="K206" s="106" t="str">
        <f>Originals!G292</f>
        <v>NI</v>
      </c>
      <c r="L206" s="106" t="str">
        <f>Originals!H292</f>
        <v>NI-IMAQ I/O 18.5.0</v>
      </c>
      <c r="M206" s="106">
        <f>Originals!I292</f>
        <v>0</v>
      </c>
      <c r="N206" s="107" t="s">
        <v>2</v>
      </c>
    </row>
    <row r="207" spans="1:14" x14ac:dyDescent="0.25">
      <c r="A207" s="104" t="s">
        <v>510</v>
      </c>
      <c r="B207" s="104" t="s">
        <v>510</v>
      </c>
      <c r="C207" s="103" t="s">
        <v>507</v>
      </c>
      <c r="D207" s="104" t="s">
        <v>510</v>
      </c>
      <c r="E207" s="104" t="s">
        <v>510</v>
      </c>
      <c r="F207" s="106" t="str">
        <f>Originals!B293</f>
        <v>NI-IMAQ I/O</v>
      </c>
      <c r="G207" s="106" t="str">
        <f>Originals!C293</f>
        <v>18.5.0</v>
      </c>
      <c r="H207" s="106" t="str">
        <f>Originals!D293</f>
        <v>32</v>
      </c>
      <c r="I207" s="106" t="str">
        <f>Originals!E293</f>
        <v>2018</v>
      </c>
      <c r="J207" s="106" t="str">
        <f>Originals!F293</f>
        <v>Runtime</v>
      </c>
      <c r="K207" s="106" t="str">
        <f>Originals!G293</f>
        <v>NI</v>
      </c>
      <c r="L207" s="106" t="str">
        <f>Originals!H293</f>
        <v>NI-IMAQ I/O 18.5.0</v>
      </c>
      <c r="M207" s="106">
        <f>Originals!I293</f>
        <v>0</v>
      </c>
      <c r="N207" s="107" t="s">
        <v>2</v>
      </c>
    </row>
    <row r="208" spans="1:14" x14ac:dyDescent="0.25">
      <c r="A208" s="104" t="s">
        <v>510</v>
      </c>
      <c r="B208" s="104" t="s">
        <v>510</v>
      </c>
      <c r="C208" s="103" t="s">
        <v>507</v>
      </c>
      <c r="D208" s="103" t="s">
        <v>507</v>
      </c>
      <c r="E208" s="104" t="s">
        <v>510</v>
      </c>
      <c r="F208" s="105" t="str">
        <f>Scott!B72</f>
        <v>MGI Library</v>
      </c>
      <c r="G208" s="105" t="str">
        <f>Scott!C72</f>
        <v>1.2.0.4</v>
      </c>
      <c r="H208" s="105" t="str">
        <f>Scott!D72</f>
        <v>32</v>
      </c>
      <c r="I208" s="105" t="str">
        <f>Scott!E72</f>
        <v>N/A</v>
      </c>
      <c r="J208" s="105" t="str">
        <f>Scott!F72</f>
        <v>Development</v>
      </c>
      <c r="K208" s="105" t="str">
        <f>Scott!G72</f>
        <v>MGI</v>
      </c>
      <c r="L208" s="105" t="str">
        <f>Scott!H72</f>
        <v>MGI Library 1.2.0.4</v>
      </c>
      <c r="M208" s="105" t="str">
        <f>Scott!I72</f>
        <v>VIPM Community</v>
      </c>
      <c r="N208" s="98" t="s">
        <v>136</v>
      </c>
    </row>
    <row r="209" spans="1:14" x14ac:dyDescent="0.25">
      <c r="A209" s="104" t="s">
        <v>510</v>
      </c>
      <c r="B209" s="104" t="s">
        <v>510</v>
      </c>
      <c r="C209" s="103" t="s">
        <v>507</v>
      </c>
      <c r="D209" s="103" t="s">
        <v>507</v>
      </c>
      <c r="E209" s="104" t="s">
        <v>510</v>
      </c>
      <c r="F209" s="105" t="str">
        <f>Scott!B73</f>
        <v>MGI Matrix &amp; Vector</v>
      </c>
      <c r="G209" s="105" t="str">
        <f>Scott!C73</f>
        <v>1.1.0.1</v>
      </c>
      <c r="H209" s="105" t="str">
        <f>Scott!D73</f>
        <v>32</v>
      </c>
      <c r="I209" s="105" t="str">
        <f>Scott!E73</f>
        <v>N/A</v>
      </c>
      <c r="J209" s="105" t="str">
        <f>Scott!F73</f>
        <v>Development</v>
      </c>
      <c r="K209" s="105" t="str">
        <f>Scott!G73</f>
        <v>MGI</v>
      </c>
      <c r="L209" s="105" t="str">
        <f>Scott!H73</f>
        <v>MGI Matrix &amp; Vector 1.1.0.1</v>
      </c>
      <c r="M209" s="105" t="str">
        <f>Scott!I73</f>
        <v>VIPM Community</v>
      </c>
      <c r="N209" s="98" t="s">
        <v>136</v>
      </c>
    </row>
    <row r="210" spans="1:14" x14ac:dyDescent="0.25">
      <c r="A210" s="104" t="s">
        <v>510</v>
      </c>
      <c r="B210" s="104" t="s">
        <v>510</v>
      </c>
      <c r="C210" s="103" t="s">
        <v>507</v>
      </c>
      <c r="D210" s="104" t="s">
        <v>510</v>
      </c>
      <c r="E210" s="104" t="s">
        <v>510</v>
      </c>
      <c r="F210" s="106" t="str">
        <f>Originals!B294</f>
        <v>NI-IMAQ I/O Development Support</v>
      </c>
      <c r="G210" s="106" t="str">
        <f>Originals!C294</f>
        <v>18.5.0</v>
      </c>
      <c r="H210" s="106" t="str">
        <f>Originals!D294</f>
        <v>32</v>
      </c>
      <c r="I210" s="106" t="str">
        <f>Originals!E294</f>
        <v>2018</v>
      </c>
      <c r="J210" s="106" t="str">
        <f>Originals!F294</f>
        <v>Development</v>
      </c>
      <c r="K210" s="106" t="str">
        <f>Originals!G294</f>
        <v>NI</v>
      </c>
      <c r="L210" s="106" t="str">
        <f>Originals!H294</f>
        <v>NI-IMAQ I/O Development Support 18.5.0</v>
      </c>
      <c r="M210" s="106">
        <f>Originals!I294</f>
        <v>0</v>
      </c>
      <c r="N210" s="107" t="s">
        <v>2</v>
      </c>
    </row>
    <row r="211" spans="1:14" x14ac:dyDescent="0.25">
      <c r="A211" s="104" t="s">
        <v>510</v>
      </c>
      <c r="B211" s="104" t="s">
        <v>510</v>
      </c>
      <c r="C211" s="103" t="s">
        <v>507</v>
      </c>
      <c r="D211" s="104" t="s">
        <v>510</v>
      </c>
      <c r="E211" s="104" t="s">
        <v>510</v>
      </c>
      <c r="F211" s="106" t="str">
        <f>Originals!B295</f>
        <v>NI-IMAQdx</v>
      </c>
      <c r="G211" s="106" t="str">
        <f>Originals!C295</f>
        <v>18.5.0</v>
      </c>
      <c r="H211" s="106" t="str">
        <f>Originals!D295</f>
        <v>32</v>
      </c>
      <c r="I211" s="106" t="str">
        <f>Originals!E295</f>
        <v>2018</v>
      </c>
      <c r="J211" s="106" t="str">
        <f>Originals!F295</f>
        <v>Development</v>
      </c>
      <c r="K211" s="106" t="str">
        <f>Originals!G295</f>
        <v>NI</v>
      </c>
      <c r="L211" s="106" t="str">
        <f>Originals!H295</f>
        <v>NI-IMAQdx 18.5.0</v>
      </c>
      <c r="M211" s="106">
        <f>Originals!I295</f>
        <v>0</v>
      </c>
      <c r="N211" s="107" t="s">
        <v>2</v>
      </c>
    </row>
    <row r="212" spans="1:14" x14ac:dyDescent="0.25">
      <c r="A212" s="104" t="s">
        <v>510</v>
      </c>
      <c r="B212" s="104" t="s">
        <v>510</v>
      </c>
      <c r="C212" s="103" t="s">
        <v>507</v>
      </c>
      <c r="D212" s="104" t="s">
        <v>510</v>
      </c>
      <c r="E212" s="104" t="s">
        <v>510</v>
      </c>
      <c r="F212" s="106" t="str">
        <f>Originals!B296</f>
        <v>NI-IMAQdx</v>
      </c>
      <c r="G212" s="106" t="str">
        <f>Originals!C296</f>
        <v>18.5.0</v>
      </c>
      <c r="H212" s="106" t="str">
        <f>Originals!D296</f>
        <v>32</v>
      </c>
      <c r="I212" s="106" t="str">
        <f>Originals!E296</f>
        <v>2018</v>
      </c>
      <c r="J212" s="106" t="str">
        <f>Originals!F296</f>
        <v>Runtime</v>
      </c>
      <c r="K212" s="106" t="str">
        <f>Originals!G296</f>
        <v>NI</v>
      </c>
      <c r="L212" s="106" t="str">
        <f>Originals!H296</f>
        <v>NI-IMAQdx 18.5.0</v>
      </c>
      <c r="M212" s="106">
        <f>Originals!I296</f>
        <v>0</v>
      </c>
      <c r="N212" s="107" t="s">
        <v>2</v>
      </c>
    </row>
    <row r="213" spans="1:14" x14ac:dyDescent="0.25">
      <c r="A213" s="104" t="s">
        <v>510</v>
      </c>
      <c r="B213" s="104" t="s">
        <v>510</v>
      </c>
      <c r="C213" s="103" t="s">
        <v>507</v>
      </c>
      <c r="D213" s="103" t="s">
        <v>507</v>
      </c>
      <c r="E213" s="104" t="s">
        <v>510</v>
      </c>
      <c r="F213" s="105" t="str">
        <f>Scott!B74</f>
        <v>MGI Menu Building</v>
      </c>
      <c r="G213" s="105" t="str">
        <f>Scott!C74</f>
        <v>1.0.1.4</v>
      </c>
      <c r="H213" s="105" t="str">
        <f>Scott!D74</f>
        <v>32</v>
      </c>
      <c r="I213" s="105" t="str">
        <f>Scott!E74</f>
        <v>N/A</v>
      </c>
      <c r="J213" s="105" t="str">
        <f>Scott!F74</f>
        <v>Development</v>
      </c>
      <c r="K213" s="105" t="str">
        <f>Scott!G74</f>
        <v>MGI</v>
      </c>
      <c r="L213" s="105" t="str">
        <f>Scott!H74</f>
        <v>MGI Menu Building 1.0.1.4</v>
      </c>
      <c r="M213" s="105" t="str">
        <f>Scott!I74</f>
        <v>VIPM Community</v>
      </c>
      <c r="N213" s="98" t="s">
        <v>136</v>
      </c>
    </row>
    <row r="214" spans="1:14" x14ac:dyDescent="0.25">
      <c r="A214" s="104" t="s">
        <v>510</v>
      </c>
      <c r="B214" s="104" t="s">
        <v>510</v>
      </c>
      <c r="C214" s="103" t="s">
        <v>507</v>
      </c>
      <c r="D214" s="103" t="s">
        <v>507</v>
      </c>
      <c r="E214" s="104" t="s">
        <v>510</v>
      </c>
      <c r="F214" s="105" t="str">
        <f>Scott!B75</f>
        <v>MGI Monitored Actor</v>
      </c>
      <c r="G214" s="105" t="str">
        <f>Scott!C75</f>
        <v>2.0.0.23</v>
      </c>
      <c r="H214" s="105" t="str">
        <f>Scott!D75</f>
        <v>32</v>
      </c>
      <c r="I214" s="105" t="str">
        <f>Scott!E75</f>
        <v>N/A</v>
      </c>
      <c r="J214" s="105" t="str">
        <f>Scott!F75</f>
        <v>Development</v>
      </c>
      <c r="K214" s="105" t="str">
        <f>Scott!G75</f>
        <v>MGI</v>
      </c>
      <c r="L214" s="105" t="str">
        <f>Scott!H75</f>
        <v>MGI Monitored Actor 2.0.0.23</v>
      </c>
      <c r="M214" s="105" t="str">
        <f>Scott!I75</f>
        <v>VIPM Community</v>
      </c>
      <c r="N214" s="98" t="s">
        <v>136</v>
      </c>
    </row>
    <row r="215" spans="1:14" x14ac:dyDescent="0.25">
      <c r="A215" s="104" t="s">
        <v>510</v>
      </c>
      <c r="B215" s="104" t="s">
        <v>510</v>
      </c>
      <c r="C215" s="103" t="s">
        <v>507</v>
      </c>
      <c r="D215" s="104" t="s">
        <v>510</v>
      </c>
      <c r="E215" s="104" t="s">
        <v>510</v>
      </c>
      <c r="F215" s="106" t="str">
        <f>Originals!B297</f>
        <v>NI-IMAQdx Development Support</v>
      </c>
      <c r="G215" s="106" t="str">
        <f>Originals!C297</f>
        <v>18.5.0</v>
      </c>
      <c r="H215" s="106" t="str">
        <f>Originals!D297</f>
        <v>32</v>
      </c>
      <c r="I215" s="106" t="str">
        <f>Originals!E297</f>
        <v>2018</v>
      </c>
      <c r="J215" s="106" t="str">
        <f>Originals!F297</f>
        <v>Development</v>
      </c>
      <c r="K215" s="106" t="str">
        <f>Originals!G297</f>
        <v>NI</v>
      </c>
      <c r="L215" s="106" t="str">
        <f>Originals!H297</f>
        <v>NI-IMAQdx Development Support 18.5.0</v>
      </c>
      <c r="M215" s="106">
        <f>Originals!I297</f>
        <v>0</v>
      </c>
      <c r="N215" s="107" t="s">
        <v>2</v>
      </c>
    </row>
    <row r="216" spans="1:14" x14ac:dyDescent="0.25">
      <c r="A216" s="104" t="s">
        <v>510</v>
      </c>
      <c r="B216" s="103" t="s">
        <v>507</v>
      </c>
      <c r="C216" s="103" t="s">
        <v>507</v>
      </c>
      <c r="D216" s="104" t="s">
        <v>510</v>
      </c>
      <c r="E216" s="104" t="s">
        <v>510</v>
      </c>
      <c r="F216" s="105" t="str">
        <f>Originals!B137</f>
        <v>NI-Industrial Communications for EtherCAT</v>
      </c>
      <c r="G216" s="105" t="str">
        <f>Originals!C137</f>
        <v>15.0.0f3</v>
      </c>
      <c r="H216" s="105" t="str">
        <f>Originals!D137</f>
        <v>32</v>
      </c>
      <c r="I216" s="105" t="str">
        <f>Originals!E137</f>
        <v>2015</v>
      </c>
      <c r="J216" s="105" t="str">
        <f>Originals!F137</f>
        <v>Development</v>
      </c>
      <c r="K216" s="105" t="str">
        <f>Originals!G137</f>
        <v>NI</v>
      </c>
      <c r="L216" s="105" t="str">
        <f>Originals!H137</f>
        <v>NI-Industrial Communications for EtherCAT 15.0.0f3</v>
      </c>
      <c r="M216" s="105" t="str">
        <f>Originals!I137</f>
        <v>NI-Industrial Communications for EtherCAT on "Y' Drive</v>
      </c>
      <c r="N216" s="98" t="s">
        <v>136</v>
      </c>
    </row>
    <row r="217" spans="1:14" x14ac:dyDescent="0.25">
      <c r="A217" s="104" t="s">
        <v>510</v>
      </c>
      <c r="B217" s="104" t="s">
        <v>510</v>
      </c>
      <c r="C217" s="103" t="s">
        <v>507</v>
      </c>
      <c r="D217" s="104" t="s">
        <v>510</v>
      </c>
      <c r="E217" s="104" t="s">
        <v>510</v>
      </c>
      <c r="F217" s="106" t="str">
        <f>Originals!B298</f>
        <v>NI-Industrial Communications for EtherCAT</v>
      </c>
      <c r="G217" s="106" t="str">
        <f>Originals!C298</f>
        <v>15.0</v>
      </c>
      <c r="H217" s="106" t="str">
        <f>Originals!D298</f>
        <v>32</v>
      </c>
      <c r="I217" s="106" t="str">
        <f>Originals!E298</f>
        <v>2015</v>
      </c>
      <c r="J217" s="106" t="str">
        <f>Originals!F298</f>
        <v>Development</v>
      </c>
      <c r="K217" s="106" t="str">
        <f>Originals!G298</f>
        <v>NI</v>
      </c>
      <c r="L217" s="106" t="str">
        <f>Originals!H298</f>
        <v>NI-Industrial Communications for EtherCAT 15.0</v>
      </c>
      <c r="M217" s="106" t="str">
        <f>Originals!I298</f>
        <v>NI-Industrial Communications for EtherCAT on "Y' Drive</v>
      </c>
      <c r="N217" s="107" t="s">
        <v>509</v>
      </c>
    </row>
    <row r="218" spans="1:14" x14ac:dyDescent="0.25">
      <c r="A218" s="104" t="s">
        <v>510</v>
      </c>
      <c r="B218" s="104" t="s">
        <v>510</v>
      </c>
      <c r="C218" s="103" t="s">
        <v>507</v>
      </c>
      <c r="D218" s="104" t="s">
        <v>510</v>
      </c>
      <c r="E218" s="104" t="s">
        <v>510</v>
      </c>
      <c r="F218" s="106" t="str">
        <f>Originals!B299</f>
        <v>NI-Industrial Communications for EtherCAT</v>
      </c>
      <c r="G218" s="106">
        <f>Originals!C299</f>
        <v>0</v>
      </c>
      <c r="H218" s="106" t="str">
        <f>Originals!D299</f>
        <v>32</v>
      </c>
      <c r="I218" s="106" t="str">
        <f>Originals!E299</f>
        <v>N/A</v>
      </c>
      <c r="J218" s="106" t="str">
        <f>Originals!F299</f>
        <v>C-RIO</v>
      </c>
      <c r="K218" s="106" t="str">
        <f>Originals!G299</f>
        <v>NI</v>
      </c>
      <c r="L218" s="106" t="str">
        <f>Originals!H299</f>
        <v xml:space="preserve">NI-Industrial Communications for EtherCAT </v>
      </c>
      <c r="M218" s="106">
        <f>Originals!I299</f>
        <v>0</v>
      </c>
      <c r="N218" s="107" t="s">
        <v>509</v>
      </c>
    </row>
    <row r="219" spans="1:14" x14ac:dyDescent="0.25">
      <c r="A219" s="104" t="s">
        <v>510</v>
      </c>
      <c r="B219" s="104" t="s">
        <v>510</v>
      </c>
      <c r="C219" s="104" t="s">
        <v>510</v>
      </c>
      <c r="D219" s="104" t="s">
        <v>510</v>
      </c>
      <c r="E219" s="103" t="s">
        <v>507</v>
      </c>
      <c r="F219" s="114" t="str">
        <f>Originals!B389</f>
        <v>NI-Industrial Communications for EtherCAT</v>
      </c>
      <c r="G219" s="114" t="str">
        <f>Originals!C389</f>
        <v>18.0</v>
      </c>
      <c r="H219" s="114" t="str">
        <f>Originals!D389</f>
        <v>32</v>
      </c>
      <c r="I219" s="114" t="str">
        <f>Originals!E389</f>
        <v>2018</v>
      </c>
      <c r="J219" s="114" t="str">
        <f>Originals!F389</f>
        <v>Development</v>
      </c>
      <c r="K219" s="114" t="str">
        <f>Originals!G389</f>
        <v>NI</v>
      </c>
      <c r="L219" s="114" t="str">
        <f>Originals!H389</f>
        <v>NI-Industrial Communications for EtherCAT 18.0</v>
      </c>
      <c r="M219" s="114">
        <f>Originals!I389</f>
        <v>0</v>
      </c>
      <c r="N219" s="115" t="s">
        <v>466</v>
      </c>
    </row>
    <row r="220" spans="1:14" x14ac:dyDescent="0.25">
      <c r="A220" s="104" t="s">
        <v>510</v>
      </c>
      <c r="B220" s="104" t="s">
        <v>510</v>
      </c>
      <c r="C220" s="103" t="s">
        <v>507</v>
      </c>
      <c r="D220" s="103" t="s">
        <v>507</v>
      </c>
      <c r="E220" s="104" t="s">
        <v>510</v>
      </c>
      <c r="F220" s="105" t="str">
        <f>Scott!B76</f>
        <v>MGI Numeric</v>
      </c>
      <c r="G220" s="105" t="str">
        <f>Scott!C76</f>
        <v>1.1.0.2</v>
      </c>
      <c r="H220" s="105" t="str">
        <f>Scott!D76</f>
        <v>32</v>
      </c>
      <c r="I220" s="105" t="str">
        <f>Scott!E76</f>
        <v>N/A</v>
      </c>
      <c r="J220" s="105" t="str">
        <f>Scott!F76</f>
        <v>Development</v>
      </c>
      <c r="K220" s="105" t="str">
        <f>Scott!G76</f>
        <v>MGI</v>
      </c>
      <c r="L220" s="105" t="str">
        <f>Scott!H76</f>
        <v>MGI Numeric 1.1.0.2</v>
      </c>
      <c r="M220" s="105" t="str">
        <f>Scott!I76</f>
        <v>VIPM Community</v>
      </c>
      <c r="N220" s="98" t="s">
        <v>136</v>
      </c>
    </row>
    <row r="221" spans="1:14" x14ac:dyDescent="0.25">
      <c r="A221" s="104" t="s">
        <v>510</v>
      </c>
      <c r="B221" s="103" t="s">
        <v>507</v>
      </c>
      <c r="C221" s="104" t="s">
        <v>510</v>
      </c>
      <c r="D221" s="104" t="s">
        <v>510</v>
      </c>
      <c r="E221" s="104" t="s">
        <v>510</v>
      </c>
      <c r="F221" s="112" t="str">
        <f>Originals!B138</f>
        <v>NI-PAL</v>
      </c>
      <c r="G221" s="112" t="str">
        <f>Originals!C138</f>
        <v>19.0.0</v>
      </c>
      <c r="H221" s="112" t="str">
        <f>Originals!D138</f>
        <v>32</v>
      </c>
      <c r="I221" s="112" t="str">
        <f>Originals!E138</f>
        <v>2019</v>
      </c>
      <c r="J221" s="112" t="str">
        <f>Originals!F138</f>
        <v>Development</v>
      </c>
      <c r="K221" s="112" t="str">
        <f>Originals!G138</f>
        <v>NI</v>
      </c>
      <c r="L221" s="112" t="str">
        <f>Originals!H138</f>
        <v>NI-PAL 19.0.0</v>
      </c>
      <c r="M221" s="112">
        <f>Originals!I138</f>
        <v>0</v>
      </c>
      <c r="N221" s="113" t="s">
        <v>1</v>
      </c>
    </row>
    <row r="222" spans="1:14" x14ac:dyDescent="0.25">
      <c r="A222" s="104" t="s">
        <v>510</v>
      </c>
      <c r="B222" s="104" t="s">
        <v>510</v>
      </c>
      <c r="C222" s="104" t="s">
        <v>510</v>
      </c>
      <c r="D222" s="104" t="s">
        <v>510</v>
      </c>
      <c r="E222" s="103" t="s">
        <v>507</v>
      </c>
      <c r="F222" s="114" t="str">
        <f>Originals!B390</f>
        <v>NI-PAL</v>
      </c>
      <c r="G222" s="114" t="str">
        <f>Originals!C390</f>
        <v>18.2</v>
      </c>
      <c r="H222" s="114" t="str">
        <f>Originals!D390</f>
        <v>32</v>
      </c>
      <c r="I222" s="114" t="str">
        <f>Originals!E390</f>
        <v>2018</v>
      </c>
      <c r="J222" s="114" t="str">
        <f>Originals!F390</f>
        <v>Development</v>
      </c>
      <c r="K222" s="114" t="str">
        <f>Originals!G390</f>
        <v>NI</v>
      </c>
      <c r="L222" s="114" t="str">
        <f>Originals!H390</f>
        <v>NI-PAL 18.2</v>
      </c>
      <c r="M222" s="114">
        <f>Originals!I390</f>
        <v>0</v>
      </c>
      <c r="N222" s="115" t="s">
        <v>466</v>
      </c>
    </row>
    <row r="223" spans="1:14" x14ac:dyDescent="0.25">
      <c r="A223" s="103" t="s">
        <v>507</v>
      </c>
      <c r="B223" s="104" t="s">
        <v>510</v>
      </c>
      <c r="C223" s="103" t="s">
        <v>507</v>
      </c>
      <c r="D223" s="103" t="s">
        <v>507</v>
      </c>
      <c r="E223" s="104" t="s">
        <v>510</v>
      </c>
      <c r="F223" s="105" t="str">
        <f>Originals!B55</f>
        <v>NI-PAL Software</v>
      </c>
      <c r="G223" s="105" t="str">
        <f>Originals!C55</f>
        <v>19.0.0</v>
      </c>
      <c r="H223" s="105" t="str">
        <f>Originals!D55</f>
        <v>32</v>
      </c>
      <c r="I223" s="105" t="str">
        <f>Originals!E55</f>
        <v>2019</v>
      </c>
      <c r="J223" s="105" t="str">
        <f>Originals!F55</f>
        <v>Development</v>
      </c>
      <c r="K223" s="105" t="str">
        <f>Originals!G55</f>
        <v>NI</v>
      </c>
      <c r="L223" s="105" t="str">
        <f>Originals!H55</f>
        <v>NI-PAL Software 19.0.0</v>
      </c>
      <c r="M223" s="105" t="str">
        <f>Originals!I55</f>
        <v>LabVIEW 2019</v>
      </c>
      <c r="N223" s="98" t="s">
        <v>136</v>
      </c>
    </row>
    <row r="224" spans="1:14" x14ac:dyDescent="0.25">
      <c r="A224" s="103" t="s">
        <v>507</v>
      </c>
      <c r="B224" s="103" t="s">
        <v>507</v>
      </c>
      <c r="C224" s="104" t="s">
        <v>510</v>
      </c>
      <c r="D224" s="103" t="s">
        <v>507</v>
      </c>
      <c r="E224" s="104" t="s">
        <v>510</v>
      </c>
      <c r="F224" s="105" t="str">
        <f>Originals!B56</f>
        <v>NI-RIO</v>
      </c>
      <c r="G224" s="105" t="str">
        <f>Originals!C56</f>
        <v>15.0.0</v>
      </c>
      <c r="H224" s="105" t="str">
        <f>Originals!D56</f>
        <v>32</v>
      </c>
      <c r="I224" s="105" t="str">
        <f>Originals!E56</f>
        <v>2015</v>
      </c>
      <c r="J224" s="105" t="str">
        <f>Originals!F56</f>
        <v>Development</v>
      </c>
      <c r="K224" s="105" t="str">
        <f>Originals!G56</f>
        <v>NI</v>
      </c>
      <c r="L224" s="105" t="str">
        <f>Originals!H56</f>
        <v>NI-RIO 15.0.0</v>
      </c>
      <c r="M224" s="105" t="str">
        <f>Originals!I56</f>
        <v>NI Developer Suite 2015 DS2 Install</v>
      </c>
      <c r="N224" s="98" t="s">
        <v>136</v>
      </c>
    </row>
    <row r="225" spans="1:14" x14ac:dyDescent="0.25">
      <c r="A225" s="104" t="s">
        <v>510</v>
      </c>
      <c r="B225" s="104" t="s">
        <v>510</v>
      </c>
      <c r="C225" s="103" t="s">
        <v>507</v>
      </c>
      <c r="D225" s="104" t="s">
        <v>510</v>
      </c>
      <c r="E225" s="104" t="s">
        <v>510</v>
      </c>
      <c r="F225" s="106" t="str">
        <f>Originals!B302</f>
        <v>NI-RIO</v>
      </c>
      <c r="G225" s="106" t="str">
        <f>Originals!C302</f>
        <v>15.5</v>
      </c>
      <c r="H225" s="106" t="str">
        <f>Originals!D302</f>
        <v>32</v>
      </c>
      <c r="I225" s="106" t="str">
        <f>Originals!E302</f>
        <v>2015</v>
      </c>
      <c r="J225" s="106" t="str">
        <f>Originals!F302</f>
        <v>C-RIO</v>
      </c>
      <c r="K225" s="106" t="str">
        <f>Originals!G302</f>
        <v>NI</v>
      </c>
      <c r="L225" s="106" t="str">
        <f>Originals!H302</f>
        <v>NI-RIO 15.5</v>
      </c>
      <c r="M225" s="106">
        <f>Originals!I302</f>
        <v>0</v>
      </c>
      <c r="N225" s="107" t="s">
        <v>2</v>
      </c>
    </row>
    <row r="226" spans="1:14" x14ac:dyDescent="0.25">
      <c r="A226" s="104" t="s">
        <v>510</v>
      </c>
      <c r="B226" s="104" t="s">
        <v>510</v>
      </c>
      <c r="C226" s="103" t="s">
        <v>507</v>
      </c>
      <c r="D226" s="104" t="s">
        <v>510</v>
      </c>
      <c r="E226" s="104" t="s">
        <v>510</v>
      </c>
      <c r="F226" s="106" t="str">
        <f>Originals!B303</f>
        <v>NI-RIO</v>
      </c>
      <c r="G226" s="106" t="str">
        <f>Originals!C303</f>
        <v>18.5.0</v>
      </c>
      <c r="H226" s="106" t="str">
        <f>Originals!D303</f>
        <v>32</v>
      </c>
      <c r="I226" s="106" t="str">
        <f>Originals!E303</f>
        <v>2018</v>
      </c>
      <c r="J226" s="106" t="str">
        <f>Originals!F303</f>
        <v>Development</v>
      </c>
      <c r="K226" s="106" t="str">
        <f>Originals!G303</f>
        <v>NI</v>
      </c>
      <c r="L226" s="106" t="str">
        <f>Originals!H303</f>
        <v>NI-RIO 18.5.0</v>
      </c>
      <c r="M226" s="106">
        <f>Originals!I303</f>
        <v>0</v>
      </c>
      <c r="N226" s="107" t="s">
        <v>2</v>
      </c>
    </row>
    <row r="227" spans="1:14" x14ac:dyDescent="0.25">
      <c r="A227" s="104" t="s">
        <v>510</v>
      </c>
      <c r="B227" s="104" t="s">
        <v>510</v>
      </c>
      <c r="C227" s="104" t="s">
        <v>510</v>
      </c>
      <c r="D227" s="104" t="s">
        <v>510</v>
      </c>
      <c r="E227" s="103" t="s">
        <v>507</v>
      </c>
      <c r="F227" s="114" t="str">
        <f>Originals!B391</f>
        <v>NI-RIO</v>
      </c>
      <c r="G227" s="114" t="str">
        <f>Originals!C391</f>
        <v>18.0</v>
      </c>
      <c r="H227" s="114" t="str">
        <f>Originals!D391</f>
        <v>32</v>
      </c>
      <c r="I227" s="114" t="str">
        <f>Originals!E391</f>
        <v>2018</v>
      </c>
      <c r="J227" s="114" t="str">
        <f>Originals!F391</f>
        <v>Development</v>
      </c>
      <c r="K227" s="114" t="str">
        <f>Originals!G391</f>
        <v>NI</v>
      </c>
      <c r="L227" s="114" t="str">
        <f>Originals!H391</f>
        <v>NI-RIO 18.0</v>
      </c>
      <c r="M227" s="114">
        <f>Originals!I391</f>
        <v>0</v>
      </c>
      <c r="N227" s="115" t="s">
        <v>466</v>
      </c>
    </row>
    <row r="228" spans="1:14" x14ac:dyDescent="0.25">
      <c r="A228" s="104" t="s">
        <v>510</v>
      </c>
      <c r="B228" s="104" t="s">
        <v>510</v>
      </c>
      <c r="C228" s="103" t="s">
        <v>507</v>
      </c>
      <c r="D228" s="104" t="s">
        <v>510</v>
      </c>
      <c r="E228" s="104" t="s">
        <v>510</v>
      </c>
      <c r="F228" s="106" t="str">
        <f>Originals!B305</f>
        <v>NI-RIO IO Scan</v>
      </c>
      <c r="G228" s="106" t="str">
        <f>Originals!C305</f>
        <v>15.5</v>
      </c>
      <c r="H228" s="106" t="str">
        <f>Originals!D305</f>
        <v>32</v>
      </c>
      <c r="I228" s="106" t="str">
        <f>Originals!E305</f>
        <v>2015</v>
      </c>
      <c r="J228" s="106" t="str">
        <f>Originals!F305</f>
        <v>C-RIO</v>
      </c>
      <c r="K228" s="106" t="str">
        <f>Originals!G305</f>
        <v>NI</v>
      </c>
      <c r="L228" s="106" t="str">
        <f>Originals!H305</f>
        <v>NI-RIO IO Scan 15.5</v>
      </c>
      <c r="M228" s="106">
        <f>Originals!I305</f>
        <v>0</v>
      </c>
      <c r="N228" s="107" t="s">
        <v>2</v>
      </c>
    </row>
    <row r="229" spans="1:14" x14ac:dyDescent="0.25">
      <c r="A229" s="103" t="s">
        <v>507</v>
      </c>
      <c r="B229" s="103" t="s">
        <v>507</v>
      </c>
      <c r="C229" s="104" t="s">
        <v>510</v>
      </c>
      <c r="D229" s="103" t="s">
        <v>507</v>
      </c>
      <c r="E229" s="104" t="s">
        <v>510</v>
      </c>
      <c r="F229" s="105" t="str">
        <f>Originals!B57</f>
        <v>NI-SCOPE</v>
      </c>
      <c r="G229" s="105" t="str">
        <f>Originals!C57</f>
        <v>15.0</v>
      </c>
      <c r="H229" s="105" t="str">
        <f>Originals!D57</f>
        <v>32</v>
      </c>
      <c r="I229" s="105" t="str">
        <f>Originals!E57</f>
        <v>2015</v>
      </c>
      <c r="J229" s="105" t="str">
        <f>Originals!F57</f>
        <v>Development</v>
      </c>
      <c r="K229" s="105" t="str">
        <f>Originals!G57</f>
        <v>NI</v>
      </c>
      <c r="L229" s="105" t="str">
        <f>Originals!H57</f>
        <v>NI-SCOPE 15.0</v>
      </c>
      <c r="M229" s="105" t="str">
        <f>Originals!I57</f>
        <v>NI Developer Suite 2015 DS2 Install</v>
      </c>
      <c r="N229" s="98" t="s">
        <v>136</v>
      </c>
    </row>
    <row r="230" spans="1:14" x14ac:dyDescent="0.25">
      <c r="A230" s="103" t="s">
        <v>507</v>
      </c>
      <c r="B230" s="103" t="s">
        <v>507</v>
      </c>
      <c r="C230" s="104" t="s">
        <v>510</v>
      </c>
      <c r="D230" s="103" t="s">
        <v>507</v>
      </c>
      <c r="E230" s="104" t="s">
        <v>510</v>
      </c>
      <c r="F230" s="105" t="str">
        <f>Originals!B58</f>
        <v>NI-SCOPE</v>
      </c>
      <c r="G230" s="105" t="str">
        <f>Originals!C58</f>
        <v>15.0</v>
      </c>
      <c r="H230" s="105" t="str">
        <f>Originals!D58</f>
        <v>32</v>
      </c>
      <c r="I230" s="105" t="str">
        <f>Originals!E58</f>
        <v>2015</v>
      </c>
      <c r="J230" s="105" t="str">
        <f>Originals!F58</f>
        <v>Runtime</v>
      </c>
      <c r="K230" s="105" t="str">
        <f>Originals!G58</f>
        <v>NI</v>
      </c>
      <c r="L230" s="105" t="str">
        <f>Originals!H58</f>
        <v>NI-SCOPE 15.0</v>
      </c>
      <c r="M230" s="105" t="str">
        <f>Originals!I58</f>
        <v>NI Developer Suite 2015 DS2 Install</v>
      </c>
      <c r="N230" s="98" t="s">
        <v>136</v>
      </c>
    </row>
    <row r="231" spans="1:14" x14ac:dyDescent="0.25">
      <c r="A231" s="103" t="s">
        <v>507</v>
      </c>
      <c r="B231" s="103" t="s">
        <v>507</v>
      </c>
      <c r="C231" s="104" t="s">
        <v>510</v>
      </c>
      <c r="D231" s="103" t="s">
        <v>507</v>
      </c>
      <c r="E231" s="104" t="s">
        <v>510</v>
      </c>
      <c r="F231" s="105" t="str">
        <f>Originals!B142</f>
        <v>NI-SCOPE Configuration Support</v>
      </c>
      <c r="G231" s="105" t="str">
        <f>Originals!C142</f>
        <v>15.0</v>
      </c>
      <c r="H231" s="105" t="str">
        <f>Originals!D142</f>
        <v>32</v>
      </c>
      <c r="I231" s="105" t="str">
        <f>Originals!E142</f>
        <v>2015</v>
      </c>
      <c r="J231" s="105" t="str">
        <f>Originals!F142</f>
        <v>Development</v>
      </c>
      <c r="K231" s="105" t="str">
        <f>Originals!G142</f>
        <v>NI</v>
      </c>
      <c r="L231" s="105" t="str">
        <f>Originals!H142</f>
        <v>NI-SCOPE Configuration Support 15.0</v>
      </c>
      <c r="M231" s="105" t="str">
        <f>Originals!I142</f>
        <v>NI Developer Suite 2015 DS2 Install</v>
      </c>
      <c r="N231" s="98" t="s">
        <v>136</v>
      </c>
    </row>
    <row r="232" spans="1:14" x14ac:dyDescent="0.25">
      <c r="A232" s="103" t="s">
        <v>507</v>
      </c>
      <c r="B232" s="103" t="s">
        <v>507</v>
      </c>
      <c r="C232" s="104" t="s">
        <v>510</v>
      </c>
      <c r="D232" s="103" t="s">
        <v>507</v>
      </c>
      <c r="E232" s="104" t="s">
        <v>510</v>
      </c>
      <c r="F232" s="105" t="str">
        <f>Originals!B60</f>
        <v>NI-SCOPE Development Support</v>
      </c>
      <c r="G232" s="105" t="str">
        <f>Originals!C60</f>
        <v>15.0</v>
      </c>
      <c r="H232" s="105" t="str">
        <f>Originals!D60</f>
        <v>32</v>
      </c>
      <c r="I232" s="105" t="str">
        <f>Originals!E60</f>
        <v>2015</v>
      </c>
      <c r="J232" s="105" t="str">
        <f>Originals!F60</f>
        <v>Development</v>
      </c>
      <c r="K232" s="105" t="str">
        <f>Originals!G60</f>
        <v>NI</v>
      </c>
      <c r="L232" s="105" t="str">
        <f>Originals!H60</f>
        <v>NI-SCOPE Development Support 15.0</v>
      </c>
      <c r="M232" s="105" t="str">
        <f>Originals!I60</f>
        <v>NI Developer Suite 2015 DS2 Install</v>
      </c>
      <c r="N232" s="98" t="s">
        <v>136</v>
      </c>
    </row>
    <row r="233" spans="1:14" x14ac:dyDescent="0.25">
      <c r="A233" s="103" t="s">
        <v>507</v>
      </c>
      <c r="B233" s="103" t="s">
        <v>507</v>
      </c>
      <c r="C233" s="104" t="s">
        <v>510</v>
      </c>
      <c r="D233" s="103" t="s">
        <v>507</v>
      </c>
      <c r="E233" s="104" t="s">
        <v>510</v>
      </c>
      <c r="F233" s="105" t="str">
        <f>Originals!B61</f>
        <v>NI-SCOPE Soft Front Panel</v>
      </c>
      <c r="G233" s="105" t="str">
        <f>Originals!C61</f>
        <v>15.0</v>
      </c>
      <c r="H233" s="105" t="str">
        <f>Originals!D61</f>
        <v>32</v>
      </c>
      <c r="I233" s="105" t="str">
        <f>Originals!E61</f>
        <v>2015</v>
      </c>
      <c r="J233" s="105" t="str">
        <f>Originals!F61</f>
        <v>Development</v>
      </c>
      <c r="K233" s="105" t="str">
        <f>Originals!G61</f>
        <v>NI</v>
      </c>
      <c r="L233" s="105" t="str">
        <f>Originals!H61</f>
        <v>NI-SCOPE Soft Front Panel 15.0</v>
      </c>
      <c r="M233" s="105" t="str">
        <f>Originals!I61</f>
        <v>NI Developer Suite 2015 DS2 Install</v>
      </c>
      <c r="N233" s="98" t="s">
        <v>136</v>
      </c>
    </row>
    <row r="234" spans="1:14" x14ac:dyDescent="0.25">
      <c r="A234" s="103" t="s">
        <v>507</v>
      </c>
      <c r="B234" s="103" t="s">
        <v>507</v>
      </c>
      <c r="C234" s="104" t="s">
        <v>510</v>
      </c>
      <c r="D234" s="104" t="s">
        <v>510</v>
      </c>
      <c r="E234" s="104" t="s">
        <v>510</v>
      </c>
      <c r="F234" s="105" t="str">
        <f>Originals!B62</f>
        <v>NI-Serial</v>
      </c>
      <c r="G234" s="105" t="str">
        <f>Originals!C62</f>
        <v>18.5.0f0</v>
      </c>
      <c r="H234" s="105" t="str">
        <f>Originals!D62</f>
        <v>32</v>
      </c>
      <c r="I234" s="105" t="str">
        <f>Originals!E62</f>
        <v>2018</v>
      </c>
      <c r="J234" s="105" t="str">
        <f>Originals!F62</f>
        <v>Runtime</v>
      </c>
      <c r="K234" s="105" t="str">
        <f>Originals!G62</f>
        <v>NI</v>
      </c>
      <c r="L234" s="105" t="str">
        <f>Originals!H62</f>
        <v>NI-Serial 18.5.0f0</v>
      </c>
      <c r="M234" s="105">
        <f>Originals!I62</f>
        <v>0</v>
      </c>
      <c r="N234" s="98" t="s">
        <v>136</v>
      </c>
    </row>
    <row r="235" spans="1:14" x14ac:dyDescent="0.25">
      <c r="A235" s="104" t="s">
        <v>510</v>
      </c>
      <c r="B235" s="104" t="s">
        <v>510</v>
      </c>
      <c r="C235" s="104" t="s">
        <v>510</v>
      </c>
      <c r="D235" s="103" t="s">
        <v>507</v>
      </c>
      <c r="E235" s="104" t="s">
        <v>510</v>
      </c>
      <c r="F235" s="108" t="str">
        <f>Scott!B84</f>
        <v>MGI Timing</v>
      </c>
      <c r="G235" s="108" t="str">
        <f>Scott!C84</f>
        <v>1.1.0.2</v>
      </c>
      <c r="H235" s="108" t="str">
        <f>Scott!D84</f>
        <v>32</v>
      </c>
      <c r="I235" s="108" t="str">
        <f>Scott!E84</f>
        <v>N/A</v>
      </c>
      <c r="J235" s="108" t="str">
        <f>Scott!F84</f>
        <v>Development</v>
      </c>
      <c r="K235" s="108" t="str">
        <f>Scott!G84</f>
        <v>MGI</v>
      </c>
      <c r="L235" s="108" t="str">
        <f>Scott!H84</f>
        <v>MGI Timing 1.1.0.2</v>
      </c>
      <c r="M235" s="108" t="str">
        <f>Scott!I84</f>
        <v>VIPM Community</v>
      </c>
      <c r="N235" s="109" t="s">
        <v>96</v>
      </c>
    </row>
    <row r="236" spans="1:14" x14ac:dyDescent="0.25">
      <c r="A236" s="104" t="s">
        <v>510</v>
      </c>
      <c r="B236" s="104" t="s">
        <v>510</v>
      </c>
      <c r="C236" s="103" t="s">
        <v>507</v>
      </c>
      <c r="D236" s="104" t="s">
        <v>510</v>
      </c>
      <c r="E236" s="104" t="s">
        <v>510</v>
      </c>
      <c r="F236" s="106" t="str">
        <f>Originals!B307</f>
        <v>NI-Serial</v>
      </c>
      <c r="G236" s="106" t="str">
        <f>Originals!C307</f>
        <v>18.5.0f0</v>
      </c>
      <c r="H236" s="106" t="str">
        <f>Originals!D307</f>
        <v>32</v>
      </c>
      <c r="I236" s="106" t="str">
        <f>Originals!E307</f>
        <v>2018</v>
      </c>
      <c r="J236" s="106" t="str">
        <f>Originals!F307</f>
        <v>Runtime</v>
      </c>
      <c r="K236" s="106" t="str">
        <f>Originals!G307</f>
        <v>NI</v>
      </c>
      <c r="L236" s="106" t="str">
        <f>Originals!H307</f>
        <v>NI-Serial 18.5.0f0</v>
      </c>
      <c r="M236" s="106">
        <f>Originals!I307</f>
        <v>0</v>
      </c>
      <c r="N236" s="107" t="s">
        <v>2</v>
      </c>
    </row>
    <row r="237" spans="1:14" x14ac:dyDescent="0.25">
      <c r="A237" s="103" t="s">
        <v>507</v>
      </c>
      <c r="B237" s="103" t="s">
        <v>507</v>
      </c>
      <c r="C237" s="104" t="s">
        <v>510</v>
      </c>
      <c r="D237" s="104" t="s">
        <v>510</v>
      </c>
      <c r="E237" s="104" t="s">
        <v>510</v>
      </c>
      <c r="F237" s="105" t="str">
        <f>Originals!B63</f>
        <v>NI-Serial Configuration</v>
      </c>
      <c r="G237" s="105" t="str">
        <f>Originals!C63</f>
        <v>15.0.0f0</v>
      </c>
      <c r="H237" s="105" t="str">
        <f>Originals!D63</f>
        <v>32</v>
      </c>
      <c r="I237" s="105" t="str">
        <f>Originals!E63</f>
        <v>2015</v>
      </c>
      <c r="J237" s="105" t="str">
        <f>Originals!F63</f>
        <v>Development</v>
      </c>
      <c r="K237" s="105" t="str">
        <f>Originals!G63</f>
        <v>NI</v>
      </c>
      <c r="L237" s="105" t="str">
        <f>Originals!H63</f>
        <v>NI-Serial Configuration 15.0.0f0</v>
      </c>
      <c r="M237" s="105" t="str">
        <f>Originals!I63</f>
        <v>NI Developer Suite 2015 DS2 Install</v>
      </c>
      <c r="N237" s="98" t="s">
        <v>136</v>
      </c>
    </row>
    <row r="238" spans="1:14" x14ac:dyDescent="0.25">
      <c r="A238" s="104" t="s">
        <v>510</v>
      </c>
      <c r="B238" s="104" t="s">
        <v>510</v>
      </c>
      <c r="C238" s="103" t="s">
        <v>507</v>
      </c>
      <c r="D238" s="104" t="s">
        <v>510</v>
      </c>
      <c r="E238" s="104" t="s">
        <v>510</v>
      </c>
      <c r="F238" s="106" t="str">
        <f>Originals!B306</f>
        <v>NI-Serial Configuration</v>
      </c>
      <c r="G238" s="106" t="str">
        <f>Originals!C306</f>
        <v>18.5.0f0</v>
      </c>
      <c r="H238" s="106" t="str">
        <f>Originals!D306</f>
        <v>32</v>
      </c>
      <c r="I238" s="106" t="str">
        <f>Originals!E306</f>
        <v>2018</v>
      </c>
      <c r="J238" s="106" t="str">
        <f>Originals!F306</f>
        <v>Development</v>
      </c>
      <c r="K238" s="106" t="str">
        <f>Originals!G306</f>
        <v>NI</v>
      </c>
      <c r="L238" s="106" t="str">
        <f>Originals!H306</f>
        <v>NI-Serial Configuration 18.5.0f0</v>
      </c>
      <c r="M238" s="106">
        <f>Originals!I306</f>
        <v>0</v>
      </c>
      <c r="N238" s="107" t="s">
        <v>2</v>
      </c>
    </row>
    <row r="239" spans="1:14" x14ac:dyDescent="0.25">
      <c r="A239" s="104" t="s">
        <v>510</v>
      </c>
      <c r="B239" s="104" t="s">
        <v>510</v>
      </c>
      <c r="C239" s="104" t="s">
        <v>510</v>
      </c>
      <c r="D239" s="103" t="s">
        <v>507</v>
      </c>
      <c r="E239" s="103" t="s">
        <v>507</v>
      </c>
      <c r="F239" s="105" t="str">
        <f>Scott!B85</f>
        <v>MGI Tools</v>
      </c>
      <c r="G239" s="105" t="str">
        <f>Scott!C85</f>
        <v>1.0.0.4</v>
      </c>
      <c r="H239" s="105" t="str">
        <f>Scott!D85</f>
        <v>32</v>
      </c>
      <c r="I239" s="105" t="str">
        <f>Scott!E85</f>
        <v>N/A</v>
      </c>
      <c r="J239" s="105" t="str">
        <f>Scott!F85</f>
        <v>Development</v>
      </c>
      <c r="K239" s="105" t="str">
        <f>Scott!G85</f>
        <v>MGI</v>
      </c>
      <c r="L239" s="105" t="str">
        <f>Scott!H85</f>
        <v>MGI Tools 1.0.0.4</v>
      </c>
      <c r="M239" s="105" t="str">
        <f>Scott!I85</f>
        <v>VIPM Community</v>
      </c>
      <c r="N239" s="98" t="s">
        <v>136</v>
      </c>
    </row>
    <row r="240" spans="1:14" x14ac:dyDescent="0.25">
      <c r="A240" s="103" t="s">
        <v>507</v>
      </c>
      <c r="B240" s="103" t="s">
        <v>507</v>
      </c>
      <c r="C240" s="104" t="s">
        <v>510</v>
      </c>
      <c r="D240" s="103" t="s">
        <v>507</v>
      </c>
      <c r="E240" s="104" t="s">
        <v>510</v>
      </c>
      <c r="F240" s="105" t="str">
        <f>Originals!B64</f>
        <v>NI-SWITCH</v>
      </c>
      <c r="G240" s="105" t="str">
        <f>Originals!C64</f>
        <v>15.0</v>
      </c>
      <c r="H240" s="105" t="str">
        <f>Originals!D64</f>
        <v>32</v>
      </c>
      <c r="I240" s="105" t="str">
        <f>Originals!E64</f>
        <v>2015</v>
      </c>
      <c r="J240" s="105" t="str">
        <f>Originals!F64</f>
        <v>Development</v>
      </c>
      <c r="K240" s="105" t="str">
        <f>Originals!G64</f>
        <v>NI</v>
      </c>
      <c r="L240" s="105" t="str">
        <f>Originals!H64</f>
        <v>NI-SWITCH 15.0</v>
      </c>
      <c r="M240" s="105" t="str">
        <f>Originals!I64</f>
        <v>NI Developer Suite 2015 DS2 Install</v>
      </c>
      <c r="N240" s="98" t="s">
        <v>136</v>
      </c>
    </row>
    <row r="241" spans="1:14" x14ac:dyDescent="0.25">
      <c r="A241" s="104" t="s">
        <v>510</v>
      </c>
      <c r="B241" s="103" t="s">
        <v>507</v>
      </c>
      <c r="C241" s="104" t="s">
        <v>510</v>
      </c>
      <c r="D241" s="103" t="s">
        <v>507</v>
      </c>
      <c r="E241" s="104" t="s">
        <v>510</v>
      </c>
      <c r="F241" s="105" t="str">
        <f>Originals!B148</f>
        <v>NI-SWITCH</v>
      </c>
      <c r="G241" s="105" t="str">
        <f>Originals!C148</f>
        <v>15.0</v>
      </c>
      <c r="H241" s="105" t="str">
        <f>Originals!D148</f>
        <v>32</v>
      </c>
      <c r="I241" s="105" t="str">
        <f>Originals!E148</f>
        <v>2015</v>
      </c>
      <c r="J241" s="105" t="str">
        <f>Originals!F148</f>
        <v>Runtime</v>
      </c>
      <c r="K241" s="105" t="str">
        <f>Originals!G148</f>
        <v>NI</v>
      </c>
      <c r="L241" s="105" t="str">
        <f>Originals!H148</f>
        <v>NI-SWITCH 15.0</v>
      </c>
      <c r="M241" s="105" t="str">
        <f>Originals!I148</f>
        <v>NI Developer Suite 2015 DS2 Install</v>
      </c>
      <c r="N241" s="98" t="s">
        <v>136</v>
      </c>
    </row>
    <row r="242" spans="1:14" x14ac:dyDescent="0.25">
      <c r="A242" s="103" t="s">
        <v>507</v>
      </c>
      <c r="B242" s="103" t="s">
        <v>507</v>
      </c>
      <c r="C242" s="104" t="s">
        <v>510</v>
      </c>
      <c r="D242" s="103" t="s">
        <v>507</v>
      </c>
      <c r="E242" s="104" t="s">
        <v>510</v>
      </c>
      <c r="F242" s="105" t="str">
        <f>Originals!B65</f>
        <v>NI-SWITCH Configuration Support</v>
      </c>
      <c r="G242" s="105" t="str">
        <f>Originals!C65</f>
        <v>15.0</v>
      </c>
      <c r="H242" s="105" t="str">
        <f>Originals!D65</f>
        <v>32</v>
      </c>
      <c r="I242" s="105" t="str">
        <f>Originals!E65</f>
        <v>2015</v>
      </c>
      <c r="J242" s="105" t="str">
        <f>Originals!F65</f>
        <v>Development</v>
      </c>
      <c r="K242" s="105" t="str">
        <f>Originals!G65</f>
        <v>NI</v>
      </c>
      <c r="L242" s="105" t="str">
        <f>Originals!H65</f>
        <v>NI-SWITCH Configuration Support 15.0</v>
      </c>
      <c r="M242" s="105" t="str">
        <f>Originals!I65</f>
        <v>NI Developer Suite 2015 DS2 Install</v>
      </c>
      <c r="N242" s="98" t="s">
        <v>136</v>
      </c>
    </row>
    <row r="243" spans="1:14" x14ac:dyDescent="0.25">
      <c r="A243" s="103" t="s">
        <v>507</v>
      </c>
      <c r="B243" s="103" t="s">
        <v>507</v>
      </c>
      <c r="C243" s="104" t="s">
        <v>510</v>
      </c>
      <c r="D243" s="103" t="s">
        <v>507</v>
      </c>
      <c r="E243" s="104" t="s">
        <v>510</v>
      </c>
      <c r="F243" s="105" t="str">
        <f>Originals!B66</f>
        <v>NI-SWITCH Development Support</v>
      </c>
      <c r="G243" s="105" t="str">
        <f>Originals!C66</f>
        <v>15.0</v>
      </c>
      <c r="H243" s="105" t="str">
        <f>Originals!D66</f>
        <v>32</v>
      </c>
      <c r="I243" s="105" t="str">
        <f>Originals!E66</f>
        <v>2015</v>
      </c>
      <c r="J243" s="105" t="str">
        <f>Originals!F66</f>
        <v>Development</v>
      </c>
      <c r="K243" s="105" t="str">
        <f>Originals!G66</f>
        <v>NI</v>
      </c>
      <c r="L243" s="105" t="str">
        <f>Originals!H66</f>
        <v>NI-SWITCH Development Support 15.0</v>
      </c>
      <c r="M243" s="105" t="str">
        <f>Originals!I66</f>
        <v>NI Developer Suite 2015 DS2 Install</v>
      </c>
      <c r="N243" s="98" t="s">
        <v>136</v>
      </c>
    </row>
    <row r="244" spans="1:14" x14ac:dyDescent="0.25">
      <c r="A244" s="103" t="s">
        <v>507</v>
      </c>
      <c r="B244" s="103" t="s">
        <v>507</v>
      </c>
      <c r="C244" s="104" t="s">
        <v>510</v>
      </c>
      <c r="D244" s="103" t="s">
        <v>507</v>
      </c>
      <c r="E244" s="104" t="s">
        <v>510</v>
      </c>
      <c r="F244" s="105" t="str">
        <f>Originals!B67</f>
        <v>NI-SWITCH Soft Front Panel</v>
      </c>
      <c r="G244" s="105" t="str">
        <f>Originals!C67</f>
        <v>15.0.0</v>
      </c>
      <c r="H244" s="105" t="str">
        <f>Originals!D67</f>
        <v>32</v>
      </c>
      <c r="I244" s="105" t="str">
        <f>Originals!E67</f>
        <v>2015</v>
      </c>
      <c r="J244" s="105" t="str">
        <f>Originals!F67</f>
        <v>Development</v>
      </c>
      <c r="K244" s="105" t="str">
        <f>Originals!G67</f>
        <v>NI</v>
      </c>
      <c r="L244" s="105" t="str">
        <f>Originals!H67</f>
        <v>NI-SWITCH Soft Front Panel 15.0.0</v>
      </c>
      <c r="M244" s="105" t="str">
        <f>Originals!I67</f>
        <v>NI Developer Suite 2015 DS2 Install</v>
      </c>
      <c r="N244" s="98" t="s">
        <v>136</v>
      </c>
    </row>
    <row r="245" spans="1:14" x14ac:dyDescent="0.25">
      <c r="A245" s="103" t="s">
        <v>507</v>
      </c>
      <c r="B245" s="104" t="s">
        <v>510</v>
      </c>
      <c r="C245" s="104" t="s">
        <v>510</v>
      </c>
      <c r="D245" s="104" t="s">
        <v>510</v>
      </c>
      <c r="E245" s="104" t="s">
        <v>510</v>
      </c>
      <c r="F245" s="110" t="str">
        <f>Originals!B68</f>
        <v>NI-SWITCH Support</v>
      </c>
      <c r="G245" s="110" t="str">
        <f>Originals!C68</f>
        <v>15.0</v>
      </c>
      <c r="H245" s="110" t="str">
        <f>Originals!D68</f>
        <v>32</v>
      </c>
      <c r="I245" s="110" t="str">
        <f>Originals!E68</f>
        <v>2015</v>
      </c>
      <c r="J245" s="110" t="str">
        <f>Originals!F68</f>
        <v>Runtime</v>
      </c>
      <c r="K245" s="110" t="str">
        <f>Originals!G68</f>
        <v>NI</v>
      </c>
      <c r="L245" s="110" t="str">
        <f>Originals!H68</f>
        <v>NI-SWITCH Support 15.0</v>
      </c>
      <c r="M245" s="110" t="str">
        <f>Originals!I68</f>
        <v>NI Developer Suite 2015 DS2 Install</v>
      </c>
      <c r="N245" s="111" t="s">
        <v>0</v>
      </c>
    </row>
    <row r="246" spans="1:14" x14ac:dyDescent="0.25">
      <c r="A246" s="103" t="s">
        <v>507</v>
      </c>
      <c r="B246" s="103" t="s">
        <v>507</v>
      </c>
      <c r="C246" s="103" t="s">
        <v>507</v>
      </c>
      <c r="D246" s="104" t="s">
        <v>510</v>
      </c>
      <c r="E246" s="104" t="s">
        <v>510</v>
      </c>
      <c r="F246" s="105" t="str">
        <f>Originals!B69</f>
        <v>NI-Sync</v>
      </c>
      <c r="G246" s="105" t="str">
        <f>Originals!C69</f>
        <v>15.0.0f0</v>
      </c>
      <c r="H246" s="105" t="str">
        <f>Originals!D69</f>
        <v>32</v>
      </c>
      <c r="I246" s="105" t="str">
        <f>Originals!E69</f>
        <v>2015</v>
      </c>
      <c r="J246" s="105" t="str">
        <f>Originals!F69</f>
        <v>Development</v>
      </c>
      <c r="K246" s="105" t="str">
        <f>Originals!G69</f>
        <v>NI</v>
      </c>
      <c r="L246" s="105" t="str">
        <f>Originals!H69</f>
        <v>NI-Sync 15.0.0f0</v>
      </c>
      <c r="M246" s="105" t="str">
        <f>Originals!I69</f>
        <v>NI Developer Suite 2015 DS2 Install</v>
      </c>
      <c r="N246" s="98" t="s">
        <v>136</v>
      </c>
    </row>
    <row r="247" spans="1:14" x14ac:dyDescent="0.25">
      <c r="A247" s="104" t="s">
        <v>510</v>
      </c>
      <c r="B247" s="104" t="s">
        <v>510</v>
      </c>
      <c r="C247" s="103" t="s">
        <v>507</v>
      </c>
      <c r="D247" s="104" t="s">
        <v>510</v>
      </c>
      <c r="E247" s="104" t="s">
        <v>510</v>
      </c>
      <c r="F247" s="106" t="str">
        <f>Originals!B308</f>
        <v>NI-Sync</v>
      </c>
      <c r="G247" s="106" t="str">
        <f>Originals!C308</f>
        <v>15.0.1f0</v>
      </c>
      <c r="H247" s="106" t="str">
        <f>Originals!D308</f>
        <v>32</v>
      </c>
      <c r="I247" s="106" t="str">
        <f>Originals!E308</f>
        <v>2015</v>
      </c>
      <c r="J247" s="106" t="str">
        <f>Originals!F308</f>
        <v>Runtime</v>
      </c>
      <c r="K247" s="106" t="str">
        <f>Originals!G308</f>
        <v>NI</v>
      </c>
      <c r="L247" s="106" t="str">
        <f>Originals!H308</f>
        <v>NI-Sync 15.0.1f0</v>
      </c>
      <c r="M247" s="106">
        <f>Originals!I308</f>
        <v>0</v>
      </c>
      <c r="N247" s="107" t="s">
        <v>2</v>
      </c>
    </row>
    <row r="248" spans="1:14" x14ac:dyDescent="0.25">
      <c r="A248" s="104" t="s">
        <v>510</v>
      </c>
      <c r="B248" s="104" t="s">
        <v>510</v>
      </c>
      <c r="C248" s="104" t="s">
        <v>510</v>
      </c>
      <c r="D248" s="103" t="s">
        <v>507</v>
      </c>
      <c r="E248" s="104" t="s">
        <v>510</v>
      </c>
      <c r="F248" s="108" t="str">
        <f>Scott!B91</f>
        <v>NI CompactRIO Information (CRI) Library</v>
      </c>
      <c r="G248" s="108" t="str">
        <f>Scott!C91</f>
        <v>2015.0.0.1</v>
      </c>
      <c r="H248" s="108" t="str">
        <f>Scott!D91</f>
        <v>32</v>
      </c>
      <c r="I248" s="108" t="str">
        <f>Scott!E91</f>
        <v>2015</v>
      </c>
      <c r="J248" s="108" t="str">
        <f>Scott!F91</f>
        <v>Development</v>
      </c>
      <c r="K248" s="108" t="str">
        <f>Scott!G91</f>
        <v>NI</v>
      </c>
      <c r="L248" s="108" t="str">
        <f>Scott!H91</f>
        <v>NI CompactRIO Information (CRI) Library 2015.0.0.1</v>
      </c>
      <c r="M248" s="108" t="str">
        <f>Scott!I91</f>
        <v>VIPM Community</v>
      </c>
      <c r="N248" s="109" t="s">
        <v>96</v>
      </c>
    </row>
    <row r="249" spans="1:14" x14ac:dyDescent="0.25">
      <c r="A249" s="103" t="s">
        <v>507</v>
      </c>
      <c r="B249" s="103" t="s">
        <v>507</v>
      </c>
      <c r="C249" s="104" t="s">
        <v>510</v>
      </c>
      <c r="D249" s="103" t="s">
        <v>507</v>
      </c>
      <c r="E249" s="104" t="s">
        <v>510</v>
      </c>
      <c r="F249" s="105" t="str">
        <f>Originals!B70</f>
        <v>NI-TClk</v>
      </c>
      <c r="G249" s="105" t="str">
        <f>Originals!C70</f>
        <v>15.0</v>
      </c>
      <c r="H249" s="105" t="str">
        <f>Originals!D70</f>
        <v>32</v>
      </c>
      <c r="I249" s="105" t="str">
        <f>Originals!E70</f>
        <v>2015</v>
      </c>
      <c r="J249" s="105" t="str">
        <f>Originals!F70</f>
        <v>Development</v>
      </c>
      <c r="K249" s="105" t="str">
        <f>Originals!G70</f>
        <v>NI</v>
      </c>
      <c r="L249" s="105" t="str">
        <f>Originals!H70</f>
        <v>NI-TClk 15.0</v>
      </c>
      <c r="M249" s="105" t="str">
        <f>Originals!I70</f>
        <v>NI Developer Suite 2015 DS2 Install</v>
      </c>
      <c r="N249" s="98" t="s">
        <v>136</v>
      </c>
    </row>
    <row r="250" spans="1:14" x14ac:dyDescent="0.25">
      <c r="A250" s="103" t="s">
        <v>507</v>
      </c>
      <c r="B250" s="103" t="s">
        <v>507</v>
      </c>
      <c r="C250" s="103" t="s">
        <v>507</v>
      </c>
      <c r="D250" s="103" t="s">
        <v>507</v>
      </c>
      <c r="E250" s="104" t="s">
        <v>510</v>
      </c>
      <c r="F250" s="105" t="str">
        <f>Originals!B71</f>
        <v>NI-TimeSync</v>
      </c>
      <c r="G250" s="105" t="str">
        <f>Originals!C71</f>
        <v>15.0.0f0</v>
      </c>
      <c r="H250" s="105" t="str">
        <f>Originals!D71</f>
        <v>32</v>
      </c>
      <c r="I250" s="105" t="str">
        <f>Originals!E71</f>
        <v>2015</v>
      </c>
      <c r="J250" s="105" t="str">
        <f>Originals!F71</f>
        <v>Development</v>
      </c>
      <c r="K250" s="105" t="str">
        <f>Originals!G71</f>
        <v>NI</v>
      </c>
      <c r="L250" s="105" t="str">
        <f>Originals!H71</f>
        <v>NI-TimeSync 15.0.0f0</v>
      </c>
      <c r="M250" s="105" t="str">
        <f>Originals!I71</f>
        <v>NI Developer Suite 2015 DS2 Install</v>
      </c>
      <c r="N250" s="98" t="s">
        <v>136</v>
      </c>
    </row>
    <row r="251" spans="1:14" x14ac:dyDescent="0.25">
      <c r="A251" s="103" t="s">
        <v>507</v>
      </c>
      <c r="B251" s="104" t="s">
        <v>510</v>
      </c>
      <c r="C251" s="104" t="s">
        <v>510</v>
      </c>
      <c r="D251" s="103" t="s">
        <v>507</v>
      </c>
      <c r="E251" s="104" t="s">
        <v>510</v>
      </c>
      <c r="F251" s="105" t="str">
        <f>Originals!B72</f>
        <v>NI-USI</v>
      </c>
      <c r="G251" s="105" t="str">
        <f>Originals!C72</f>
        <v>15.0.1.6118</v>
      </c>
      <c r="H251" s="105" t="str">
        <f>Originals!D72</f>
        <v>32</v>
      </c>
      <c r="I251" s="105" t="str">
        <f>Originals!E72</f>
        <v>2015</v>
      </c>
      <c r="J251" s="105" t="str">
        <f>Originals!F72</f>
        <v>Development</v>
      </c>
      <c r="K251" s="105" t="str">
        <f>Originals!G72</f>
        <v>NI</v>
      </c>
      <c r="L251" s="105" t="str">
        <f>Originals!H72</f>
        <v>NI-USI 15.0.1.6118</v>
      </c>
      <c r="M251" s="105" t="str">
        <f>Originals!I72</f>
        <v>LabVIEW 2015 SP1</v>
      </c>
      <c r="N251" s="98" t="s">
        <v>136</v>
      </c>
    </row>
    <row r="252" spans="1:14" x14ac:dyDescent="0.25">
      <c r="A252" s="104" t="s">
        <v>510</v>
      </c>
      <c r="B252" s="103" t="s">
        <v>507</v>
      </c>
      <c r="C252" s="104" t="s">
        <v>510</v>
      </c>
      <c r="D252" s="104" t="s">
        <v>510</v>
      </c>
      <c r="E252" s="104" t="s">
        <v>510</v>
      </c>
      <c r="F252" s="112" t="str">
        <f>Originals!B155</f>
        <v>NI-USI</v>
      </c>
      <c r="G252" s="112" t="str">
        <f>Originals!C155</f>
        <v>17.0.0.6654</v>
      </c>
      <c r="H252" s="112" t="str">
        <f>Originals!D155</f>
        <v>32</v>
      </c>
      <c r="I252" s="112" t="str">
        <f>Originals!E155</f>
        <v>2017</v>
      </c>
      <c r="J252" s="112" t="str">
        <f>Originals!F155</f>
        <v>Development</v>
      </c>
      <c r="K252" s="112" t="str">
        <f>Originals!G155</f>
        <v>NI</v>
      </c>
      <c r="L252" s="112" t="str">
        <f>Originals!H155</f>
        <v>NI-USI 17.0.0.6654</v>
      </c>
      <c r="M252" s="112">
        <f>Originals!I155</f>
        <v>0</v>
      </c>
      <c r="N252" s="113" t="s">
        <v>1</v>
      </c>
    </row>
    <row r="253" spans="1:14" x14ac:dyDescent="0.25">
      <c r="A253" s="104" t="s">
        <v>510</v>
      </c>
      <c r="B253" s="104" t="s">
        <v>510</v>
      </c>
      <c r="C253" s="103" t="s">
        <v>507</v>
      </c>
      <c r="D253" s="104" t="s">
        <v>510</v>
      </c>
      <c r="E253" s="104" t="s">
        <v>510</v>
      </c>
      <c r="F253" s="106" t="str">
        <f>Originals!B311</f>
        <v>NI-USI</v>
      </c>
      <c r="G253" s="106" t="str">
        <f>Originals!C311</f>
        <v>18.5.5.7372</v>
      </c>
      <c r="H253" s="106" t="str">
        <f>Originals!D311</f>
        <v>32</v>
      </c>
      <c r="I253" s="106" t="str">
        <f>Originals!E311</f>
        <v>2018</v>
      </c>
      <c r="J253" s="106" t="str">
        <f>Originals!F311</f>
        <v>Development</v>
      </c>
      <c r="K253" s="106" t="str">
        <f>Originals!G311</f>
        <v>NI</v>
      </c>
      <c r="L253" s="106" t="str">
        <f>Originals!H311</f>
        <v>NI-USI 18.5.5.7372</v>
      </c>
      <c r="M253" s="106">
        <f>Originals!I311</f>
        <v>0</v>
      </c>
      <c r="N253" s="107" t="s">
        <v>2</v>
      </c>
    </row>
    <row r="254" spans="1:14" x14ac:dyDescent="0.25">
      <c r="A254" s="104" t="s">
        <v>510</v>
      </c>
      <c r="B254" s="104" t="s">
        <v>510</v>
      </c>
      <c r="C254" s="104" t="s">
        <v>510</v>
      </c>
      <c r="D254" s="104" t="s">
        <v>510</v>
      </c>
      <c r="E254" s="103" t="s">
        <v>507</v>
      </c>
      <c r="F254" s="114" t="str">
        <f>Originals!B393</f>
        <v>NI-USI</v>
      </c>
      <c r="G254" s="114" t="str">
        <f>Originals!C393</f>
        <v>17.0.1</v>
      </c>
      <c r="H254" s="114" t="str">
        <f>Originals!D393</f>
        <v>32</v>
      </c>
      <c r="I254" s="114" t="str">
        <f>Originals!E393</f>
        <v>2018</v>
      </c>
      <c r="J254" s="114" t="str">
        <f>Originals!F393</f>
        <v>Development</v>
      </c>
      <c r="K254" s="114" t="str">
        <f>Originals!G393</f>
        <v>NI</v>
      </c>
      <c r="L254" s="114" t="str">
        <f>Originals!H393</f>
        <v>NI-USI 17.0.1</v>
      </c>
      <c r="M254" s="114">
        <f>Originals!I393</f>
        <v>0</v>
      </c>
      <c r="N254" s="115" t="s">
        <v>466</v>
      </c>
    </row>
    <row r="255" spans="1:14" x14ac:dyDescent="0.25">
      <c r="A255" s="103" t="s">
        <v>507</v>
      </c>
      <c r="B255" s="103" t="s">
        <v>507</v>
      </c>
      <c r="C255" s="104" t="s">
        <v>510</v>
      </c>
      <c r="D255" s="104" t="s">
        <v>510</v>
      </c>
      <c r="E255" s="104" t="s">
        <v>510</v>
      </c>
      <c r="F255" s="105" t="str">
        <f>Originals!B73</f>
        <v>NI-VISA</v>
      </c>
      <c r="G255" s="105" t="str">
        <f>Originals!C73</f>
        <v>19.5</v>
      </c>
      <c r="H255" s="105" t="str">
        <f>Originals!D73</f>
        <v>32</v>
      </c>
      <c r="I255" s="105" t="str">
        <f>Originals!E73</f>
        <v>2019</v>
      </c>
      <c r="J255" s="105" t="str">
        <f>Originals!F73</f>
        <v>Development</v>
      </c>
      <c r="K255" s="105" t="str">
        <f>Originals!G73</f>
        <v>NI</v>
      </c>
      <c r="L255" s="105" t="str">
        <f>Originals!H73</f>
        <v>NI-VISA 19.5</v>
      </c>
      <c r="M255" s="105">
        <f>Originals!I73</f>
        <v>0</v>
      </c>
      <c r="N255" s="98" t="s">
        <v>136</v>
      </c>
    </row>
    <row r="256" spans="1:14" x14ac:dyDescent="0.25">
      <c r="A256" s="103" t="s">
        <v>507</v>
      </c>
      <c r="B256" s="103" t="s">
        <v>507</v>
      </c>
      <c r="C256" s="103" t="s">
        <v>507</v>
      </c>
      <c r="D256" s="104" t="s">
        <v>510</v>
      </c>
      <c r="E256" s="104" t="s">
        <v>510</v>
      </c>
      <c r="F256" s="105" t="str">
        <f>Originals!B74</f>
        <v>NI-VISA</v>
      </c>
      <c r="G256" s="105" t="str">
        <f>Originals!C74</f>
        <v>19.5</v>
      </c>
      <c r="H256" s="105" t="str">
        <f>Originals!D74</f>
        <v>32</v>
      </c>
      <c r="I256" s="105" t="str">
        <f>Originals!E74</f>
        <v>2019</v>
      </c>
      <c r="J256" s="105" t="str">
        <f>Originals!F74</f>
        <v>Runtime</v>
      </c>
      <c r="K256" s="105" t="str">
        <f>Originals!G74</f>
        <v>NI</v>
      </c>
      <c r="L256" s="105" t="str">
        <f>Originals!H74</f>
        <v>NI-VISA 19.5</v>
      </c>
      <c r="M256" s="105">
        <f>Originals!I74</f>
        <v>0</v>
      </c>
      <c r="N256" s="98" t="s">
        <v>136</v>
      </c>
    </row>
    <row r="257" spans="1:14" x14ac:dyDescent="0.25">
      <c r="A257" s="104" t="s">
        <v>510</v>
      </c>
      <c r="B257" s="104" t="s">
        <v>510</v>
      </c>
      <c r="C257" s="103" t="s">
        <v>507</v>
      </c>
      <c r="D257" s="104" t="s">
        <v>510</v>
      </c>
      <c r="E257" s="104" t="s">
        <v>510</v>
      </c>
      <c r="F257" s="106" t="str">
        <f>Originals!B312</f>
        <v>NI-VISA</v>
      </c>
      <c r="G257" s="106" t="str">
        <f>Originals!C312</f>
        <v>15.5.0</v>
      </c>
      <c r="H257" s="106" t="str">
        <f>Originals!D312</f>
        <v>32</v>
      </c>
      <c r="I257" s="106" t="str">
        <f>Originals!E312</f>
        <v>2015</v>
      </c>
      <c r="J257" s="106" t="str">
        <f>Originals!F312</f>
        <v>C-RIO</v>
      </c>
      <c r="K257" s="106" t="str">
        <f>Originals!G312</f>
        <v>NI</v>
      </c>
      <c r="L257" s="106" t="str">
        <f>Originals!H312</f>
        <v>NI-VISA 15.5.0</v>
      </c>
      <c r="M257" s="106">
        <f>Originals!I312</f>
        <v>0</v>
      </c>
      <c r="N257" s="107" t="s">
        <v>2</v>
      </c>
    </row>
    <row r="258" spans="1:14" x14ac:dyDescent="0.25">
      <c r="A258" s="104" t="s">
        <v>510</v>
      </c>
      <c r="B258" s="104" t="s">
        <v>510</v>
      </c>
      <c r="C258" s="103" t="s">
        <v>507</v>
      </c>
      <c r="D258" s="104" t="s">
        <v>510</v>
      </c>
      <c r="E258" s="104" t="s">
        <v>510</v>
      </c>
      <c r="F258" s="106" t="str">
        <f>Originals!B313</f>
        <v>NI-VISA</v>
      </c>
      <c r="G258" s="106">
        <f>Originals!C313</f>
        <v>19.5</v>
      </c>
      <c r="H258" s="106" t="str">
        <f>Originals!D313</f>
        <v>32</v>
      </c>
      <c r="I258" s="106" t="str">
        <f>Originals!E313</f>
        <v>2019</v>
      </c>
      <c r="J258" s="106" t="str">
        <f>Originals!F313</f>
        <v>Development</v>
      </c>
      <c r="K258" s="106" t="str">
        <f>Originals!G313</f>
        <v>NI</v>
      </c>
      <c r="L258" s="106" t="str">
        <f>Originals!H313</f>
        <v>NI-VISA 19.5</v>
      </c>
      <c r="M258" s="106">
        <f>Originals!I313</f>
        <v>0</v>
      </c>
      <c r="N258" s="107" t="s">
        <v>2</v>
      </c>
    </row>
    <row r="259" spans="1:14" x14ac:dyDescent="0.25">
      <c r="A259" s="104" t="s">
        <v>510</v>
      </c>
      <c r="B259" s="104" t="s">
        <v>510</v>
      </c>
      <c r="C259" s="104" t="s">
        <v>510</v>
      </c>
      <c r="D259" s="104" t="s">
        <v>510</v>
      </c>
      <c r="E259" s="103" t="s">
        <v>507</v>
      </c>
      <c r="F259" s="114" t="str">
        <f>Originals!B394</f>
        <v>NI-VISA</v>
      </c>
      <c r="G259" s="114" t="str">
        <f>Originals!C394</f>
        <v>18.0</v>
      </c>
      <c r="H259" s="114" t="str">
        <f>Originals!D394</f>
        <v>32</v>
      </c>
      <c r="I259" s="114" t="str">
        <f>Originals!E394</f>
        <v>2018</v>
      </c>
      <c r="J259" s="114" t="str">
        <f>Originals!F394</f>
        <v>Development</v>
      </c>
      <c r="K259" s="114" t="str">
        <f>Originals!G394</f>
        <v>NI</v>
      </c>
      <c r="L259" s="114" t="str">
        <f>Originals!H394</f>
        <v>NI-VISA 18.0</v>
      </c>
      <c r="M259" s="114">
        <f>Originals!I394</f>
        <v>0</v>
      </c>
      <c r="N259" s="115" t="s">
        <v>466</v>
      </c>
    </row>
    <row r="260" spans="1:14" x14ac:dyDescent="0.25">
      <c r="A260" s="104" t="s">
        <v>510</v>
      </c>
      <c r="B260" s="104" t="s">
        <v>510</v>
      </c>
      <c r="C260" s="104" t="s">
        <v>510</v>
      </c>
      <c r="D260" s="104" t="s">
        <v>510</v>
      </c>
      <c r="E260" s="103" t="s">
        <v>507</v>
      </c>
      <c r="F260" s="114" t="str">
        <f>Originals!B395</f>
        <v>NI-VISA</v>
      </c>
      <c r="G260" s="114" t="str">
        <f>Originals!C395</f>
        <v>18.0</v>
      </c>
      <c r="H260" s="114" t="str">
        <f>Originals!D395</f>
        <v>31</v>
      </c>
      <c r="I260" s="114" t="str">
        <f>Originals!E395</f>
        <v>2018</v>
      </c>
      <c r="J260" s="114" t="str">
        <f>Originals!F395</f>
        <v>Runtime</v>
      </c>
      <c r="K260" s="114" t="str">
        <f>Originals!G395</f>
        <v>NI</v>
      </c>
      <c r="L260" s="114" t="str">
        <f>Originals!H395</f>
        <v>NI-VISA 18.0</v>
      </c>
      <c r="M260" s="114">
        <f>Originals!I395</f>
        <v>0</v>
      </c>
      <c r="N260" s="115" t="s">
        <v>466</v>
      </c>
    </row>
    <row r="261" spans="1:14" x14ac:dyDescent="0.25">
      <c r="A261" s="104" t="s">
        <v>510</v>
      </c>
      <c r="B261" s="104" t="s">
        <v>510</v>
      </c>
      <c r="C261" s="104" t="s">
        <v>510</v>
      </c>
      <c r="D261" s="103" t="s">
        <v>507</v>
      </c>
      <c r="E261" s="104" t="s">
        <v>510</v>
      </c>
      <c r="F261" s="108" t="str">
        <f>Scott!B95</f>
        <v>NI PXI Platform Services</v>
      </c>
      <c r="G261" s="108" t="str">
        <f>Scott!C95</f>
        <v>15.0.0f1</v>
      </c>
      <c r="H261" s="108">
        <f>Scott!D95</f>
        <v>32</v>
      </c>
      <c r="I261" s="108">
        <f>Scott!E95</f>
        <v>2015</v>
      </c>
      <c r="J261" s="108" t="str">
        <f>Scott!F95</f>
        <v>Runtime</v>
      </c>
      <c r="K261" s="108" t="str">
        <f>Scott!G95</f>
        <v>NI</v>
      </c>
      <c r="L261" s="108" t="str">
        <f>Scott!H95</f>
        <v>NI PXI Platform Services 15.0.0f1</v>
      </c>
      <c r="M261" s="108" t="str">
        <f>Scott!I95</f>
        <v>NI Developer Suite 2015 DS2 Install</v>
      </c>
      <c r="N261" s="109" t="s">
        <v>96</v>
      </c>
    </row>
    <row r="262" spans="1:14" x14ac:dyDescent="0.25">
      <c r="A262" s="104" t="s">
        <v>510</v>
      </c>
      <c r="B262" s="104" t="s">
        <v>510</v>
      </c>
      <c r="C262" s="104" t="s">
        <v>510</v>
      </c>
      <c r="D262" s="103" t="s">
        <v>507</v>
      </c>
      <c r="E262" s="104" t="s">
        <v>510</v>
      </c>
      <c r="F262" s="108" t="str">
        <f>Scott!B96</f>
        <v>NI PXI Platform Services Configuration</v>
      </c>
      <c r="G262" s="108" t="str">
        <f>Scott!C96</f>
        <v>18.0.0f0</v>
      </c>
      <c r="H262" s="108" t="str">
        <f>Scott!D96</f>
        <v>32</v>
      </c>
      <c r="I262" s="108" t="str">
        <f>Scott!E96</f>
        <v>2018</v>
      </c>
      <c r="J262" s="108" t="str">
        <f>Scott!F96</f>
        <v>Development</v>
      </c>
      <c r="K262" s="108" t="str">
        <f>Scott!G96</f>
        <v>NI</v>
      </c>
      <c r="L262" s="108" t="str">
        <f>Scott!H96</f>
        <v>NI PXI Platform Services Configuration 18.0.0f0</v>
      </c>
      <c r="M262" s="108" t="str">
        <f>Scott!I96</f>
        <v>CompactRIO 18.1.0</v>
      </c>
      <c r="N262" s="109" t="s">
        <v>96</v>
      </c>
    </row>
    <row r="263" spans="1:14" x14ac:dyDescent="0.25">
      <c r="A263" s="103" t="s">
        <v>507</v>
      </c>
      <c r="B263" s="103" t="s">
        <v>507</v>
      </c>
      <c r="C263" s="104" t="s">
        <v>510</v>
      </c>
      <c r="D263" s="104" t="s">
        <v>510</v>
      </c>
      <c r="E263" s="103" t="s">
        <v>507</v>
      </c>
      <c r="F263" s="105" t="str">
        <f>Originals!B75</f>
        <v>NIvisaic.exe</v>
      </c>
      <c r="G263" s="105" t="str">
        <f>Originals!C75</f>
        <v>15.0.0.49152</v>
      </c>
      <c r="H263" s="105" t="str">
        <f>Originals!D75</f>
        <v>32</v>
      </c>
      <c r="I263" s="105" t="str">
        <f>Originals!E75</f>
        <v>2019</v>
      </c>
      <c r="J263" s="105" t="str">
        <f>Originals!F75</f>
        <v>Development</v>
      </c>
      <c r="K263" s="105" t="str">
        <f>Originals!G75</f>
        <v>NI</v>
      </c>
      <c r="L263" s="105" t="str">
        <f>Originals!H75</f>
        <v>NIvisaic.exe 15.0.0.49152</v>
      </c>
      <c r="M263" s="105" t="str">
        <f>Originals!I75</f>
        <v>NI Developer Suite 2015 DS2 Install</v>
      </c>
      <c r="N263" s="98" t="s">
        <v>136</v>
      </c>
    </row>
    <row r="264" spans="1:14" x14ac:dyDescent="0.25">
      <c r="A264" s="104" t="s">
        <v>510</v>
      </c>
      <c r="B264" s="104" t="s">
        <v>510</v>
      </c>
      <c r="C264" s="103" t="s">
        <v>507</v>
      </c>
      <c r="D264" s="104" t="s">
        <v>510</v>
      </c>
      <c r="E264" s="104" t="s">
        <v>510</v>
      </c>
      <c r="F264" s="106" t="str">
        <f>Originals!B315</f>
        <v>NIvisaic.exe</v>
      </c>
      <c r="G264" s="106" t="str">
        <f>Originals!C315</f>
        <v>18.5.0.49152</v>
      </c>
      <c r="H264" s="106" t="str">
        <f>Originals!D315</f>
        <v>32</v>
      </c>
      <c r="I264" s="106" t="str">
        <f>Originals!E315</f>
        <v>2018</v>
      </c>
      <c r="J264" s="106" t="str">
        <f>Originals!F315</f>
        <v>Development</v>
      </c>
      <c r="K264" s="106" t="str">
        <f>Originals!G315</f>
        <v>NI</v>
      </c>
      <c r="L264" s="106" t="str">
        <f>Originals!H315</f>
        <v>NIvisaic.exe 18.5.0.49152</v>
      </c>
      <c r="M264" s="106" t="str">
        <f>Originals!I315</f>
        <v>NI Developer Suite 2015 DS2 Install</v>
      </c>
      <c r="N264" s="107" t="s">
        <v>2</v>
      </c>
    </row>
    <row r="265" spans="1:14" x14ac:dyDescent="0.25">
      <c r="A265" s="103" t="s">
        <v>507</v>
      </c>
      <c r="B265" s="103" t="s">
        <v>507</v>
      </c>
      <c r="C265" s="103" t="s">
        <v>507</v>
      </c>
      <c r="D265" s="103" t="s">
        <v>507</v>
      </c>
      <c r="E265" s="104" t="s">
        <v>510</v>
      </c>
      <c r="F265" s="105" t="str">
        <f>Originals!B76</f>
        <v>NiVisaServer.exe</v>
      </c>
      <c r="G265" s="105" t="str">
        <f>Originals!C76</f>
        <v>15.0.0.49152</v>
      </c>
      <c r="H265" s="105" t="str">
        <f>Originals!D76</f>
        <v>32</v>
      </c>
      <c r="I265" s="105" t="str">
        <f>Originals!E76</f>
        <v>2019</v>
      </c>
      <c r="J265" s="105" t="str">
        <f>Originals!F76</f>
        <v>Development</v>
      </c>
      <c r="K265" s="105" t="str">
        <f>Originals!G76</f>
        <v>NI</v>
      </c>
      <c r="L265" s="105" t="str">
        <f>Originals!H76</f>
        <v>NiVisaServer.exe 15.0.0.49152</v>
      </c>
      <c r="M265" s="105" t="str">
        <f>Originals!I76</f>
        <v>NI Developer Suite 2015 DS2 Install</v>
      </c>
      <c r="N265" s="98" t="s">
        <v>136</v>
      </c>
    </row>
    <row r="266" spans="1:14" x14ac:dyDescent="0.25">
      <c r="A266" s="104" t="s">
        <v>510</v>
      </c>
      <c r="B266" s="104" t="s">
        <v>510</v>
      </c>
      <c r="C266" s="103" t="s">
        <v>507</v>
      </c>
      <c r="D266" s="104" t="s">
        <v>510</v>
      </c>
      <c r="E266" s="104" t="s">
        <v>510</v>
      </c>
      <c r="F266" s="106" t="str">
        <f>Originals!B317</f>
        <v>NI-Watchdog</v>
      </c>
      <c r="G266" s="106" t="str">
        <f>Originals!C317</f>
        <v>15.0.0</v>
      </c>
      <c r="H266" s="106" t="str">
        <f>Originals!D317</f>
        <v>32</v>
      </c>
      <c r="I266" s="106" t="str">
        <f>Originals!E317</f>
        <v>2015</v>
      </c>
      <c r="J266" s="106" t="str">
        <f>Originals!F317</f>
        <v>C-RIO</v>
      </c>
      <c r="K266" s="106" t="str">
        <f>Originals!G317</f>
        <v>NI</v>
      </c>
      <c r="L266" s="106" t="str">
        <f>Originals!H317</f>
        <v>NI-Watchdog 15.0.0</v>
      </c>
      <c r="M266" s="106">
        <f>Originals!I317</f>
        <v>0</v>
      </c>
      <c r="N266" s="107" t="s">
        <v>2</v>
      </c>
    </row>
    <row r="267" spans="1:14" x14ac:dyDescent="0.25">
      <c r="A267" s="104" t="s">
        <v>510</v>
      </c>
      <c r="B267" s="104" t="s">
        <v>510</v>
      </c>
      <c r="C267" s="103" t="s">
        <v>507</v>
      </c>
      <c r="D267" s="104" t="s">
        <v>510</v>
      </c>
      <c r="E267" s="104" t="s">
        <v>510</v>
      </c>
      <c r="F267" s="106" t="str">
        <f>Originals!B318</f>
        <v>NI-XNET</v>
      </c>
      <c r="G267" s="106" t="str">
        <f>Originals!C318</f>
        <v>18.5.0f0</v>
      </c>
      <c r="H267" s="106" t="str">
        <f>Originals!D318</f>
        <v>32</v>
      </c>
      <c r="I267" s="106" t="str">
        <f>Originals!E318</f>
        <v>2018</v>
      </c>
      <c r="J267" s="106" t="str">
        <f>Originals!F318</f>
        <v>Development</v>
      </c>
      <c r="K267" s="106" t="str">
        <f>Originals!G318</f>
        <v>NI</v>
      </c>
      <c r="L267" s="106" t="str">
        <f>Originals!H318</f>
        <v>NI-XNET 18.5.0f0</v>
      </c>
      <c r="M267" s="106">
        <f>Originals!I318</f>
        <v>0</v>
      </c>
      <c r="N267" s="107" t="s">
        <v>2</v>
      </c>
    </row>
    <row r="268" spans="1:14" x14ac:dyDescent="0.25">
      <c r="A268" s="104" t="s">
        <v>510</v>
      </c>
      <c r="B268" s="104" t="s">
        <v>510</v>
      </c>
      <c r="C268" s="103" t="s">
        <v>507</v>
      </c>
      <c r="D268" s="104" t="s">
        <v>510</v>
      </c>
      <c r="E268" s="104" t="s">
        <v>510</v>
      </c>
      <c r="F268" s="106" t="str">
        <f>Originals!B319</f>
        <v>NI-XNET</v>
      </c>
      <c r="G268" s="106" t="str">
        <f>Originals!C319</f>
        <v>18.5.0f1</v>
      </c>
      <c r="H268" s="106" t="str">
        <f>Originals!D319</f>
        <v>32</v>
      </c>
      <c r="I268" s="106" t="str">
        <f>Originals!E319</f>
        <v>2018</v>
      </c>
      <c r="J268" s="106" t="str">
        <f>Originals!F319</f>
        <v>Runtime</v>
      </c>
      <c r="K268" s="106" t="str">
        <f>Originals!G319</f>
        <v>NI</v>
      </c>
      <c r="L268" s="106" t="str">
        <f>Originals!H319</f>
        <v>NI-XNET 18.5.0f1</v>
      </c>
      <c r="M268" s="106">
        <f>Originals!I319</f>
        <v>0</v>
      </c>
      <c r="N268" s="107" t="s">
        <v>2</v>
      </c>
    </row>
    <row r="269" spans="1:14" x14ac:dyDescent="0.25">
      <c r="A269" s="104" t="s">
        <v>510</v>
      </c>
      <c r="B269" s="104" t="s">
        <v>510</v>
      </c>
      <c r="C269" s="104" t="s">
        <v>510</v>
      </c>
      <c r="D269" s="103" t="s">
        <v>507</v>
      </c>
      <c r="E269" s="104" t="s">
        <v>510</v>
      </c>
      <c r="F269" s="108" t="str">
        <f>Scott!B99</f>
        <v>NI SignalExpress</v>
      </c>
      <c r="G269" s="108" t="str">
        <f>Scott!C99</f>
        <v>15.0</v>
      </c>
      <c r="H269" s="108">
        <f>Scott!D99</f>
        <v>32</v>
      </c>
      <c r="I269" s="108">
        <f>Scott!E99</f>
        <v>2015</v>
      </c>
      <c r="J269" s="108" t="str">
        <f>Scott!F99</f>
        <v>Development</v>
      </c>
      <c r="K269" s="108" t="str">
        <f>Scott!G99</f>
        <v>NI</v>
      </c>
      <c r="L269" s="108" t="str">
        <f>Scott!H99</f>
        <v>NI SignalExpress 15.0</v>
      </c>
      <c r="M269" s="108" t="str">
        <f>Scott!I99</f>
        <v>NI Developer Suite 2015 DS2 Install</v>
      </c>
      <c r="N269" s="109" t="s">
        <v>96</v>
      </c>
    </row>
    <row r="270" spans="1:14" x14ac:dyDescent="0.25">
      <c r="A270" s="104" t="s">
        <v>510</v>
      </c>
      <c r="B270" s="104" t="s">
        <v>510</v>
      </c>
      <c r="C270" s="103" t="s">
        <v>507</v>
      </c>
      <c r="D270" s="103" t="s">
        <v>507</v>
      </c>
      <c r="E270" s="104" t="s">
        <v>510</v>
      </c>
      <c r="F270" s="105" t="str">
        <f>Originals!B320</f>
        <v>OpenG Application Control Library</v>
      </c>
      <c r="G270" s="105" t="str">
        <f>Originals!C320</f>
        <v>4.1.0.7</v>
      </c>
      <c r="H270" s="105" t="str">
        <f>Originals!D320</f>
        <v>32</v>
      </c>
      <c r="I270" s="105" t="str">
        <f>Originals!E320</f>
        <v>N/A</v>
      </c>
      <c r="J270" s="105" t="str">
        <f>Originals!F320</f>
        <v>Development</v>
      </c>
      <c r="K270" s="105" t="str">
        <f>Originals!G320</f>
        <v>OpenG.org</v>
      </c>
      <c r="L270" s="105" t="str">
        <f>Originals!H320</f>
        <v>OpenG Application Control Library 4.1.0.7</v>
      </c>
      <c r="M270" s="105" t="str">
        <f>Originals!I320</f>
        <v>VIPM Community</v>
      </c>
      <c r="N270" s="98" t="s">
        <v>136</v>
      </c>
    </row>
    <row r="271" spans="1:14" x14ac:dyDescent="0.25">
      <c r="A271" s="104" t="s">
        <v>510</v>
      </c>
      <c r="B271" s="104" t="s">
        <v>510</v>
      </c>
      <c r="C271" s="103" t="s">
        <v>507</v>
      </c>
      <c r="D271" s="103" t="s">
        <v>507</v>
      </c>
      <c r="E271" s="104" t="s">
        <v>510</v>
      </c>
      <c r="F271" s="105" t="str">
        <f>Originals!B321</f>
        <v>OpenG Array Library</v>
      </c>
      <c r="G271" s="105" t="str">
        <f>Originals!C321</f>
        <v>4.1.1.14</v>
      </c>
      <c r="H271" s="105" t="str">
        <f>Originals!D321</f>
        <v>32</v>
      </c>
      <c r="I271" s="105" t="str">
        <f>Originals!E321</f>
        <v>N/A</v>
      </c>
      <c r="J271" s="105" t="str">
        <f>Originals!F321</f>
        <v>Development</v>
      </c>
      <c r="K271" s="105" t="str">
        <f>Originals!G321</f>
        <v>OpenG.org</v>
      </c>
      <c r="L271" s="105" t="str">
        <f>Originals!H321</f>
        <v>OpenG Array Library 4.1.1.14</v>
      </c>
      <c r="M271" s="105" t="str">
        <f>Originals!I321</f>
        <v>VIPM Community</v>
      </c>
      <c r="N271" s="98" t="s">
        <v>136</v>
      </c>
    </row>
    <row r="272" spans="1:14" x14ac:dyDescent="0.25">
      <c r="A272" s="104" t="s">
        <v>510</v>
      </c>
      <c r="B272" s="104" t="s">
        <v>510</v>
      </c>
      <c r="C272" s="103" t="s">
        <v>507</v>
      </c>
      <c r="D272" s="103" t="s">
        <v>507</v>
      </c>
      <c r="E272" s="104" t="s">
        <v>510</v>
      </c>
      <c r="F272" s="105" t="str">
        <f>Originals!B322</f>
        <v>OpenG Boolean Library</v>
      </c>
      <c r="G272" s="105" t="str">
        <f>Originals!C322</f>
        <v>4.0.0.7</v>
      </c>
      <c r="H272" s="105" t="str">
        <f>Originals!D322</f>
        <v>32</v>
      </c>
      <c r="I272" s="105" t="str">
        <f>Originals!E322</f>
        <v>N/A</v>
      </c>
      <c r="J272" s="105" t="str">
        <f>Originals!F322</f>
        <v>Development</v>
      </c>
      <c r="K272" s="105" t="str">
        <f>Originals!G322</f>
        <v>OpenG.org</v>
      </c>
      <c r="L272" s="105" t="str">
        <f>Originals!H322</f>
        <v>OpenG Boolean Library 4.0.0.7</v>
      </c>
      <c r="M272" s="105" t="str">
        <f>Originals!I322</f>
        <v>VIPM Community</v>
      </c>
      <c r="N272" s="98" t="s">
        <v>136</v>
      </c>
    </row>
    <row r="273" spans="1:14" x14ac:dyDescent="0.25">
      <c r="A273" s="104" t="s">
        <v>510</v>
      </c>
      <c r="B273" s="104" t="s">
        <v>510</v>
      </c>
      <c r="C273" s="103" t="s">
        <v>507</v>
      </c>
      <c r="D273" s="103" t="s">
        <v>507</v>
      </c>
      <c r="E273" s="104" t="s">
        <v>510</v>
      </c>
      <c r="F273" s="105" t="str">
        <f>Originals!B323</f>
        <v>OpenG Builder</v>
      </c>
      <c r="G273" s="105" t="str">
        <f>Originals!C323</f>
        <v>3.0.1-2</v>
      </c>
      <c r="H273" s="105" t="str">
        <f>Originals!D323</f>
        <v>32</v>
      </c>
      <c r="I273" s="105" t="str">
        <f>Originals!E323</f>
        <v>N/A</v>
      </c>
      <c r="J273" s="105" t="str">
        <f>Originals!F323</f>
        <v>Development</v>
      </c>
      <c r="K273" s="105" t="str">
        <f>Originals!G323</f>
        <v>OpenG.org</v>
      </c>
      <c r="L273" s="105" t="str">
        <f>Originals!H323</f>
        <v>OpenG Builder 3.0.1-2</v>
      </c>
      <c r="M273" s="105" t="str">
        <f>Originals!I323</f>
        <v>VIPM Community</v>
      </c>
      <c r="N273" s="98" t="s">
        <v>136</v>
      </c>
    </row>
    <row r="274" spans="1:14" x14ac:dyDescent="0.25">
      <c r="A274" s="104" t="s">
        <v>510</v>
      </c>
      <c r="B274" s="104" t="s">
        <v>510</v>
      </c>
      <c r="C274" s="103" t="s">
        <v>507</v>
      </c>
      <c r="D274" s="103" t="s">
        <v>507</v>
      </c>
      <c r="E274" s="104" t="s">
        <v>510</v>
      </c>
      <c r="F274" s="105" t="str">
        <f>Originals!B324</f>
        <v>OpenG Buttons Library</v>
      </c>
      <c r="G274" s="105" t="str">
        <f>Originals!C324</f>
        <v>4.0.0.7</v>
      </c>
      <c r="H274" s="105" t="str">
        <f>Originals!D324</f>
        <v>32</v>
      </c>
      <c r="I274" s="105" t="str">
        <f>Originals!E324</f>
        <v>N/A</v>
      </c>
      <c r="J274" s="105" t="str">
        <f>Originals!F324</f>
        <v>Development</v>
      </c>
      <c r="K274" s="105" t="str">
        <f>Originals!G324</f>
        <v>OpenG.org</v>
      </c>
      <c r="L274" s="105" t="str">
        <f>Originals!H324</f>
        <v>OpenG Buttons Library 4.0.0.7</v>
      </c>
      <c r="M274" s="105" t="str">
        <f>Originals!I324</f>
        <v>VIPM Community</v>
      </c>
      <c r="N274" s="98" t="s">
        <v>136</v>
      </c>
    </row>
    <row r="275" spans="1:14" x14ac:dyDescent="0.25">
      <c r="A275" s="104" t="s">
        <v>510</v>
      </c>
      <c r="B275" s="104" t="s">
        <v>510</v>
      </c>
      <c r="C275" s="103" t="s">
        <v>507</v>
      </c>
      <c r="D275" s="103" t="s">
        <v>507</v>
      </c>
      <c r="E275" s="104" t="s">
        <v>510</v>
      </c>
      <c r="F275" s="105" t="str">
        <f>Originals!B325</f>
        <v>OpenG Compare VI To Disk Tool</v>
      </c>
      <c r="G275" s="105" t="str">
        <f>Originals!C325</f>
        <v>4.0.0.9</v>
      </c>
      <c r="H275" s="105" t="str">
        <f>Originals!D325</f>
        <v>32</v>
      </c>
      <c r="I275" s="105" t="str">
        <f>Originals!E325</f>
        <v>N/A</v>
      </c>
      <c r="J275" s="105" t="str">
        <f>Originals!F325</f>
        <v>Development</v>
      </c>
      <c r="K275" s="105" t="str">
        <f>Originals!G325</f>
        <v>OpenG.org</v>
      </c>
      <c r="L275" s="105" t="str">
        <f>Originals!H325</f>
        <v>OpenG Compare VI To Disk Tool 4.0.0.9</v>
      </c>
      <c r="M275" s="105" t="str">
        <f>Originals!I325</f>
        <v>VIPM Community</v>
      </c>
      <c r="N275" s="98" t="s">
        <v>136</v>
      </c>
    </row>
    <row r="276" spans="1:14" x14ac:dyDescent="0.25">
      <c r="A276" s="104" t="s">
        <v>510</v>
      </c>
      <c r="B276" s="104" t="s">
        <v>510</v>
      </c>
      <c r="C276" s="103" t="s">
        <v>507</v>
      </c>
      <c r="D276" s="103" t="s">
        <v>507</v>
      </c>
      <c r="E276" s="104" t="s">
        <v>510</v>
      </c>
      <c r="F276" s="105" t="str">
        <f>Originals!B326</f>
        <v>OpenG Comparison Library</v>
      </c>
      <c r="G276" s="105" t="str">
        <f>Originals!C326</f>
        <v>4.0.0.3</v>
      </c>
      <c r="H276" s="105" t="str">
        <f>Originals!D326</f>
        <v>32</v>
      </c>
      <c r="I276" s="105" t="str">
        <f>Originals!E326</f>
        <v>N/A</v>
      </c>
      <c r="J276" s="105" t="str">
        <f>Originals!F326</f>
        <v>Development</v>
      </c>
      <c r="K276" s="105" t="str">
        <f>Originals!G326</f>
        <v>OpenG.org</v>
      </c>
      <c r="L276" s="105" t="str">
        <f>Originals!H326</f>
        <v>OpenG Comparison Library 4.0.0.3</v>
      </c>
      <c r="M276" s="105" t="str">
        <f>Originals!I326</f>
        <v>VIPM Community</v>
      </c>
      <c r="N276" s="98" t="s">
        <v>136</v>
      </c>
    </row>
    <row r="277" spans="1:14" x14ac:dyDescent="0.25">
      <c r="A277" s="104" t="s">
        <v>510</v>
      </c>
      <c r="B277" s="104" t="s">
        <v>510</v>
      </c>
      <c r="C277" s="103" t="s">
        <v>507</v>
      </c>
      <c r="D277" s="103" t="s">
        <v>507</v>
      </c>
      <c r="E277" s="104" t="s">
        <v>510</v>
      </c>
      <c r="F277" s="105" t="str">
        <f>Originals!B327</f>
        <v>OpenG Dictionary Library</v>
      </c>
      <c r="G277" s="105" t="str">
        <f>Originals!C327</f>
        <v>4.0.0.4</v>
      </c>
      <c r="H277" s="105" t="str">
        <f>Originals!D327</f>
        <v>32</v>
      </c>
      <c r="I277" s="105" t="str">
        <f>Originals!E327</f>
        <v>N/A</v>
      </c>
      <c r="J277" s="105" t="str">
        <f>Originals!F327</f>
        <v>Development</v>
      </c>
      <c r="K277" s="105" t="str">
        <f>Originals!G327</f>
        <v>OpenG.org</v>
      </c>
      <c r="L277" s="105" t="str">
        <f>Originals!H327</f>
        <v>OpenG Dictionary Library 4.0.0.4</v>
      </c>
      <c r="M277" s="105" t="str">
        <f>Originals!I327</f>
        <v>VIPM Community</v>
      </c>
      <c r="N277" s="98" t="s">
        <v>136</v>
      </c>
    </row>
    <row r="278" spans="1:14" x14ac:dyDescent="0.25">
      <c r="A278" s="104" t="s">
        <v>510</v>
      </c>
      <c r="B278" s="104" t="s">
        <v>510</v>
      </c>
      <c r="C278" s="103" t="s">
        <v>507</v>
      </c>
      <c r="D278" s="103" t="s">
        <v>507</v>
      </c>
      <c r="E278" s="104" t="s">
        <v>510</v>
      </c>
      <c r="F278" s="105" t="str">
        <f>Originals!B328</f>
        <v>OpenG Error Library</v>
      </c>
      <c r="G278" s="105" t="str">
        <f>Originals!C328</f>
        <v>4.2.0.23</v>
      </c>
      <c r="H278" s="105" t="str">
        <f>Originals!D328</f>
        <v>32</v>
      </c>
      <c r="I278" s="105" t="str">
        <f>Originals!E328</f>
        <v>N/A</v>
      </c>
      <c r="J278" s="105" t="str">
        <f>Originals!F328</f>
        <v>Development</v>
      </c>
      <c r="K278" s="105" t="str">
        <f>Originals!G328</f>
        <v>OpenG.org</v>
      </c>
      <c r="L278" s="105" t="str">
        <f>Originals!H328</f>
        <v>OpenG Error Library 4.2.0.23</v>
      </c>
      <c r="M278" s="105" t="str">
        <f>Originals!I328</f>
        <v>VIPM Community</v>
      </c>
      <c r="N278" s="98" t="s">
        <v>136</v>
      </c>
    </row>
    <row r="279" spans="1:14" x14ac:dyDescent="0.25">
      <c r="A279" s="104" t="s">
        <v>510</v>
      </c>
      <c r="B279" s="104" t="s">
        <v>510</v>
      </c>
      <c r="C279" s="103" t="s">
        <v>507</v>
      </c>
      <c r="D279" s="103" t="s">
        <v>507</v>
      </c>
      <c r="E279" s="104" t="s">
        <v>510</v>
      </c>
      <c r="F279" s="105" t="str">
        <f>Originals!B329</f>
        <v>OpenG File Library</v>
      </c>
      <c r="G279" s="105" t="str">
        <f>Originals!C329</f>
        <v>4.0.1.22</v>
      </c>
      <c r="H279" s="105" t="str">
        <f>Originals!D329</f>
        <v>32</v>
      </c>
      <c r="I279" s="105" t="str">
        <f>Originals!E329</f>
        <v>N/A</v>
      </c>
      <c r="J279" s="105" t="str">
        <f>Originals!F329</f>
        <v>Development</v>
      </c>
      <c r="K279" s="105" t="str">
        <f>Originals!G329</f>
        <v>OpenG.org</v>
      </c>
      <c r="L279" s="105" t="str">
        <f>Originals!H329</f>
        <v>OpenG File Library 4.0.1.22</v>
      </c>
      <c r="M279" s="105" t="str">
        <f>Originals!I329</f>
        <v>VIPM Community</v>
      </c>
      <c r="N279" s="98" t="s">
        <v>136</v>
      </c>
    </row>
    <row r="280" spans="1:14" x14ac:dyDescent="0.25">
      <c r="A280" s="104" t="s">
        <v>510</v>
      </c>
      <c r="B280" s="104" t="s">
        <v>510</v>
      </c>
      <c r="C280" s="103" t="s">
        <v>507</v>
      </c>
      <c r="D280" s="103" t="s">
        <v>507</v>
      </c>
      <c r="E280" s="104" t="s">
        <v>510</v>
      </c>
      <c r="F280" s="105" t="str">
        <f>Originals!B330</f>
        <v>OpenG LabPython Library</v>
      </c>
      <c r="G280" s="105" t="str">
        <f>Originals!C330</f>
        <v>4.0.0.4</v>
      </c>
      <c r="H280" s="105" t="str">
        <f>Originals!D330</f>
        <v>32</v>
      </c>
      <c r="I280" s="105" t="str">
        <f>Originals!E330</f>
        <v>N/A</v>
      </c>
      <c r="J280" s="105" t="str">
        <f>Originals!F330</f>
        <v>Development</v>
      </c>
      <c r="K280" s="105" t="str">
        <f>Originals!G330</f>
        <v>OpenG_org</v>
      </c>
      <c r="L280" s="105" t="str">
        <f>Originals!H330</f>
        <v>OpenG LabPython Library 4.0.0.4</v>
      </c>
      <c r="M280" s="105" t="str">
        <f>Originals!I330</f>
        <v>VIPM Community</v>
      </c>
      <c r="N280" s="98" t="s">
        <v>136</v>
      </c>
    </row>
    <row r="281" spans="1:14" x14ac:dyDescent="0.25">
      <c r="A281" s="104" t="s">
        <v>510</v>
      </c>
      <c r="B281" s="104" t="s">
        <v>510</v>
      </c>
      <c r="C281" s="103" t="s">
        <v>507</v>
      </c>
      <c r="D281" s="103" t="s">
        <v>507</v>
      </c>
      <c r="E281" s="104" t="s">
        <v>510</v>
      </c>
      <c r="F281" s="106" t="str">
        <f>Originals!B331</f>
        <v>OpenG LabVIEW Data Library</v>
      </c>
      <c r="G281" s="106" t="str">
        <f>Originals!C331</f>
        <v>4.2.0.21</v>
      </c>
      <c r="H281" s="106" t="str">
        <f>Originals!D331</f>
        <v>32</v>
      </c>
      <c r="I281" s="106" t="str">
        <f>Originals!E331</f>
        <v>N/A</v>
      </c>
      <c r="J281" s="106" t="str">
        <f>Originals!F331</f>
        <v>Development</v>
      </c>
      <c r="K281" s="106" t="str">
        <f>Originals!G331</f>
        <v>Openg.org</v>
      </c>
      <c r="L281" s="106" t="str">
        <f>Originals!H331</f>
        <v>OpenG LabVIEW Data Library 4.2.0.21</v>
      </c>
      <c r="M281" s="106">
        <f>Originals!I331</f>
        <v>0</v>
      </c>
      <c r="N281" s="107" t="s">
        <v>2</v>
      </c>
    </row>
    <row r="282" spans="1:14" x14ac:dyDescent="0.25">
      <c r="A282" s="104" t="s">
        <v>510</v>
      </c>
      <c r="B282" s="104" t="s">
        <v>510</v>
      </c>
      <c r="C282" s="103" t="s">
        <v>507</v>
      </c>
      <c r="D282" s="103" t="s">
        <v>507</v>
      </c>
      <c r="E282" s="104" t="s">
        <v>510</v>
      </c>
      <c r="F282" s="105" t="str">
        <f>Originals!B332</f>
        <v>OpenG LabVIEW ZIP Library</v>
      </c>
      <c r="G282" s="105" t="str">
        <f>Originals!C332</f>
        <v>4.0.0-2</v>
      </c>
      <c r="H282" s="105" t="str">
        <f>Originals!D332</f>
        <v>32</v>
      </c>
      <c r="I282" s="105" t="str">
        <f>Originals!E332</f>
        <v>N/A</v>
      </c>
      <c r="J282" s="105" t="str">
        <f>Originals!F332</f>
        <v>Development</v>
      </c>
      <c r="K282" s="105" t="str">
        <f>Originals!G332</f>
        <v>OpenG.org</v>
      </c>
      <c r="L282" s="105" t="str">
        <f>Originals!H332</f>
        <v>OpenG LabVIEW ZIP Library 4.0.0-2</v>
      </c>
      <c r="M282" s="105" t="str">
        <f>Originals!I332</f>
        <v>VIPM Community</v>
      </c>
      <c r="N282" s="98" t="s">
        <v>136</v>
      </c>
    </row>
    <row r="283" spans="1:14" x14ac:dyDescent="0.25">
      <c r="A283" s="104" t="s">
        <v>510</v>
      </c>
      <c r="B283" s="104" t="s">
        <v>510</v>
      </c>
      <c r="C283" s="103" t="s">
        <v>507</v>
      </c>
      <c r="D283" s="103" t="s">
        <v>507</v>
      </c>
      <c r="E283" s="104" t="s">
        <v>510</v>
      </c>
      <c r="F283" s="105" t="str">
        <f>Originals!B333</f>
        <v>OpenG Large File Library</v>
      </c>
      <c r="G283" s="105" t="str">
        <f>Originals!C333</f>
        <v>4.0.0.3</v>
      </c>
      <c r="H283" s="105" t="str">
        <f>Originals!D333</f>
        <v>32</v>
      </c>
      <c r="I283" s="105" t="str">
        <f>Originals!E333</f>
        <v>N/A</v>
      </c>
      <c r="J283" s="105" t="str">
        <f>Originals!F333</f>
        <v>Development</v>
      </c>
      <c r="K283" s="105" t="str">
        <f>Originals!G333</f>
        <v>OpenG.org</v>
      </c>
      <c r="L283" s="105" t="str">
        <f>Originals!H333</f>
        <v>OpenG Large File Library 4.0.0.3</v>
      </c>
      <c r="M283" s="105" t="str">
        <f>Originals!I333</f>
        <v>VIPM Community</v>
      </c>
      <c r="N283" s="98" t="s">
        <v>136</v>
      </c>
    </row>
    <row r="284" spans="1:14" x14ac:dyDescent="0.25">
      <c r="A284" s="104" t="s">
        <v>510</v>
      </c>
      <c r="B284" s="104" t="s">
        <v>510</v>
      </c>
      <c r="C284" s="103" t="s">
        <v>507</v>
      </c>
      <c r="D284" s="103" t="s">
        <v>507</v>
      </c>
      <c r="E284" s="104" t="s">
        <v>510</v>
      </c>
      <c r="F284" s="105" t="str">
        <f>Originals!B334</f>
        <v>OpenG Locate File In Project Tool</v>
      </c>
      <c r="G284" s="105" t="str">
        <f>Originals!C334</f>
        <v>4.0.0.7</v>
      </c>
      <c r="H284" s="105" t="str">
        <f>Originals!D334</f>
        <v>32</v>
      </c>
      <c r="I284" s="105" t="str">
        <f>Originals!E334</f>
        <v>N/A</v>
      </c>
      <c r="J284" s="105" t="str">
        <f>Originals!F334</f>
        <v>Development</v>
      </c>
      <c r="K284" s="105" t="str">
        <f>Originals!G334</f>
        <v>OpenG.org</v>
      </c>
      <c r="L284" s="105" t="str">
        <f>Originals!H334</f>
        <v>OpenG Locate File In Project Tool 4.0.0.7</v>
      </c>
      <c r="M284" s="105" t="str">
        <f>Originals!I334</f>
        <v>VIPM Community</v>
      </c>
      <c r="N284" s="98" t="s">
        <v>136</v>
      </c>
    </row>
    <row r="285" spans="1:14" x14ac:dyDescent="0.25">
      <c r="A285" s="104" t="s">
        <v>510</v>
      </c>
      <c r="B285" s="104" t="s">
        <v>510</v>
      </c>
      <c r="C285" s="103" t="s">
        <v>507</v>
      </c>
      <c r="D285" s="103" t="s">
        <v>507</v>
      </c>
      <c r="E285" s="104" t="s">
        <v>510</v>
      </c>
      <c r="F285" s="105" t="str">
        <f>Originals!B335</f>
        <v>OpenG MD5 Digest Library</v>
      </c>
      <c r="G285" s="105" t="str">
        <f>Originals!C335</f>
        <v>4.1.1.10</v>
      </c>
      <c r="H285" s="105" t="str">
        <f>Originals!D335</f>
        <v>32</v>
      </c>
      <c r="I285" s="105" t="str">
        <f>Originals!E335</f>
        <v>N/A</v>
      </c>
      <c r="J285" s="105" t="str">
        <f>Originals!F335</f>
        <v>Development</v>
      </c>
      <c r="K285" s="105" t="str">
        <f>Originals!G335</f>
        <v>OpenG.org</v>
      </c>
      <c r="L285" s="105" t="str">
        <f>Originals!H335</f>
        <v>OpenG MD5 Digest Library 4.1.1.10</v>
      </c>
      <c r="M285" s="105" t="str">
        <f>Originals!I335</f>
        <v>VIPM Community</v>
      </c>
      <c r="N285" s="98" t="s">
        <v>136</v>
      </c>
    </row>
    <row r="286" spans="1:14" x14ac:dyDescent="0.25">
      <c r="A286" s="104" t="s">
        <v>510</v>
      </c>
      <c r="B286" s="104" t="s">
        <v>510</v>
      </c>
      <c r="C286" s="103" t="s">
        <v>507</v>
      </c>
      <c r="D286" s="103" t="s">
        <v>507</v>
      </c>
      <c r="E286" s="104" t="s">
        <v>510</v>
      </c>
      <c r="F286" s="105" t="str">
        <f>Originals!B336</f>
        <v>OpenG Message Queue Library</v>
      </c>
      <c r="G286" s="105" t="str">
        <f>Originals!C336</f>
        <v>4.0.0.15</v>
      </c>
      <c r="H286" s="105" t="str">
        <f>Originals!D336</f>
        <v>32</v>
      </c>
      <c r="I286" s="105" t="str">
        <f>Originals!E336</f>
        <v>N/A</v>
      </c>
      <c r="J286" s="105" t="str">
        <f>Originals!F336</f>
        <v>Development</v>
      </c>
      <c r="K286" s="105" t="str">
        <f>Originals!G336</f>
        <v>OpenG.org</v>
      </c>
      <c r="L286" s="105" t="str">
        <f>Originals!H336</f>
        <v>OpenG Message Queue Library 4.0.0.15</v>
      </c>
      <c r="M286" s="105" t="str">
        <f>Originals!I336</f>
        <v>VIPM Community</v>
      </c>
      <c r="N286" s="98" t="s">
        <v>136</v>
      </c>
    </row>
    <row r="287" spans="1:14" x14ac:dyDescent="0.25">
      <c r="A287" s="104" t="s">
        <v>510</v>
      </c>
      <c r="B287" s="104" t="s">
        <v>510</v>
      </c>
      <c r="C287" s="103" t="s">
        <v>507</v>
      </c>
      <c r="D287" s="103" t="s">
        <v>507</v>
      </c>
      <c r="E287" s="104" t="s">
        <v>510</v>
      </c>
      <c r="F287" s="105" t="str">
        <f>Originals!B337</f>
        <v>OpenG Numeric Library</v>
      </c>
      <c r="G287" s="105" t="str">
        <f>Originals!C337</f>
        <v>4.1.0.8</v>
      </c>
      <c r="H287" s="105" t="str">
        <f>Originals!D337</f>
        <v>32</v>
      </c>
      <c r="I287" s="105" t="str">
        <f>Originals!E337</f>
        <v>N/A</v>
      </c>
      <c r="J287" s="105" t="str">
        <f>Originals!F337</f>
        <v>Development</v>
      </c>
      <c r="K287" s="105" t="str">
        <f>Originals!G337</f>
        <v>OpenG.org</v>
      </c>
      <c r="L287" s="105" t="str">
        <f>Originals!H337</f>
        <v>OpenG Numeric Library 4.1.0.8</v>
      </c>
      <c r="M287" s="105" t="str">
        <f>Originals!I337</f>
        <v>VIPM Community</v>
      </c>
      <c r="N287" s="98" t="s">
        <v>136</v>
      </c>
    </row>
    <row r="288" spans="1:14" x14ac:dyDescent="0.25">
      <c r="A288" s="104" t="s">
        <v>510</v>
      </c>
      <c r="B288" s="104" t="s">
        <v>510</v>
      </c>
      <c r="C288" s="103" t="s">
        <v>507</v>
      </c>
      <c r="D288" s="103" t="s">
        <v>507</v>
      </c>
      <c r="E288" s="104" t="s">
        <v>510</v>
      </c>
      <c r="F288" s="105" t="str">
        <f>Originals!B338</f>
        <v>OpenG Picture Library</v>
      </c>
      <c r="G288" s="105" t="str">
        <f>Originals!C338</f>
        <v>4.0.0.13</v>
      </c>
      <c r="H288" s="105" t="str">
        <f>Originals!D338</f>
        <v>32</v>
      </c>
      <c r="I288" s="105" t="str">
        <f>Originals!E338</f>
        <v>N/A</v>
      </c>
      <c r="J288" s="105" t="str">
        <f>Originals!F338</f>
        <v>Development</v>
      </c>
      <c r="K288" s="105" t="str">
        <f>Originals!G338</f>
        <v>OpenG.org</v>
      </c>
      <c r="L288" s="105" t="str">
        <f>Originals!H338</f>
        <v>OpenG Picture Library 4.0.0.13</v>
      </c>
      <c r="M288" s="105" t="str">
        <f>Originals!I338</f>
        <v>VIPM Community</v>
      </c>
      <c r="N288" s="98" t="s">
        <v>136</v>
      </c>
    </row>
    <row r="289" spans="1:14" x14ac:dyDescent="0.25">
      <c r="A289" s="104" t="s">
        <v>510</v>
      </c>
      <c r="B289" s="104" t="s">
        <v>510</v>
      </c>
      <c r="C289" s="103" t="s">
        <v>507</v>
      </c>
      <c r="D289" s="103" t="s">
        <v>507</v>
      </c>
      <c r="E289" s="104" t="s">
        <v>510</v>
      </c>
      <c r="F289" s="105" t="str">
        <f>Originals!B339</f>
        <v>OpenG Port IO</v>
      </c>
      <c r="G289" s="105" t="str">
        <f>Originals!C339</f>
        <v>4.0.0-2</v>
      </c>
      <c r="H289" s="105" t="str">
        <f>Originals!D339</f>
        <v>32</v>
      </c>
      <c r="I289" s="105" t="str">
        <f>Originals!E339</f>
        <v>N/A</v>
      </c>
      <c r="J289" s="105" t="str">
        <f>Originals!F339</f>
        <v>Development</v>
      </c>
      <c r="K289" s="105" t="str">
        <f>Originals!G339</f>
        <v>OpenG.org</v>
      </c>
      <c r="L289" s="105" t="str">
        <f>Originals!H339</f>
        <v>OpenG Port IO 4.0.0-2</v>
      </c>
      <c r="M289" s="105" t="str">
        <f>Originals!I339</f>
        <v>VIPM Community</v>
      </c>
      <c r="N289" s="98" t="s">
        <v>136</v>
      </c>
    </row>
    <row r="290" spans="1:14" x14ac:dyDescent="0.25">
      <c r="A290" s="104" t="s">
        <v>510</v>
      </c>
      <c r="B290" s="104" t="s">
        <v>510</v>
      </c>
      <c r="C290" s="103" t="s">
        <v>507</v>
      </c>
      <c r="D290" s="103" t="s">
        <v>507</v>
      </c>
      <c r="E290" s="104" t="s">
        <v>510</v>
      </c>
      <c r="F290" s="105" t="str">
        <f>Originals!B340</f>
        <v>OpenG Rename Folder of VIs Tool</v>
      </c>
      <c r="G290" s="105" t="str">
        <f>Originals!C340</f>
        <v>4.0.0.15</v>
      </c>
      <c r="H290" s="105" t="str">
        <f>Originals!D340</f>
        <v>32</v>
      </c>
      <c r="I290" s="105" t="str">
        <f>Originals!E340</f>
        <v>N/A</v>
      </c>
      <c r="J290" s="105" t="str">
        <f>Originals!F340</f>
        <v>Development</v>
      </c>
      <c r="K290" s="105" t="str">
        <f>Originals!G340</f>
        <v>OpenG.org</v>
      </c>
      <c r="L290" s="105" t="str">
        <f>Originals!H340</f>
        <v>OpenG Rename Folder of VIs Tool 4.0.0.15</v>
      </c>
      <c r="M290" s="105" t="str">
        <f>Originals!I340</f>
        <v>VIPM Community</v>
      </c>
      <c r="N290" s="98" t="s">
        <v>136</v>
      </c>
    </row>
    <row r="291" spans="1:14" x14ac:dyDescent="0.25">
      <c r="A291" s="104" t="s">
        <v>510</v>
      </c>
      <c r="B291" s="104" t="s">
        <v>510</v>
      </c>
      <c r="C291" s="103" t="s">
        <v>507</v>
      </c>
      <c r="D291" s="103" t="s">
        <v>507</v>
      </c>
      <c r="E291" s="104" t="s">
        <v>510</v>
      </c>
      <c r="F291" s="105" t="str">
        <f>Originals!B341</f>
        <v>OpenG String Library</v>
      </c>
      <c r="G291" s="105" t="str">
        <f>Originals!C341</f>
        <v>4.1.0.12</v>
      </c>
      <c r="H291" s="105" t="str">
        <f>Originals!D341</f>
        <v>32</v>
      </c>
      <c r="I291" s="105" t="str">
        <f>Originals!E341</f>
        <v>N/A</v>
      </c>
      <c r="J291" s="105" t="str">
        <f>Originals!F341</f>
        <v>Development</v>
      </c>
      <c r="K291" s="105" t="str">
        <f>Originals!G341</f>
        <v>OpenG.org</v>
      </c>
      <c r="L291" s="105" t="str">
        <f>Originals!H341</f>
        <v>OpenG String Library 4.1.0.12</v>
      </c>
      <c r="M291" s="105" t="str">
        <f>Originals!I341</f>
        <v>VIPM Community</v>
      </c>
      <c r="N291" s="98" t="s">
        <v>136</v>
      </c>
    </row>
    <row r="292" spans="1:14" x14ac:dyDescent="0.25">
      <c r="A292" s="104" t="s">
        <v>510</v>
      </c>
      <c r="B292" s="104" t="s">
        <v>510</v>
      </c>
      <c r="C292" s="103" t="s">
        <v>507</v>
      </c>
      <c r="D292" s="103" t="s">
        <v>507</v>
      </c>
      <c r="E292" s="104" t="s">
        <v>510</v>
      </c>
      <c r="F292" s="105" t="str">
        <f>Originals!B342</f>
        <v>OpenG Time Library</v>
      </c>
      <c r="G292" s="105" t="str">
        <f>Originals!C342</f>
        <v>4.0.1.3</v>
      </c>
      <c r="H292" s="105" t="str">
        <f>Originals!D342</f>
        <v>32</v>
      </c>
      <c r="I292" s="105" t="str">
        <f>Originals!E342</f>
        <v>N/A</v>
      </c>
      <c r="J292" s="105" t="str">
        <f>Originals!F342</f>
        <v>Development</v>
      </c>
      <c r="K292" s="105" t="str">
        <f>Originals!G342</f>
        <v>OpenG.org</v>
      </c>
      <c r="L292" s="105" t="str">
        <f>Originals!H342</f>
        <v>OpenG Time Library 4.0.1.3</v>
      </c>
      <c r="M292" s="105" t="str">
        <f>Originals!I342</f>
        <v>VIPM Community</v>
      </c>
      <c r="N292" s="98" t="s">
        <v>136</v>
      </c>
    </row>
    <row r="293" spans="1:14" x14ac:dyDescent="0.25">
      <c r="A293" s="104" t="s">
        <v>510</v>
      </c>
      <c r="B293" s="104" t="s">
        <v>510</v>
      </c>
      <c r="C293" s="103" t="s">
        <v>507</v>
      </c>
      <c r="D293" s="103" t="s">
        <v>507</v>
      </c>
      <c r="E293" s="104" t="s">
        <v>510</v>
      </c>
      <c r="F293" s="105" t="str">
        <f>Originals!B343</f>
        <v>OpenG Toolkit</v>
      </c>
      <c r="G293" s="105" t="str">
        <f>Originals!C343</f>
        <v>4.0.1.9</v>
      </c>
      <c r="H293" s="105" t="str">
        <f>Originals!D343</f>
        <v>32</v>
      </c>
      <c r="I293" s="105" t="str">
        <f>Originals!E343</f>
        <v>N/A</v>
      </c>
      <c r="J293" s="105" t="str">
        <f>Originals!F343</f>
        <v>Development</v>
      </c>
      <c r="K293" s="105" t="str">
        <f>Originals!G343</f>
        <v>OpenG.org</v>
      </c>
      <c r="L293" s="105" t="str">
        <f>Originals!H343</f>
        <v>OpenG Toolkit 4.0.1.9</v>
      </c>
      <c r="M293" s="105" t="str">
        <f>Originals!I343</f>
        <v>VIPM Community</v>
      </c>
      <c r="N293" s="98" t="s">
        <v>136</v>
      </c>
    </row>
    <row r="294" spans="1:14" x14ac:dyDescent="0.25">
      <c r="A294" s="104" t="s">
        <v>510</v>
      </c>
      <c r="B294" s="104" t="s">
        <v>510</v>
      </c>
      <c r="C294" s="103" t="s">
        <v>507</v>
      </c>
      <c r="D294" s="103" t="s">
        <v>507</v>
      </c>
      <c r="E294" s="104" t="s">
        <v>510</v>
      </c>
      <c r="F294" s="105" t="str">
        <f>Originals!B344</f>
        <v>OpenG Variant Configuration File Library</v>
      </c>
      <c r="G294" s="105" t="str">
        <f>Originals!C344</f>
        <v>4.0.0.5</v>
      </c>
      <c r="H294" s="105" t="str">
        <f>Originals!D344</f>
        <v>32</v>
      </c>
      <c r="I294" s="105" t="str">
        <f>Originals!E344</f>
        <v>N/A</v>
      </c>
      <c r="J294" s="105" t="str">
        <f>Originals!F344</f>
        <v>Development</v>
      </c>
      <c r="K294" s="105" t="str">
        <f>Originals!G344</f>
        <v>OpenG.org</v>
      </c>
      <c r="L294" s="105" t="str">
        <f>Originals!H344</f>
        <v>OpenG Variant Configuration File Library 4.0.0.5</v>
      </c>
      <c r="M294" s="105" t="str">
        <f>Originals!I344</f>
        <v>VIPM Community</v>
      </c>
      <c r="N294" s="98" t="s">
        <v>136</v>
      </c>
    </row>
    <row r="295" spans="1:14" x14ac:dyDescent="0.25">
      <c r="A295" s="104" t="s">
        <v>510</v>
      </c>
      <c r="B295" s="104" t="s">
        <v>510</v>
      </c>
      <c r="C295" s="103" t="s">
        <v>507</v>
      </c>
      <c r="D295" s="103" t="s">
        <v>507</v>
      </c>
      <c r="E295" s="104" t="s">
        <v>510</v>
      </c>
      <c r="F295" s="105" t="str">
        <f>Originals!B345</f>
        <v>OpenGDS</v>
      </c>
      <c r="G295" s="105" t="str">
        <f>Originals!C345</f>
        <v>1.1.17</v>
      </c>
      <c r="H295" s="105" t="str">
        <f>Originals!D345</f>
        <v>32</v>
      </c>
      <c r="I295" s="105" t="str">
        <f>Originals!E345</f>
        <v>N/A</v>
      </c>
      <c r="J295" s="105" t="str">
        <f>Originals!F345</f>
        <v>Development</v>
      </c>
      <c r="K295" s="105" t="str">
        <f>Originals!G345</f>
        <v>OpenGDS</v>
      </c>
      <c r="L295" s="105" t="str">
        <f>Originals!H345</f>
        <v>OpenGDS 1.1.17</v>
      </c>
      <c r="M295" s="105" t="str">
        <f>Originals!I345</f>
        <v>VIPM Community</v>
      </c>
      <c r="N295" s="98" t="s">
        <v>136</v>
      </c>
    </row>
    <row r="296" spans="1:14" x14ac:dyDescent="0.25">
      <c r="A296" s="104" t="s">
        <v>510</v>
      </c>
      <c r="B296" s="104" t="s">
        <v>510</v>
      </c>
      <c r="C296" s="104" t="s">
        <v>510</v>
      </c>
      <c r="D296" s="103" t="s">
        <v>507</v>
      </c>
      <c r="E296" s="104" t="s">
        <v>510</v>
      </c>
      <c r="F296" s="108" t="str">
        <f>Scott!B100</f>
        <v>NI System Configuration</v>
      </c>
      <c r="G296" s="108" t="str">
        <f>Scott!C100</f>
        <v>19.0.0f0</v>
      </c>
      <c r="H296" s="108">
        <f>Scott!D100</f>
        <v>32</v>
      </c>
      <c r="I296" s="108">
        <f>Scott!E100</f>
        <v>2019</v>
      </c>
      <c r="J296" s="108" t="str">
        <f>Scott!F100</f>
        <v>Development</v>
      </c>
      <c r="K296" s="108" t="str">
        <f>Scott!G100</f>
        <v>NI</v>
      </c>
      <c r="L296" s="108" t="str">
        <f>Scott!H100</f>
        <v>NI System Configuration 19.0.0f0</v>
      </c>
      <c r="M296" s="108" t="str">
        <f>Scott!I100</f>
        <v>LabVIEW 2019</v>
      </c>
      <c r="N296" s="109" t="s">
        <v>96</v>
      </c>
    </row>
    <row r="297" spans="1:14" x14ac:dyDescent="0.25">
      <c r="A297" s="104" t="s">
        <v>510</v>
      </c>
      <c r="B297" s="104" t="s">
        <v>510</v>
      </c>
      <c r="C297" s="104" t="s">
        <v>510</v>
      </c>
      <c r="D297" s="103" t="s">
        <v>507</v>
      </c>
      <c r="E297" s="104" t="s">
        <v>510</v>
      </c>
      <c r="F297" s="108" t="str">
        <f>Scott!B101</f>
        <v>NI-488.2</v>
      </c>
      <c r="G297" s="108" t="str">
        <f>Scott!C101</f>
        <v>19.0.0</v>
      </c>
      <c r="H297" s="108">
        <f>Scott!D101</f>
        <v>32</v>
      </c>
      <c r="I297" s="108">
        <f>Scott!E101</f>
        <v>2019</v>
      </c>
      <c r="J297" s="108" t="str">
        <f>Scott!F101</f>
        <v>Runtime</v>
      </c>
      <c r="K297" s="108" t="str">
        <f>Scott!G101</f>
        <v>NI</v>
      </c>
      <c r="L297" s="108" t="str">
        <f>Scott!H101</f>
        <v>NI-488.2 19.0.0</v>
      </c>
      <c r="M297" s="108" t="str">
        <f>Scott!I101</f>
        <v>LabVIEW 2019</v>
      </c>
      <c r="N297" s="109" t="s">
        <v>96</v>
      </c>
    </row>
    <row r="298" spans="1:14" x14ac:dyDescent="0.25">
      <c r="A298" s="103" t="s">
        <v>507</v>
      </c>
      <c r="B298" s="103" t="s">
        <v>507</v>
      </c>
      <c r="C298" s="103" t="s">
        <v>507</v>
      </c>
      <c r="D298" s="103" t="s">
        <v>507</v>
      </c>
      <c r="E298" s="103" t="s">
        <v>507</v>
      </c>
      <c r="F298" s="105" t="str">
        <f>Originals!B77</f>
        <v>Real-Time</v>
      </c>
      <c r="G298" s="105" t="str">
        <f>Originals!C77</f>
        <v>15.0.1</v>
      </c>
      <c r="H298" s="105" t="str">
        <f>Originals!D77</f>
        <v>32</v>
      </c>
      <c r="I298" s="105" t="str">
        <f>Originals!E77</f>
        <v>2015</v>
      </c>
      <c r="J298" s="105" t="str">
        <f>Originals!F77</f>
        <v>Development</v>
      </c>
      <c r="K298" s="105" t="str">
        <f>Originals!G77</f>
        <v>NI</v>
      </c>
      <c r="L298" s="105" t="str">
        <f>Originals!H77</f>
        <v>Real-Time 15.0.1</v>
      </c>
      <c r="M298" s="105" t="str">
        <f>Originals!I77</f>
        <v>2015 SP1 Update Service</v>
      </c>
      <c r="N298" s="98" t="s">
        <v>136</v>
      </c>
    </row>
    <row r="299" spans="1:14" x14ac:dyDescent="0.25">
      <c r="A299" s="104" t="s">
        <v>510</v>
      </c>
      <c r="B299" s="104" t="s">
        <v>510</v>
      </c>
      <c r="C299" s="104" t="s">
        <v>510</v>
      </c>
      <c r="D299" s="103" t="s">
        <v>507</v>
      </c>
      <c r="E299" s="104" t="s">
        <v>510</v>
      </c>
      <c r="F299" s="108" t="str">
        <f>Scott!B102</f>
        <v>NI-488.2</v>
      </c>
      <c r="G299" s="108" t="str">
        <f>Scott!C102</f>
        <v>15.0.0</v>
      </c>
      <c r="H299" s="108">
        <f>Scott!D102</f>
        <v>32</v>
      </c>
      <c r="I299" s="108">
        <f>Scott!E102</f>
        <v>2015</v>
      </c>
      <c r="J299" s="108" t="str">
        <f>Scott!F102</f>
        <v>Development</v>
      </c>
      <c r="K299" s="108" t="str">
        <f>Scott!G102</f>
        <v>NI</v>
      </c>
      <c r="L299" s="108" t="str">
        <f>Scott!H102</f>
        <v>NI-488.2 15.0.0</v>
      </c>
      <c r="M299" s="108" t="str">
        <f>Scott!I102</f>
        <v>NI Developer Suite 2015 DS2 Install</v>
      </c>
      <c r="N299" s="109" t="s">
        <v>96</v>
      </c>
    </row>
    <row r="300" spans="1:14" x14ac:dyDescent="0.25">
      <c r="A300" s="104" t="s">
        <v>510</v>
      </c>
      <c r="B300" s="104" t="s">
        <v>510</v>
      </c>
      <c r="C300" s="104" t="s">
        <v>510</v>
      </c>
      <c r="D300" s="103" t="s">
        <v>507</v>
      </c>
      <c r="E300" s="104" t="s">
        <v>510</v>
      </c>
      <c r="F300" s="108" t="str">
        <f>Scott!B104</f>
        <v>NI-DAQmx ADE Support</v>
      </c>
      <c r="G300" s="108" t="str">
        <f>Scott!C104</f>
        <v>18.1.0</v>
      </c>
      <c r="H300" s="108" t="str">
        <f>Scott!D104</f>
        <v>32</v>
      </c>
      <c r="I300" s="108" t="str">
        <f>Scott!E104</f>
        <v>2018</v>
      </c>
      <c r="J300" s="108" t="str">
        <f>Scott!F104</f>
        <v>Development</v>
      </c>
      <c r="K300" s="108" t="str">
        <f>Scott!G104</f>
        <v>NI</v>
      </c>
      <c r="L300" s="108" t="str">
        <f>Scott!H104</f>
        <v>NI-DAQmx ADE Support 18.1.0</v>
      </c>
      <c r="M300" s="108" t="str">
        <f>Scott!I104</f>
        <v>CompactRIO 18.1.0</v>
      </c>
      <c r="N300" s="109" t="s">
        <v>96</v>
      </c>
    </row>
    <row r="301" spans="1:14" x14ac:dyDescent="0.25">
      <c r="A301" s="103" t="s">
        <v>507</v>
      </c>
      <c r="B301" s="103" t="s">
        <v>507</v>
      </c>
      <c r="C301" s="103" t="s">
        <v>507</v>
      </c>
      <c r="D301" s="103" t="s">
        <v>507</v>
      </c>
      <c r="E301" s="103" t="s">
        <v>507</v>
      </c>
      <c r="F301" s="105" t="str">
        <f>Originals!B78</f>
        <v>Real-Time Trace Viewer - LabVIEW 2015 Support</v>
      </c>
      <c r="G301" s="105" t="str">
        <f>Originals!C78</f>
        <v>15.0.1</v>
      </c>
      <c r="H301" s="105" t="str">
        <f>Originals!D78</f>
        <v>32</v>
      </c>
      <c r="I301" s="105" t="str">
        <f>Originals!E78</f>
        <v>2015</v>
      </c>
      <c r="J301" s="105" t="str">
        <f>Originals!F78</f>
        <v>Development</v>
      </c>
      <c r="K301" s="105" t="str">
        <f>Originals!G78</f>
        <v>NI</v>
      </c>
      <c r="L301" s="105" t="str">
        <f>Originals!H78</f>
        <v>Real-Time Trace Viewer - LabVIEW 2015 Support 15.0.1</v>
      </c>
      <c r="M301" s="105" t="str">
        <f>Originals!I78</f>
        <v>2015 SP1 Update Service</v>
      </c>
      <c r="N301" s="98" t="s">
        <v>136</v>
      </c>
    </row>
    <row r="302" spans="1:14" x14ac:dyDescent="0.25">
      <c r="A302" s="103" t="s">
        <v>507</v>
      </c>
      <c r="B302" s="103" t="s">
        <v>507</v>
      </c>
      <c r="C302" s="103" t="s">
        <v>507</v>
      </c>
      <c r="D302" s="103" t="s">
        <v>507</v>
      </c>
      <c r="E302" s="103" t="s">
        <v>507</v>
      </c>
      <c r="F302" s="105" t="str">
        <f>Originals!B79</f>
        <v>Report Generation Toolkit For Microsoft Office</v>
      </c>
      <c r="G302" s="105" t="str">
        <f>Originals!C79</f>
        <v>15.0.0</v>
      </c>
      <c r="H302" s="105" t="str">
        <f>Originals!D79</f>
        <v>32</v>
      </c>
      <c r="I302" s="105" t="str">
        <f>Originals!E79</f>
        <v>2015</v>
      </c>
      <c r="J302" s="105" t="str">
        <f>Originals!F79</f>
        <v>Development</v>
      </c>
      <c r="K302" s="105" t="str">
        <f>Originals!G79</f>
        <v>NI</v>
      </c>
      <c r="L302" s="105" t="str">
        <f>Originals!H79</f>
        <v>Report Generation Toolkit For Microsoft Office 15.0.0</v>
      </c>
      <c r="M302" s="105" t="str">
        <f>Originals!I79</f>
        <v>NI Developer Suite 2015 DS2 Install</v>
      </c>
      <c r="N302" s="98" t="s">
        <v>136</v>
      </c>
    </row>
    <row r="303" spans="1:14" x14ac:dyDescent="0.25">
      <c r="A303" s="104" t="s">
        <v>510</v>
      </c>
      <c r="B303" s="104" t="s">
        <v>510</v>
      </c>
      <c r="C303" s="103" t="s">
        <v>507</v>
      </c>
      <c r="D303" s="104" t="s">
        <v>510</v>
      </c>
      <c r="E303" s="104" t="s">
        <v>510</v>
      </c>
      <c r="F303" s="106" t="str">
        <f>Originals!B350</f>
        <v>Run-Time Enginer for Web Services</v>
      </c>
      <c r="G303" s="106" t="str">
        <f>Originals!C350</f>
        <v>15.0.0</v>
      </c>
      <c r="H303" s="106" t="str">
        <f>Originals!D350</f>
        <v>32</v>
      </c>
      <c r="I303" s="106" t="str">
        <f>Originals!E350</f>
        <v>2015</v>
      </c>
      <c r="J303" s="106" t="str">
        <f>Originals!F350</f>
        <v>C-RIO</v>
      </c>
      <c r="K303" s="106" t="str">
        <f>Originals!G350</f>
        <v>NI</v>
      </c>
      <c r="L303" s="106" t="str">
        <f>Originals!H350</f>
        <v>Run-Time Enginer for Web Services 15.0.0</v>
      </c>
      <c r="M303" s="106">
        <f>Originals!I350</f>
        <v>0</v>
      </c>
      <c r="N303" s="107" t="s">
        <v>2</v>
      </c>
    </row>
    <row r="304" spans="1:14" x14ac:dyDescent="0.25">
      <c r="A304" s="104" t="s">
        <v>510</v>
      </c>
      <c r="B304" s="104" t="s">
        <v>510</v>
      </c>
      <c r="C304" s="104" t="s">
        <v>510</v>
      </c>
      <c r="D304" s="103" t="s">
        <v>507</v>
      </c>
      <c r="E304" s="104" t="s">
        <v>510</v>
      </c>
      <c r="F304" s="108" t="str">
        <f>Scott!B107</f>
        <v>NI-DCPower</v>
      </c>
      <c r="G304" s="108">
        <f>Scott!C107</f>
        <v>0</v>
      </c>
      <c r="H304" s="108">
        <f>Scott!D107</f>
        <v>32</v>
      </c>
      <c r="I304" s="108">
        <f>Scott!E107</f>
        <v>2015</v>
      </c>
      <c r="J304" s="108" t="str">
        <f>Scott!F107</f>
        <v>Development</v>
      </c>
      <c r="K304" s="108" t="str">
        <f>Scott!G107</f>
        <v>NI</v>
      </c>
      <c r="L304" s="108" t="str">
        <f>Scott!H107</f>
        <v xml:space="preserve">NI-DCPower </v>
      </c>
      <c r="M304" s="108" t="str">
        <f>Scott!I107</f>
        <v>NI Developer Suite 2015 DS2 Install</v>
      </c>
      <c r="N304" s="109" t="s">
        <v>96</v>
      </c>
    </row>
    <row r="305" spans="1:14" x14ac:dyDescent="0.25">
      <c r="A305" s="104" t="s">
        <v>510</v>
      </c>
      <c r="B305" s="104" t="s">
        <v>510</v>
      </c>
      <c r="C305" s="103" t="s">
        <v>507</v>
      </c>
      <c r="D305" s="104" t="s">
        <v>510</v>
      </c>
      <c r="E305" s="104" t="s">
        <v>510</v>
      </c>
      <c r="F305" s="106" t="str">
        <f>Originals!B351</f>
        <v>Software Management Web Support</v>
      </c>
      <c r="G305" s="106" t="str">
        <f>Originals!C351</f>
        <v>15.0.0</v>
      </c>
      <c r="H305" s="106" t="str">
        <f>Originals!D351</f>
        <v>32</v>
      </c>
      <c r="I305" s="106" t="str">
        <f>Originals!E351</f>
        <v>2015</v>
      </c>
      <c r="J305" s="106" t="str">
        <f>Originals!F351</f>
        <v>C-RIO</v>
      </c>
      <c r="K305" s="106" t="str">
        <f>Originals!G351</f>
        <v>NI</v>
      </c>
      <c r="L305" s="106" t="str">
        <f>Originals!H351</f>
        <v>Software Management Web Support 15.0.0</v>
      </c>
      <c r="M305" s="106">
        <f>Originals!I351</f>
        <v>0</v>
      </c>
      <c r="N305" s="107" t="s">
        <v>2</v>
      </c>
    </row>
    <row r="306" spans="1:14" x14ac:dyDescent="0.25">
      <c r="A306" s="104" t="s">
        <v>510</v>
      </c>
      <c r="B306" s="104" t="s">
        <v>510</v>
      </c>
      <c r="C306" s="104" t="s">
        <v>510</v>
      </c>
      <c r="D306" s="103" t="s">
        <v>507</v>
      </c>
      <c r="E306" s="104" t="s">
        <v>510</v>
      </c>
      <c r="F306" s="108" t="str">
        <f>Scott!B108</f>
        <v>NI-DCPower</v>
      </c>
      <c r="G306" s="108" t="str">
        <f>Scott!C108</f>
        <v>15.0</v>
      </c>
      <c r="H306" s="108">
        <f>Scott!D108</f>
        <v>32</v>
      </c>
      <c r="I306" s="108">
        <f>Scott!E108</f>
        <v>2015</v>
      </c>
      <c r="J306" s="108" t="str">
        <f>Scott!F108</f>
        <v>Runtime</v>
      </c>
      <c r="K306" s="108" t="str">
        <f>Scott!G108</f>
        <v>NI</v>
      </c>
      <c r="L306" s="108" t="str">
        <f>Scott!H108</f>
        <v>NI-DCPower 15.0</v>
      </c>
      <c r="M306" s="108" t="str">
        <f>Scott!I108</f>
        <v>NI Developer Suite 2015 DS2 Install</v>
      </c>
      <c r="N306" s="109" t="s">
        <v>96</v>
      </c>
    </row>
    <row r="307" spans="1:14" x14ac:dyDescent="0.25">
      <c r="A307" s="104" t="s">
        <v>510</v>
      </c>
      <c r="B307" s="104" t="s">
        <v>510</v>
      </c>
      <c r="C307" s="103" t="s">
        <v>507</v>
      </c>
      <c r="D307" s="104" t="s">
        <v>510</v>
      </c>
      <c r="E307" s="104" t="s">
        <v>510</v>
      </c>
      <c r="F307" s="106" t="str">
        <f>Originals!B352</f>
        <v>SSL Support for LabVIEW</v>
      </c>
      <c r="G307" s="106" t="str">
        <f>Originals!C352</f>
        <v>15.0.0</v>
      </c>
      <c r="H307" s="106" t="str">
        <f>Originals!D352</f>
        <v>32</v>
      </c>
      <c r="I307" s="106" t="str">
        <f>Originals!E352</f>
        <v>2015</v>
      </c>
      <c r="J307" s="106" t="str">
        <f>Originals!F352</f>
        <v>C-RIO</v>
      </c>
      <c r="K307" s="106" t="str">
        <f>Originals!G352</f>
        <v>NI</v>
      </c>
      <c r="L307" s="106" t="str">
        <f>Originals!H352</f>
        <v>SSL Support for LabVIEW 15.0.0</v>
      </c>
      <c r="M307" s="106">
        <f>Originals!I352</f>
        <v>0</v>
      </c>
      <c r="N307" s="107" t="s">
        <v>2</v>
      </c>
    </row>
    <row r="308" spans="1:14" x14ac:dyDescent="0.25">
      <c r="A308" s="103" t="s">
        <v>507</v>
      </c>
      <c r="B308" s="103" t="s">
        <v>507</v>
      </c>
      <c r="C308" s="104" t="s">
        <v>510</v>
      </c>
      <c r="D308" s="103" t="s">
        <v>507</v>
      </c>
      <c r="E308" s="104" t="s">
        <v>510</v>
      </c>
      <c r="F308" s="108" t="str">
        <f>Originals!B80</f>
        <v>Statechart Module</v>
      </c>
      <c r="G308" s="108" t="str">
        <f>Originals!C80</f>
        <v>15.0</v>
      </c>
      <c r="H308" s="108" t="str">
        <f>Originals!D80</f>
        <v>32</v>
      </c>
      <c r="I308" s="108" t="str">
        <f>Originals!E80</f>
        <v>2015</v>
      </c>
      <c r="J308" s="108" t="str">
        <f>Originals!F80</f>
        <v>Development</v>
      </c>
      <c r="K308" s="108" t="str">
        <f>Originals!G80</f>
        <v>NI</v>
      </c>
      <c r="L308" s="108" t="str">
        <f>Originals!H80</f>
        <v>Statechart Module 15.0</v>
      </c>
      <c r="M308" s="108" t="str">
        <f>Originals!I80</f>
        <v>NI Developer Suite 2015 DS2 Install</v>
      </c>
      <c r="N308" s="109" t="s">
        <v>96</v>
      </c>
    </row>
    <row r="309" spans="1:14" x14ac:dyDescent="0.25">
      <c r="A309" s="104" t="s">
        <v>510</v>
      </c>
      <c r="B309" s="104" t="s">
        <v>510</v>
      </c>
      <c r="C309" s="103" t="s">
        <v>507</v>
      </c>
      <c r="D309" s="103" t="s">
        <v>507</v>
      </c>
      <c r="E309" s="104" t="s">
        <v>510</v>
      </c>
      <c r="F309" s="105" t="str">
        <f>Originals!B353</f>
        <v>Structure Error Handler</v>
      </c>
      <c r="G309" s="105" t="str">
        <f>Originals!C353</f>
        <v>2.1.10.1</v>
      </c>
      <c r="H309" s="105" t="str">
        <f>Originals!D353</f>
        <v>32</v>
      </c>
      <c r="I309" s="105" t="str">
        <f>Originals!E353</f>
        <v>N/A</v>
      </c>
      <c r="J309" s="105" t="str">
        <f>Originals!F353</f>
        <v>Development</v>
      </c>
      <c r="K309" s="105" t="str">
        <f>Originals!G353</f>
        <v>NI</v>
      </c>
      <c r="L309" s="105" t="str">
        <f>Originals!H353</f>
        <v>Structure Error Handler 2.1.10.1</v>
      </c>
      <c r="M309" s="105" t="str">
        <f>Originals!I353</f>
        <v>VIPM Community</v>
      </c>
      <c r="N309" s="98" t="s">
        <v>136</v>
      </c>
    </row>
    <row r="310" spans="1:14" x14ac:dyDescent="0.25">
      <c r="A310" s="104" t="s">
        <v>510</v>
      </c>
      <c r="B310" s="104" t="s">
        <v>510</v>
      </c>
      <c r="C310" s="103" t="s">
        <v>507</v>
      </c>
      <c r="D310" s="104" t="s">
        <v>510</v>
      </c>
      <c r="E310" s="104" t="s">
        <v>510</v>
      </c>
      <c r="F310" s="106" t="str">
        <f>Originals!B354</f>
        <v>Time Configuration Web Support</v>
      </c>
      <c r="G310" s="106" t="str">
        <f>Originals!C354</f>
        <v>15.0.0</v>
      </c>
      <c r="H310" s="106" t="str">
        <f>Originals!D354</f>
        <v>32</v>
      </c>
      <c r="I310" s="106" t="str">
        <f>Originals!E354</f>
        <v>2015</v>
      </c>
      <c r="J310" s="106" t="str">
        <f>Originals!F354</f>
        <v>C-RIO</v>
      </c>
      <c r="K310" s="106" t="str">
        <f>Originals!G354</f>
        <v>NI</v>
      </c>
      <c r="L310" s="106" t="str">
        <f>Originals!H354</f>
        <v>Time Configuration Web Support 15.0.0</v>
      </c>
      <c r="M310" s="106">
        <f>Originals!I354</f>
        <v>0</v>
      </c>
      <c r="N310" s="107" t="s">
        <v>2</v>
      </c>
    </row>
    <row r="311" spans="1:14" x14ac:dyDescent="0.25">
      <c r="A311" s="104" t="s">
        <v>510</v>
      </c>
      <c r="B311" s="104" t="s">
        <v>510</v>
      </c>
      <c r="C311" s="103" t="s">
        <v>507</v>
      </c>
      <c r="D311" s="103" t="s">
        <v>507</v>
      </c>
      <c r="E311" s="104" t="s">
        <v>510</v>
      </c>
      <c r="F311" s="105" t="str">
        <f>Originals!B355</f>
        <v>UI Tools</v>
      </c>
      <c r="G311" s="105" t="str">
        <f>Originals!C355</f>
        <v>1.4.1.74</v>
      </c>
      <c r="H311" s="105" t="str">
        <f>Originals!D355</f>
        <v>32</v>
      </c>
      <c r="I311" s="105" t="str">
        <f>Originals!E355</f>
        <v>N/A</v>
      </c>
      <c r="J311" s="105" t="str">
        <f>Originals!F355</f>
        <v>Development</v>
      </c>
      <c r="K311" s="105" t="str">
        <f>Originals!G355</f>
        <v>LAVA</v>
      </c>
      <c r="L311" s="105" t="str">
        <f>Originals!H355</f>
        <v>UI Tools 1.4.1.74</v>
      </c>
      <c r="M311" s="105" t="str">
        <f>Originals!I355</f>
        <v>VIPM Community</v>
      </c>
      <c r="N311" s="98" t="s">
        <v>136</v>
      </c>
    </row>
    <row r="312" spans="1:14" x14ac:dyDescent="0.25">
      <c r="A312" s="103" t="s">
        <v>507</v>
      </c>
      <c r="B312" s="103" t="s">
        <v>507</v>
      </c>
      <c r="C312" s="104" t="s">
        <v>510</v>
      </c>
      <c r="D312" s="103" t="s">
        <v>507</v>
      </c>
      <c r="E312" s="104" t="s">
        <v>510</v>
      </c>
      <c r="F312" s="105" t="str">
        <f>Originals!B81</f>
        <v>Unit Test Framework Toolkit</v>
      </c>
      <c r="G312" s="105" t="str">
        <f>Originals!C81</f>
        <v>15.0.0</v>
      </c>
      <c r="H312" s="105" t="str">
        <f>Originals!D81</f>
        <v>32</v>
      </c>
      <c r="I312" s="105" t="str">
        <f>Originals!E81</f>
        <v>2015</v>
      </c>
      <c r="J312" s="105" t="str">
        <f>Originals!F81</f>
        <v>Development</v>
      </c>
      <c r="K312" s="105" t="str">
        <f>Originals!G81</f>
        <v>NI</v>
      </c>
      <c r="L312" s="105" t="str">
        <f>Originals!H81</f>
        <v>Unit Test Framework Toolkit 15.0.0</v>
      </c>
      <c r="M312" s="105" t="str">
        <f>Originals!I81</f>
        <v>NI Developer Suite 2015 DS2 Install</v>
      </c>
      <c r="N312" s="98" t="s">
        <v>136</v>
      </c>
    </row>
    <row r="313" spans="1:14" x14ac:dyDescent="0.25">
      <c r="A313" s="104" t="s">
        <v>510</v>
      </c>
      <c r="B313" s="104" t="s">
        <v>510</v>
      </c>
      <c r="C313" s="103" t="s">
        <v>507</v>
      </c>
      <c r="D313" s="103" t="s">
        <v>507</v>
      </c>
      <c r="E313" s="104" t="s">
        <v>510</v>
      </c>
      <c r="F313" s="105" t="str">
        <f>Scott!B111</f>
        <v>NI-DCPower Soft Front Panel</v>
      </c>
      <c r="G313" s="105" t="str">
        <f>Scott!C111</f>
        <v>15.0</v>
      </c>
      <c r="H313" s="105">
        <f>Scott!D111</f>
        <v>32</v>
      </c>
      <c r="I313" s="105">
        <f>Scott!E111</f>
        <v>2015</v>
      </c>
      <c r="J313" s="105" t="str">
        <f>Scott!F111</f>
        <v>Development</v>
      </c>
      <c r="K313" s="105" t="str">
        <f>Scott!G111</f>
        <v>NI</v>
      </c>
      <c r="L313" s="105" t="str">
        <f>Scott!H111</f>
        <v>NI-DCPower Soft Front Panel 15.0</v>
      </c>
      <c r="M313" s="105" t="str">
        <f>Scott!I111</f>
        <v>NI Developer Suite 2015 DS2 Install</v>
      </c>
      <c r="N313" s="98" t="s">
        <v>136</v>
      </c>
    </row>
    <row r="314" spans="1:14" x14ac:dyDescent="0.25">
      <c r="A314" s="104" t="s">
        <v>510</v>
      </c>
      <c r="B314" s="104" t="s">
        <v>510</v>
      </c>
      <c r="C314" s="103" t="s">
        <v>507</v>
      </c>
      <c r="D314" s="104" t="s">
        <v>510</v>
      </c>
      <c r="E314" s="104" t="s">
        <v>510</v>
      </c>
      <c r="F314" s="106" t="str">
        <f>Originals!B357</f>
        <v>Variable Client Support for LabVIEW RT</v>
      </c>
      <c r="G314" s="106" t="str">
        <f>Originals!C357</f>
        <v>15.0.0</v>
      </c>
      <c r="H314" s="106" t="str">
        <f>Originals!D357</f>
        <v>32</v>
      </c>
      <c r="I314" s="106" t="str">
        <f>Originals!E357</f>
        <v>2015</v>
      </c>
      <c r="J314" s="106" t="str">
        <f>Originals!F357</f>
        <v>C-RIO</v>
      </c>
      <c r="K314" s="106" t="str">
        <f>Originals!G357</f>
        <v>NI</v>
      </c>
      <c r="L314" s="106" t="str">
        <f>Originals!H357</f>
        <v>Variable Client Support for LabVIEW RT 15.0.0</v>
      </c>
      <c r="M314" s="106">
        <f>Originals!I357</f>
        <v>0</v>
      </c>
      <c r="N314" s="107" t="s">
        <v>2</v>
      </c>
    </row>
    <row r="315" spans="1:14" x14ac:dyDescent="0.25">
      <c r="A315" s="104" t="s">
        <v>510</v>
      </c>
      <c r="B315" s="104" t="s">
        <v>510</v>
      </c>
      <c r="C315" s="103" t="s">
        <v>507</v>
      </c>
      <c r="D315" s="104" t="s">
        <v>510</v>
      </c>
      <c r="E315" s="104" t="s">
        <v>510</v>
      </c>
      <c r="F315" s="106" t="str">
        <f>Originals!B358</f>
        <v>Variable Legacy Protocol Support</v>
      </c>
      <c r="G315" s="106" t="str">
        <f>Originals!C358</f>
        <v>5.7.1</v>
      </c>
      <c r="H315" s="106" t="str">
        <f>Originals!D358</f>
        <v>32</v>
      </c>
      <c r="I315" s="106" t="str">
        <f>Originals!E358</f>
        <v>2015</v>
      </c>
      <c r="J315" s="106" t="str">
        <f>Originals!F358</f>
        <v>C-RIO</v>
      </c>
      <c r="K315" s="106" t="str">
        <f>Originals!G358</f>
        <v>NI</v>
      </c>
      <c r="L315" s="106" t="str">
        <f>Originals!H358</f>
        <v>Variable Legacy Protocol Support 5.7.1</v>
      </c>
      <c r="M315" s="106">
        <f>Originals!I358</f>
        <v>0</v>
      </c>
      <c r="N315" s="107" t="s">
        <v>2</v>
      </c>
    </row>
    <row r="316" spans="1:14" x14ac:dyDescent="0.25">
      <c r="A316" s="104" t="s">
        <v>510</v>
      </c>
      <c r="B316" s="104" t="s">
        <v>510</v>
      </c>
      <c r="C316" s="103" t="s">
        <v>507</v>
      </c>
      <c r="D316" s="104" t="s">
        <v>510</v>
      </c>
      <c r="E316" s="104" t="s">
        <v>510</v>
      </c>
      <c r="F316" s="106" t="str">
        <f>Originals!B359</f>
        <v>Variable Legacy Server Support</v>
      </c>
      <c r="G316" s="106" t="str">
        <f>Originals!C359</f>
        <v>5.7.1</v>
      </c>
      <c r="H316" s="106" t="str">
        <f>Originals!D359</f>
        <v>32</v>
      </c>
      <c r="I316" s="106" t="str">
        <f>Originals!E359</f>
        <v>2015</v>
      </c>
      <c r="J316" s="106" t="str">
        <f>Originals!F359</f>
        <v>C-RIO</v>
      </c>
      <c r="K316" s="106" t="str">
        <f>Originals!G359</f>
        <v>NI</v>
      </c>
      <c r="L316" s="106" t="str">
        <f>Originals!H359</f>
        <v>Variable Legacy Server Support 5.7.1</v>
      </c>
      <c r="M316" s="106">
        <f>Originals!I359</f>
        <v>0</v>
      </c>
      <c r="N316" s="107" t="s">
        <v>2</v>
      </c>
    </row>
    <row r="317" spans="1:14" x14ac:dyDescent="0.25">
      <c r="A317" s="103" t="s">
        <v>507</v>
      </c>
      <c r="B317" s="103" t="s">
        <v>507</v>
      </c>
      <c r="C317" s="104" t="s">
        <v>510</v>
      </c>
      <c r="D317" s="103" t="s">
        <v>507</v>
      </c>
      <c r="E317" s="104" t="s">
        <v>510</v>
      </c>
      <c r="F317" s="105" t="str">
        <f>Originals!B82</f>
        <v>VI Analyzer Toolkit</v>
      </c>
      <c r="G317" s="105" t="str">
        <f>Originals!C82</f>
        <v>15.0.0</v>
      </c>
      <c r="H317" s="105" t="str">
        <f>Originals!D82</f>
        <v>32</v>
      </c>
      <c r="I317" s="105" t="str">
        <f>Originals!E82</f>
        <v>2015</v>
      </c>
      <c r="J317" s="105" t="str">
        <f>Originals!F82</f>
        <v>Development</v>
      </c>
      <c r="K317" s="105" t="str">
        <f>Originals!G82</f>
        <v>NI</v>
      </c>
      <c r="L317" s="105" t="str">
        <f>Originals!H82</f>
        <v>VI Analyzer Toolkit 15.0.0</v>
      </c>
      <c r="M317" s="105" t="str">
        <f>Originals!I82</f>
        <v>NI Developer Suite 2015 DS2 Install</v>
      </c>
      <c r="N317" s="98" t="s">
        <v>136</v>
      </c>
    </row>
    <row r="318" spans="1:14" x14ac:dyDescent="0.25">
      <c r="A318" s="104" t="s">
        <v>510</v>
      </c>
      <c r="B318" s="104" t="s">
        <v>510</v>
      </c>
      <c r="C318" s="103" t="s">
        <v>507</v>
      </c>
      <c r="D318" s="104" t="s">
        <v>510</v>
      </c>
      <c r="E318" s="104" t="s">
        <v>510</v>
      </c>
      <c r="F318" s="106" t="str">
        <f>Originals!B360</f>
        <v>Vision Assistant</v>
      </c>
      <c r="G318" s="106" t="str">
        <f>Originals!C360</f>
        <v>18.5.0</v>
      </c>
      <c r="H318" s="106" t="str">
        <f>Originals!D360</f>
        <v>32</v>
      </c>
      <c r="I318" s="106" t="str">
        <f>Originals!E360</f>
        <v>2018</v>
      </c>
      <c r="J318" s="106" t="str">
        <f>Originals!F360</f>
        <v>Development</v>
      </c>
      <c r="K318" s="106" t="str">
        <f>Originals!G360</f>
        <v>NI</v>
      </c>
      <c r="L318" s="106" t="str">
        <f>Originals!H360</f>
        <v>Vision Assistant 18.5.0</v>
      </c>
      <c r="M318" s="106">
        <f>Originals!I360</f>
        <v>0</v>
      </c>
      <c r="N318" s="107" t="s">
        <v>2</v>
      </c>
    </row>
    <row r="319" spans="1:14" x14ac:dyDescent="0.25">
      <c r="A319" s="104" t="s">
        <v>510</v>
      </c>
      <c r="B319" s="104" t="s">
        <v>510</v>
      </c>
      <c r="C319" s="103" t="s">
        <v>507</v>
      </c>
      <c r="D319" s="104" t="s">
        <v>510</v>
      </c>
      <c r="E319" s="104" t="s">
        <v>510</v>
      </c>
      <c r="F319" s="106" t="str">
        <f>Originals!B361</f>
        <v>Vision Assistant</v>
      </c>
      <c r="G319" s="106" t="str">
        <f>Originals!C361</f>
        <v>18.5.0</v>
      </c>
      <c r="H319" s="106" t="str">
        <f>Originals!D361</f>
        <v>64</v>
      </c>
      <c r="I319" s="106" t="str">
        <f>Originals!E361</f>
        <v>2018</v>
      </c>
      <c r="J319" s="106" t="str">
        <f>Originals!F361</f>
        <v>Development</v>
      </c>
      <c r="K319" s="106" t="str">
        <f>Originals!G361</f>
        <v>NI</v>
      </c>
      <c r="L319" s="106" t="str">
        <f>Originals!H361</f>
        <v>Vision Assistant 18.5.0</v>
      </c>
      <c r="M319" s="106">
        <f>Originals!I361</f>
        <v>0</v>
      </c>
      <c r="N319" s="107" t="s">
        <v>2</v>
      </c>
    </row>
    <row r="320" spans="1:14" x14ac:dyDescent="0.25">
      <c r="A320" s="104" t="s">
        <v>510</v>
      </c>
      <c r="B320" s="104" t="s">
        <v>510</v>
      </c>
      <c r="C320" s="103" t="s">
        <v>507</v>
      </c>
      <c r="D320" s="104" t="s">
        <v>510</v>
      </c>
      <c r="E320" s="104" t="s">
        <v>510</v>
      </c>
      <c r="F320" s="106" t="str">
        <f>Originals!B362</f>
        <v>Vision Common Resources</v>
      </c>
      <c r="G320" s="106" t="str">
        <f>Originals!C362</f>
        <v>19.5.0</v>
      </c>
      <c r="H320" s="106" t="str">
        <f>Originals!D362</f>
        <v>32</v>
      </c>
      <c r="I320" s="106" t="str">
        <f>Originals!E362</f>
        <v>2019</v>
      </c>
      <c r="J320" s="106" t="str">
        <f>Originals!F362</f>
        <v>Development</v>
      </c>
      <c r="K320" s="106" t="str">
        <f>Originals!G362</f>
        <v>NI</v>
      </c>
      <c r="L320" s="106" t="str">
        <f>Originals!H362</f>
        <v>Vision Common Resources 19.5.0</v>
      </c>
      <c r="M320" s="106">
        <f>Originals!I362</f>
        <v>0</v>
      </c>
      <c r="N320" s="107" t="s">
        <v>2</v>
      </c>
    </row>
    <row r="321" spans="1:14" x14ac:dyDescent="0.25">
      <c r="A321" s="104" t="s">
        <v>510</v>
      </c>
      <c r="B321" s="104" t="s">
        <v>510</v>
      </c>
      <c r="C321" s="104" t="s">
        <v>510</v>
      </c>
      <c r="D321" s="103" t="s">
        <v>507</v>
      </c>
      <c r="E321" s="104" t="s">
        <v>510</v>
      </c>
      <c r="F321" s="108" t="str">
        <f>Scott!B113</f>
        <v>NI-DMM</v>
      </c>
      <c r="G321" s="108" t="str">
        <f>Scott!C113</f>
        <v>15.0</v>
      </c>
      <c r="H321" s="108">
        <f>Scott!D113</f>
        <v>32</v>
      </c>
      <c r="I321" s="108">
        <f>Scott!E113</f>
        <v>2015</v>
      </c>
      <c r="J321" s="108" t="str">
        <f>Scott!F113</f>
        <v>Runtime</v>
      </c>
      <c r="K321" s="108" t="str">
        <f>Scott!G113</f>
        <v>NI</v>
      </c>
      <c r="L321" s="108" t="str">
        <f>Scott!H113</f>
        <v>NI-DMM 15.0</v>
      </c>
      <c r="M321" s="108" t="str">
        <f>Scott!I113</f>
        <v>NI Developer Suite 2015 DS2 Install</v>
      </c>
      <c r="N321" s="109" t="s">
        <v>96</v>
      </c>
    </row>
    <row r="322" spans="1:14" x14ac:dyDescent="0.25">
      <c r="A322" s="104" t="s">
        <v>510</v>
      </c>
      <c r="B322" s="104" t="s">
        <v>510</v>
      </c>
      <c r="C322" s="103" t="s">
        <v>507</v>
      </c>
      <c r="D322" s="104" t="s">
        <v>510</v>
      </c>
      <c r="E322" s="104" t="s">
        <v>510</v>
      </c>
      <c r="F322" s="106" t="str">
        <f>Originals!B363</f>
        <v>Vision Development Module</v>
      </c>
      <c r="G322" s="106" t="str">
        <f>Originals!C363</f>
        <v>18.5.0</v>
      </c>
      <c r="H322" s="106" t="str">
        <f>Originals!D363</f>
        <v>32</v>
      </c>
      <c r="I322" s="106" t="str">
        <f>Originals!E363</f>
        <v>2018</v>
      </c>
      <c r="J322" s="106" t="str">
        <f>Originals!F363</f>
        <v>Development</v>
      </c>
      <c r="K322" s="106" t="str">
        <f>Originals!G363</f>
        <v>NI</v>
      </c>
      <c r="L322" s="106" t="str">
        <f>Originals!H363</f>
        <v>Vision Development Module 18.5.0</v>
      </c>
      <c r="M322" s="106">
        <f>Originals!I363</f>
        <v>0</v>
      </c>
      <c r="N322" s="107" t="s">
        <v>2</v>
      </c>
    </row>
    <row r="323" spans="1:14" x14ac:dyDescent="0.25">
      <c r="A323" s="104" t="s">
        <v>510</v>
      </c>
      <c r="B323" s="104" t="s">
        <v>510</v>
      </c>
      <c r="C323" s="103" t="s">
        <v>507</v>
      </c>
      <c r="D323" s="104" t="s">
        <v>510</v>
      </c>
      <c r="E323" s="104" t="s">
        <v>510</v>
      </c>
      <c r="F323" s="106" t="str">
        <f>Originals!B364</f>
        <v>Vision Development Module</v>
      </c>
      <c r="G323" s="106" t="str">
        <f>Originals!C364</f>
        <v>19.5.0</v>
      </c>
      <c r="H323" s="106" t="str">
        <f>Originals!D364</f>
        <v>32</v>
      </c>
      <c r="I323" s="106" t="str">
        <f>Originals!E364</f>
        <v>2019</v>
      </c>
      <c r="J323" s="106" t="str">
        <f>Originals!F364</f>
        <v>Development</v>
      </c>
      <c r="K323" s="106" t="str">
        <f>Originals!G364</f>
        <v>NI</v>
      </c>
      <c r="L323" s="106" t="str">
        <f>Originals!H364</f>
        <v>Vision Development Module 19.5.0</v>
      </c>
      <c r="M323" s="106">
        <f>Originals!I364</f>
        <v>0</v>
      </c>
      <c r="N323" s="107" t="s">
        <v>2</v>
      </c>
    </row>
    <row r="324" spans="1:14" x14ac:dyDescent="0.25">
      <c r="A324" s="104" t="s">
        <v>510</v>
      </c>
      <c r="B324" s="104" t="s">
        <v>510</v>
      </c>
      <c r="C324" s="104" t="s">
        <v>510</v>
      </c>
      <c r="D324" s="103" t="s">
        <v>507</v>
      </c>
      <c r="E324" s="104" t="s">
        <v>510</v>
      </c>
      <c r="F324" s="108" t="str">
        <f>Scott!B114</f>
        <v>NI-DMM Configuration Support</v>
      </c>
      <c r="G324" s="108" t="str">
        <f>Scott!C114</f>
        <v>15.0</v>
      </c>
      <c r="H324" s="108">
        <f>Scott!D114</f>
        <v>32</v>
      </c>
      <c r="I324" s="108">
        <f>Scott!E114</f>
        <v>2015</v>
      </c>
      <c r="J324" s="108" t="str">
        <f>Scott!F114</f>
        <v>Development</v>
      </c>
      <c r="K324" s="108" t="str">
        <f>Scott!G114</f>
        <v>NI</v>
      </c>
      <c r="L324" s="108" t="str">
        <f>Scott!H114</f>
        <v>NI-DMM Configuration Support 15.0</v>
      </c>
      <c r="M324" s="108" t="str">
        <f>Scott!I114</f>
        <v>NI Developer Suite 2015 DS2 Install</v>
      </c>
      <c r="N324" s="109" t="s">
        <v>96</v>
      </c>
    </row>
    <row r="325" spans="1:14" x14ac:dyDescent="0.25">
      <c r="A325" s="104" t="s">
        <v>510</v>
      </c>
      <c r="B325" s="104" t="s">
        <v>510</v>
      </c>
      <c r="C325" s="103" t="s">
        <v>507</v>
      </c>
      <c r="D325" s="104" t="s">
        <v>510</v>
      </c>
      <c r="E325" s="104" t="s">
        <v>510</v>
      </c>
      <c r="F325" s="106" t="str">
        <f>Originals!B365</f>
        <v>Vision Development Module Development Support</v>
      </c>
      <c r="G325" s="106" t="str">
        <f>Originals!C365</f>
        <v>18.5.0 SP1</v>
      </c>
      <c r="H325" s="106" t="str">
        <f>Originals!D365</f>
        <v>32</v>
      </c>
      <c r="I325" s="106" t="str">
        <f>Originals!E365</f>
        <v>2018</v>
      </c>
      <c r="J325" s="106" t="str">
        <f>Originals!F365</f>
        <v>Development</v>
      </c>
      <c r="K325" s="106" t="str">
        <f>Originals!G365</f>
        <v>NI</v>
      </c>
      <c r="L325" s="106" t="str">
        <f>Originals!H365</f>
        <v>Vision Development Module Development Support 18.5.0 SP1</v>
      </c>
      <c r="M325" s="106">
        <f>Originals!I365</f>
        <v>0</v>
      </c>
      <c r="N325" s="107" t="s">
        <v>2</v>
      </c>
    </row>
    <row r="326" spans="1:14" x14ac:dyDescent="0.25">
      <c r="A326" s="104" t="s">
        <v>510</v>
      </c>
      <c r="B326" s="104" t="s">
        <v>510</v>
      </c>
      <c r="C326" s="103" t="s">
        <v>507</v>
      </c>
      <c r="D326" s="104" t="s">
        <v>510</v>
      </c>
      <c r="E326" s="104" t="s">
        <v>510</v>
      </c>
      <c r="F326" s="106" t="str">
        <f>Originals!B366</f>
        <v>Vision Development Module Support</v>
      </c>
      <c r="G326" s="106" t="str">
        <f>Originals!C366</f>
        <v>19.5.0 SP1</v>
      </c>
      <c r="H326" s="106" t="str">
        <f>Originals!D366</f>
        <v>32</v>
      </c>
      <c r="I326" s="106" t="str">
        <f>Originals!E366</f>
        <v>2019</v>
      </c>
      <c r="J326" s="106" t="str">
        <f>Originals!F366</f>
        <v>Runtime</v>
      </c>
      <c r="K326" s="106" t="str">
        <f>Originals!G366</f>
        <v>NI</v>
      </c>
      <c r="L326" s="106" t="str">
        <f>Originals!H366</f>
        <v>Vision Development Module Support 19.5.0 SP1</v>
      </c>
      <c r="M326" s="106">
        <f>Originals!I366</f>
        <v>0</v>
      </c>
      <c r="N326" s="107" t="s">
        <v>2</v>
      </c>
    </row>
    <row r="327" spans="1:14" x14ac:dyDescent="0.25">
      <c r="A327" s="104" t="s">
        <v>510</v>
      </c>
      <c r="B327" s="104" t="s">
        <v>510</v>
      </c>
      <c r="C327" s="104" t="s">
        <v>510</v>
      </c>
      <c r="D327" s="103" t="s">
        <v>507</v>
      </c>
      <c r="E327" s="104" t="s">
        <v>510</v>
      </c>
      <c r="F327" s="108" t="str">
        <f>Scott!B115</f>
        <v>NI-DMM Development Support</v>
      </c>
      <c r="G327" s="108" t="str">
        <f>Scott!C115</f>
        <v>15.0</v>
      </c>
      <c r="H327" s="108">
        <f>Scott!D115</f>
        <v>32</v>
      </c>
      <c r="I327" s="108">
        <f>Scott!E115</f>
        <v>2015</v>
      </c>
      <c r="J327" s="108" t="str">
        <f>Scott!F115</f>
        <v>Development</v>
      </c>
      <c r="K327" s="108" t="str">
        <f>Scott!G115</f>
        <v>NI</v>
      </c>
      <c r="L327" s="108" t="str">
        <f>Scott!H115</f>
        <v>NI-DMM Development Support 15.0</v>
      </c>
      <c r="M327" s="108" t="str">
        <f>Scott!I115</f>
        <v>NI Developer Suite 2015 DS2 Install</v>
      </c>
      <c r="N327" s="109" t="s">
        <v>96</v>
      </c>
    </row>
    <row r="328" spans="1:14" x14ac:dyDescent="0.25">
      <c r="A328" s="104" t="s">
        <v>510</v>
      </c>
      <c r="B328" s="104" t="s">
        <v>510</v>
      </c>
      <c r="C328" s="103" t="s">
        <v>507</v>
      </c>
      <c r="D328" s="104" t="s">
        <v>510</v>
      </c>
      <c r="E328" s="104" t="s">
        <v>510</v>
      </c>
      <c r="F328" s="106" t="str">
        <f>Originals!B367</f>
        <v>WebDAV Cleitn with SSL Support</v>
      </c>
      <c r="G328" s="106" t="str">
        <f>Originals!C367</f>
        <v>15.0.0</v>
      </c>
      <c r="H328" s="106" t="str">
        <f>Originals!D367</f>
        <v>32</v>
      </c>
      <c r="I328" s="106" t="str">
        <f>Originals!E367</f>
        <v>2015</v>
      </c>
      <c r="J328" s="106" t="str">
        <f>Originals!F367</f>
        <v>C-RIO</v>
      </c>
      <c r="K328" s="106" t="str">
        <f>Originals!G367</f>
        <v>NI</v>
      </c>
      <c r="L328" s="106" t="str">
        <f>Originals!H367</f>
        <v>WebDAV Cleitn with SSL Support 15.0.0</v>
      </c>
      <c r="M328" s="106">
        <f>Originals!I367</f>
        <v>0</v>
      </c>
      <c r="N328" s="107" t="s">
        <v>2</v>
      </c>
    </row>
    <row r="329" spans="1:14" x14ac:dyDescent="0.25">
      <c r="A329" s="104" t="s">
        <v>510</v>
      </c>
      <c r="B329" s="104" t="s">
        <v>510</v>
      </c>
      <c r="C329" s="103" t="s">
        <v>507</v>
      </c>
      <c r="D329" s="104" t="s">
        <v>510</v>
      </c>
      <c r="E329" s="104" t="s">
        <v>510</v>
      </c>
      <c r="F329" s="106" t="str">
        <f>Originals!B368</f>
        <v>WebDAV Server</v>
      </c>
      <c r="G329" s="106" t="str">
        <f>Originals!C368</f>
        <v>15.0.0</v>
      </c>
      <c r="H329" s="106" t="str">
        <f>Originals!D368</f>
        <v>32</v>
      </c>
      <c r="I329" s="106" t="str">
        <f>Originals!E368</f>
        <v>2015</v>
      </c>
      <c r="J329" s="106" t="str">
        <f>Originals!F368</f>
        <v>C-RIO</v>
      </c>
      <c r="K329" s="106" t="str">
        <f>Originals!G368</f>
        <v>NI</v>
      </c>
      <c r="L329" s="106" t="str">
        <f>Originals!H368</f>
        <v>WebDAV Server 15.0.0</v>
      </c>
      <c r="M329" s="106">
        <f>Originals!I368</f>
        <v>0</v>
      </c>
      <c r="N329" s="107" t="s">
        <v>2</v>
      </c>
    </row>
  </sheetData>
  <autoFilter ref="A3:N329" xr:uid="{F37F7356-5D70-4488-95B0-A7D7F394D7AB}">
    <sortState xmlns:xlrd2="http://schemas.microsoft.com/office/spreadsheetml/2017/richdata2" ref="A4:N329">
      <sortCondition ref="F3:F329"/>
    </sortState>
  </autoFilter>
  <mergeCells count="1">
    <mergeCell ref="A1:M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238"/>
  <sheetViews>
    <sheetView showZeros="0" tabSelected="1" workbookViewId="0">
      <pane ySplit="3" topLeftCell="A131" activePane="bottomLeft" state="frozen"/>
      <selection pane="bottomLeft" activeCell="E163" sqref="E163"/>
    </sheetView>
  </sheetViews>
  <sheetFormatPr defaultColWidth="9.28515625" defaultRowHeight="13.5" x14ac:dyDescent="0.25"/>
  <cols>
    <col min="1" max="1" width="45.1406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10.2851562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122" t="s">
        <v>498</v>
      </c>
      <c r="B1" s="122"/>
      <c r="C1" s="122"/>
      <c r="D1" s="122"/>
      <c r="E1" s="122"/>
      <c r="F1" s="122"/>
      <c r="G1" s="122"/>
      <c r="H1" s="127"/>
    </row>
    <row r="2" spans="1:8" ht="14.25" thickBot="1" x14ac:dyDescent="0.3">
      <c r="A2" s="128"/>
      <c r="B2" s="128"/>
      <c r="C2" s="128"/>
      <c r="D2" s="128"/>
      <c r="E2" s="128"/>
      <c r="F2" s="128"/>
      <c r="G2" s="128"/>
      <c r="H2" s="129"/>
    </row>
    <row r="3" spans="1:8" ht="15" x14ac:dyDescent="0.25">
      <c r="A3" s="1" t="s">
        <v>99</v>
      </c>
      <c r="B3" s="2" t="s">
        <v>3</v>
      </c>
      <c r="C3" s="1" t="s">
        <v>4</v>
      </c>
      <c r="D3" s="1" t="s">
        <v>5</v>
      </c>
      <c r="E3" s="1" t="s">
        <v>100</v>
      </c>
      <c r="F3" s="1" t="s">
        <v>6</v>
      </c>
      <c r="G3" s="3" t="s">
        <v>101</v>
      </c>
      <c r="H3" s="4" t="s">
        <v>7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410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411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417</v>
      </c>
      <c r="H106" s="14" t="s">
        <v>465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419</v>
      </c>
      <c r="H107" s="14" t="s">
        <v>465</v>
      </c>
    </row>
    <row r="108" spans="1:8" x14ac:dyDescent="0.25">
      <c r="A108" s="14" t="s">
        <v>59</v>
      </c>
      <c r="B108" s="15" t="s">
        <v>412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420</v>
      </c>
      <c r="H108" s="14" t="s">
        <v>465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421</v>
      </c>
      <c r="H109" s="14" t="s">
        <v>465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421</v>
      </c>
      <c r="H110" s="14" t="s">
        <v>465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418</v>
      </c>
      <c r="H111" s="14" t="s">
        <v>465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413</v>
      </c>
      <c r="E112" s="15" t="s">
        <v>24</v>
      </c>
      <c r="F112" s="15" t="s">
        <v>13</v>
      </c>
      <c r="G112" s="14" t="s">
        <v>422</v>
      </c>
      <c r="H112" s="14" t="s">
        <v>465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418</v>
      </c>
      <c r="H113" s="14" t="s">
        <v>465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414</v>
      </c>
      <c r="E114" s="15" t="s">
        <v>24</v>
      </c>
      <c r="F114" s="15" t="s">
        <v>13</v>
      </c>
      <c r="G114" s="14" t="s">
        <v>423</v>
      </c>
      <c r="H114" s="14" t="s">
        <v>465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544</v>
      </c>
    </row>
    <row r="116" spans="1:9" ht="14.25" x14ac:dyDescent="0.25">
      <c r="A116" s="18" t="s">
        <v>16</v>
      </c>
      <c r="B116" s="18" t="s">
        <v>426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424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424</v>
      </c>
      <c r="I117" s="7"/>
    </row>
    <row r="118" spans="1:9" ht="14.25" x14ac:dyDescent="0.25">
      <c r="A118" s="18" t="s">
        <v>366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424</v>
      </c>
      <c r="I118" s="7"/>
    </row>
    <row r="119" spans="1:9" ht="14.25" x14ac:dyDescent="0.25">
      <c r="A119" s="18" t="s">
        <v>366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424</v>
      </c>
      <c r="I119" s="7"/>
    </row>
    <row r="120" spans="1:9" ht="14.25" x14ac:dyDescent="0.25">
      <c r="A120" s="18" t="s">
        <v>368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424</v>
      </c>
      <c r="I120" s="7"/>
    </row>
    <row r="121" spans="1:9" ht="14.25" x14ac:dyDescent="0.25">
      <c r="A121" s="18" t="s">
        <v>368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424</v>
      </c>
      <c r="I121" s="7"/>
    </row>
    <row r="122" spans="1:9" ht="14.25" x14ac:dyDescent="0.25">
      <c r="A122" s="18" t="s">
        <v>370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424</v>
      </c>
      <c r="I122" s="7"/>
    </row>
    <row r="123" spans="1:9" ht="14.25" x14ac:dyDescent="0.25">
      <c r="A123" s="18" t="s">
        <v>371</v>
      </c>
      <c r="B123" s="18" t="s">
        <v>429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424</v>
      </c>
      <c r="I123" s="7"/>
    </row>
    <row r="124" spans="1:9" ht="14.25" x14ac:dyDescent="0.25">
      <c r="A124" s="18" t="s">
        <v>373</v>
      </c>
      <c r="B124" s="18" t="s">
        <v>429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424</v>
      </c>
      <c r="I124" s="7"/>
    </row>
    <row r="125" spans="1:9" ht="14.25" x14ac:dyDescent="0.25">
      <c r="A125" s="18" t="s">
        <v>29</v>
      </c>
      <c r="B125" s="18" t="s">
        <v>430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424</v>
      </c>
      <c r="I125" s="7"/>
    </row>
    <row r="126" spans="1:9" ht="14.25" x14ac:dyDescent="0.25">
      <c r="A126" s="18" t="s">
        <v>382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424</v>
      </c>
      <c r="I126" s="7"/>
    </row>
    <row r="127" spans="1:9" ht="14.25" x14ac:dyDescent="0.25">
      <c r="A127" s="18" t="s">
        <v>382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424</v>
      </c>
      <c r="I127" s="7"/>
    </row>
    <row r="128" spans="1:9" ht="14.25" x14ac:dyDescent="0.25">
      <c r="A128" s="18" t="s">
        <v>384</v>
      </c>
      <c r="B128" s="18" t="s">
        <v>429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424</v>
      </c>
      <c r="I128" s="7"/>
    </row>
    <row r="129" spans="1:9" ht="14.25" x14ac:dyDescent="0.25">
      <c r="A129" s="18" t="s">
        <v>437</v>
      </c>
      <c r="B129" s="18" t="s">
        <v>438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424</v>
      </c>
      <c r="I129" s="7"/>
    </row>
    <row r="130" spans="1:9" ht="14.25" x14ac:dyDescent="0.25">
      <c r="A130" s="18" t="s">
        <v>140</v>
      </c>
      <c r="B130" s="18" t="s">
        <v>426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424</v>
      </c>
      <c r="I130" s="7"/>
    </row>
    <row r="131" spans="1:9" ht="14.25" x14ac:dyDescent="0.25">
      <c r="A131" s="18" t="s">
        <v>396</v>
      </c>
      <c r="B131" s="18" t="s">
        <v>426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424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424</v>
      </c>
      <c r="I132" s="7"/>
    </row>
    <row r="133" spans="1:9" ht="14.25" x14ac:dyDescent="0.25">
      <c r="A133" s="18" t="s">
        <v>129</v>
      </c>
      <c r="B133" s="18" t="s">
        <v>430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424</v>
      </c>
      <c r="I133" s="7"/>
    </row>
    <row r="134" spans="1:9" ht="14.25" x14ac:dyDescent="0.25">
      <c r="A134" s="18" t="s">
        <v>68</v>
      </c>
      <c r="B134" s="18" t="s">
        <v>430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424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424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424</v>
      </c>
      <c r="I136" s="7"/>
    </row>
    <row r="137" spans="1:9" ht="14.25" x14ac:dyDescent="0.25">
      <c r="A137" s="18" t="s">
        <v>390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424</v>
      </c>
      <c r="I137" s="7"/>
    </row>
    <row r="138" spans="1:9" ht="14.25" x14ac:dyDescent="0.25">
      <c r="A138" s="18" t="s">
        <v>452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424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424</v>
      </c>
      <c r="I139" s="7"/>
    </row>
    <row r="140" spans="1:9" ht="14.25" x14ac:dyDescent="0.25">
      <c r="A140" s="18" t="s">
        <v>32</v>
      </c>
      <c r="B140" s="18" t="s">
        <v>402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424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424</v>
      </c>
      <c r="I141" s="7"/>
    </row>
    <row r="142" spans="1:9" ht="15" x14ac:dyDescent="0.25">
      <c r="A142" s="58" t="s">
        <v>14</v>
      </c>
      <c r="B142" s="58" t="s">
        <v>478</v>
      </c>
      <c r="C142" s="56" t="s">
        <v>10</v>
      </c>
      <c r="D142" s="56" t="s">
        <v>130</v>
      </c>
      <c r="E142" s="56" t="s">
        <v>485</v>
      </c>
      <c r="F142" s="56" t="s">
        <v>13</v>
      </c>
      <c r="G142" s="57" t="str">
        <f t="shared" ref="G142:G149" si="9">A142&amp;" "&amp;B142</f>
        <v>CompactRIO 18.1.0</v>
      </c>
      <c r="H142" s="57" t="s">
        <v>477</v>
      </c>
      <c r="I142" s="7"/>
    </row>
    <row r="143" spans="1:9" ht="15" x14ac:dyDescent="0.25">
      <c r="A143" s="58" t="s">
        <v>15</v>
      </c>
      <c r="B143" s="58" t="s">
        <v>478</v>
      </c>
      <c r="C143" s="56" t="s">
        <v>10</v>
      </c>
      <c r="D143" s="56" t="s">
        <v>130</v>
      </c>
      <c r="E143" s="56" t="s">
        <v>485</v>
      </c>
      <c r="F143" s="56" t="s">
        <v>13</v>
      </c>
      <c r="G143" s="57" t="str">
        <f t="shared" si="9"/>
        <v>C Series Module Support 18.1.0</v>
      </c>
      <c r="H143" s="57" t="s">
        <v>477</v>
      </c>
      <c r="I143" s="7"/>
    </row>
    <row r="144" spans="1:9" ht="15" x14ac:dyDescent="0.25">
      <c r="A144" s="58" t="s">
        <v>18</v>
      </c>
      <c r="B144" s="58" t="s">
        <v>478</v>
      </c>
      <c r="C144" s="56" t="s">
        <v>10</v>
      </c>
      <c r="D144" s="56" t="s">
        <v>130</v>
      </c>
      <c r="E144" s="56" t="s">
        <v>485</v>
      </c>
      <c r="F144" s="56" t="s">
        <v>13</v>
      </c>
      <c r="G144" s="57" t="str">
        <f t="shared" si="9"/>
        <v>NI-DAQmx ADE Support 18.1.0</v>
      </c>
      <c r="H144" s="57" t="s">
        <v>477</v>
      </c>
    </row>
    <row r="145" spans="1:9" ht="15" x14ac:dyDescent="0.25">
      <c r="A145" s="58" t="s">
        <v>19</v>
      </c>
      <c r="B145" s="58" t="s">
        <v>478</v>
      </c>
      <c r="C145" s="56" t="s">
        <v>10</v>
      </c>
      <c r="D145" s="56" t="s">
        <v>130</v>
      </c>
      <c r="E145" s="56" t="s">
        <v>485</v>
      </c>
      <c r="F145" s="56" t="s">
        <v>13</v>
      </c>
      <c r="G145" s="57" t="str">
        <f t="shared" si="9"/>
        <v>NI-DAQmx MAX Configuration 18.1.0</v>
      </c>
      <c r="H145" s="57" t="s">
        <v>477</v>
      </c>
    </row>
    <row r="146" spans="1:9" ht="15" x14ac:dyDescent="0.25">
      <c r="A146" s="58" t="s">
        <v>41</v>
      </c>
      <c r="B146" s="58" t="s">
        <v>479</v>
      </c>
      <c r="C146" s="56" t="s">
        <v>10</v>
      </c>
      <c r="D146" s="56" t="s">
        <v>130</v>
      </c>
      <c r="E146" s="56" t="s">
        <v>485</v>
      </c>
      <c r="F146" s="56" t="s">
        <v>13</v>
      </c>
      <c r="G146" s="57" t="str">
        <f t="shared" si="9"/>
        <v>Measurement &amp; Automation Explorer 18.0.0f0</v>
      </c>
      <c r="H146" s="57" t="s">
        <v>477</v>
      </c>
    </row>
    <row r="147" spans="1:9" ht="15" x14ac:dyDescent="0.25">
      <c r="A147" s="58" t="s">
        <v>52</v>
      </c>
      <c r="B147" s="58" t="s">
        <v>479</v>
      </c>
      <c r="C147" s="56" t="s">
        <v>10</v>
      </c>
      <c r="D147" s="56" t="s">
        <v>130</v>
      </c>
      <c r="E147" s="56" t="s">
        <v>485</v>
      </c>
      <c r="F147" s="56" t="s">
        <v>13</v>
      </c>
      <c r="G147" s="57" t="str">
        <f t="shared" si="9"/>
        <v>NI PXI Platform Services Configuration 18.0.0f0</v>
      </c>
      <c r="H147" s="57" t="s">
        <v>477</v>
      </c>
    </row>
    <row r="148" spans="1:9" ht="15" x14ac:dyDescent="0.25">
      <c r="A148" s="58" t="s">
        <v>64</v>
      </c>
      <c r="B148" s="58" t="s">
        <v>481</v>
      </c>
      <c r="C148" s="56" t="s">
        <v>10</v>
      </c>
      <c r="D148" s="56" t="s">
        <v>153</v>
      </c>
      <c r="E148" s="56" t="s">
        <v>485</v>
      </c>
      <c r="F148" s="56" t="s">
        <v>13</v>
      </c>
      <c r="G148" s="57" t="str">
        <f t="shared" si="9"/>
        <v>NI-Serial Configuration 17.5.0f0</v>
      </c>
      <c r="H148" s="57" t="s">
        <v>477</v>
      </c>
    </row>
    <row r="149" spans="1:9" ht="15" x14ac:dyDescent="0.25">
      <c r="A149" s="58" t="s">
        <v>440</v>
      </c>
      <c r="B149" s="58" t="s">
        <v>478</v>
      </c>
      <c r="C149" s="56" t="s">
        <v>10</v>
      </c>
      <c r="D149" s="56" t="s">
        <v>130</v>
      </c>
      <c r="E149" s="56" t="s">
        <v>485</v>
      </c>
      <c r="F149" s="56" t="s">
        <v>13</v>
      </c>
      <c r="G149" s="57" t="str">
        <f t="shared" si="9"/>
        <v>Soft Front Panel 18.1.0</v>
      </c>
      <c r="H149" s="57" t="s">
        <v>477</v>
      </c>
    </row>
    <row r="150" spans="1:9" ht="15" x14ac:dyDescent="0.25">
      <c r="A150" s="58" t="s">
        <v>32</v>
      </c>
      <c r="B150" s="58" t="s">
        <v>404</v>
      </c>
      <c r="C150" s="56" t="s">
        <v>10</v>
      </c>
      <c r="D150" s="56" t="s">
        <v>468</v>
      </c>
      <c r="E150" s="56" t="s">
        <v>24</v>
      </c>
      <c r="F150" s="56" t="s">
        <v>13</v>
      </c>
      <c r="G150" s="57" t="str">
        <f t="shared" ref="G150:G151" si="10">A150&amp;" "&amp;D150&amp;" "&amp;B150</f>
        <v>LabVIEW 2016 f5 16.0.0</v>
      </c>
      <c r="H150" s="57" t="s">
        <v>477</v>
      </c>
    </row>
    <row r="151" spans="1:9" ht="15" x14ac:dyDescent="0.25">
      <c r="A151" s="58" t="s">
        <v>32</v>
      </c>
      <c r="B151" s="58" t="s">
        <v>406</v>
      </c>
      <c r="C151" s="56" t="s">
        <v>10</v>
      </c>
      <c r="D151" s="56" t="s">
        <v>486</v>
      </c>
      <c r="E151" s="56" t="s">
        <v>24</v>
      </c>
      <c r="F151" s="56" t="s">
        <v>13</v>
      </c>
      <c r="G151" s="57" t="str">
        <f t="shared" si="10"/>
        <v>LabVIEW 2017 SP1 f2 17.0.1</v>
      </c>
      <c r="H151" s="57" t="s">
        <v>477</v>
      </c>
    </row>
    <row r="152" spans="1:9" ht="15" x14ac:dyDescent="0.25">
      <c r="A152" s="58" t="s">
        <v>56</v>
      </c>
      <c r="B152" s="58" t="s">
        <v>480</v>
      </c>
      <c r="C152" s="56" t="s">
        <v>10</v>
      </c>
      <c r="D152" s="56" t="s">
        <v>130</v>
      </c>
      <c r="E152" s="56" t="s">
        <v>485</v>
      </c>
      <c r="F152" s="56" t="s">
        <v>13</v>
      </c>
      <c r="G152" s="57" t="str">
        <f t="shared" ref="G152:G153" si="11">A152&amp;" "&amp;B152</f>
        <v>NI-Sync 18.1.0f0</v>
      </c>
      <c r="H152" s="57" t="s">
        <v>477</v>
      </c>
    </row>
    <row r="153" spans="1:9" ht="15" x14ac:dyDescent="0.25">
      <c r="A153" s="91" t="s">
        <v>143</v>
      </c>
      <c r="B153" s="92" t="s">
        <v>494</v>
      </c>
      <c r="C153" s="93" t="s">
        <v>10</v>
      </c>
      <c r="D153" s="93" t="s">
        <v>130</v>
      </c>
      <c r="E153" s="93" t="s">
        <v>12</v>
      </c>
      <c r="F153" s="93" t="s">
        <v>13</v>
      </c>
      <c r="G153" s="91" t="str">
        <f t="shared" si="11"/>
        <v>NI-Industrial Communications for EtherCAT 18.0.0f1</v>
      </c>
      <c r="H153" s="91" t="s">
        <v>495</v>
      </c>
      <c r="I153" s="7"/>
    </row>
    <row r="154" spans="1:9" ht="15" x14ac:dyDescent="0.25">
      <c r="A154" s="170" t="s">
        <v>363</v>
      </c>
      <c r="B154" s="171" t="s">
        <v>30</v>
      </c>
      <c r="C154" s="169" t="s">
        <v>10</v>
      </c>
      <c r="D154" s="169">
        <v>2015</v>
      </c>
      <c r="E154" s="169" t="s">
        <v>12</v>
      </c>
      <c r="F154" s="169" t="s">
        <v>13</v>
      </c>
      <c r="G154" s="170" t="s">
        <v>546</v>
      </c>
      <c r="H154" s="170" t="s">
        <v>545</v>
      </c>
      <c r="I154" s="7"/>
    </row>
    <row r="155" spans="1:9" ht="15" x14ac:dyDescent="0.25">
      <c r="A155" s="94" t="s">
        <v>32</v>
      </c>
      <c r="B155" s="94" t="s">
        <v>406</v>
      </c>
      <c r="C155" s="95" t="s">
        <v>10</v>
      </c>
      <c r="D155" s="95" t="s">
        <v>407</v>
      </c>
      <c r="E155" s="95" t="s">
        <v>24</v>
      </c>
      <c r="F155" s="95" t="s">
        <v>13</v>
      </c>
      <c r="G155" s="96" t="str">
        <f t="shared" ref="G155" si="12">A155&amp;" "&amp;D155&amp;" "&amp;B155</f>
        <v>LabVIEW 2017 SP1 f3 17.0.1</v>
      </c>
      <c r="H155" s="96" t="s">
        <v>499</v>
      </c>
      <c r="I155" s="7"/>
    </row>
    <row r="156" spans="1:9" ht="15" x14ac:dyDescent="0.25">
      <c r="A156" s="163" t="s">
        <v>157</v>
      </c>
      <c r="B156" s="163"/>
      <c r="C156" s="164" t="s">
        <v>10</v>
      </c>
      <c r="D156" s="164"/>
      <c r="E156" s="164" t="s">
        <v>12</v>
      </c>
      <c r="F156" s="164"/>
      <c r="G156" s="165" t="s">
        <v>492</v>
      </c>
      <c r="H156" s="166" t="s">
        <v>536</v>
      </c>
      <c r="I156" s="7"/>
    </row>
    <row r="157" spans="1:9" x14ac:dyDescent="0.25">
      <c r="A157" s="161" t="s">
        <v>313</v>
      </c>
      <c r="B157" s="162" t="s">
        <v>314</v>
      </c>
      <c r="C157" s="162" t="s">
        <v>10</v>
      </c>
      <c r="D157" s="162" t="s">
        <v>136</v>
      </c>
      <c r="E157" s="162" t="s">
        <v>12</v>
      </c>
      <c r="F157" s="162" t="s">
        <v>315</v>
      </c>
      <c r="G157" s="161" t="s">
        <v>512</v>
      </c>
      <c r="H157" s="161" t="s">
        <v>202</v>
      </c>
    </row>
    <row r="158" spans="1:9" x14ac:dyDescent="0.25">
      <c r="A158" s="120" t="s">
        <v>316</v>
      </c>
      <c r="B158" s="121" t="s">
        <v>317</v>
      </c>
      <c r="C158" s="121" t="s">
        <v>10</v>
      </c>
      <c r="D158" s="121" t="s">
        <v>136</v>
      </c>
      <c r="E158" s="121" t="s">
        <v>12</v>
      </c>
      <c r="F158" s="121" t="s">
        <v>315</v>
      </c>
      <c r="G158" s="120" t="s">
        <v>513</v>
      </c>
      <c r="H158" s="120" t="s">
        <v>202</v>
      </c>
    </row>
    <row r="159" spans="1:9" x14ac:dyDescent="0.25">
      <c r="A159" s="120" t="s">
        <v>318</v>
      </c>
      <c r="B159" s="121" t="s">
        <v>319</v>
      </c>
      <c r="C159" s="121" t="s">
        <v>10</v>
      </c>
      <c r="D159" s="121" t="s">
        <v>136</v>
      </c>
      <c r="E159" s="121" t="s">
        <v>12</v>
      </c>
      <c r="F159" s="121" t="s">
        <v>315</v>
      </c>
      <c r="G159" s="120" t="s">
        <v>514</v>
      </c>
      <c r="H159" s="120" t="s">
        <v>202</v>
      </c>
    </row>
    <row r="160" spans="1:9" x14ac:dyDescent="0.25">
      <c r="A160" s="120" t="s">
        <v>320</v>
      </c>
      <c r="B160" s="121" t="s">
        <v>321</v>
      </c>
      <c r="C160" s="121" t="s">
        <v>10</v>
      </c>
      <c r="D160" s="121" t="s">
        <v>136</v>
      </c>
      <c r="E160" s="121" t="s">
        <v>12</v>
      </c>
      <c r="F160" s="121" t="s">
        <v>315</v>
      </c>
      <c r="G160" s="120" t="s">
        <v>515</v>
      </c>
      <c r="H160" s="120" t="s">
        <v>202</v>
      </c>
    </row>
    <row r="161" spans="1:8" x14ac:dyDescent="0.25">
      <c r="A161" s="120" t="s">
        <v>322</v>
      </c>
      <c r="B161" s="121" t="s">
        <v>319</v>
      </c>
      <c r="C161" s="121" t="s">
        <v>10</v>
      </c>
      <c r="D161" s="121" t="s">
        <v>136</v>
      </c>
      <c r="E161" s="121" t="s">
        <v>12</v>
      </c>
      <c r="F161" s="121" t="s">
        <v>315</v>
      </c>
      <c r="G161" s="120" t="s">
        <v>516</v>
      </c>
      <c r="H161" s="120" t="s">
        <v>202</v>
      </c>
    </row>
    <row r="162" spans="1:8" x14ac:dyDescent="0.25">
      <c r="A162" s="120" t="s">
        <v>323</v>
      </c>
      <c r="B162" s="121" t="s">
        <v>324</v>
      </c>
      <c r="C162" s="121" t="s">
        <v>10</v>
      </c>
      <c r="D162" s="121" t="s">
        <v>136</v>
      </c>
      <c r="E162" s="121" t="s">
        <v>12</v>
      </c>
      <c r="F162" s="121" t="s">
        <v>315</v>
      </c>
      <c r="G162" s="120" t="s">
        <v>517</v>
      </c>
      <c r="H162" s="120" t="s">
        <v>202</v>
      </c>
    </row>
    <row r="163" spans="1:8" x14ac:dyDescent="0.25">
      <c r="A163" s="120" t="s">
        <v>325</v>
      </c>
      <c r="B163" s="121" t="s">
        <v>326</v>
      </c>
      <c r="C163" s="121" t="s">
        <v>10</v>
      </c>
      <c r="D163" s="121" t="s">
        <v>136</v>
      </c>
      <c r="E163" s="121" t="s">
        <v>12</v>
      </c>
      <c r="F163" s="121" t="s">
        <v>315</v>
      </c>
      <c r="G163" s="120" t="s">
        <v>518</v>
      </c>
      <c r="H163" s="120" t="s">
        <v>202</v>
      </c>
    </row>
    <row r="164" spans="1:8" x14ac:dyDescent="0.25">
      <c r="A164" s="120" t="s">
        <v>327</v>
      </c>
      <c r="B164" s="121" t="s">
        <v>328</v>
      </c>
      <c r="C164" s="121" t="s">
        <v>10</v>
      </c>
      <c r="D164" s="121" t="s">
        <v>136</v>
      </c>
      <c r="E164" s="121" t="s">
        <v>12</v>
      </c>
      <c r="F164" s="121" t="s">
        <v>315</v>
      </c>
      <c r="G164" s="120" t="s">
        <v>519</v>
      </c>
      <c r="H164" s="120" t="s">
        <v>202</v>
      </c>
    </row>
    <row r="165" spans="1:8" x14ac:dyDescent="0.25">
      <c r="A165" s="120" t="s">
        <v>329</v>
      </c>
      <c r="B165" s="121" t="s">
        <v>330</v>
      </c>
      <c r="C165" s="121" t="s">
        <v>10</v>
      </c>
      <c r="D165" s="121" t="s">
        <v>136</v>
      </c>
      <c r="E165" s="121" t="s">
        <v>12</v>
      </c>
      <c r="F165" s="121" t="s">
        <v>315</v>
      </c>
      <c r="G165" s="120" t="s">
        <v>520</v>
      </c>
      <c r="H165" s="120" t="s">
        <v>202</v>
      </c>
    </row>
    <row r="166" spans="1:8" x14ac:dyDescent="0.25">
      <c r="A166" s="120" t="s">
        <v>331</v>
      </c>
      <c r="B166" s="121" t="s">
        <v>332</v>
      </c>
      <c r="C166" s="121" t="s">
        <v>10</v>
      </c>
      <c r="D166" s="121" t="s">
        <v>136</v>
      </c>
      <c r="E166" s="121" t="s">
        <v>12</v>
      </c>
      <c r="F166" s="121" t="s">
        <v>315</v>
      </c>
      <c r="G166" s="120" t="s">
        <v>521</v>
      </c>
      <c r="H166" s="120" t="s">
        <v>202</v>
      </c>
    </row>
    <row r="167" spans="1:8" x14ac:dyDescent="0.25">
      <c r="A167" s="120" t="s">
        <v>333</v>
      </c>
      <c r="B167" s="121" t="s">
        <v>328</v>
      </c>
      <c r="C167" s="121" t="s">
        <v>10</v>
      </c>
      <c r="D167" s="121" t="s">
        <v>136</v>
      </c>
      <c r="E167" s="121" t="s">
        <v>12</v>
      </c>
      <c r="F167" s="121" t="s">
        <v>334</v>
      </c>
      <c r="G167" s="120" t="s">
        <v>522</v>
      </c>
      <c r="H167" s="120" t="s">
        <v>202</v>
      </c>
    </row>
    <row r="168" spans="1:8" x14ac:dyDescent="0.25">
      <c r="A168" s="120" t="s">
        <v>335</v>
      </c>
      <c r="B168" s="121" t="s">
        <v>336</v>
      </c>
      <c r="C168" s="121" t="s">
        <v>10</v>
      </c>
      <c r="D168" s="121" t="s">
        <v>136</v>
      </c>
      <c r="E168" s="121" t="s">
        <v>12</v>
      </c>
      <c r="F168" s="121" t="s">
        <v>250</v>
      </c>
      <c r="G168" s="120" t="s">
        <v>523</v>
      </c>
      <c r="H168" s="120" t="s">
        <v>202</v>
      </c>
    </row>
    <row r="169" spans="1:8" x14ac:dyDescent="0.25">
      <c r="A169" s="120" t="s">
        <v>337</v>
      </c>
      <c r="B169" s="121" t="s">
        <v>338</v>
      </c>
      <c r="C169" s="121" t="s">
        <v>10</v>
      </c>
      <c r="D169" s="121" t="s">
        <v>136</v>
      </c>
      <c r="E169" s="121" t="s">
        <v>12</v>
      </c>
      <c r="F169" s="121" t="s">
        <v>315</v>
      </c>
      <c r="G169" s="120" t="s">
        <v>524</v>
      </c>
      <c r="H169" s="120" t="s">
        <v>202</v>
      </c>
    </row>
    <row r="170" spans="1:8" x14ac:dyDescent="0.25">
      <c r="A170" s="120" t="s">
        <v>339</v>
      </c>
      <c r="B170" s="121" t="s">
        <v>326</v>
      </c>
      <c r="C170" s="121" t="s">
        <v>10</v>
      </c>
      <c r="D170" s="121" t="s">
        <v>136</v>
      </c>
      <c r="E170" s="121" t="s">
        <v>12</v>
      </c>
      <c r="F170" s="121" t="s">
        <v>315</v>
      </c>
      <c r="G170" s="120" t="s">
        <v>525</v>
      </c>
      <c r="H170" s="120" t="s">
        <v>202</v>
      </c>
    </row>
    <row r="171" spans="1:8" x14ac:dyDescent="0.25">
      <c r="A171" s="120" t="s">
        <v>340</v>
      </c>
      <c r="B171" s="121" t="s">
        <v>319</v>
      </c>
      <c r="C171" s="121" t="s">
        <v>10</v>
      </c>
      <c r="D171" s="121" t="s">
        <v>136</v>
      </c>
      <c r="E171" s="121" t="s">
        <v>12</v>
      </c>
      <c r="F171" s="121" t="s">
        <v>315</v>
      </c>
      <c r="G171" s="120" t="s">
        <v>526</v>
      </c>
      <c r="H171" s="120" t="s">
        <v>202</v>
      </c>
    </row>
    <row r="172" spans="1:8" x14ac:dyDescent="0.25">
      <c r="A172" s="120" t="s">
        <v>341</v>
      </c>
      <c r="B172" s="121" t="s">
        <v>342</v>
      </c>
      <c r="C172" s="121" t="s">
        <v>10</v>
      </c>
      <c r="D172" s="121" t="s">
        <v>136</v>
      </c>
      <c r="E172" s="121" t="s">
        <v>12</v>
      </c>
      <c r="F172" s="121" t="s">
        <v>315</v>
      </c>
      <c r="G172" s="120" t="s">
        <v>527</v>
      </c>
      <c r="H172" s="120" t="s">
        <v>202</v>
      </c>
    </row>
    <row r="173" spans="1:8" x14ac:dyDescent="0.25">
      <c r="A173" s="120" t="s">
        <v>343</v>
      </c>
      <c r="B173" s="121" t="s">
        <v>344</v>
      </c>
      <c r="C173" s="121" t="s">
        <v>10</v>
      </c>
      <c r="D173" s="121" t="s">
        <v>136</v>
      </c>
      <c r="E173" s="121" t="s">
        <v>12</v>
      </c>
      <c r="F173" s="121" t="s">
        <v>315</v>
      </c>
      <c r="G173" s="120" t="s">
        <v>528</v>
      </c>
      <c r="H173" s="120" t="s">
        <v>202</v>
      </c>
    </row>
    <row r="174" spans="1:8" x14ac:dyDescent="0.25">
      <c r="A174" s="120" t="s">
        <v>345</v>
      </c>
      <c r="B174" s="121" t="s">
        <v>346</v>
      </c>
      <c r="C174" s="121" t="s">
        <v>10</v>
      </c>
      <c r="D174" s="121" t="s">
        <v>136</v>
      </c>
      <c r="E174" s="121" t="s">
        <v>12</v>
      </c>
      <c r="F174" s="121" t="s">
        <v>315</v>
      </c>
      <c r="G174" s="120" t="s">
        <v>529</v>
      </c>
      <c r="H174" s="120" t="s">
        <v>202</v>
      </c>
    </row>
    <row r="175" spans="1:8" x14ac:dyDescent="0.25">
      <c r="A175" s="120" t="s">
        <v>347</v>
      </c>
      <c r="B175" s="121" t="s">
        <v>348</v>
      </c>
      <c r="C175" s="121" t="s">
        <v>10</v>
      </c>
      <c r="D175" s="121" t="s">
        <v>136</v>
      </c>
      <c r="E175" s="121" t="s">
        <v>12</v>
      </c>
      <c r="F175" s="121" t="s">
        <v>315</v>
      </c>
      <c r="G175" s="120" t="s">
        <v>530</v>
      </c>
      <c r="H175" s="120" t="s">
        <v>202</v>
      </c>
    </row>
    <row r="176" spans="1:8" x14ac:dyDescent="0.25">
      <c r="A176" s="120" t="s">
        <v>349</v>
      </c>
      <c r="B176" s="121" t="s">
        <v>338</v>
      </c>
      <c r="C176" s="121" t="s">
        <v>10</v>
      </c>
      <c r="D176" s="121" t="s">
        <v>136</v>
      </c>
      <c r="E176" s="121" t="s">
        <v>12</v>
      </c>
      <c r="F176" s="121" t="s">
        <v>315</v>
      </c>
      <c r="G176" s="120" t="s">
        <v>531</v>
      </c>
      <c r="H176" s="120" t="s">
        <v>202</v>
      </c>
    </row>
    <row r="177" spans="1:8" x14ac:dyDescent="0.25">
      <c r="A177" s="120" t="s">
        <v>350</v>
      </c>
      <c r="B177" s="121" t="s">
        <v>344</v>
      </c>
      <c r="C177" s="121" t="s">
        <v>10</v>
      </c>
      <c r="D177" s="121" t="s">
        <v>136</v>
      </c>
      <c r="E177" s="121" t="s">
        <v>12</v>
      </c>
      <c r="F177" s="121" t="s">
        <v>315</v>
      </c>
      <c r="G177" s="120" t="s">
        <v>532</v>
      </c>
      <c r="H177" s="120" t="s">
        <v>202</v>
      </c>
    </row>
    <row r="178" spans="1:8" x14ac:dyDescent="0.25">
      <c r="A178" s="120" t="s">
        <v>351</v>
      </c>
      <c r="B178" s="121" t="s">
        <v>352</v>
      </c>
      <c r="C178" s="121" t="s">
        <v>10</v>
      </c>
      <c r="D178" s="121" t="s">
        <v>136</v>
      </c>
      <c r="E178" s="121" t="s">
        <v>12</v>
      </c>
      <c r="F178" s="121" t="s">
        <v>315</v>
      </c>
      <c r="G178" s="120" t="s">
        <v>533</v>
      </c>
      <c r="H178" s="120" t="s">
        <v>202</v>
      </c>
    </row>
    <row r="179" spans="1:8" x14ac:dyDescent="0.25">
      <c r="A179" s="120" t="s">
        <v>355</v>
      </c>
      <c r="B179" s="121" t="s">
        <v>356</v>
      </c>
      <c r="C179" s="121" t="s">
        <v>10</v>
      </c>
      <c r="D179" s="121" t="s">
        <v>136</v>
      </c>
      <c r="E179" s="121" t="s">
        <v>12</v>
      </c>
      <c r="F179" s="121" t="s">
        <v>315</v>
      </c>
      <c r="G179" s="120" t="s">
        <v>534</v>
      </c>
      <c r="H179" s="120" t="s">
        <v>202</v>
      </c>
    </row>
    <row r="180" spans="1:8" x14ac:dyDescent="0.25">
      <c r="A180" s="120" t="s">
        <v>357</v>
      </c>
      <c r="B180" s="121" t="s">
        <v>358</v>
      </c>
      <c r="C180" s="121" t="s">
        <v>10</v>
      </c>
      <c r="D180" s="121" t="s">
        <v>136</v>
      </c>
      <c r="E180" s="121" t="s">
        <v>12</v>
      </c>
      <c r="F180" s="121" t="s">
        <v>315</v>
      </c>
      <c r="G180" s="120" t="s">
        <v>535</v>
      </c>
      <c r="H180" s="120" t="s">
        <v>202</v>
      </c>
    </row>
    <row r="181" spans="1:8" x14ac:dyDescent="0.25">
      <c r="A181" s="120" t="s">
        <v>251</v>
      </c>
      <c r="B181" s="121" t="s">
        <v>252</v>
      </c>
      <c r="C181" s="121" t="s">
        <v>10</v>
      </c>
      <c r="D181" s="121" t="s">
        <v>136</v>
      </c>
      <c r="E181" s="121" t="s">
        <v>12</v>
      </c>
      <c r="F181" s="121" t="s">
        <v>253</v>
      </c>
      <c r="G181" s="120" t="str">
        <f t="shared" ref="G181:G211" si="13">A181&amp;" "&amp;B181</f>
        <v>MGI 1D Array 1.0.2.3</v>
      </c>
      <c r="H181" s="120" t="s">
        <v>202</v>
      </c>
    </row>
    <row r="182" spans="1:8" x14ac:dyDescent="0.25">
      <c r="A182" s="120" t="s">
        <v>254</v>
      </c>
      <c r="B182" s="121" t="s">
        <v>255</v>
      </c>
      <c r="C182" s="121" t="s">
        <v>10</v>
      </c>
      <c r="D182" s="121" t="s">
        <v>136</v>
      </c>
      <c r="E182" s="121" t="s">
        <v>12</v>
      </c>
      <c r="F182" s="121" t="s">
        <v>253</v>
      </c>
      <c r="G182" s="120" t="str">
        <f t="shared" si="13"/>
        <v>MGI 2D Array 1.1.1.5</v>
      </c>
      <c r="H182" s="120" t="s">
        <v>202</v>
      </c>
    </row>
    <row r="183" spans="1:8" x14ac:dyDescent="0.25">
      <c r="A183" s="120" t="s">
        <v>256</v>
      </c>
      <c r="B183" s="121" t="s">
        <v>257</v>
      </c>
      <c r="C183" s="121" t="s">
        <v>10</v>
      </c>
      <c r="D183" s="121" t="s">
        <v>136</v>
      </c>
      <c r="E183" s="121" t="s">
        <v>12</v>
      </c>
      <c r="F183" s="121" t="s">
        <v>253</v>
      </c>
      <c r="G183" s="120" t="str">
        <f t="shared" si="13"/>
        <v>MGI Actor Framework Message Maker 1.0.1.6</v>
      </c>
      <c r="H183" s="120" t="s">
        <v>202</v>
      </c>
    </row>
    <row r="184" spans="1:8" x14ac:dyDescent="0.25">
      <c r="A184" s="120" t="s">
        <v>258</v>
      </c>
      <c r="B184" s="121" t="s">
        <v>259</v>
      </c>
      <c r="C184" s="121" t="s">
        <v>10</v>
      </c>
      <c r="D184" s="121" t="s">
        <v>136</v>
      </c>
      <c r="E184" s="121" t="s">
        <v>12</v>
      </c>
      <c r="F184" s="121" t="s">
        <v>253</v>
      </c>
      <c r="G184" s="120" t="str">
        <f t="shared" si="13"/>
        <v>MGI Application Control 1.1.1.10</v>
      </c>
      <c r="H184" s="120" t="s">
        <v>202</v>
      </c>
    </row>
    <row r="185" spans="1:8" x14ac:dyDescent="0.25">
      <c r="A185" s="120" t="s">
        <v>260</v>
      </c>
      <c r="B185" s="121" t="s">
        <v>261</v>
      </c>
      <c r="C185" s="121" t="s">
        <v>10</v>
      </c>
      <c r="D185" s="121" t="s">
        <v>136</v>
      </c>
      <c r="E185" s="121" t="s">
        <v>12</v>
      </c>
      <c r="F185" s="121" t="s">
        <v>253</v>
      </c>
      <c r="G185" s="120" t="str">
        <f t="shared" si="13"/>
        <v>MGI Bezier 1.1.1.2</v>
      </c>
      <c r="H185" s="120" t="s">
        <v>202</v>
      </c>
    </row>
    <row r="186" spans="1:8" x14ac:dyDescent="0.25">
      <c r="A186" s="120" t="s">
        <v>262</v>
      </c>
      <c r="B186" s="121" t="s">
        <v>263</v>
      </c>
      <c r="C186" s="121" t="s">
        <v>10</v>
      </c>
      <c r="D186" s="121" t="s">
        <v>136</v>
      </c>
      <c r="E186" s="121" t="s">
        <v>12</v>
      </c>
      <c r="F186" s="121" t="s">
        <v>253</v>
      </c>
      <c r="G186" s="120" t="str">
        <f t="shared" si="13"/>
        <v>MGI Boolean 1.0.1.3</v>
      </c>
      <c r="H186" s="120" t="s">
        <v>202</v>
      </c>
    </row>
    <row r="187" spans="1:8" x14ac:dyDescent="0.25">
      <c r="A187" s="120" t="s">
        <v>264</v>
      </c>
      <c r="B187" s="121" t="s">
        <v>265</v>
      </c>
      <c r="C187" s="121" t="s">
        <v>10</v>
      </c>
      <c r="D187" s="121" t="s">
        <v>136</v>
      </c>
      <c r="E187" s="121" t="s">
        <v>12</v>
      </c>
      <c r="F187" s="121" t="s">
        <v>253</v>
      </c>
      <c r="G187" s="120" t="str">
        <f t="shared" si="13"/>
        <v>MGI Class Method Browser 1.0.0.20</v>
      </c>
      <c r="H187" s="120" t="s">
        <v>202</v>
      </c>
    </row>
    <row r="188" spans="1:8" x14ac:dyDescent="0.25">
      <c r="A188" s="120" t="s">
        <v>266</v>
      </c>
      <c r="B188" s="121" t="s">
        <v>267</v>
      </c>
      <c r="C188" s="121" t="s">
        <v>10</v>
      </c>
      <c r="D188" s="121" t="s">
        <v>136</v>
      </c>
      <c r="E188" s="121" t="s">
        <v>12</v>
      </c>
      <c r="F188" s="121" t="s">
        <v>253</v>
      </c>
      <c r="G188" s="120" t="str">
        <f t="shared" si="13"/>
        <v>MGI Cluster 1.1.0.1</v>
      </c>
      <c r="H188" s="120" t="s">
        <v>202</v>
      </c>
    </row>
    <row r="189" spans="1:8" x14ac:dyDescent="0.25">
      <c r="A189" s="120" t="s">
        <v>268</v>
      </c>
      <c r="B189" s="121" t="s">
        <v>261</v>
      </c>
      <c r="C189" s="121" t="s">
        <v>10</v>
      </c>
      <c r="D189" s="121" t="s">
        <v>136</v>
      </c>
      <c r="E189" s="121" t="s">
        <v>12</v>
      </c>
      <c r="F189" s="121" t="s">
        <v>253</v>
      </c>
      <c r="G189" s="120" t="str">
        <f t="shared" si="13"/>
        <v>MGI Coordinates 1.1.1.2</v>
      </c>
      <c r="H189" s="120" t="s">
        <v>202</v>
      </c>
    </row>
    <row r="190" spans="1:8" x14ac:dyDescent="0.25">
      <c r="A190" s="120" t="s">
        <v>269</v>
      </c>
      <c r="B190" s="121" t="s">
        <v>270</v>
      </c>
      <c r="C190" s="121" t="s">
        <v>10</v>
      </c>
      <c r="D190" s="121" t="s">
        <v>136</v>
      </c>
      <c r="E190" s="121" t="s">
        <v>12</v>
      </c>
      <c r="F190" s="121" t="s">
        <v>253</v>
      </c>
      <c r="G190" s="120" t="str">
        <f t="shared" si="13"/>
        <v>MGI Error Handling 1.1.1.3</v>
      </c>
      <c r="H190" s="120" t="s">
        <v>202</v>
      </c>
    </row>
    <row r="191" spans="1:8" x14ac:dyDescent="0.25">
      <c r="A191" s="120" t="s">
        <v>271</v>
      </c>
      <c r="B191" s="121" t="s">
        <v>272</v>
      </c>
      <c r="C191" s="121" t="s">
        <v>10</v>
      </c>
      <c r="D191" s="121" t="s">
        <v>136</v>
      </c>
      <c r="E191" s="121" t="s">
        <v>12</v>
      </c>
      <c r="F191" s="121" t="s">
        <v>253</v>
      </c>
      <c r="G191" s="120" t="str">
        <f t="shared" si="13"/>
        <v>MGI Error Reporter 1.0.2.5</v>
      </c>
      <c r="H191" s="120" t="s">
        <v>202</v>
      </c>
    </row>
    <row r="192" spans="1:8" x14ac:dyDescent="0.25">
      <c r="A192" s="120" t="s">
        <v>273</v>
      </c>
      <c r="B192" s="121" t="s">
        <v>274</v>
      </c>
      <c r="C192" s="121" t="s">
        <v>10</v>
      </c>
      <c r="D192" s="121" t="s">
        <v>136</v>
      </c>
      <c r="E192" s="121" t="s">
        <v>12</v>
      </c>
      <c r="F192" s="121" t="s">
        <v>253</v>
      </c>
      <c r="G192" s="120" t="str">
        <f t="shared" si="13"/>
        <v>MGI File 1.1.0.4</v>
      </c>
      <c r="H192" s="120" t="s">
        <v>202</v>
      </c>
    </row>
    <row r="193" spans="1:8" x14ac:dyDescent="0.25">
      <c r="A193" s="120" t="s">
        <v>275</v>
      </c>
      <c r="B193" s="121" t="s">
        <v>276</v>
      </c>
      <c r="C193" s="121" t="s">
        <v>10</v>
      </c>
      <c r="D193" s="121" t="s">
        <v>136</v>
      </c>
      <c r="E193" s="121" t="s">
        <v>12</v>
      </c>
      <c r="F193" s="121" t="s">
        <v>253</v>
      </c>
      <c r="G193" s="120" t="str">
        <f t="shared" si="13"/>
        <v>MGI Graph 1.0.2.6</v>
      </c>
      <c r="H193" s="120" t="s">
        <v>202</v>
      </c>
    </row>
    <row r="194" spans="1:8" x14ac:dyDescent="0.25">
      <c r="A194" s="120" t="s">
        <v>277</v>
      </c>
      <c r="B194" s="121" t="s">
        <v>278</v>
      </c>
      <c r="C194" s="121" t="s">
        <v>10</v>
      </c>
      <c r="D194" s="121" t="s">
        <v>136</v>
      </c>
      <c r="E194" s="121" t="s">
        <v>12</v>
      </c>
      <c r="F194" s="121" t="s">
        <v>253</v>
      </c>
      <c r="G194" s="120" t="str">
        <f t="shared" si="13"/>
        <v>MGI Library 1.2.0.4</v>
      </c>
      <c r="H194" s="120" t="s">
        <v>202</v>
      </c>
    </row>
    <row r="195" spans="1:8" x14ac:dyDescent="0.25">
      <c r="A195" s="120" t="s">
        <v>279</v>
      </c>
      <c r="B195" s="121" t="s">
        <v>267</v>
      </c>
      <c r="C195" s="121" t="s">
        <v>10</v>
      </c>
      <c r="D195" s="121" t="s">
        <v>136</v>
      </c>
      <c r="E195" s="121" t="s">
        <v>12</v>
      </c>
      <c r="F195" s="121" t="s">
        <v>253</v>
      </c>
      <c r="G195" s="120" t="str">
        <f t="shared" si="13"/>
        <v>MGI Matrix &amp; Vector 1.1.0.1</v>
      </c>
      <c r="H195" s="120" t="s">
        <v>202</v>
      </c>
    </row>
    <row r="196" spans="1:8" x14ac:dyDescent="0.25">
      <c r="A196" s="120" t="s">
        <v>280</v>
      </c>
      <c r="B196" s="121" t="s">
        <v>281</v>
      </c>
      <c r="C196" s="121" t="s">
        <v>10</v>
      </c>
      <c r="D196" s="121" t="s">
        <v>136</v>
      </c>
      <c r="E196" s="121" t="s">
        <v>12</v>
      </c>
      <c r="F196" s="121" t="s">
        <v>253</v>
      </c>
      <c r="G196" s="120" t="str">
        <f t="shared" si="13"/>
        <v>MGI Menu Building 1.0.1.4</v>
      </c>
      <c r="H196" s="120" t="s">
        <v>202</v>
      </c>
    </row>
    <row r="197" spans="1:8" x14ac:dyDescent="0.25">
      <c r="A197" s="120" t="s">
        <v>282</v>
      </c>
      <c r="B197" s="121" t="s">
        <v>283</v>
      </c>
      <c r="C197" s="121" t="s">
        <v>10</v>
      </c>
      <c r="D197" s="121" t="s">
        <v>136</v>
      </c>
      <c r="E197" s="121" t="s">
        <v>12</v>
      </c>
      <c r="F197" s="121" t="s">
        <v>253</v>
      </c>
      <c r="G197" s="120" t="str">
        <f t="shared" si="13"/>
        <v>MGI Monitored Actor 2.0.0.23</v>
      </c>
      <c r="H197" s="120" t="s">
        <v>202</v>
      </c>
    </row>
    <row r="198" spans="1:8" x14ac:dyDescent="0.25">
      <c r="A198" s="120" t="s">
        <v>284</v>
      </c>
      <c r="B198" s="121" t="s">
        <v>285</v>
      </c>
      <c r="C198" s="121" t="s">
        <v>10</v>
      </c>
      <c r="D198" s="121" t="s">
        <v>136</v>
      </c>
      <c r="E198" s="121" t="s">
        <v>12</v>
      </c>
      <c r="F198" s="121" t="s">
        <v>253</v>
      </c>
      <c r="G198" s="120" t="str">
        <f t="shared" si="13"/>
        <v>MGI Numeric 1.1.0.2</v>
      </c>
      <c r="H198" s="120" t="s">
        <v>202</v>
      </c>
    </row>
    <row r="199" spans="1:8" x14ac:dyDescent="0.25">
      <c r="A199" s="120" t="s">
        <v>286</v>
      </c>
      <c r="B199" s="121" t="s">
        <v>281</v>
      </c>
      <c r="C199" s="121" t="s">
        <v>10</v>
      </c>
      <c r="D199" s="121" t="s">
        <v>136</v>
      </c>
      <c r="E199" s="121" t="s">
        <v>12</v>
      </c>
      <c r="F199" s="121" t="s">
        <v>253</v>
      </c>
      <c r="G199" s="120" t="str">
        <f t="shared" si="13"/>
        <v>MGI Panel Manager 1.0.1.4</v>
      </c>
      <c r="H199" s="120" t="s">
        <v>202</v>
      </c>
    </row>
    <row r="200" spans="1:8" x14ac:dyDescent="0.25">
      <c r="A200" s="120" t="s">
        <v>287</v>
      </c>
      <c r="B200" s="121" t="s">
        <v>257</v>
      </c>
      <c r="C200" s="121" t="s">
        <v>10</v>
      </c>
      <c r="D200" s="121" t="s">
        <v>136</v>
      </c>
      <c r="E200" s="121" t="s">
        <v>12</v>
      </c>
      <c r="F200" s="121" t="s">
        <v>253</v>
      </c>
      <c r="G200" s="120" t="str">
        <f t="shared" si="13"/>
        <v>MGI Panel Manager - DQMH Panels 1.0.1.6</v>
      </c>
      <c r="H200" s="120" t="s">
        <v>202</v>
      </c>
    </row>
    <row r="201" spans="1:8" x14ac:dyDescent="0.25">
      <c r="A201" s="120" t="s">
        <v>288</v>
      </c>
      <c r="B201" s="121" t="s">
        <v>289</v>
      </c>
      <c r="C201" s="121" t="s">
        <v>10</v>
      </c>
      <c r="D201" s="121" t="s">
        <v>136</v>
      </c>
      <c r="E201" s="121" t="s">
        <v>12</v>
      </c>
      <c r="F201" s="121" t="s">
        <v>253</v>
      </c>
      <c r="G201" s="120" t="str">
        <f t="shared" si="13"/>
        <v>MGI Picture &amp; Image 1.0.2.1</v>
      </c>
      <c r="H201" s="120" t="s">
        <v>202</v>
      </c>
    </row>
    <row r="202" spans="1:8" x14ac:dyDescent="0.25">
      <c r="A202" s="120" t="s">
        <v>290</v>
      </c>
      <c r="B202" s="121" t="s">
        <v>291</v>
      </c>
      <c r="C202" s="121" t="s">
        <v>10</v>
      </c>
      <c r="D202" s="121" t="s">
        <v>136</v>
      </c>
      <c r="E202" s="121" t="s">
        <v>12</v>
      </c>
      <c r="F202" s="121" t="s">
        <v>253</v>
      </c>
      <c r="G202" s="120" t="str">
        <f t="shared" si="13"/>
        <v>MGI Read/Write Anything 2.1.4.4</v>
      </c>
      <c r="H202" s="120" t="s">
        <v>202</v>
      </c>
    </row>
    <row r="203" spans="1:8" x14ac:dyDescent="0.25">
      <c r="A203" s="120" t="s">
        <v>292</v>
      </c>
      <c r="B203" s="121" t="s">
        <v>293</v>
      </c>
      <c r="C203" s="121" t="s">
        <v>10</v>
      </c>
      <c r="D203" s="121" t="s">
        <v>136</v>
      </c>
      <c r="E203" s="121" t="s">
        <v>12</v>
      </c>
      <c r="F203" s="121" t="s">
        <v>253</v>
      </c>
      <c r="G203" s="120" t="str">
        <f t="shared" si="13"/>
        <v>MGI Robust XML 1.0.3.4</v>
      </c>
      <c r="H203" s="120" t="s">
        <v>202</v>
      </c>
    </row>
    <row r="204" spans="1:8" x14ac:dyDescent="0.25">
      <c r="A204" s="120" t="s">
        <v>294</v>
      </c>
      <c r="B204" s="121" t="s">
        <v>267</v>
      </c>
      <c r="C204" s="121" t="s">
        <v>10</v>
      </c>
      <c r="D204" s="121" t="s">
        <v>136</v>
      </c>
      <c r="E204" s="121" t="s">
        <v>12</v>
      </c>
      <c r="F204" s="121" t="s">
        <v>253</v>
      </c>
      <c r="G204" s="120" t="str">
        <f t="shared" si="13"/>
        <v>MGI Spline 1.1.0.1</v>
      </c>
      <c r="H204" s="120" t="s">
        <v>202</v>
      </c>
    </row>
    <row r="205" spans="1:8" x14ac:dyDescent="0.25">
      <c r="A205" s="120" t="s">
        <v>295</v>
      </c>
      <c r="B205" s="121" t="s">
        <v>255</v>
      </c>
      <c r="C205" s="121" t="s">
        <v>10</v>
      </c>
      <c r="D205" s="121" t="s">
        <v>136</v>
      </c>
      <c r="E205" s="121" t="s">
        <v>12</v>
      </c>
      <c r="F205" s="121" t="s">
        <v>253</v>
      </c>
      <c r="G205" s="120" t="str">
        <f t="shared" si="13"/>
        <v>MGI String 1.1.1.5</v>
      </c>
      <c r="H205" s="120" t="s">
        <v>202</v>
      </c>
    </row>
    <row r="206" spans="1:8" x14ac:dyDescent="0.25">
      <c r="A206" s="120" t="s">
        <v>296</v>
      </c>
      <c r="B206" s="121" t="s">
        <v>285</v>
      </c>
      <c r="C206" s="121" t="s">
        <v>10</v>
      </c>
      <c r="D206" s="121" t="s">
        <v>136</v>
      </c>
      <c r="E206" s="121" t="s">
        <v>12</v>
      </c>
      <c r="F206" s="121" t="s">
        <v>253</v>
      </c>
      <c r="G206" s="120" t="str">
        <f t="shared" si="13"/>
        <v>MGI Timing 1.1.0.2</v>
      </c>
      <c r="H206" s="120" t="s">
        <v>202</v>
      </c>
    </row>
    <row r="207" spans="1:8" x14ac:dyDescent="0.25">
      <c r="A207" s="120" t="s">
        <v>297</v>
      </c>
      <c r="B207" s="121" t="s">
        <v>298</v>
      </c>
      <c r="C207" s="121" t="s">
        <v>10</v>
      </c>
      <c r="D207" s="121" t="s">
        <v>136</v>
      </c>
      <c r="E207" s="121" t="s">
        <v>12</v>
      </c>
      <c r="F207" s="121" t="s">
        <v>253</v>
      </c>
      <c r="G207" s="120" t="str">
        <f t="shared" si="13"/>
        <v>MGI Tools 1.0.0.4</v>
      </c>
      <c r="H207" s="120" t="s">
        <v>202</v>
      </c>
    </row>
    <row r="208" spans="1:8" x14ac:dyDescent="0.25">
      <c r="A208" s="120" t="s">
        <v>299</v>
      </c>
      <c r="B208" s="121" t="s">
        <v>300</v>
      </c>
      <c r="C208" s="121" t="s">
        <v>10</v>
      </c>
      <c r="D208" s="121" t="s">
        <v>136</v>
      </c>
      <c r="E208" s="121" t="s">
        <v>12</v>
      </c>
      <c r="F208" s="121" t="s">
        <v>253</v>
      </c>
      <c r="G208" s="120" t="str">
        <f t="shared" si="13"/>
        <v>MGI Tree 1.0.4.4</v>
      </c>
      <c r="H208" s="120" t="s">
        <v>202</v>
      </c>
    </row>
    <row r="209" spans="1:8" x14ac:dyDescent="0.25">
      <c r="A209" s="120" t="s">
        <v>301</v>
      </c>
      <c r="B209" s="121" t="s">
        <v>302</v>
      </c>
      <c r="C209" s="121" t="s">
        <v>10</v>
      </c>
      <c r="D209" s="121" t="s">
        <v>136</v>
      </c>
      <c r="E209" s="121" t="s">
        <v>12</v>
      </c>
      <c r="F209" s="121" t="s">
        <v>253</v>
      </c>
      <c r="G209" s="120" t="str">
        <f t="shared" si="13"/>
        <v>MGI User Interface 1.0.1.11</v>
      </c>
      <c r="H209" s="120" t="s">
        <v>202</v>
      </c>
    </row>
    <row r="210" spans="1:8" x14ac:dyDescent="0.25">
      <c r="A210" s="120" t="s">
        <v>303</v>
      </c>
      <c r="B210" s="121" t="s">
        <v>304</v>
      </c>
      <c r="C210" s="121" t="s">
        <v>10</v>
      </c>
      <c r="D210" s="121" t="s">
        <v>136</v>
      </c>
      <c r="E210" s="121" t="s">
        <v>12</v>
      </c>
      <c r="F210" s="121" t="s">
        <v>253</v>
      </c>
      <c r="G210" s="120" t="str">
        <f t="shared" si="13"/>
        <v>MGI WSA Framework 1.0.0.27</v>
      </c>
      <c r="H210" s="120" t="s">
        <v>202</v>
      </c>
    </row>
    <row r="211" spans="1:8" x14ac:dyDescent="0.25">
      <c r="A211" s="120" t="s">
        <v>245</v>
      </c>
      <c r="B211" s="121" t="s">
        <v>246</v>
      </c>
      <c r="C211" s="121" t="s">
        <v>10</v>
      </c>
      <c r="D211" s="121" t="s">
        <v>136</v>
      </c>
      <c r="E211" s="121" t="s">
        <v>12</v>
      </c>
      <c r="F211" s="121" t="s">
        <v>247</v>
      </c>
      <c r="G211" s="120" t="str">
        <f t="shared" si="13"/>
        <v>jki_rsc_toolkits_palette 1.1-1</v>
      </c>
      <c r="H211" s="120" t="s">
        <v>202</v>
      </c>
    </row>
    <row r="212" spans="1:8" x14ac:dyDescent="0.25">
      <c r="A212" s="120" t="s">
        <v>305</v>
      </c>
      <c r="B212" s="121" t="s">
        <v>306</v>
      </c>
      <c r="C212" s="121" t="s">
        <v>10</v>
      </c>
      <c r="D212" s="121" t="s">
        <v>136</v>
      </c>
      <c r="E212" s="121" t="s">
        <v>12</v>
      </c>
      <c r="F212" s="121" t="s">
        <v>13</v>
      </c>
      <c r="G212" s="120" t="s">
        <v>538</v>
      </c>
      <c r="H212" s="120" t="s">
        <v>202</v>
      </c>
    </row>
    <row r="213" spans="1:8" x14ac:dyDescent="0.25">
      <c r="A213" s="120" t="s">
        <v>165</v>
      </c>
      <c r="B213" s="121" t="s">
        <v>166</v>
      </c>
      <c r="C213" s="121" t="s">
        <v>10</v>
      </c>
      <c r="D213" s="121" t="s">
        <v>11</v>
      </c>
      <c r="E213" s="121" t="s">
        <v>12</v>
      </c>
      <c r="F213" s="121" t="s">
        <v>13</v>
      </c>
      <c r="G213" s="120" t="s">
        <v>539</v>
      </c>
      <c r="H213" s="120" t="s">
        <v>202</v>
      </c>
    </row>
    <row r="214" spans="1:8" x14ac:dyDescent="0.25">
      <c r="A214" s="120" t="s">
        <v>307</v>
      </c>
      <c r="B214" s="121" t="s">
        <v>308</v>
      </c>
      <c r="C214" s="121" t="s">
        <v>10</v>
      </c>
      <c r="D214" s="121" t="s">
        <v>136</v>
      </c>
      <c r="E214" s="121" t="s">
        <v>12</v>
      </c>
      <c r="F214" s="121" t="s">
        <v>13</v>
      </c>
      <c r="G214" s="120" t="str">
        <f t="shared" ref="G214:G234" si="14">A214&amp;" "&amp;B214</f>
        <v>NI GXML 1.4.2.8</v>
      </c>
      <c r="H214" s="120" t="s">
        <v>202</v>
      </c>
    </row>
    <row r="215" spans="1:8" x14ac:dyDescent="0.25">
      <c r="A215" s="120" t="s">
        <v>311</v>
      </c>
      <c r="B215" s="121" t="s">
        <v>312</v>
      </c>
      <c r="C215" s="121" t="s">
        <v>10</v>
      </c>
      <c r="D215" s="121" t="s">
        <v>136</v>
      </c>
      <c r="E215" s="121" t="s">
        <v>12</v>
      </c>
      <c r="F215" s="121" t="s">
        <v>13</v>
      </c>
      <c r="G215" s="120" t="str">
        <f t="shared" si="14"/>
        <v>NI Modbus Library 1.2.1.42</v>
      </c>
      <c r="H215" s="120" t="s">
        <v>202</v>
      </c>
    </row>
    <row r="216" spans="1:8" x14ac:dyDescent="0.25">
      <c r="A216" s="120" t="s">
        <v>359</v>
      </c>
      <c r="B216" s="121" t="s">
        <v>360</v>
      </c>
      <c r="C216" s="121" t="s">
        <v>10</v>
      </c>
      <c r="D216" s="121" t="s">
        <v>136</v>
      </c>
      <c r="E216" s="121" t="s">
        <v>12</v>
      </c>
      <c r="F216" s="121" t="s">
        <v>13</v>
      </c>
      <c r="G216" s="120" t="str">
        <f t="shared" si="14"/>
        <v>Structure Error Handler 2.1.10.1</v>
      </c>
      <c r="H216" s="120" t="s">
        <v>202</v>
      </c>
    </row>
    <row r="217" spans="1:8" x14ac:dyDescent="0.25">
      <c r="A217" s="120" t="s">
        <v>203</v>
      </c>
      <c r="B217" s="121" t="s">
        <v>204</v>
      </c>
      <c r="C217" s="121" t="s">
        <v>10</v>
      </c>
      <c r="D217" s="121" t="s">
        <v>136</v>
      </c>
      <c r="E217" s="121" t="s">
        <v>12</v>
      </c>
      <c r="F217" s="121" t="s">
        <v>540</v>
      </c>
      <c r="G217" s="120" t="str">
        <f t="shared" si="14"/>
        <v>Delacor QMH 4.0.0.28</v>
      </c>
      <c r="H217" s="120" t="s">
        <v>202</v>
      </c>
    </row>
    <row r="218" spans="1:8" x14ac:dyDescent="0.25">
      <c r="A218" s="120" t="s">
        <v>205</v>
      </c>
      <c r="B218" s="121" t="s">
        <v>537</v>
      </c>
      <c r="C218" s="121" t="s">
        <v>10</v>
      </c>
      <c r="D218" s="121" t="s">
        <v>136</v>
      </c>
      <c r="E218" s="121" t="s">
        <v>12</v>
      </c>
      <c r="F218" s="121" t="s">
        <v>540</v>
      </c>
      <c r="G218" s="120" t="str">
        <f t="shared" si="14"/>
        <v>Delacor QMH Event Scripter 4.0.0.68</v>
      </c>
      <c r="H218" s="120" t="s">
        <v>202</v>
      </c>
    </row>
    <row r="219" spans="1:8" x14ac:dyDescent="0.25">
      <c r="A219" s="120" t="s">
        <v>206</v>
      </c>
      <c r="B219" s="121" t="s">
        <v>207</v>
      </c>
      <c r="C219" s="121" t="s">
        <v>10</v>
      </c>
      <c r="D219" s="121" t="s">
        <v>136</v>
      </c>
      <c r="E219" s="121" t="s">
        <v>12</v>
      </c>
      <c r="F219" s="121" t="s">
        <v>540</v>
      </c>
      <c r="G219" s="120" t="str">
        <f t="shared" si="14"/>
        <v>Delacor QMH Palette 3.0.0.1</v>
      </c>
      <c r="H219" s="120" t="s">
        <v>202</v>
      </c>
    </row>
    <row r="220" spans="1:8" x14ac:dyDescent="0.25">
      <c r="A220" s="120" t="s">
        <v>208</v>
      </c>
      <c r="B220" s="121" t="s">
        <v>209</v>
      </c>
      <c r="C220" s="121" t="s">
        <v>10</v>
      </c>
      <c r="D220" s="121" t="s">
        <v>136</v>
      </c>
      <c r="E220" s="121" t="s">
        <v>12</v>
      </c>
      <c r="F220" s="121" t="s">
        <v>540</v>
      </c>
      <c r="G220" s="120" t="str">
        <f t="shared" si="14"/>
        <v>Delacor QMH Project Template 4.0.0.47</v>
      </c>
      <c r="H220" s="120" t="s">
        <v>202</v>
      </c>
    </row>
    <row r="221" spans="1:8" x14ac:dyDescent="0.25">
      <c r="A221" s="120" t="s">
        <v>210</v>
      </c>
      <c r="B221" s="121" t="s">
        <v>211</v>
      </c>
      <c r="C221" s="121" t="s">
        <v>10</v>
      </c>
      <c r="D221" s="121" t="s">
        <v>136</v>
      </c>
      <c r="E221" s="121" t="s">
        <v>12</v>
      </c>
      <c r="F221" s="121" t="s">
        <v>540</v>
      </c>
      <c r="G221" s="120" t="str">
        <f t="shared" si="14"/>
        <v>Delacor QMH Thermal Chamber Examples 4.0.0.21</v>
      </c>
      <c r="H221" s="120" t="s">
        <v>202</v>
      </c>
    </row>
    <row r="222" spans="1:8" x14ac:dyDescent="0.25">
      <c r="A222" s="120" t="s">
        <v>215</v>
      </c>
      <c r="B222" s="121" t="s">
        <v>216</v>
      </c>
      <c r="C222" s="121" t="s">
        <v>10</v>
      </c>
      <c r="D222" s="121" t="s">
        <v>136</v>
      </c>
      <c r="E222" s="121" t="s">
        <v>12</v>
      </c>
      <c r="F222" s="121" t="s">
        <v>217</v>
      </c>
      <c r="G222" s="120" t="str">
        <f t="shared" si="14"/>
        <v>GPower All Toolsets 2017.0.0.11</v>
      </c>
      <c r="H222" s="120" t="s">
        <v>202</v>
      </c>
    </row>
    <row r="223" spans="1:8" x14ac:dyDescent="0.25">
      <c r="A223" s="120" t="s">
        <v>218</v>
      </c>
      <c r="B223" s="121" t="s">
        <v>162</v>
      </c>
      <c r="C223" s="121" t="s">
        <v>10</v>
      </c>
      <c r="D223" s="121" t="s">
        <v>136</v>
      </c>
      <c r="E223" s="121" t="s">
        <v>12</v>
      </c>
      <c r="F223" s="121" t="s">
        <v>217</v>
      </c>
      <c r="G223" s="120" t="str">
        <f t="shared" si="14"/>
        <v>GPower Array 2016.2.0.27</v>
      </c>
      <c r="H223" s="120" t="s">
        <v>202</v>
      </c>
    </row>
    <row r="224" spans="1:8" x14ac:dyDescent="0.25">
      <c r="A224" s="120" t="s">
        <v>219</v>
      </c>
      <c r="B224" s="121" t="s">
        <v>220</v>
      </c>
      <c r="C224" s="121" t="s">
        <v>10</v>
      </c>
      <c r="D224" s="121" t="s">
        <v>136</v>
      </c>
      <c r="E224" s="121" t="s">
        <v>12</v>
      </c>
      <c r="F224" s="121" t="s">
        <v>217</v>
      </c>
      <c r="G224" s="120" t="str">
        <f t="shared" si="14"/>
        <v>GPower Comparison 2016.0.0.4</v>
      </c>
      <c r="H224" s="120" t="s">
        <v>202</v>
      </c>
    </row>
    <row r="225" spans="1:8" x14ac:dyDescent="0.25">
      <c r="A225" s="120" t="s">
        <v>221</v>
      </c>
      <c r="B225" s="121" t="s">
        <v>222</v>
      </c>
      <c r="C225" s="121" t="s">
        <v>10</v>
      </c>
      <c r="D225" s="121" t="s">
        <v>136</v>
      </c>
      <c r="E225" s="121" t="s">
        <v>12</v>
      </c>
      <c r="F225" s="121" t="s">
        <v>217</v>
      </c>
      <c r="G225" s="120" t="str">
        <f t="shared" si="14"/>
        <v>GPower Error &amp; Warning 2014.0.0.38</v>
      </c>
      <c r="H225" s="120" t="s">
        <v>202</v>
      </c>
    </row>
    <row r="226" spans="1:8" x14ac:dyDescent="0.25">
      <c r="A226" s="120" t="s">
        <v>223</v>
      </c>
      <c r="B226" s="121" t="s">
        <v>224</v>
      </c>
      <c r="C226" s="121" t="s">
        <v>10</v>
      </c>
      <c r="D226" s="121" t="s">
        <v>136</v>
      </c>
      <c r="E226" s="121" t="s">
        <v>12</v>
      </c>
      <c r="F226" s="121" t="s">
        <v>217</v>
      </c>
      <c r="G226" s="120" t="str">
        <f t="shared" si="14"/>
        <v>GPower Events 2012.0.0.7</v>
      </c>
      <c r="H226" s="120" t="s">
        <v>202</v>
      </c>
    </row>
    <row r="227" spans="1:8" x14ac:dyDescent="0.25">
      <c r="A227" s="120" t="s">
        <v>225</v>
      </c>
      <c r="B227" s="121" t="s">
        <v>226</v>
      </c>
      <c r="C227" s="121" t="s">
        <v>10</v>
      </c>
      <c r="D227" s="121" t="s">
        <v>136</v>
      </c>
      <c r="E227" s="121" t="s">
        <v>12</v>
      </c>
      <c r="F227" s="121" t="s">
        <v>217</v>
      </c>
      <c r="G227" s="120" t="str">
        <f t="shared" si="14"/>
        <v>GPower Math 2012.1.0.6</v>
      </c>
      <c r="H227" s="120" t="s">
        <v>202</v>
      </c>
    </row>
    <row r="228" spans="1:8" x14ac:dyDescent="0.25">
      <c r="A228" s="120" t="s">
        <v>227</v>
      </c>
      <c r="B228" s="121" t="s">
        <v>228</v>
      </c>
      <c r="C228" s="121" t="s">
        <v>10</v>
      </c>
      <c r="D228" s="121" t="s">
        <v>136</v>
      </c>
      <c r="E228" s="121" t="s">
        <v>12</v>
      </c>
      <c r="F228" s="121" t="s">
        <v>217</v>
      </c>
      <c r="G228" s="120" t="str">
        <f t="shared" si="14"/>
        <v>GPower Numeric 2016.2.0.14</v>
      </c>
      <c r="H228" s="120" t="s">
        <v>202</v>
      </c>
    </row>
    <row r="229" spans="1:8" x14ac:dyDescent="0.25">
      <c r="A229" s="120" t="s">
        <v>229</v>
      </c>
      <c r="B229" s="121" t="s">
        <v>230</v>
      </c>
      <c r="C229" s="121" t="s">
        <v>10</v>
      </c>
      <c r="D229" s="121" t="s">
        <v>136</v>
      </c>
      <c r="E229" s="121" t="s">
        <v>12</v>
      </c>
      <c r="F229" s="121" t="s">
        <v>217</v>
      </c>
      <c r="G229" s="120" t="str">
        <f t="shared" si="14"/>
        <v>GPower Overflow 2014.0.0.4</v>
      </c>
      <c r="H229" s="120" t="s">
        <v>202</v>
      </c>
    </row>
    <row r="230" spans="1:8" x14ac:dyDescent="0.25">
      <c r="A230" s="120" t="s">
        <v>231</v>
      </c>
      <c r="B230" s="121" t="s">
        <v>232</v>
      </c>
      <c r="C230" s="121" t="s">
        <v>10</v>
      </c>
      <c r="D230" s="121" t="s">
        <v>136</v>
      </c>
      <c r="E230" s="121" t="s">
        <v>12</v>
      </c>
      <c r="F230" s="121" t="s">
        <v>217</v>
      </c>
      <c r="G230" s="120" t="str">
        <f t="shared" si="14"/>
        <v>GPower String 2016.1.0.11</v>
      </c>
      <c r="H230" s="120" t="s">
        <v>202</v>
      </c>
    </row>
    <row r="231" spans="1:8" x14ac:dyDescent="0.25">
      <c r="A231" s="120" t="s">
        <v>233</v>
      </c>
      <c r="B231" s="121" t="s">
        <v>234</v>
      </c>
      <c r="C231" s="121" t="s">
        <v>10</v>
      </c>
      <c r="D231" s="121" t="s">
        <v>136</v>
      </c>
      <c r="E231" s="121" t="s">
        <v>12</v>
      </c>
      <c r="F231" s="121" t="s">
        <v>217</v>
      </c>
      <c r="G231" s="120" t="str">
        <f t="shared" si="14"/>
        <v>GPower Timing 2017.0.0.26</v>
      </c>
      <c r="H231" s="120" t="s">
        <v>202</v>
      </c>
    </row>
    <row r="232" spans="1:8" x14ac:dyDescent="0.25">
      <c r="A232" s="120" t="s">
        <v>235</v>
      </c>
      <c r="B232" s="121" t="s">
        <v>236</v>
      </c>
      <c r="C232" s="121" t="s">
        <v>10</v>
      </c>
      <c r="D232" s="121" t="s">
        <v>136</v>
      </c>
      <c r="E232" s="121" t="s">
        <v>12</v>
      </c>
      <c r="F232" s="121" t="s">
        <v>217</v>
      </c>
      <c r="G232" s="120" t="str">
        <f t="shared" si="14"/>
        <v>GPower VI Launcher 2012.2.0.26</v>
      </c>
      <c r="H232" s="120" t="s">
        <v>202</v>
      </c>
    </row>
    <row r="233" spans="1:8" x14ac:dyDescent="0.25">
      <c r="A233" s="120" t="s">
        <v>237</v>
      </c>
      <c r="B233" s="121" t="s">
        <v>238</v>
      </c>
      <c r="C233" s="121" t="s">
        <v>10</v>
      </c>
      <c r="D233" s="121" t="s">
        <v>136</v>
      </c>
      <c r="E233" s="121" t="s">
        <v>12</v>
      </c>
      <c r="F233" s="121" t="s">
        <v>217</v>
      </c>
      <c r="G233" s="120" t="str">
        <f t="shared" si="14"/>
        <v>GPower VI Register 2016.0.0.31</v>
      </c>
      <c r="H233" s="120" t="s">
        <v>202</v>
      </c>
    </row>
    <row r="234" spans="1:8" x14ac:dyDescent="0.25">
      <c r="A234" s="120" t="s">
        <v>237</v>
      </c>
      <c r="B234" s="121" t="s">
        <v>238</v>
      </c>
      <c r="C234" s="121" t="s">
        <v>10</v>
      </c>
      <c r="D234" s="121" t="s">
        <v>136</v>
      </c>
      <c r="E234" s="121" t="s">
        <v>12</v>
      </c>
      <c r="F234" s="121" t="s">
        <v>217</v>
      </c>
      <c r="G234" s="120" t="str">
        <f t="shared" ref="G234:G238" si="15">A234&amp;" "&amp;B234</f>
        <v>GPower VI Register 2016.0.0.31</v>
      </c>
      <c r="H234" s="120" t="s">
        <v>202</v>
      </c>
    </row>
    <row r="235" spans="1:8" x14ac:dyDescent="0.25">
      <c r="A235" s="120" t="s">
        <v>241</v>
      </c>
      <c r="B235" s="121" t="s">
        <v>242</v>
      </c>
      <c r="C235" s="121" t="s">
        <v>10</v>
      </c>
      <c r="D235" s="121" t="s">
        <v>136</v>
      </c>
      <c r="E235" s="121" t="s">
        <v>12</v>
      </c>
      <c r="F235" s="121" t="s">
        <v>158</v>
      </c>
      <c r="G235" s="120" t="str">
        <f t="shared" si="15"/>
        <v>JKI State Machine Editor 2013.6.3.239</v>
      </c>
      <c r="H235" s="120" t="s">
        <v>202</v>
      </c>
    </row>
    <row r="236" spans="1:8" x14ac:dyDescent="0.25">
      <c r="A236" s="120" t="s">
        <v>243</v>
      </c>
      <c r="B236" s="121" t="s">
        <v>244</v>
      </c>
      <c r="C236" s="121" t="s">
        <v>10</v>
      </c>
      <c r="D236" s="121" t="s">
        <v>136</v>
      </c>
      <c r="E236" s="121" t="s">
        <v>12</v>
      </c>
      <c r="F236" s="121" t="s">
        <v>158</v>
      </c>
      <c r="G236" s="120" t="str">
        <f t="shared" si="15"/>
        <v>JKI State Machine Objects (SMO) 1.3.0.56</v>
      </c>
      <c r="H236" s="120" t="s">
        <v>202</v>
      </c>
    </row>
    <row r="237" spans="1:8" x14ac:dyDescent="0.25">
      <c r="A237" s="120" t="s">
        <v>167</v>
      </c>
      <c r="B237" s="121" t="s">
        <v>168</v>
      </c>
      <c r="C237" s="121" t="s">
        <v>10</v>
      </c>
      <c r="D237" s="121" t="s">
        <v>136</v>
      </c>
      <c r="E237" s="121" t="s">
        <v>12</v>
      </c>
      <c r="F237" s="121" t="s">
        <v>167</v>
      </c>
      <c r="G237" s="120" t="str">
        <f t="shared" si="15"/>
        <v>OpenGDS 1.1.17</v>
      </c>
      <c r="H237" s="120" t="s">
        <v>202</v>
      </c>
    </row>
    <row r="238" spans="1:8" x14ac:dyDescent="0.25">
      <c r="A238" s="120" t="s">
        <v>200</v>
      </c>
      <c r="B238" s="121" t="s">
        <v>201</v>
      </c>
      <c r="C238" s="121" t="s">
        <v>10</v>
      </c>
      <c r="D238" s="121" t="s">
        <v>136</v>
      </c>
      <c r="E238" s="121" t="s">
        <v>12</v>
      </c>
      <c r="F238" s="121" t="s">
        <v>158</v>
      </c>
      <c r="G238" s="120" t="str">
        <f t="shared" si="15"/>
        <v>Caraya Unit Test Framework 0.6.3.54</v>
      </c>
      <c r="H238" s="120" t="s">
        <v>202</v>
      </c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hyperlinks>
    <hyperlink ref="F157" r:id="rId1" display="http://openg.org/" xr:uid="{B446C77A-E3E3-4E31-8B03-9D6C938222F8}"/>
    <hyperlink ref="F158" r:id="rId2" display="http://openg.org/" xr:uid="{8E2B50EB-291C-4EDA-B0F1-D900FBD69FD5}"/>
    <hyperlink ref="F159" r:id="rId3" display="http://openg.org/" xr:uid="{8042162C-33E3-439F-A1E8-3C31099286CB}"/>
    <hyperlink ref="F160" r:id="rId4" display="http://openg.org/" xr:uid="{9673A03C-7B38-4DCB-BA7A-FD4D280DEE4C}"/>
    <hyperlink ref="F161" r:id="rId5" display="http://openg.org/" xr:uid="{9BD4FEE8-62F8-4716-8773-57F783BC2145}"/>
    <hyperlink ref="F162" r:id="rId6" display="http://openg.org/" xr:uid="{A5639DDC-922A-40C1-85CE-956CE952B4B5}"/>
    <hyperlink ref="F163" r:id="rId7" display="http://openg.org/" xr:uid="{6562E0F3-D6B2-4F56-A8AD-9B0B1C010BD3}"/>
    <hyperlink ref="F164" r:id="rId8" display="http://openg.org/" xr:uid="{012764B9-16AD-40E6-BB00-40B6418B5D87}"/>
    <hyperlink ref="F165" r:id="rId9" display="http://openg.org/" xr:uid="{2739134B-036B-4ABD-A25E-1C30699932EE}"/>
    <hyperlink ref="F166" r:id="rId10" display="http://openg.org/" xr:uid="{F69B0C8D-B27D-4446-A197-C74183C57153}"/>
    <hyperlink ref="F169" r:id="rId11" display="http://openg.org/" xr:uid="{B2FB60C7-2E1E-4910-A9A6-59F9B0BA8A12}"/>
    <hyperlink ref="F170" r:id="rId12" display="http://openg.org/" xr:uid="{7AF0C2C7-B32C-4115-8DC3-7468BB171B10}"/>
    <hyperlink ref="F171" r:id="rId13" display="http://openg.org/" xr:uid="{6DDB2B10-EC7D-4B32-A735-AF59F2A85DEA}"/>
    <hyperlink ref="F172" r:id="rId14" display="http://openg.org/" xr:uid="{0A80548A-459E-4B1E-A886-F4246D977EC4}"/>
    <hyperlink ref="F173" r:id="rId15" display="http://openg.org/" xr:uid="{808DE125-28BC-4A64-8CDC-B916A71E1159}"/>
    <hyperlink ref="F174" r:id="rId16" display="http://openg.org/" xr:uid="{7616BC88-F2E4-40B4-9E53-3F14C10714F0}"/>
    <hyperlink ref="F175" r:id="rId17" display="http://openg.org/" xr:uid="{06B4014B-480E-4DCA-8431-842D22FD307B}"/>
    <hyperlink ref="F176" r:id="rId18" display="http://openg.org/" xr:uid="{964936D9-6D6E-4629-A7C3-A793A361C680}"/>
    <hyperlink ref="F177" r:id="rId19" display="http://openg.org/" xr:uid="{C7C8B123-8D41-43C4-A227-ECE4F084E46B}"/>
    <hyperlink ref="F178" r:id="rId20" display="http://openg.org/" xr:uid="{940EBE7A-DAF7-4FD6-A953-B58B14EE9DB3}"/>
    <hyperlink ref="F179" r:id="rId21" display="http://openg.org/" xr:uid="{248E1233-331D-4A9C-8F6E-705CCE5223E5}"/>
    <hyperlink ref="F180" r:id="rId22" display="http://openg.org/" xr:uid="{531CC195-0CCB-41BD-8C34-A2E770FDF5C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Q117"/>
  <sheetViews>
    <sheetView topLeftCell="F1" zoomScaleNormal="100" workbookViewId="0">
      <pane ySplit="3" topLeftCell="A4" activePane="bottomLeft" state="frozen"/>
      <selection pane="bottomLeft" activeCell="O4" sqref="O4"/>
    </sheetView>
  </sheetViews>
  <sheetFormatPr defaultRowHeight="15" x14ac:dyDescent="0.25"/>
  <cols>
    <col min="1" max="1" width="30.7109375" style="25" customWidth="1"/>
    <col min="2" max="2" width="13.85546875" style="25" bestFit="1" customWidth="1"/>
    <col min="3" max="3" width="30.7109375" style="25" customWidth="1"/>
    <col min="4" max="4" width="13.85546875" style="25" bestFit="1" customWidth="1"/>
    <col min="5" max="5" width="30.7109375" style="25" customWidth="1"/>
    <col min="6" max="6" width="13.85546875" style="25" bestFit="1" customWidth="1"/>
    <col min="7" max="7" width="30.7109375" style="25" customWidth="1"/>
    <col min="8" max="8" width="19.42578125" style="25" bestFit="1" customWidth="1"/>
    <col min="9" max="9" width="30.5703125" style="47" bestFit="1" customWidth="1"/>
    <col min="10" max="10" width="19.7109375" style="47" bestFit="1" customWidth="1"/>
    <col min="11" max="11" width="30.5703125" style="61" bestFit="1" customWidth="1"/>
    <col min="12" max="12" width="19.7109375" style="61" bestFit="1" customWidth="1"/>
    <col min="13" max="13" width="30.5703125" style="22" customWidth="1"/>
    <col min="14" max="14" width="19.7109375" style="22" customWidth="1"/>
    <col min="15" max="16384" width="9.140625" style="22"/>
  </cols>
  <sheetData>
    <row r="1" spans="1:17" x14ac:dyDescent="0.25">
      <c r="A1" s="132"/>
      <c r="B1" s="132"/>
      <c r="C1" s="132"/>
      <c r="D1" s="132"/>
      <c r="E1" s="132"/>
      <c r="F1" s="132"/>
      <c r="G1" s="132"/>
      <c r="H1" s="133"/>
    </row>
    <row r="2" spans="1:17" ht="15.75" thickBot="1" x14ac:dyDescent="0.3">
      <c r="A2" s="132"/>
      <c r="B2" s="132"/>
      <c r="C2" s="132"/>
      <c r="D2" s="132"/>
      <c r="E2" s="132"/>
      <c r="F2" s="132"/>
      <c r="G2" s="132"/>
      <c r="H2" s="133"/>
      <c r="I2" s="83"/>
      <c r="J2" s="83"/>
      <c r="K2" s="62"/>
      <c r="L2" s="62"/>
      <c r="M2" s="79"/>
      <c r="N2" s="79"/>
    </row>
    <row r="3" spans="1:17" ht="15.75" thickBot="1" x14ac:dyDescent="0.3">
      <c r="A3" s="138" t="s">
        <v>42</v>
      </c>
      <c r="B3" s="139"/>
      <c r="C3" s="140" t="s">
        <v>91</v>
      </c>
      <c r="D3" s="141"/>
      <c r="E3" s="142" t="s">
        <v>465</v>
      </c>
      <c r="F3" s="143"/>
      <c r="G3" s="144" t="s">
        <v>424</v>
      </c>
      <c r="H3" s="145"/>
      <c r="I3" s="136" t="s">
        <v>477</v>
      </c>
      <c r="J3" s="137"/>
      <c r="K3" s="134" t="s">
        <v>495</v>
      </c>
      <c r="L3" s="135"/>
      <c r="M3" s="130" t="s">
        <v>499</v>
      </c>
      <c r="N3" s="131"/>
      <c r="O3" s="185" t="s">
        <v>363</v>
      </c>
      <c r="P3" s="186"/>
    </row>
    <row r="4" spans="1:17" x14ac:dyDescent="0.25">
      <c r="A4" s="89" t="s">
        <v>14</v>
      </c>
      <c r="B4" s="89" t="s">
        <v>9</v>
      </c>
      <c r="C4" s="88" t="s">
        <v>14</v>
      </c>
      <c r="D4" s="88" t="s">
        <v>9</v>
      </c>
      <c r="E4" s="87" t="s">
        <v>14</v>
      </c>
      <c r="F4" s="87" t="s">
        <v>9</v>
      </c>
      <c r="G4" s="85" t="s">
        <v>14</v>
      </c>
      <c r="H4" s="86" t="s">
        <v>9</v>
      </c>
      <c r="I4" s="84" t="s">
        <v>14</v>
      </c>
      <c r="J4" s="84" t="s">
        <v>478</v>
      </c>
      <c r="K4" s="81" t="s">
        <v>14</v>
      </c>
      <c r="L4" s="82" t="s">
        <v>478</v>
      </c>
      <c r="M4" s="80" t="s">
        <v>14</v>
      </c>
      <c r="N4" s="182" t="s">
        <v>478</v>
      </c>
      <c r="O4" s="187"/>
      <c r="P4" s="187"/>
      <c r="Q4" s="49"/>
    </row>
    <row r="5" spans="1:17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44" t="s">
        <v>9</v>
      </c>
      <c r="I5" s="51" t="s">
        <v>15</v>
      </c>
      <c r="J5" s="51" t="s">
        <v>478</v>
      </c>
      <c r="K5" s="63" t="s">
        <v>15</v>
      </c>
      <c r="L5" s="76" t="s">
        <v>478</v>
      </c>
      <c r="M5" s="78" t="s">
        <v>15</v>
      </c>
      <c r="N5" s="183" t="s">
        <v>478</v>
      </c>
      <c r="O5" s="187"/>
      <c r="P5" s="187"/>
      <c r="Q5" s="49"/>
    </row>
    <row r="6" spans="1:17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44" t="s">
        <v>9</v>
      </c>
      <c r="I6" s="51" t="s">
        <v>75</v>
      </c>
      <c r="J6" s="51" t="s">
        <v>9</v>
      </c>
      <c r="K6" s="63" t="s">
        <v>75</v>
      </c>
      <c r="L6" s="76" t="s">
        <v>9</v>
      </c>
      <c r="M6" s="78" t="s">
        <v>75</v>
      </c>
      <c r="N6" s="183" t="s">
        <v>9</v>
      </c>
      <c r="O6" s="187"/>
      <c r="P6" s="187"/>
      <c r="Q6" s="49"/>
    </row>
    <row r="7" spans="1:17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44" t="s">
        <v>9</v>
      </c>
      <c r="I7" s="51" t="s">
        <v>35</v>
      </c>
      <c r="J7" s="51" t="s">
        <v>9</v>
      </c>
      <c r="K7" s="63" t="s">
        <v>35</v>
      </c>
      <c r="L7" s="76" t="s">
        <v>9</v>
      </c>
      <c r="M7" s="78" t="s">
        <v>35</v>
      </c>
      <c r="N7" s="183" t="s">
        <v>9</v>
      </c>
      <c r="O7" s="187"/>
      <c r="P7" s="187"/>
      <c r="Q7" s="49"/>
    </row>
    <row r="8" spans="1:17" ht="27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44" t="s">
        <v>77</v>
      </c>
      <c r="I8" s="51" t="s">
        <v>76</v>
      </c>
      <c r="J8" s="51" t="s">
        <v>77</v>
      </c>
      <c r="K8" s="63" t="s">
        <v>76</v>
      </c>
      <c r="L8" s="76" t="s">
        <v>77</v>
      </c>
      <c r="M8" s="78" t="s">
        <v>76</v>
      </c>
      <c r="N8" s="183" t="s">
        <v>77</v>
      </c>
      <c r="O8" s="187"/>
      <c r="P8" s="187"/>
      <c r="Q8" s="49"/>
    </row>
    <row r="9" spans="1:17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44" t="s">
        <v>79</v>
      </c>
      <c r="I9" s="51" t="s">
        <v>78</v>
      </c>
      <c r="J9" s="51" t="s">
        <v>79</v>
      </c>
      <c r="K9" s="63" t="s">
        <v>78</v>
      </c>
      <c r="L9" s="76" t="s">
        <v>79</v>
      </c>
      <c r="M9" s="78" t="s">
        <v>78</v>
      </c>
      <c r="N9" s="183" t="s">
        <v>79</v>
      </c>
      <c r="O9" s="187"/>
      <c r="P9" s="187"/>
      <c r="Q9" s="49"/>
    </row>
    <row r="10" spans="1:17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44" t="s">
        <v>81</v>
      </c>
      <c r="I10" s="51" t="s">
        <v>80</v>
      </c>
      <c r="J10" s="51" t="s">
        <v>81</v>
      </c>
      <c r="K10" s="63" t="s">
        <v>80</v>
      </c>
      <c r="L10" s="76" t="s">
        <v>81</v>
      </c>
      <c r="M10" s="78" t="s">
        <v>80</v>
      </c>
      <c r="N10" s="183" t="s">
        <v>81</v>
      </c>
      <c r="O10" s="187"/>
      <c r="P10" s="187"/>
      <c r="Q10" s="49"/>
    </row>
    <row r="11" spans="1:17" ht="25.5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44" t="s">
        <v>9</v>
      </c>
      <c r="I11" s="51" t="s">
        <v>82</v>
      </c>
      <c r="J11" s="51" t="s">
        <v>9</v>
      </c>
      <c r="K11" s="63" t="s">
        <v>82</v>
      </c>
      <c r="L11" s="76" t="s">
        <v>9</v>
      </c>
      <c r="M11" s="78" t="s">
        <v>82</v>
      </c>
      <c r="N11" s="183" t="s">
        <v>9</v>
      </c>
      <c r="O11" s="187"/>
      <c r="P11" s="187"/>
      <c r="Q11" s="49"/>
    </row>
    <row r="12" spans="1:17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44" t="s">
        <v>84</v>
      </c>
      <c r="I12" s="51" t="s">
        <v>83</v>
      </c>
      <c r="J12" s="51" t="s">
        <v>84</v>
      </c>
      <c r="K12" s="63" t="s">
        <v>83</v>
      </c>
      <c r="L12" s="76" t="s">
        <v>84</v>
      </c>
      <c r="M12" s="78" t="s">
        <v>83</v>
      </c>
      <c r="N12" s="183" t="s">
        <v>84</v>
      </c>
      <c r="O12" s="187"/>
      <c r="P12" s="187"/>
      <c r="Q12" s="49"/>
    </row>
    <row r="13" spans="1:17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44" t="s">
        <v>86</v>
      </c>
      <c r="I13" s="51" t="s">
        <v>85</v>
      </c>
      <c r="J13" s="51" t="s">
        <v>86</v>
      </c>
      <c r="K13" s="63" t="s">
        <v>85</v>
      </c>
      <c r="L13" s="76" t="s">
        <v>86</v>
      </c>
      <c r="M13" s="78" t="s">
        <v>85</v>
      </c>
      <c r="N13" s="183" t="s">
        <v>86</v>
      </c>
      <c r="O13" s="187"/>
      <c r="P13" s="187"/>
      <c r="Q13" s="49"/>
    </row>
    <row r="14" spans="1:17" x14ac:dyDescent="0.25">
      <c r="A14" s="26" t="s">
        <v>425</v>
      </c>
      <c r="B14" s="26" t="s">
        <v>87</v>
      </c>
      <c r="C14" s="10" t="s">
        <v>425</v>
      </c>
      <c r="D14" s="10" t="s">
        <v>87</v>
      </c>
      <c r="E14" s="24" t="s">
        <v>425</v>
      </c>
      <c r="F14" s="24" t="s">
        <v>87</v>
      </c>
      <c r="G14" s="23" t="s">
        <v>425</v>
      </c>
      <c r="H14" s="44" t="s">
        <v>87</v>
      </c>
      <c r="I14" s="51" t="s">
        <v>425</v>
      </c>
      <c r="J14" s="51" t="s">
        <v>87</v>
      </c>
      <c r="K14" s="63" t="s">
        <v>425</v>
      </c>
      <c r="L14" s="76" t="s">
        <v>87</v>
      </c>
      <c r="M14" s="78" t="s">
        <v>425</v>
      </c>
      <c r="N14" s="183" t="s">
        <v>87</v>
      </c>
      <c r="O14" s="187"/>
      <c r="P14" s="187"/>
      <c r="Q14" s="49"/>
    </row>
    <row r="15" spans="1:17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44" t="s">
        <v>426</v>
      </c>
      <c r="I15" s="51" t="s">
        <v>16</v>
      </c>
      <c r="J15" s="51" t="s">
        <v>426</v>
      </c>
      <c r="K15" s="63" t="s">
        <v>16</v>
      </c>
      <c r="L15" s="76" t="s">
        <v>426</v>
      </c>
      <c r="M15" s="78" t="s">
        <v>16</v>
      </c>
      <c r="N15" s="183" t="s">
        <v>426</v>
      </c>
      <c r="O15" s="187"/>
      <c r="P15" s="187"/>
      <c r="Q15" s="49"/>
    </row>
    <row r="16" spans="1:17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44" t="s">
        <v>9</v>
      </c>
      <c r="I16" s="51" t="s">
        <v>18</v>
      </c>
      <c r="J16" s="51" t="s">
        <v>478</v>
      </c>
      <c r="K16" s="63" t="s">
        <v>18</v>
      </c>
      <c r="L16" s="76" t="s">
        <v>478</v>
      </c>
      <c r="M16" s="78" t="s">
        <v>18</v>
      </c>
      <c r="N16" s="183" t="s">
        <v>478</v>
      </c>
      <c r="O16" s="187"/>
      <c r="P16" s="187"/>
      <c r="Q16" s="49"/>
    </row>
    <row r="17" spans="1:17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44" t="s">
        <v>9</v>
      </c>
      <c r="I17" s="51" t="s">
        <v>19</v>
      </c>
      <c r="J17" s="51" t="s">
        <v>478</v>
      </c>
      <c r="K17" s="63" t="s">
        <v>19</v>
      </c>
      <c r="L17" s="76" t="s">
        <v>478</v>
      </c>
      <c r="M17" s="78" t="s">
        <v>19</v>
      </c>
      <c r="N17" s="183" t="s">
        <v>478</v>
      </c>
      <c r="O17" s="187"/>
      <c r="P17" s="187"/>
      <c r="Q17" s="49"/>
    </row>
    <row r="18" spans="1:17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44">
        <v>14</v>
      </c>
      <c r="I18" s="51" t="s">
        <v>20</v>
      </c>
      <c r="J18" s="51">
        <v>14</v>
      </c>
      <c r="K18" s="63" t="s">
        <v>20</v>
      </c>
      <c r="L18" s="76">
        <v>14</v>
      </c>
      <c r="M18" s="78" t="s">
        <v>20</v>
      </c>
      <c r="N18" s="183">
        <v>14</v>
      </c>
      <c r="O18" s="187"/>
      <c r="P18" s="187"/>
      <c r="Q18" s="49"/>
    </row>
    <row r="19" spans="1:17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44"/>
      <c r="I19" s="51" t="s">
        <v>21</v>
      </c>
      <c r="J19" s="51"/>
      <c r="K19" s="63" t="s">
        <v>21</v>
      </c>
      <c r="L19" s="76"/>
      <c r="M19" s="78" t="s">
        <v>21</v>
      </c>
      <c r="N19" s="183"/>
      <c r="O19" s="187"/>
      <c r="P19" s="187"/>
      <c r="Q19" s="49"/>
    </row>
    <row r="20" spans="1:17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44">
        <v>15</v>
      </c>
      <c r="I20" s="51" t="s">
        <v>22</v>
      </c>
      <c r="J20" s="51">
        <v>15</v>
      </c>
      <c r="K20" s="63" t="s">
        <v>22</v>
      </c>
      <c r="L20" s="76">
        <v>15</v>
      </c>
      <c r="M20" s="78" t="s">
        <v>22</v>
      </c>
      <c r="N20" s="183">
        <v>15</v>
      </c>
      <c r="O20" s="187"/>
      <c r="P20" s="187"/>
      <c r="Q20" s="49"/>
    </row>
    <row r="21" spans="1:17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44">
        <v>15</v>
      </c>
      <c r="I21" s="51" t="s">
        <v>23</v>
      </c>
      <c r="J21" s="51">
        <v>15</v>
      </c>
      <c r="K21" s="63" t="s">
        <v>23</v>
      </c>
      <c r="L21" s="76">
        <v>15</v>
      </c>
      <c r="M21" s="78" t="s">
        <v>23</v>
      </c>
      <c r="N21" s="183">
        <v>15</v>
      </c>
      <c r="O21" s="187"/>
      <c r="P21" s="187"/>
      <c r="Q21" s="49"/>
    </row>
    <row r="22" spans="1:17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44">
        <v>15</v>
      </c>
      <c r="I22" s="51" t="s">
        <v>24</v>
      </c>
      <c r="J22" s="51">
        <v>15</v>
      </c>
      <c r="K22" s="63" t="s">
        <v>24</v>
      </c>
      <c r="L22" s="76">
        <v>15</v>
      </c>
      <c r="M22" s="78" t="s">
        <v>24</v>
      </c>
      <c r="N22" s="183">
        <v>15</v>
      </c>
      <c r="O22" s="187"/>
      <c r="P22" s="187"/>
      <c r="Q22" s="49"/>
    </row>
    <row r="23" spans="1:17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44" t="s">
        <v>9</v>
      </c>
      <c r="I23" s="51" t="s">
        <v>25</v>
      </c>
      <c r="J23" s="51" t="s">
        <v>9</v>
      </c>
      <c r="K23" s="63" t="s">
        <v>25</v>
      </c>
      <c r="L23" s="76" t="s">
        <v>9</v>
      </c>
      <c r="M23" s="78" t="s">
        <v>25</v>
      </c>
      <c r="N23" s="183" t="s">
        <v>9</v>
      </c>
      <c r="O23" s="187"/>
      <c r="P23" s="187"/>
      <c r="Q23" s="49"/>
    </row>
    <row r="24" spans="1:17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44"/>
      <c r="I24" s="51" t="s">
        <v>26</v>
      </c>
      <c r="J24" s="51"/>
      <c r="K24" s="63" t="s">
        <v>26</v>
      </c>
      <c r="L24" s="76"/>
      <c r="M24" s="78" t="s">
        <v>26</v>
      </c>
      <c r="N24" s="183"/>
      <c r="O24" s="187"/>
      <c r="P24" s="187"/>
      <c r="Q24" s="49"/>
    </row>
    <row r="25" spans="1:17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44">
        <v>15</v>
      </c>
      <c r="I25" s="51" t="s">
        <v>22</v>
      </c>
      <c r="J25" s="51">
        <v>15</v>
      </c>
      <c r="K25" s="63" t="s">
        <v>22</v>
      </c>
      <c r="L25" s="76">
        <v>15</v>
      </c>
      <c r="M25" s="78" t="s">
        <v>22</v>
      </c>
      <c r="N25" s="183">
        <v>15</v>
      </c>
      <c r="O25" s="187"/>
      <c r="P25" s="187"/>
      <c r="Q25" s="49"/>
    </row>
    <row r="26" spans="1:17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44">
        <v>15</v>
      </c>
      <c r="I26" s="51" t="s">
        <v>23</v>
      </c>
      <c r="J26" s="51">
        <v>15</v>
      </c>
      <c r="K26" s="63" t="s">
        <v>23</v>
      </c>
      <c r="L26" s="76">
        <v>15</v>
      </c>
      <c r="M26" s="78" t="s">
        <v>23</v>
      </c>
      <c r="N26" s="183">
        <v>15</v>
      </c>
      <c r="O26" s="187"/>
      <c r="P26" s="187"/>
      <c r="Q26" s="49"/>
    </row>
    <row r="27" spans="1:17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44">
        <v>15</v>
      </c>
      <c r="I27" s="51" t="s">
        <v>24</v>
      </c>
      <c r="J27" s="51">
        <v>15</v>
      </c>
      <c r="K27" s="63" t="s">
        <v>24</v>
      </c>
      <c r="L27" s="76">
        <v>15</v>
      </c>
      <c r="M27" s="78" t="s">
        <v>24</v>
      </c>
      <c r="N27" s="183">
        <v>15</v>
      </c>
      <c r="O27" s="187"/>
      <c r="P27" s="187"/>
      <c r="Q27" s="49"/>
    </row>
    <row r="28" spans="1:17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44">
        <v>15</v>
      </c>
      <c r="I28" s="51" t="s">
        <v>27</v>
      </c>
      <c r="J28" s="51">
        <v>15</v>
      </c>
      <c r="K28" s="63" t="s">
        <v>27</v>
      </c>
      <c r="L28" s="76">
        <v>15</v>
      </c>
      <c r="M28" s="78" t="s">
        <v>27</v>
      </c>
      <c r="N28" s="183">
        <v>15</v>
      </c>
      <c r="O28" s="187"/>
      <c r="P28" s="187"/>
      <c r="Q28" s="49"/>
    </row>
    <row r="29" spans="1:17" x14ac:dyDescent="0.25">
      <c r="A29" s="26" t="s">
        <v>427</v>
      </c>
      <c r="B29" s="26" t="s">
        <v>9</v>
      </c>
      <c r="C29" s="10" t="s">
        <v>427</v>
      </c>
      <c r="D29" s="10" t="s">
        <v>9</v>
      </c>
      <c r="E29" s="24" t="s">
        <v>427</v>
      </c>
      <c r="F29" s="24" t="s">
        <v>9</v>
      </c>
      <c r="G29" s="23" t="s">
        <v>427</v>
      </c>
      <c r="H29" s="44" t="s">
        <v>135</v>
      </c>
      <c r="I29" s="51" t="s">
        <v>427</v>
      </c>
      <c r="J29" s="51" t="s">
        <v>135</v>
      </c>
      <c r="K29" s="63" t="s">
        <v>427</v>
      </c>
      <c r="L29" s="76" t="s">
        <v>135</v>
      </c>
      <c r="M29" s="78" t="s">
        <v>427</v>
      </c>
      <c r="N29" s="183" t="s">
        <v>135</v>
      </c>
      <c r="O29" s="187"/>
      <c r="P29" s="187"/>
      <c r="Q29" s="49"/>
    </row>
    <row r="30" spans="1:17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44" t="s">
        <v>9</v>
      </c>
      <c r="I30" s="51" t="s">
        <v>28</v>
      </c>
      <c r="J30" s="51" t="s">
        <v>9</v>
      </c>
      <c r="K30" s="63" t="s">
        <v>28</v>
      </c>
      <c r="L30" s="76" t="s">
        <v>9</v>
      </c>
      <c r="M30" s="78" t="s">
        <v>28</v>
      </c>
      <c r="N30" s="183" t="s">
        <v>9</v>
      </c>
      <c r="O30" s="187"/>
      <c r="P30" s="187"/>
      <c r="Q30" s="49"/>
    </row>
    <row r="31" spans="1:17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366</v>
      </c>
      <c r="H31" s="44" t="s">
        <v>135</v>
      </c>
      <c r="I31" s="51" t="s">
        <v>366</v>
      </c>
      <c r="J31" s="51" t="s">
        <v>135</v>
      </c>
      <c r="K31" s="63" t="s">
        <v>366</v>
      </c>
      <c r="L31" s="76" t="s">
        <v>135</v>
      </c>
      <c r="M31" s="78" t="s">
        <v>366</v>
      </c>
      <c r="N31" s="183" t="s">
        <v>135</v>
      </c>
      <c r="O31" s="187"/>
      <c r="P31" s="187"/>
      <c r="Q31" s="49"/>
    </row>
    <row r="32" spans="1:17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428</v>
      </c>
      <c r="H32" s="44" t="s">
        <v>135</v>
      </c>
      <c r="I32" s="51" t="s">
        <v>428</v>
      </c>
      <c r="J32" s="51" t="s">
        <v>135</v>
      </c>
      <c r="K32" s="63" t="s">
        <v>428</v>
      </c>
      <c r="L32" s="76" t="s">
        <v>135</v>
      </c>
      <c r="M32" s="78" t="s">
        <v>428</v>
      </c>
      <c r="N32" s="183" t="s">
        <v>135</v>
      </c>
      <c r="O32" s="187"/>
      <c r="P32" s="187"/>
      <c r="Q32" s="49"/>
    </row>
    <row r="33" spans="1:17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431</v>
      </c>
      <c r="F33" s="24" t="s">
        <v>9</v>
      </c>
      <c r="G33" s="23" t="s">
        <v>368</v>
      </c>
      <c r="H33" s="44" t="s">
        <v>135</v>
      </c>
      <c r="I33" s="51" t="s">
        <v>368</v>
      </c>
      <c r="J33" s="51" t="s">
        <v>135</v>
      </c>
      <c r="K33" s="63" t="s">
        <v>368</v>
      </c>
      <c r="L33" s="76" t="s">
        <v>135</v>
      </c>
      <c r="M33" s="78" t="s">
        <v>368</v>
      </c>
      <c r="N33" s="183" t="s">
        <v>135</v>
      </c>
      <c r="O33" s="187"/>
      <c r="P33" s="187"/>
      <c r="Q33" s="49"/>
    </row>
    <row r="34" spans="1:17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432</v>
      </c>
      <c r="F34" s="24" t="s">
        <v>105</v>
      </c>
      <c r="G34" s="23" t="s">
        <v>428</v>
      </c>
      <c r="H34" s="44" t="s">
        <v>135</v>
      </c>
      <c r="I34" s="51" t="s">
        <v>428</v>
      </c>
      <c r="J34" s="51" t="s">
        <v>135</v>
      </c>
      <c r="K34" s="63" t="s">
        <v>428</v>
      </c>
      <c r="L34" s="76" t="s">
        <v>135</v>
      </c>
      <c r="M34" s="78" t="s">
        <v>428</v>
      </c>
      <c r="N34" s="183" t="s">
        <v>135</v>
      </c>
      <c r="O34" s="187"/>
      <c r="P34" s="187"/>
      <c r="Q34" s="49"/>
    </row>
    <row r="35" spans="1:17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433</v>
      </c>
      <c r="F35" s="24" t="s">
        <v>105</v>
      </c>
      <c r="G35" s="23" t="s">
        <v>370</v>
      </c>
      <c r="H35" s="44" t="s">
        <v>135</v>
      </c>
      <c r="I35" s="51" t="s">
        <v>370</v>
      </c>
      <c r="J35" s="51" t="s">
        <v>135</v>
      </c>
      <c r="K35" s="63" t="s">
        <v>370</v>
      </c>
      <c r="L35" s="76" t="s">
        <v>135</v>
      </c>
      <c r="M35" s="78" t="s">
        <v>370</v>
      </c>
      <c r="N35" s="183" t="s">
        <v>135</v>
      </c>
      <c r="O35" s="187"/>
      <c r="P35" s="187"/>
      <c r="Q35" s="49"/>
    </row>
    <row r="36" spans="1:17" ht="25.5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371</v>
      </c>
      <c r="H36" s="44" t="s">
        <v>429</v>
      </c>
      <c r="I36" s="51" t="s">
        <v>371</v>
      </c>
      <c r="J36" s="51" t="s">
        <v>429</v>
      </c>
      <c r="K36" s="63" t="s">
        <v>371</v>
      </c>
      <c r="L36" s="76" t="s">
        <v>429</v>
      </c>
      <c r="M36" s="78" t="s">
        <v>371</v>
      </c>
      <c r="N36" s="183" t="s">
        <v>429</v>
      </c>
      <c r="O36" s="187"/>
      <c r="P36" s="187"/>
      <c r="Q36" s="49"/>
    </row>
    <row r="37" spans="1:17" ht="54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373</v>
      </c>
      <c r="H37" s="44" t="s">
        <v>429</v>
      </c>
      <c r="I37" s="51" t="s">
        <v>373</v>
      </c>
      <c r="J37" s="51" t="s">
        <v>429</v>
      </c>
      <c r="K37" s="63" t="s">
        <v>373</v>
      </c>
      <c r="L37" s="76" t="s">
        <v>429</v>
      </c>
      <c r="M37" s="78" t="s">
        <v>373</v>
      </c>
      <c r="N37" s="183" t="s">
        <v>429</v>
      </c>
      <c r="O37" s="187"/>
      <c r="P37" s="187"/>
      <c r="Q37" s="49"/>
    </row>
    <row r="38" spans="1:17" ht="27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434</v>
      </c>
      <c r="F38" s="24"/>
      <c r="G38" s="23" t="s">
        <v>143</v>
      </c>
      <c r="H38" s="44" t="s">
        <v>144</v>
      </c>
      <c r="I38" s="51" t="s">
        <v>143</v>
      </c>
      <c r="J38" s="51" t="s">
        <v>144</v>
      </c>
      <c r="K38" s="63" t="s">
        <v>143</v>
      </c>
      <c r="L38" s="76" t="s">
        <v>494</v>
      </c>
      <c r="M38" s="78" t="s">
        <v>143</v>
      </c>
      <c r="N38" s="183" t="s">
        <v>494</v>
      </c>
      <c r="O38" s="187"/>
      <c r="P38" s="187"/>
      <c r="Q38" s="49"/>
    </row>
    <row r="39" spans="1:17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435</v>
      </c>
      <c r="F39" s="24" t="s">
        <v>45</v>
      </c>
      <c r="G39" s="23" t="s">
        <v>29</v>
      </c>
      <c r="H39" s="44" t="s">
        <v>430</v>
      </c>
      <c r="I39" s="51" t="s">
        <v>29</v>
      </c>
      <c r="J39" s="51" t="s">
        <v>430</v>
      </c>
      <c r="K39" s="63" t="s">
        <v>29</v>
      </c>
      <c r="L39" s="76" t="s">
        <v>430</v>
      </c>
      <c r="M39" s="78" t="s">
        <v>29</v>
      </c>
      <c r="N39" s="183" t="s">
        <v>430</v>
      </c>
      <c r="O39" s="187"/>
      <c r="P39" s="187"/>
      <c r="Q39" s="49"/>
    </row>
    <row r="40" spans="1:17" ht="27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436</v>
      </c>
      <c r="F40" s="24" t="s">
        <v>45</v>
      </c>
      <c r="G40" s="23" t="s">
        <v>31</v>
      </c>
      <c r="H40" s="44">
        <v>15</v>
      </c>
      <c r="I40" s="51" t="s">
        <v>31</v>
      </c>
      <c r="J40" s="51">
        <v>15</v>
      </c>
      <c r="K40" s="63" t="s">
        <v>31</v>
      </c>
      <c r="L40" s="76">
        <v>15</v>
      </c>
      <c r="M40" s="78" t="s">
        <v>31</v>
      </c>
      <c r="N40" s="183">
        <v>15</v>
      </c>
      <c r="O40" s="187"/>
      <c r="P40" s="187"/>
      <c r="Q40" s="49"/>
    </row>
    <row r="41" spans="1:17" ht="27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431</v>
      </c>
      <c r="H41" s="44" t="s">
        <v>9</v>
      </c>
      <c r="I41" s="51" t="s">
        <v>431</v>
      </c>
      <c r="J41" s="51" t="s">
        <v>9</v>
      </c>
      <c r="K41" s="63" t="s">
        <v>431</v>
      </c>
      <c r="L41" s="76" t="s">
        <v>9</v>
      </c>
      <c r="M41" s="78" t="s">
        <v>431</v>
      </c>
      <c r="N41" s="183" t="s">
        <v>9</v>
      </c>
      <c r="O41" s="187"/>
      <c r="P41" s="187"/>
      <c r="Q41" s="49"/>
    </row>
    <row r="42" spans="1:17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432</v>
      </c>
      <c r="H42" s="44" t="s">
        <v>105</v>
      </c>
      <c r="I42" s="51" t="s">
        <v>432</v>
      </c>
      <c r="J42" s="51" t="s">
        <v>105</v>
      </c>
      <c r="K42" s="63" t="s">
        <v>432</v>
      </c>
      <c r="L42" s="76" t="s">
        <v>105</v>
      </c>
      <c r="M42" s="78" t="s">
        <v>432</v>
      </c>
      <c r="N42" s="183" t="s">
        <v>105</v>
      </c>
      <c r="O42" s="187"/>
      <c r="P42" s="187"/>
      <c r="Q42" s="49"/>
    </row>
    <row r="43" spans="1:17" ht="25.5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433</v>
      </c>
      <c r="H43" s="44" t="s">
        <v>105</v>
      </c>
      <c r="I43" s="51" t="s">
        <v>433</v>
      </c>
      <c r="J43" s="51" t="s">
        <v>105</v>
      </c>
      <c r="K43" s="63" t="s">
        <v>433</v>
      </c>
      <c r="L43" s="76" t="s">
        <v>105</v>
      </c>
      <c r="M43" s="78" t="s">
        <v>433</v>
      </c>
      <c r="N43" s="183" t="s">
        <v>105</v>
      </c>
      <c r="O43" s="187"/>
      <c r="P43" s="187"/>
      <c r="Q43" s="49"/>
    </row>
    <row r="44" spans="1:17" ht="25.5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44" t="s">
        <v>94</v>
      </c>
      <c r="I44" s="51" t="s">
        <v>41</v>
      </c>
      <c r="J44" s="51" t="s">
        <v>479</v>
      </c>
      <c r="K44" s="63" t="s">
        <v>41</v>
      </c>
      <c r="L44" s="76" t="s">
        <v>479</v>
      </c>
      <c r="M44" s="78" t="s">
        <v>41</v>
      </c>
      <c r="N44" s="183" t="s">
        <v>479</v>
      </c>
      <c r="O44" s="187"/>
      <c r="P44" s="187"/>
      <c r="Q44" s="49"/>
    </row>
    <row r="45" spans="1:17" ht="40.5" x14ac:dyDescent="0.25">
      <c r="A45" s="26" t="s">
        <v>431</v>
      </c>
      <c r="B45" s="26" t="s">
        <v>9</v>
      </c>
      <c r="C45" s="10" t="s">
        <v>431</v>
      </c>
      <c r="D45" s="10" t="s">
        <v>9</v>
      </c>
      <c r="E45" s="24" t="s">
        <v>24</v>
      </c>
      <c r="F45" s="24">
        <v>15</v>
      </c>
      <c r="G45" s="23" t="s">
        <v>43</v>
      </c>
      <c r="H45" s="44" t="s">
        <v>44</v>
      </c>
      <c r="I45" s="51" t="s">
        <v>43</v>
      </c>
      <c r="J45" s="51" t="s">
        <v>44</v>
      </c>
      <c r="K45" s="63" t="s">
        <v>43</v>
      </c>
      <c r="L45" s="76" t="s">
        <v>44</v>
      </c>
      <c r="M45" s="78" t="s">
        <v>43</v>
      </c>
      <c r="N45" s="183" t="s">
        <v>44</v>
      </c>
      <c r="O45" s="187"/>
      <c r="P45" s="187"/>
      <c r="Q45" s="49"/>
    </row>
    <row r="46" spans="1:17" x14ac:dyDescent="0.25">
      <c r="A46" s="26" t="s">
        <v>458</v>
      </c>
      <c r="B46" s="26" t="s">
        <v>105</v>
      </c>
      <c r="C46" s="10" t="s">
        <v>432</v>
      </c>
      <c r="D46" s="10" t="s">
        <v>105</v>
      </c>
      <c r="E46" s="24" t="s">
        <v>49</v>
      </c>
      <c r="F46" s="24">
        <v>15</v>
      </c>
      <c r="G46" s="23" t="s">
        <v>434</v>
      </c>
      <c r="H46" s="44"/>
      <c r="I46" s="51" t="s">
        <v>434</v>
      </c>
      <c r="J46" s="51"/>
      <c r="K46" s="63" t="s">
        <v>434</v>
      </c>
      <c r="L46" s="76"/>
      <c r="M46" s="78" t="s">
        <v>434</v>
      </c>
      <c r="N46" s="183"/>
      <c r="O46" s="187"/>
      <c r="P46" s="187"/>
      <c r="Q46" s="49"/>
    </row>
    <row r="47" spans="1:17" x14ac:dyDescent="0.25">
      <c r="A47" s="26" t="s">
        <v>433</v>
      </c>
      <c r="B47" s="26" t="s">
        <v>105</v>
      </c>
      <c r="C47" s="10" t="s">
        <v>433</v>
      </c>
      <c r="D47" s="10" t="s">
        <v>105</v>
      </c>
      <c r="E47" s="24" t="s">
        <v>50</v>
      </c>
      <c r="F47" s="24"/>
      <c r="G47" s="23" t="s">
        <v>435</v>
      </c>
      <c r="H47" s="44" t="s">
        <v>45</v>
      </c>
      <c r="I47" s="51" t="s">
        <v>435</v>
      </c>
      <c r="J47" s="51" t="s">
        <v>45</v>
      </c>
      <c r="K47" s="63" t="s">
        <v>435</v>
      </c>
      <c r="L47" s="76" t="s">
        <v>45</v>
      </c>
      <c r="M47" s="78" t="s">
        <v>435</v>
      </c>
      <c r="N47" s="183" t="s">
        <v>45</v>
      </c>
      <c r="O47" s="187"/>
      <c r="P47" s="187"/>
      <c r="Q47" s="49"/>
    </row>
    <row r="48" spans="1:17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436</v>
      </c>
      <c r="H48" s="44" t="s">
        <v>45</v>
      </c>
      <c r="I48" s="51" t="s">
        <v>436</v>
      </c>
      <c r="J48" s="51" t="s">
        <v>45</v>
      </c>
      <c r="K48" s="63" t="s">
        <v>436</v>
      </c>
      <c r="L48" s="76" t="s">
        <v>45</v>
      </c>
      <c r="M48" s="78" t="s">
        <v>436</v>
      </c>
      <c r="N48" s="183" t="s">
        <v>45</v>
      </c>
      <c r="O48" s="187"/>
      <c r="P48" s="187"/>
      <c r="Q48" s="49"/>
    </row>
    <row r="49" spans="1:17" ht="54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44" t="s">
        <v>95</v>
      </c>
      <c r="I49" s="51" t="s">
        <v>46</v>
      </c>
      <c r="J49" s="51" t="s">
        <v>95</v>
      </c>
      <c r="K49" s="63" t="s">
        <v>46</v>
      </c>
      <c r="L49" s="76" t="s">
        <v>95</v>
      </c>
      <c r="M49" s="78" t="s">
        <v>46</v>
      </c>
      <c r="N49" s="183" t="s">
        <v>152</v>
      </c>
      <c r="O49" s="187"/>
      <c r="P49" s="187"/>
      <c r="Q49" s="49"/>
    </row>
    <row r="50" spans="1:17" x14ac:dyDescent="0.25">
      <c r="A50" s="26" t="s">
        <v>434</v>
      </c>
      <c r="B50" s="26"/>
      <c r="C50" s="10" t="s">
        <v>434</v>
      </c>
      <c r="D50" s="10"/>
      <c r="E50" s="24" t="s">
        <v>24</v>
      </c>
      <c r="F50" s="24">
        <v>15</v>
      </c>
      <c r="G50" s="23" t="s">
        <v>48</v>
      </c>
      <c r="H50" s="44"/>
      <c r="I50" s="51" t="s">
        <v>48</v>
      </c>
      <c r="J50" s="51"/>
      <c r="K50" s="63" t="s">
        <v>48</v>
      </c>
      <c r="L50" s="76"/>
      <c r="M50" s="78" t="s">
        <v>48</v>
      </c>
      <c r="N50" s="183"/>
      <c r="O50" s="187"/>
      <c r="P50" s="187"/>
      <c r="Q50" s="49"/>
    </row>
    <row r="51" spans="1:17" x14ac:dyDescent="0.25">
      <c r="A51" s="26" t="s">
        <v>435</v>
      </c>
      <c r="B51" s="26" t="s">
        <v>45</v>
      </c>
      <c r="C51" s="10" t="s">
        <v>435</v>
      </c>
      <c r="D51" s="10" t="s">
        <v>45</v>
      </c>
      <c r="E51" s="24" t="s">
        <v>51</v>
      </c>
      <c r="F51" s="24" t="s">
        <v>9</v>
      </c>
      <c r="G51" s="23" t="s">
        <v>22</v>
      </c>
      <c r="H51" s="44">
        <v>15</v>
      </c>
      <c r="I51" s="51" t="s">
        <v>22</v>
      </c>
      <c r="J51" s="51">
        <v>15</v>
      </c>
      <c r="K51" s="63" t="s">
        <v>22</v>
      </c>
      <c r="L51" s="76">
        <v>15</v>
      </c>
      <c r="M51" s="78" t="s">
        <v>22</v>
      </c>
      <c r="N51" s="183">
        <v>15</v>
      </c>
      <c r="O51" s="187"/>
      <c r="P51" s="187"/>
      <c r="Q51" s="49"/>
    </row>
    <row r="52" spans="1:17" x14ac:dyDescent="0.25">
      <c r="A52" s="26" t="s">
        <v>436</v>
      </c>
      <c r="B52" s="26" t="s">
        <v>45</v>
      </c>
      <c r="C52" s="10" t="s">
        <v>436</v>
      </c>
      <c r="D52" s="10" t="s">
        <v>45</v>
      </c>
      <c r="E52" s="24" t="s">
        <v>52</v>
      </c>
      <c r="F52" s="24" t="s">
        <v>53</v>
      </c>
      <c r="G52" s="23" t="s">
        <v>23</v>
      </c>
      <c r="H52" s="44">
        <v>15</v>
      </c>
      <c r="I52" s="51" t="s">
        <v>23</v>
      </c>
      <c r="J52" s="51">
        <v>15</v>
      </c>
      <c r="K52" s="63" t="s">
        <v>23</v>
      </c>
      <c r="L52" s="76">
        <v>15</v>
      </c>
      <c r="M52" s="78" t="s">
        <v>23</v>
      </c>
      <c r="N52" s="183">
        <v>15</v>
      </c>
      <c r="O52" s="187"/>
      <c r="P52" s="187"/>
      <c r="Q52" s="49"/>
    </row>
    <row r="53" spans="1:17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439</v>
      </c>
      <c r="F53" s="24" t="s">
        <v>53</v>
      </c>
      <c r="G53" s="23" t="s">
        <v>24</v>
      </c>
      <c r="H53" s="44">
        <v>15</v>
      </c>
      <c r="I53" s="51" t="s">
        <v>24</v>
      </c>
      <c r="J53" s="51">
        <v>15</v>
      </c>
      <c r="K53" s="63" t="s">
        <v>24</v>
      </c>
      <c r="L53" s="76">
        <v>15</v>
      </c>
      <c r="M53" s="78" t="s">
        <v>24</v>
      </c>
      <c r="N53" s="183">
        <v>15</v>
      </c>
      <c r="O53" s="187"/>
      <c r="P53" s="187"/>
      <c r="Q53" s="49"/>
    </row>
    <row r="54" spans="1:17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44">
        <v>15</v>
      </c>
      <c r="I54" s="51" t="s">
        <v>49</v>
      </c>
      <c r="J54" s="51">
        <v>15</v>
      </c>
      <c r="K54" s="63" t="s">
        <v>49</v>
      </c>
      <c r="L54" s="76">
        <v>15</v>
      </c>
      <c r="M54" s="78" t="s">
        <v>49</v>
      </c>
      <c r="N54" s="183">
        <v>15</v>
      </c>
      <c r="O54" s="187"/>
      <c r="P54" s="187"/>
      <c r="Q54" s="49"/>
    </row>
    <row r="55" spans="1:17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44"/>
      <c r="I55" s="51" t="s">
        <v>50</v>
      </c>
      <c r="J55" s="51"/>
      <c r="K55" s="63" t="s">
        <v>50</v>
      </c>
      <c r="L55" s="76"/>
      <c r="M55" s="78" t="s">
        <v>50</v>
      </c>
      <c r="N55" s="183"/>
      <c r="O55" s="187"/>
      <c r="P55" s="187"/>
      <c r="Q55" s="49"/>
    </row>
    <row r="56" spans="1:17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44">
        <v>15</v>
      </c>
      <c r="I56" s="51" t="s">
        <v>22</v>
      </c>
      <c r="J56" s="51">
        <v>15</v>
      </c>
      <c r="K56" s="63" t="s">
        <v>22</v>
      </c>
      <c r="L56" s="76">
        <v>15</v>
      </c>
      <c r="M56" s="78" t="s">
        <v>22</v>
      </c>
      <c r="N56" s="183">
        <v>15</v>
      </c>
      <c r="O56" s="187"/>
      <c r="P56" s="187"/>
      <c r="Q56" s="49"/>
    </row>
    <row r="57" spans="1:17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44">
        <v>15</v>
      </c>
      <c r="I57" s="51" t="s">
        <v>23</v>
      </c>
      <c r="J57" s="51">
        <v>15</v>
      </c>
      <c r="K57" s="63" t="s">
        <v>23</v>
      </c>
      <c r="L57" s="76">
        <v>15</v>
      </c>
      <c r="M57" s="78" t="s">
        <v>23</v>
      </c>
      <c r="N57" s="183">
        <v>15</v>
      </c>
      <c r="O57" s="187"/>
      <c r="P57" s="187"/>
      <c r="Q57" s="49"/>
    </row>
    <row r="58" spans="1:17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44">
        <v>15</v>
      </c>
      <c r="I58" s="51" t="s">
        <v>24</v>
      </c>
      <c r="J58" s="51">
        <v>15</v>
      </c>
      <c r="K58" s="63" t="s">
        <v>24</v>
      </c>
      <c r="L58" s="76">
        <v>15</v>
      </c>
      <c r="M58" s="78" t="s">
        <v>24</v>
      </c>
      <c r="N58" s="183">
        <v>15</v>
      </c>
      <c r="O58" s="187"/>
      <c r="P58" s="187"/>
      <c r="Q58" s="49"/>
    </row>
    <row r="59" spans="1:17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412</v>
      </c>
      <c r="G59" s="23" t="s">
        <v>51</v>
      </c>
      <c r="H59" s="44" t="s">
        <v>9</v>
      </c>
      <c r="I59" s="51" t="s">
        <v>51</v>
      </c>
      <c r="J59" s="51" t="s">
        <v>9</v>
      </c>
      <c r="K59" s="63" t="s">
        <v>51</v>
      </c>
      <c r="L59" s="76" t="s">
        <v>9</v>
      </c>
      <c r="M59" s="78" t="s">
        <v>51</v>
      </c>
      <c r="N59" s="183" t="s">
        <v>9</v>
      </c>
      <c r="O59" s="187"/>
      <c r="P59" s="187"/>
      <c r="Q59" s="49"/>
    </row>
    <row r="60" spans="1:17" ht="27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398</v>
      </c>
      <c r="F60" s="24" t="s">
        <v>30</v>
      </c>
      <c r="G60" s="23" t="s">
        <v>382</v>
      </c>
      <c r="H60" s="44" t="s">
        <v>135</v>
      </c>
      <c r="I60" s="51" t="s">
        <v>382</v>
      </c>
      <c r="J60" s="51" t="s">
        <v>135</v>
      </c>
      <c r="K60" s="63" t="s">
        <v>382</v>
      </c>
      <c r="L60" s="76" t="s">
        <v>135</v>
      </c>
      <c r="M60" s="78" t="s">
        <v>382</v>
      </c>
      <c r="N60" s="183" t="s">
        <v>135</v>
      </c>
      <c r="O60" s="187"/>
      <c r="P60" s="187"/>
      <c r="Q60" s="49"/>
    </row>
    <row r="61" spans="1:17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428</v>
      </c>
      <c r="H61" s="44" t="s">
        <v>135</v>
      </c>
      <c r="I61" s="51" t="s">
        <v>428</v>
      </c>
      <c r="J61" s="51" t="s">
        <v>135</v>
      </c>
      <c r="K61" s="63" t="s">
        <v>428</v>
      </c>
      <c r="L61" s="76" t="s">
        <v>135</v>
      </c>
      <c r="M61" s="78" t="s">
        <v>428</v>
      </c>
      <c r="N61" s="183" t="s">
        <v>135</v>
      </c>
      <c r="O61" s="187"/>
      <c r="P61" s="187"/>
      <c r="Q61" s="49"/>
    </row>
    <row r="62" spans="1:17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384</v>
      </c>
      <c r="H62" s="44" t="s">
        <v>429</v>
      </c>
      <c r="I62" s="51" t="s">
        <v>384</v>
      </c>
      <c r="J62" s="51" t="s">
        <v>429</v>
      </c>
      <c r="K62" s="63" t="s">
        <v>384</v>
      </c>
      <c r="L62" s="76" t="s">
        <v>429</v>
      </c>
      <c r="M62" s="78" t="s">
        <v>384</v>
      </c>
      <c r="N62" s="183" t="s">
        <v>429</v>
      </c>
      <c r="O62" s="187"/>
      <c r="P62" s="187"/>
      <c r="Q62" s="49"/>
    </row>
    <row r="63" spans="1:17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437</v>
      </c>
      <c r="H63" s="44" t="s">
        <v>438</v>
      </c>
      <c r="I63" s="51" t="s">
        <v>437</v>
      </c>
      <c r="J63" s="51" t="s">
        <v>438</v>
      </c>
      <c r="K63" s="63" t="s">
        <v>437</v>
      </c>
      <c r="L63" s="76" t="s">
        <v>438</v>
      </c>
      <c r="M63" s="78" t="s">
        <v>437</v>
      </c>
      <c r="N63" s="183" t="s">
        <v>438</v>
      </c>
      <c r="O63" s="187"/>
      <c r="P63" s="187"/>
      <c r="Q63" s="49"/>
    </row>
    <row r="64" spans="1:17" ht="25.5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44" t="s">
        <v>53</v>
      </c>
      <c r="I64" s="51" t="s">
        <v>52</v>
      </c>
      <c r="J64" s="51" t="s">
        <v>479</v>
      </c>
      <c r="K64" s="63" t="s">
        <v>52</v>
      </c>
      <c r="L64" s="76" t="s">
        <v>479</v>
      </c>
      <c r="M64" s="78" t="s">
        <v>52</v>
      </c>
      <c r="N64" s="183" t="s">
        <v>479</v>
      </c>
      <c r="O64" s="187"/>
      <c r="P64" s="187"/>
      <c r="Q64" s="49"/>
    </row>
    <row r="65" spans="1:17" x14ac:dyDescent="0.25">
      <c r="A65" s="26" t="s">
        <v>439</v>
      </c>
      <c r="B65" s="26" t="s">
        <v>53</v>
      </c>
      <c r="C65" s="10" t="s">
        <v>439</v>
      </c>
      <c r="D65" s="10" t="s">
        <v>53</v>
      </c>
      <c r="E65" s="24" t="s">
        <v>62</v>
      </c>
      <c r="F65" s="24">
        <v>15</v>
      </c>
      <c r="G65" s="23" t="s">
        <v>439</v>
      </c>
      <c r="H65" s="44" t="s">
        <v>426</v>
      </c>
      <c r="I65" s="51" t="s">
        <v>439</v>
      </c>
      <c r="J65" s="51" t="s">
        <v>426</v>
      </c>
      <c r="K65" s="63" t="s">
        <v>439</v>
      </c>
      <c r="L65" s="76" t="s">
        <v>426</v>
      </c>
      <c r="M65" s="78" t="s">
        <v>439</v>
      </c>
      <c r="N65" s="183" t="s">
        <v>426</v>
      </c>
      <c r="O65" s="187"/>
      <c r="P65" s="187"/>
      <c r="Q65" s="49"/>
    </row>
    <row r="66" spans="1:17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44" t="s">
        <v>9</v>
      </c>
      <c r="I66" s="51" t="s">
        <v>55</v>
      </c>
      <c r="J66" s="51" t="s">
        <v>9</v>
      </c>
      <c r="K66" s="63" t="s">
        <v>55</v>
      </c>
      <c r="L66" s="76" t="s">
        <v>9</v>
      </c>
      <c r="M66" s="78" t="s">
        <v>55</v>
      </c>
      <c r="N66" s="183" t="s">
        <v>9</v>
      </c>
      <c r="O66" s="187"/>
      <c r="P66" s="187"/>
      <c r="Q66" s="49"/>
    </row>
    <row r="67" spans="1:17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44" t="s">
        <v>30</v>
      </c>
      <c r="I67" s="51" t="s">
        <v>56</v>
      </c>
      <c r="J67" s="51" t="s">
        <v>30</v>
      </c>
      <c r="K67" s="63" t="s">
        <v>56</v>
      </c>
      <c r="L67" s="76" t="s">
        <v>30</v>
      </c>
      <c r="M67" s="78" t="s">
        <v>500</v>
      </c>
      <c r="N67" s="183" t="s">
        <v>147</v>
      </c>
      <c r="O67" s="187"/>
      <c r="P67" s="187"/>
      <c r="Q67" s="49"/>
    </row>
    <row r="68" spans="1:17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44" t="s">
        <v>30</v>
      </c>
      <c r="I68" s="51" t="s">
        <v>56</v>
      </c>
      <c r="J68" s="51" t="s">
        <v>480</v>
      </c>
      <c r="K68" s="63" t="s">
        <v>56</v>
      </c>
      <c r="L68" s="76" t="s">
        <v>480</v>
      </c>
      <c r="M68" s="78" t="s">
        <v>56</v>
      </c>
      <c r="N68" s="183" t="s">
        <v>480</v>
      </c>
      <c r="O68" s="187"/>
      <c r="P68" s="187"/>
      <c r="Q68" s="49"/>
    </row>
    <row r="69" spans="1:17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387</v>
      </c>
      <c r="H69" s="44" t="s">
        <v>426</v>
      </c>
      <c r="I69" s="51" t="s">
        <v>57</v>
      </c>
      <c r="J69" s="51" t="s">
        <v>30</v>
      </c>
      <c r="K69" s="63" t="s">
        <v>57</v>
      </c>
      <c r="L69" s="76" t="s">
        <v>30</v>
      </c>
      <c r="M69" s="78" t="s">
        <v>57</v>
      </c>
      <c r="N69" s="183" t="s">
        <v>30</v>
      </c>
      <c r="O69" s="187"/>
      <c r="P69" s="187"/>
      <c r="Q69" s="49"/>
    </row>
    <row r="70" spans="1:17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44" t="s">
        <v>30</v>
      </c>
      <c r="I70" s="51" t="s">
        <v>387</v>
      </c>
      <c r="J70" s="51" t="s">
        <v>426</v>
      </c>
      <c r="K70" s="63" t="s">
        <v>387</v>
      </c>
      <c r="L70" s="76" t="s">
        <v>426</v>
      </c>
      <c r="M70" s="78" t="s">
        <v>387</v>
      </c>
      <c r="N70" s="183" t="s">
        <v>426</v>
      </c>
      <c r="O70" s="187"/>
      <c r="P70" s="187"/>
      <c r="Q70" s="49"/>
    </row>
    <row r="71" spans="1:17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44" t="s">
        <v>135</v>
      </c>
      <c r="I71" s="51" t="s">
        <v>58</v>
      </c>
      <c r="J71" s="51" t="s">
        <v>30</v>
      </c>
      <c r="K71" s="63" t="s">
        <v>58</v>
      </c>
      <c r="L71" s="76" t="s">
        <v>30</v>
      </c>
      <c r="M71" s="78" t="s">
        <v>58</v>
      </c>
      <c r="N71" s="183" t="s">
        <v>30</v>
      </c>
      <c r="O71" s="187"/>
      <c r="P71" s="187"/>
      <c r="Q71" s="49"/>
    </row>
    <row r="72" spans="1:17" ht="27" x14ac:dyDescent="0.25">
      <c r="A72" s="26" t="s">
        <v>398</v>
      </c>
      <c r="B72" s="26" t="s">
        <v>30</v>
      </c>
      <c r="C72" s="10" t="s">
        <v>398</v>
      </c>
      <c r="D72" s="10" t="s">
        <v>30</v>
      </c>
      <c r="E72" s="24" t="s">
        <v>24</v>
      </c>
      <c r="F72" s="24">
        <v>15</v>
      </c>
      <c r="G72" s="23" t="s">
        <v>398</v>
      </c>
      <c r="H72" s="44" t="s">
        <v>30</v>
      </c>
      <c r="I72" s="51" t="s">
        <v>59</v>
      </c>
      <c r="J72" s="51" t="s">
        <v>135</v>
      </c>
      <c r="K72" s="63" t="s">
        <v>59</v>
      </c>
      <c r="L72" s="76" t="s">
        <v>135</v>
      </c>
      <c r="M72" s="78" t="s">
        <v>59</v>
      </c>
      <c r="N72" s="183" t="s">
        <v>135</v>
      </c>
      <c r="O72" s="187"/>
      <c r="P72" s="187"/>
      <c r="Q72" s="49"/>
    </row>
    <row r="73" spans="1:17" ht="25.5" x14ac:dyDescent="0.25">
      <c r="A73" s="26" t="s">
        <v>61</v>
      </c>
      <c r="B73" s="26"/>
      <c r="C73" s="10" t="s">
        <v>61</v>
      </c>
      <c r="D73" s="10"/>
      <c r="E73" s="24" t="s">
        <v>440</v>
      </c>
      <c r="F73" s="24" t="s">
        <v>9</v>
      </c>
      <c r="G73" s="23" t="s">
        <v>61</v>
      </c>
      <c r="H73" s="44"/>
      <c r="I73" s="51" t="s">
        <v>398</v>
      </c>
      <c r="J73" s="51" t="s">
        <v>30</v>
      </c>
      <c r="K73" s="63" t="s">
        <v>398</v>
      </c>
      <c r="L73" s="76" t="s">
        <v>30</v>
      </c>
      <c r="M73" s="78" t="s">
        <v>398</v>
      </c>
      <c r="N73" s="183" t="s">
        <v>30</v>
      </c>
      <c r="O73" s="187"/>
      <c r="P73" s="187"/>
      <c r="Q73" s="49"/>
    </row>
    <row r="74" spans="1:17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44">
        <v>15</v>
      </c>
      <c r="I74" s="51" t="s">
        <v>61</v>
      </c>
      <c r="J74" s="51"/>
      <c r="K74" s="63" t="s">
        <v>61</v>
      </c>
      <c r="L74" s="76"/>
      <c r="M74" s="78" t="s">
        <v>61</v>
      </c>
      <c r="N74" s="183"/>
      <c r="O74" s="187"/>
      <c r="P74" s="187"/>
      <c r="Q74" s="49"/>
    </row>
    <row r="75" spans="1:17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44">
        <v>15</v>
      </c>
      <c r="I75" s="51" t="s">
        <v>22</v>
      </c>
      <c r="J75" s="51">
        <v>15</v>
      </c>
      <c r="K75" s="63" t="s">
        <v>22</v>
      </c>
      <c r="L75" s="76">
        <v>15</v>
      </c>
      <c r="M75" s="78" t="s">
        <v>22</v>
      </c>
      <c r="N75" s="183">
        <v>15</v>
      </c>
      <c r="O75" s="187"/>
      <c r="P75" s="187"/>
      <c r="Q75" s="49"/>
    </row>
    <row r="76" spans="1:17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44">
        <v>15</v>
      </c>
      <c r="I76" s="51" t="s">
        <v>23</v>
      </c>
      <c r="J76" s="51">
        <v>15</v>
      </c>
      <c r="K76" s="63" t="s">
        <v>23</v>
      </c>
      <c r="L76" s="76">
        <v>15</v>
      </c>
      <c r="M76" s="78" t="s">
        <v>23</v>
      </c>
      <c r="N76" s="183">
        <v>15</v>
      </c>
      <c r="O76" s="187"/>
      <c r="P76" s="187"/>
      <c r="Q76" s="49"/>
    </row>
    <row r="77" spans="1:17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44">
        <v>15</v>
      </c>
      <c r="I77" s="51" t="s">
        <v>24</v>
      </c>
      <c r="J77" s="51">
        <v>15</v>
      </c>
      <c r="K77" s="63" t="s">
        <v>24</v>
      </c>
      <c r="L77" s="76">
        <v>15</v>
      </c>
      <c r="M77" s="78" t="s">
        <v>24</v>
      </c>
      <c r="N77" s="183">
        <v>15</v>
      </c>
      <c r="O77" s="187"/>
      <c r="P77" s="187"/>
      <c r="Q77" s="49"/>
    </row>
    <row r="78" spans="1:17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44" t="s">
        <v>430</v>
      </c>
      <c r="I78" s="51" t="s">
        <v>62</v>
      </c>
      <c r="J78" s="51">
        <v>15</v>
      </c>
      <c r="K78" s="63" t="s">
        <v>62</v>
      </c>
      <c r="L78" s="76">
        <v>15</v>
      </c>
      <c r="M78" s="78" t="s">
        <v>62</v>
      </c>
      <c r="N78" s="183">
        <v>15</v>
      </c>
      <c r="O78" s="187"/>
      <c r="P78" s="187"/>
      <c r="Q78" s="49"/>
    </row>
    <row r="79" spans="1:17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44" t="s">
        <v>30</v>
      </c>
      <c r="I79" s="51" t="s">
        <v>63</v>
      </c>
      <c r="J79" s="51" t="s">
        <v>430</v>
      </c>
      <c r="K79" s="63" t="s">
        <v>63</v>
      </c>
      <c r="L79" s="76" t="s">
        <v>430</v>
      </c>
      <c r="M79" s="78" t="s">
        <v>63</v>
      </c>
      <c r="N79" s="183" t="s">
        <v>430</v>
      </c>
      <c r="O79" s="187"/>
      <c r="P79" s="187"/>
      <c r="Q79" s="49"/>
    </row>
    <row r="80" spans="1:17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44">
        <v>15</v>
      </c>
      <c r="I80" s="51" t="s">
        <v>64</v>
      </c>
      <c r="J80" s="51" t="s">
        <v>481</v>
      </c>
      <c r="K80" s="63" t="s">
        <v>64</v>
      </c>
      <c r="L80" s="76" t="s">
        <v>481</v>
      </c>
      <c r="M80" s="78" t="s">
        <v>64</v>
      </c>
      <c r="N80" s="183" t="s">
        <v>481</v>
      </c>
      <c r="O80" s="187"/>
      <c r="P80" s="187"/>
      <c r="Q80" s="49"/>
    </row>
    <row r="81" spans="1:17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44">
        <v>15</v>
      </c>
      <c r="I81" s="51" t="s">
        <v>65</v>
      </c>
      <c r="J81" s="51">
        <v>15</v>
      </c>
      <c r="K81" s="63" t="s">
        <v>65</v>
      </c>
      <c r="L81" s="76">
        <v>15</v>
      </c>
      <c r="M81" s="78" t="s">
        <v>65</v>
      </c>
      <c r="N81" s="183">
        <v>15</v>
      </c>
      <c r="O81" s="187"/>
      <c r="P81" s="187"/>
      <c r="Q81" s="49"/>
    </row>
    <row r="82" spans="1:17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44">
        <v>15</v>
      </c>
      <c r="I82" s="51" t="s">
        <v>66</v>
      </c>
      <c r="J82" s="51">
        <v>15</v>
      </c>
      <c r="K82" s="63" t="s">
        <v>66</v>
      </c>
      <c r="L82" s="76">
        <v>15</v>
      </c>
      <c r="M82" s="78" t="s">
        <v>66</v>
      </c>
      <c r="N82" s="183">
        <v>15</v>
      </c>
      <c r="O82" s="187"/>
      <c r="P82" s="187"/>
      <c r="Q82" s="49"/>
    </row>
    <row r="83" spans="1:17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44">
        <v>15</v>
      </c>
      <c r="I83" s="51" t="s">
        <v>22</v>
      </c>
      <c r="J83" s="51">
        <v>15</v>
      </c>
      <c r="K83" s="63" t="s">
        <v>22</v>
      </c>
      <c r="L83" s="76">
        <v>15</v>
      </c>
      <c r="M83" s="78" t="s">
        <v>22</v>
      </c>
      <c r="N83" s="183">
        <v>15</v>
      </c>
      <c r="O83" s="187"/>
      <c r="P83" s="187"/>
      <c r="Q83" s="49"/>
    </row>
    <row r="84" spans="1:17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44">
        <v>15</v>
      </c>
      <c r="I84" s="51" t="s">
        <v>23</v>
      </c>
      <c r="J84" s="51">
        <v>15</v>
      </c>
      <c r="K84" s="63" t="s">
        <v>23</v>
      </c>
      <c r="L84" s="76">
        <v>15</v>
      </c>
      <c r="M84" s="78" t="s">
        <v>23</v>
      </c>
      <c r="N84" s="183">
        <v>15</v>
      </c>
      <c r="O84" s="187"/>
      <c r="P84" s="187"/>
      <c r="Q84" s="49"/>
    </row>
    <row r="85" spans="1:17" x14ac:dyDescent="0.25">
      <c r="A85" s="26" t="s">
        <v>440</v>
      </c>
      <c r="B85" s="26" t="s">
        <v>9</v>
      </c>
      <c r="C85" s="10" t="s">
        <v>440</v>
      </c>
      <c r="D85" s="10" t="s">
        <v>9</v>
      </c>
      <c r="E85" s="24" t="s">
        <v>104</v>
      </c>
      <c r="F85" s="24" t="s">
        <v>9</v>
      </c>
      <c r="G85" s="23" t="s">
        <v>440</v>
      </c>
      <c r="H85" s="44" t="s">
        <v>9</v>
      </c>
      <c r="I85" s="51" t="s">
        <v>24</v>
      </c>
      <c r="J85" s="51">
        <v>15</v>
      </c>
      <c r="K85" s="63" t="s">
        <v>24</v>
      </c>
      <c r="L85" s="76">
        <v>15</v>
      </c>
      <c r="M85" s="78" t="s">
        <v>24</v>
      </c>
      <c r="N85" s="183">
        <v>15</v>
      </c>
      <c r="O85" s="187"/>
      <c r="P85" s="187"/>
      <c r="Q85" s="49"/>
    </row>
    <row r="86" spans="1:17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44" t="s">
        <v>430</v>
      </c>
      <c r="I86" s="51" t="s">
        <v>440</v>
      </c>
      <c r="J86" s="51" t="s">
        <v>478</v>
      </c>
      <c r="K86" s="63" t="s">
        <v>440</v>
      </c>
      <c r="L86" s="76" t="s">
        <v>478</v>
      </c>
      <c r="M86" s="78" t="s">
        <v>440</v>
      </c>
      <c r="N86" s="183" t="s">
        <v>478</v>
      </c>
      <c r="O86" s="187"/>
      <c r="P86" s="187"/>
      <c r="Q86" s="49"/>
    </row>
    <row r="87" spans="1:17" ht="27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44">
        <v>15</v>
      </c>
      <c r="I87" s="51" t="s">
        <v>68</v>
      </c>
      <c r="J87" s="51" t="s">
        <v>430</v>
      </c>
      <c r="K87" s="63" t="s">
        <v>68</v>
      </c>
      <c r="L87" s="76" t="s">
        <v>430</v>
      </c>
      <c r="M87" s="78" t="s">
        <v>68</v>
      </c>
      <c r="N87" s="183" t="s">
        <v>430</v>
      </c>
      <c r="O87" s="187"/>
      <c r="P87" s="187"/>
      <c r="Q87" s="49"/>
    </row>
    <row r="88" spans="1:17" ht="27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44">
        <v>19</v>
      </c>
      <c r="I88" s="51" t="s">
        <v>69</v>
      </c>
      <c r="J88" s="51">
        <v>15</v>
      </c>
      <c r="K88" s="63" t="s">
        <v>69</v>
      </c>
      <c r="L88" s="76">
        <v>15</v>
      </c>
      <c r="M88" s="78" t="s">
        <v>69</v>
      </c>
      <c r="N88" s="183">
        <v>15</v>
      </c>
      <c r="O88" s="187"/>
      <c r="P88" s="187"/>
      <c r="Q88" s="49"/>
    </row>
    <row r="89" spans="1:17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44" t="s">
        <v>72</v>
      </c>
      <c r="I89" s="51" t="s">
        <v>70</v>
      </c>
      <c r="J89" s="51">
        <v>19</v>
      </c>
      <c r="K89" s="63" t="s">
        <v>70</v>
      </c>
      <c r="L89" s="76">
        <v>19</v>
      </c>
      <c r="M89" s="78" t="s">
        <v>70</v>
      </c>
      <c r="N89" s="183">
        <v>19</v>
      </c>
      <c r="O89" s="187"/>
      <c r="P89" s="187"/>
      <c r="Q89" s="49"/>
    </row>
    <row r="90" spans="1:17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44" t="s">
        <v>72</v>
      </c>
      <c r="I90" s="51" t="s">
        <v>71</v>
      </c>
      <c r="J90" s="51" t="s">
        <v>72</v>
      </c>
      <c r="K90" s="63" t="s">
        <v>71</v>
      </c>
      <c r="L90" s="76" t="s">
        <v>72</v>
      </c>
      <c r="M90" s="78" t="s">
        <v>71</v>
      </c>
      <c r="N90" s="183" t="s">
        <v>72</v>
      </c>
      <c r="O90" s="187"/>
      <c r="P90" s="187"/>
      <c r="Q90" s="49"/>
    </row>
    <row r="91" spans="1:17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44">
        <v>19</v>
      </c>
      <c r="I91" s="51" t="s">
        <v>73</v>
      </c>
      <c r="J91" s="51" t="s">
        <v>482</v>
      </c>
      <c r="K91" s="63" t="s">
        <v>73</v>
      </c>
      <c r="L91" s="76" t="s">
        <v>482</v>
      </c>
      <c r="M91" s="78" t="s">
        <v>73</v>
      </c>
      <c r="N91" s="183" t="s">
        <v>482</v>
      </c>
      <c r="O91" s="187"/>
      <c r="P91" s="187"/>
      <c r="Q91" s="49"/>
    </row>
    <row r="92" spans="1:17" x14ac:dyDescent="0.25">
      <c r="A92" s="26" t="s">
        <v>459</v>
      </c>
      <c r="B92" s="26" t="s">
        <v>137</v>
      </c>
      <c r="C92" s="10" t="s">
        <v>442</v>
      </c>
      <c r="D92" s="10" t="s">
        <v>137</v>
      </c>
      <c r="E92" s="24" t="s">
        <v>442</v>
      </c>
      <c r="F92" s="24" t="s">
        <v>137</v>
      </c>
      <c r="G92" s="23" t="s">
        <v>390</v>
      </c>
      <c r="H92" s="44" t="s">
        <v>135</v>
      </c>
      <c r="I92" s="51" t="s">
        <v>74</v>
      </c>
      <c r="J92" s="51">
        <v>19</v>
      </c>
      <c r="K92" s="63" t="s">
        <v>74</v>
      </c>
      <c r="L92" s="76">
        <v>19</v>
      </c>
      <c r="M92" s="78" t="s">
        <v>74</v>
      </c>
      <c r="N92" s="183">
        <v>19</v>
      </c>
      <c r="O92" s="187"/>
      <c r="P92" s="187"/>
      <c r="Q92" s="49"/>
    </row>
    <row r="93" spans="1:17" x14ac:dyDescent="0.25">
      <c r="A93" s="26" t="s">
        <v>460</v>
      </c>
      <c r="B93" s="26" t="s">
        <v>110</v>
      </c>
      <c r="C93" s="10" t="s">
        <v>464</v>
      </c>
      <c r="D93" s="10" t="s">
        <v>110</v>
      </c>
      <c r="E93" s="24" t="s">
        <v>443</v>
      </c>
      <c r="F93" s="24" t="s">
        <v>110</v>
      </c>
      <c r="G93" s="23" t="s">
        <v>441</v>
      </c>
      <c r="H93" s="44" t="s">
        <v>135</v>
      </c>
      <c r="I93" s="51" t="s">
        <v>390</v>
      </c>
      <c r="J93" s="51" t="s">
        <v>135</v>
      </c>
      <c r="K93" s="63" t="s">
        <v>390</v>
      </c>
      <c r="L93" s="76" t="s">
        <v>135</v>
      </c>
      <c r="M93" s="78" t="s">
        <v>390</v>
      </c>
      <c r="N93" s="183" t="s">
        <v>135</v>
      </c>
      <c r="O93" s="187"/>
      <c r="P93" s="187"/>
      <c r="Q93" s="49"/>
    </row>
    <row r="94" spans="1:17" x14ac:dyDescent="0.25">
      <c r="A94" s="26" t="s">
        <v>461</v>
      </c>
      <c r="B94" s="26" t="s">
        <v>9</v>
      </c>
      <c r="C94" s="10" t="s">
        <v>444</v>
      </c>
      <c r="D94" s="10" t="s">
        <v>92</v>
      </c>
      <c r="E94" s="24" t="s">
        <v>449</v>
      </c>
      <c r="F94" s="24" t="s">
        <v>92</v>
      </c>
      <c r="G94" s="23" t="s">
        <v>32</v>
      </c>
      <c r="H94" s="44" t="s">
        <v>92</v>
      </c>
      <c r="I94" s="51" t="s">
        <v>441</v>
      </c>
      <c r="J94" s="51" t="s">
        <v>135</v>
      </c>
      <c r="K94" s="63" t="s">
        <v>441</v>
      </c>
      <c r="L94" s="76" t="s">
        <v>135</v>
      </c>
      <c r="M94" s="78" t="s">
        <v>441</v>
      </c>
      <c r="N94" s="183" t="s">
        <v>135</v>
      </c>
      <c r="O94" s="187"/>
      <c r="P94" s="187"/>
      <c r="Q94" s="49"/>
    </row>
    <row r="95" spans="1:17" ht="27" x14ac:dyDescent="0.25">
      <c r="A95" s="26" t="s">
        <v>462</v>
      </c>
      <c r="B95" s="26" t="s">
        <v>110</v>
      </c>
      <c r="C95" s="10" t="s">
        <v>462</v>
      </c>
      <c r="D95" s="10" t="s">
        <v>110</v>
      </c>
      <c r="E95" s="24" t="s">
        <v>447</v>
      </c>
      <c r="F95" s="24" t="s">
        <v>110</v>
      </c>
      <c r="G95" s="23" t="s">
        <v>8</v>
      </c>
      <c r="H95" s="44" t="s">
        <v>9</v>
      </c>
      <c r="I95" s="51" t="s">
        <v>32</v>
      </c>
      <c r="J95" s="51" t="s">
        <v>92</v>
      </c>
      <c r="K95" s="63" t="s">
        <v>32</v>
      </c>
      <c r="L95" s="76" t="s">
        <v>92</v>
      </c>
      <c r="M95" s="78" t="s">
        <v>32</v>
      </c>
      <c r="N95" s="183" t="s">
        <v>92</v>
      </c>
      <c r="O95" s="187"/>
      <c r="P95" s="187"/>
      <c r="Q95" s="49"/>
    </row>
    <row r="96" spans="1:17" x14ac:dyDescent="0.25">
      <c r="A96" s="26" t="s">
        <v>463</v>
      </c>
      <c r="B96" s="26" t="s">
        <v>9</v>
      </c>
      <c r="C96" s="10" t="s">
        <v>463</v>
      </c>
      <c r="D96" s="10" t="s">
        <v>9</v>
      </c>
      <c r="E96" s="24" t="s">
        <v>448</v>
      </c>
      <c r="F96" s="24" t="s">
        <v>9</v>
      </c>
      <c r="G96" s="23" t="s">
        <v>33</v>
      </c>
      <c r="H96" s="44" t="s">
        <v>9</v>
      </c>
      <c r="I96" s="51" t="s">
        <v>8</v>
      </c>
      <c r="J96" s="51" t="s">
        <v>9</v>
      </c>
      <c r="K96" s="63" t="s">
        <v>8</v>
      </c>
      <c r="L96" s="76" t="s">
        <v>9</v>
      </c>
      <c r="M96" s="78" t="s">
        <v>8</v>
      </c>
      <c r="N96" s="183" t="s">
        <v>9</v>
      </c>
      <c r="O96" s="187"/>
      <c r="P96" s="187"/>
      <c r="Q96" s="49"/>
    </row>
    <row r="97" spans="7:17" x14ac:dyDescent="0.25">
      <c r="G97" s="23" t="s">
        <v>88</v>
      </c>
      <c r="H97" s="44" t="s">
        <v>89</v>
      </c>
      <c r="I97" s="51" t="s">
        <v>33</v>
      </c>
      <c r="J97" s="51" t="s">
        <v>9</v>
      </c>
      <c r="K97" s="63" t="s">
        <v>33</v>
      </c>
      <c r="L97" s="76" t="s">
        <v>9</v>
      </c>
      <c r="M97" s="78" t="s">
        <v>33</v>
      </c>
      <c r="N97" s="183" t="s">
        <v>9</v>
      </c>
      <c r="O97" s="187"/>
      <c r="P97" s="187"/>
      <c r="Q97" s="49"/>
    </row>
    <row r="98" spans="7:17" x14ac:dyDescent="0.25">
      <c r="G98" s="23" t="s">
        <v>34</v>
      </c>
      <c r="H98" s="44" t="s">
        <v>9</v>
      </c>
      <c r="I98" s="51" t="s">
        <v>88</v>
      </c>
      <c r="J98" s="51" t="s">
        <v>89</v>
      </c>
      <c r="K98" s="63" t="s">
        <v>88</v>
      </c>
      <c r="L98" s="76" t="s">
        <v>89</v>
      </c>
      <c r="M98" s="78" t="s">
        <v>88</v>
      </c>
      <c r="N98" s="183" t="s">
        <v>89</v>
      </c>
      <c r="O98" s="187"/>
      <c r="P98" s="187"/>
      <c r="Q98" s="49"/>
    </row>
    <row r="99" spans="7:17" x14ac:dyDescent="0.25">
      <c r="G99" s="23" t="s">
        <v>104</v>
      </c>
      <c r="H99" s="44" t="s">
        <v>9</v>
      </c>
      <c r="I99" s="51" t="s">
        <v>34</v>
      </c>
      <c r="J99" s="51" t="s">
        <v>9</v>
      </c>
      <c r="K99" s="63" t="s">
        <v>34</v>
      </c>
      <c r="L99" s="76" t="s">
        <v>9</v>
      </c>
      <c r="M99" s="78" t="s">
        <v>34</v>
      </c>
      <c r="N99" s="183" t="s">
        <v>9</v>
      </c>
      <c r="O99" s="187"/>
      <c r="P99" s="187"/>
      <c r="Q99" s="49"/>
    </row>
    <row r="100" spans="7:17" x14ac:dyDescent="0.25">
      <c r="G100" s="23" t="s">
        <v>35</v>
      </c>
      <c r="H100" s="44" t="s">
        <v>92</v>
      </c>
      <c r="I100" s="51" t="s">
        <v>104</v>
      </c>
      <c r="J100" s="51" t="s">
        <v>9</v>
      </c>
      <c r="K100" s="63" t="s">
        <v>104</v>
      </c>
      <c r="L100" s="76" t="s">
        <v>9</v>
      </c>
      <c r="M100" s="78" t="s">
        <v>104</v>
      </c>
      <c r="N100" s="183" t="s">
        <v>9</v>
      </c>
      <c r="O100" s="187"/>
      <c r="P100" s="187"/>
      <c r="Q100" s="49"/>
    </row>
    <row r="101" spans="7:17" ht="27" x14ac:dyDescent="0.25">
      <c r="G101" s="23" t="s">
        <v>36</v>
      </c>
      <c r="H101" s="44" t="s">
        <v>92</v>
      </c>
      <c r="I101" s="51" t="s">
        <v>35</v>
      </c>
      <c r="J101" s="51" t="s">
        <v>92</v>
      </c>
      <c r="K101" s="63" t="s">
        <v>35</v>
      </c>
      <c r="L101" s="76" t="s">
        <v>92</v>
      </c>
      <c r="M101" s="78" t="s">
        <v>35</v>
      </c>
      <c r="N101" s="183" t="s">
        <v>92</v>
      </c>
      <c r="O101" s="187"/>
      <c r="P101" s="187"/>
      <c r="Q101" s="49"/>
    </row>
    <row r="102" spans="7:17" ht="27" x14ac:dyDescent="0.25">
      <c r="G102" s="23" t="s">
        <v>37</v>
      </c>
      <c r="H102" s="44" t="s">
        <v>9</v>
      </c>
      <c r="I102" s="51" t="s">
        <v>36</v>
      </c>
      <c r="J102" s="51" t="s">
        <v>92</v>
      </c>
      <c r="K102" s="63" t="s">
        <v>36</v>
      </c>
      <c r="L102" s="76" t="s">
        <v>92</v>
      </c>
      <c r="M102" s="78" t="s">
        <v>36</v>
      </c>
      <c r="N102" s="183" t="s">
        <v>92</v>
      </c>
      <c r="O102" s="187"/>
      <c r="P102" s="187"/>
      <c r="Q102" s="49"/>
    </row>
    <row r="103" spans="7:17" ht="25.5" x14ac:dyDescent="0.25">
      <c r="G103" s="23" t="s">
        <v>38</v>
      </c>
      <c r="H103" s="44">
        <v>15</v>
      </c>
      <c r="I103" s="51" t="s">
        <v>37</v>
      </c>
      <c r="J103" s="51" t="s">
        <v>9</v>
      </c>
      <c r="K103" s="63" t="s">
        <v>37</v>
      </c>
      <c r="L103" s="76" t="s">
        <v>9</v>
      </c>
      <c r="M103" s="78" t="s">
        <v>37</v>
      </c>
      <c r="N103" s="183" t="s">
        <v>9</v>
      </c>
      <c r="O103" s="187"/>
      <c r="P103" s="187"/>
      <c r="Q103" s="49"/>
    </row>
    <row r="104" spans="7:17" x14ac:dyDescent="0.25">
      <c r="G104" s="23" t="s">
        <v>39</v>
      </c>
      <c r="H104" s="44" t="s">
        <v>9</v>
      </c>
      <c r="I104" s="51" t="s">
        <v>38</v>
      </c>
      <c r="J104" s="51">
        <v>15</v>
      </c>
      <c r="K104" s="63" t="s">
        <v>38</v>
      </c>
      <c r="L104" s="76">
        <v>15</v>
      </c>
      <c r="M104" s="78" t="s">
        <v>38</v>
      </c>
      <c r="N104" s="183">
        <v>15</v>
      </c>
      <c r="O104" s="187"/>
      <c r="P104" s="187"/>
      <c r="Q104" s="49"/>
    </row>
    <row r="105" spans="7:17" x14ac:dyDescent="0.25">
      <c r="G105" s="23" t="s">
        <v>40</v>
      </c>
      <c r="H105" s="44" t="s">
        <v>9</v>
      </c>
      <c r="I105" s="51" t="s">
        <v>39</v>
      </c>
      <c r="J105" s="51" t="s">
        <v>9</v>
      </c>
      <c r="K105" s="63" t="s">
        <v>39</v>
      </c>
      <c r="L105" s="76" t="s">
        <v>9</v>
      </c>
      <c r="M105" s="78" t="s">
        <v>39</v>
      </c>
      <c r="N105" s="183" t="s">
        <v>9</v>
      </c>
      <c r="O105" s="187"/>
      <c r="P105" s="187"/>
      <c r="Q105" s="49"/>
    </row>
    <row r="106" spans="7:17" x14ac:dyDescent="0.25">
      <c r="G106" s="23" t="s">
        <v>442</v>
      </c>
      <c r="H106" s="44" t="s">
        <v>137</v>
      </c>
      <c r="I106" s="51" t="s">
        <v>40</v>
      </c>
      <c r="J106" s="51" t="s">
        <v>9</v>
      </c>
      <c r="K106" s="63" t="s">
        <v>40</v>
      </c>
      <c r="L106" s="76" t="s">
        <v>9</v>
      </c>
      <c r="M106" s="78" t="s">
        <v>40</v>
      </c>
      <c r="N106" s="183" t="s">
        <v>9</v>
      </c>
      <c r="O106" s="187"/>
      <c r="P106" s="187"/>
      <c r="Q106" s="49"/>
    </row>
    <row r="107" spans="7:17" x14ac:dyDescent="0.25">
      <c r="G107" s="23" t="s">
        <v>443</v>
      </c>
      <c r="H107" s="44" t="s">
        <v>110</v>
      </c>
      <c r="I107" s="51" t="s">
        <v>442</v>
      </c>
      <c r="J107" s="51" t="s">
        <v>137</v>
      </c>
      <c r="K107" s="63" t="s">
        <v>442</v>
      </c>
      <c r="L107" s="76" t="s">
        <v>137</v>
      </c>
      <c r="M107" s="78" t="s">
        <v>442</v>
      </c>
      <c r="N107" s="183" t="s">
        <v>137</v>
      </c>
      <c r="O107" s="187"/>
      <c r="P107" s="187"/>
      <c r="Q107" s="49"/>
    </row>
    <row r="108" spans="7:17" x14ac:dyDescent="0.25">
      <c r="G108" s="23" t="s">
        <v>444</v>
      </c>
      <c r="H108" s="44" t="s">
        <v>92</v>
      </c>
      <c r="I108" s="51" t="s">
        <v>443</v>
      </c>
      <c r="J108" s="51" t="s">
        <v>110</v>
      </c>
      <c r="K108" s="63" t="s">
        <v>443</v>
      </c>
      <c r="L108" s="76" t="s">
        <v>110</v>
      </c>
      <c r="M108" s="78" t="s">
        <v>443</v>
      </c>
      <c r="N108" s="183" t="s">
        <v>110</v>
      </c>
      <c r="O108" s="187"/>
      <c r="P108" s="187"/>
      <c r="Q108" s="49"/>
    </row>
    <row r="109" spans="7:17" x14ac:dyDescent="0.25">
      <c r="G109" s="23" t="s">
        <v>445</v>
      </c>
      <c r="H109" s="44" t="s">
        <v>402</v>
      </c>
      <c r="I109" s="51" t="s">
        <v>444</v>
      </c>
      <c r="J109" s="51" t="s">
        <v>92</v>
      </c>
      <c r="K109" s="63" t="s">
        <v>444</v>
      </c>
      <c r="L109" s="76" t="s">
        <v>92</v>
      </c>
      <c r="M109" s="78" t="s">
        <v>444</v>
      </c>
      <c r="N109" s="183" t="s">
        <v>92</v>
      </c>
      <c r="O109" s="187"/>
      <c r="P109" s="187"/>
      <c r="Q109" s="49"/>
    </row>
    <row r="110" spans="7:17" x14ac:dyDescent="0.25">
      <c r="G110" s="23" t="s">
        <v>446</v>
      </c>
      <c r="H110" s="44" t="s">
        <v>135</v>
      </c>
      <c r="I110" s="51" t="s">
        <v>483</v>
      </c>
      <c r="J110" s="51" t="s">
        <v>404</v>
      </c>
      <c r="K110" s="63" t="s">
        <v>483</v>
      </c>
      <c r="L110" s="76" t="s">
        <v>404</v>
      </c>
      <c r="M110" s="78" t="s">
        <v>483</v>
      </c>
      <c r="N110" s="183" t="s">
        <v>404</v>
      </c>
      <c r="O110" s="187"/>
      <c r="P110" s="187"/>
      <c r="Q110" s="49"/>
    </row>
    <row r="111" spans="7:17" ht="27" x14ac:dyDescent="0.25">
      <c r="G111" s="23" t="s">
        <v>447</v>
      </c>
      <c r="H111" s="44" t="s">
        <v>110</v>
      </c>
      <c r="I111" s="51" t="s">
        <v>484</v>
      </c>
      <c r="J111" s="51" t="s">
        <v>406</v>
      </c>
      <c r="K111" s="63" t="s">
        <v>484</v>
      </c>
      <c r="L111" s="76" t="s">
        <v>406</v>
      </c>
      <c r="M111" s="78" t="s">
        <v>501</v>
      </c>
      <c r="N111" s="183" t="s">
        <v>406</v>
      </c>
      <c r="O111" s="187"/>
      <c r="P111" s="187"/>
      <c r="Q111" s="49"/>
    </row>
    <row r="112" spans="7:17" x14ac:dyDescent="0.25">
      <c r="G112" s="23" t="s">
        <v>448</v>
      </c>
      <c r="H112" s="44" t="s">
        <v>9</v>
      </c>
      <c r="I112" s="51" t="s">
        <v>445</v>
      </c>
      <c r="J112" s="51" t="s">
        <v>402</v>
      </c>
      <c r="K112" s="63" t="s">
        <v>445</v>
      </c>
      <c r="L112" s="76" t="s">
        <v>402</v>
      </c>
      <c r="M112" s="78" t="s">
        <v>445</v>
      </c>
      <c r="N112" s="183" t="s">
        <v>402</v>
      </c>
      <c r="O112" s="187"/>
      <c r="P112" s="187"/>
      <c r="Q112" s="49"/>
    </row>
    <row r="113" spans="8:17" x14ac:dyDescent="0.25">
      <c r="H113" s="48"/>
      <c r="I113" s="51" t="s">
        <v>446</v>
      </c>
      <c r="J113" s="51" t="s">
        <v>135</v>
      </c>
      <c r="K113" s="63" t="s">
        <v>446</v>
      </c>
      <c r="L113" s="76" t="s">
        <v>135</v>
      </c>
      <c r="M113" s="78" t="s">
        <v>446</v>
      </c>
      <c r="N113" s="183" t="s">
        <v>135</v>
      </c>
      <c r="O113" s="187"/>
      <c r="P113" s="187"/>
      <c r="Q113" s="49"/>
    </row>
    <row r="114" spans="8:17" ht="25.5" x14ac:dyDescent="0.25">
      <c r="H114" s="48"/>
      <c r="I114" s="51" t="s">
        <v>447</v>
      </c>
      <c r="J114" s="51" t="s">
        <v>110</v>
      </c>
      <c r="K114" s="63" t="s">
        <v>447</v>
      </c>
      <c r="L114" s="76" t="s">
        <v>110</v>
      </c>
      <c r="M114" s="78" t="s">
        <v>447</v>
      </c>
      <c r="N114" s="183" t="s">
        <v>110</v>
      </c>
      <c r="O114" s="187"/>
      <c r="P114" s="187"/>
      <c r="Q114" s="49"/>
    </row>
    <row r="115" spans="8:17" x14ac:dyDescent="0.25">
      <c r="H115" s="48"/>
      <c r="I115" s="51" t="s">
        <v>448</v>
      </c>
      <c r="J115" s="51" t="s">
        <v>9</v>
      </c>
      <c r="K115" s="63" t="s">
        <v>448</v>
      </c>
      <c r="L115" s="76" t="s">
        <v>9</v>
      </c>
      <c r="M115" s="78" t="s">
        <v>448</v>
      </c>
      <c r="N115" s="183" t="s">
        <v>9</v>
      </c>
      <c r="O115" s="187"/>
      <c r="P115" s="187"/>
      <c r="Q115" s="49"/>
    </row>
    <row r="116" spans="8:17" x14ac:dyDescent="0.25">
      <c r="I116" s="50"/>
      <c r="J116" s="50"/>
      <c r="K116" s="64"/>
      <c r="L116" s="64"/>
      <c r="M116" s="77"/>
      <c r="N116" s="184"/>
      <c r="O116" s="187"/>
      <c r="P116" s="187"/>
      <c r="Q116" s="49"/>
    </row>
    <row r="117" spans="8:17" x14ac:dyDescent="0.25">
      <c r="O117" s="77"/>
      <c r="P117" s="77"/>
    </row>
  </sheetData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P124"/>
  <sheetViews>
    <sheetView showZeros="0" topLeftCell="F1" workbookViewId="0">
      <pane ySplit="4" topLeftCell="A5" activePane="bottomLeft" state="frozen"/>
      <selection pane="bottomLeft" activeCell="O5" sqref="O5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52" customWidth="1"/>
    <col min="10" max="10" width="28" style="52" customWidth="1"/>
    <col min="11" max="11" width="28.42578125" style="22" customWidth="1"/>
    <col min="12" max="12" width="28" style="22" customWidth="1"/>
    <col min="13" max="13" width="28.42578125" style="22" customWidth="1"/>
    <col min="14" max="14" width="28" style="22" customWidth="1"/>
    <col min="15" max="15" width="7.85546875" style="22" bestFit="1" customWidth="1"/>
    <col min="16" max="16" width="6.85546875" style="22" bestFit="1" customWidth="1"/>
    <col min="17" max="16384" width="9.140625" style="22"/>
  </cols>
  <sheetData>
    <row r="1" spans="1:16" x14ac:dyDescent="0.25">
      <c r="A1" s="132"/>
      <c r="B1" s="132"/>
      <c r="C1" s="132"/>
      <c r="D1" s="132"/>
      <c r="E1" s="132"/>
      <c r="F1" s="132"/>
      <c r="G1" s="132"/>
      <c r="H1" s="133"/>
    </row>
    <row r="2" spans="1:16" ht="15.75" thickBot="1" x14ac:dyDescent="0.3">
      <c r="A2" s="148"/>
      <c r="B2" s="148"/>
      <c r="C2" s="148"/>
      <c r="D2" s="148"/>
      <c r="E2" s="148"/>
      <c r="F2" s="148"/>
      <c r="G2" s="148"/>
      <c r="H2" s="149"/>
    </row>
    <row r="3" spans="1:16" ht="15.75" thickBot="1" x14ac:dyDescent="0.3">
      <c r="A3" s="153" t="s">
        <v>42</v>
      </c>
      <c r="B3" s="154"/>
      <c r="C3" s="155" t="s">
        <v>91</v>
      </c>
      <c r="D3" s="156"/>
      <c r="E3" s="157" t="s">
        <v>465</v>
      </c>
      <c r="F3" s="158"/>
      <c r="G3" s="159" t="s">
        <v>424</v>
      </c>
      <c r="H3" s="160"/>
      <c r="I3" s="151" t="s">
        <v>424</v>
      </c>
      <c r="J3" s="152"/>
      <c r="K3" s="150" t="s">
        <v>495</v>
      </c>
      <c r="L3" s="150"/>
      <c r="M3" s="146" t="s">
        <v>499</v>
      </c>
      <c r="N3" s="147"/>
      <c r="O3" s="167" t="s">
        <v>363</v>
      </c>
      <c r="P3" s="168"/>
    </row>
    <row r="4" spans="1:16" x14ac:dyDescent="0.25">
      <c r="A4" s="68" t="s">
        <v>450</v>
      </c>
      <c r="B4" s="68" t="s">
        <v>3</v>
      </c>
      <c r="C4" s="69" t="s">
        <v>450</v>
      </c>
      <c r="D4" s="69" t="s">
        <v>3</v>
      </c>
      <c r="E4" s="70" t="s">
        <v>450</v>
      </c>
      <c r="F4" s="70" t="s">
        <v>3</v>
      </c>
      <c r="G4" s="71" t="s">
        <v>450</v>
      </c>
      <c r="H4" s="71" t="s">
        <v>3</v>
      </c>
      <c r="I4" s="53" t="s">
        <v>450</v>
      </c>
      <c r="J4" s="53" t="s">
        <v>3</v>
      </c>
      <c r="K4" s="65" t="s">
        <v>450</v>
      </c>
      <c r="L4" s="65" t="s">
        <v>3</v>
      </c>
      <c r="M4" s="67" t="s">
        <v>450</v>
      </c>
      <c r="N4" s="67" t="s">
        <v>3</v>
      </c>
      <c r="O4" s="177" t="s">
        <v>450</v>
      </c>
      <c r="P4" s="177" t="s">
        <v>3</v>
      </c>
    </row>
    <row r="5" spans="1:16" x14ac:dyDescent="0.25">
      <c r="A5" s="72" t="str">
        <f>'MAX Originals'!A4</f>
        <v>CompactRIO</v>
      </c>
      <c r="B5" s="72" t="str">
        <f>'MAX Originals'!B4</f>
        <v>15.0.0</v>
      </c>
      <c r="C5" s="73" t="str">
        <f>'MAX Originals'!C4</f>
        <v>CompactRIO</v>
      </c>
      <c r="D5" s="73" t="str">
        <f>'MAX Originals'!D4</f>
        <v>15.0.0</v>
      </c>
      <c r="E5" s="74" t="str">
        <f>'MAX Originals'!E4</f>
        <v>CompactRIO</v>
      </c>
      <c r="F5" s="74" t="str">
        <f>'MAX Originals'!F4</f>
        <v>15.0.0</v>
      </c>
      <c r="G5" s="75" t="str">
        <f>'MAX Originals'!G4</f>
        <v>CompactRIO</v>
      </c>
      <c r="H5" s="75" t="str">
        <f>'MAX Originals'!H4</f>
        <v>15.0.0</v>
      </c>
      <c r="I5" s="54" t="str">
        <f>'MAX Originals'!I4</f>
        <v>CompactRIO</v>
      </c>
      <c r="J5" s="54" t="str">
        <f>'MAX Originals'!J4</f>
        <v>18.1.0</v>
      </c>
      <c r="K5" s="66" t="str">
        <f>'MAX Originals'!K4</f>
        <v>CompactRIO</v>
      </c>
      <c r="L5" s="66" t="str">
        <f>'MAX Originals'!L4</f>
        <v>18.1.0</v>
      </c>
      <c r="M5" s="90" t="str">
        <f>'MAX Originals'!M4</f>
        <v>CompactRIO</v>
      </c>
      <c r="N5" s="90" t="str">
        <f>'MAX Originals'!N4</f>
        <v>18.1.0</v>
      </c>
      <c r="O5" s="178">
        <f>'MAX Originals'!O4</f>
        <v>0</v>
      </c>
      <c r="P5" s="178">
        <f>'MAX Originals'!P4</f>
        <v>0</v>
      </c>
    </row>
    <row r="6" spans="1:16" x14ac:dyDescent="0.25">
      <c r="A6" s="72" t="str">
        <f>'MAX Originals'!A5</f>
        <v>C Series Module Support</v>
      </c>
      <c r="B6" s="72" t="str">
        <f>'MAX Originals'!B5</f>
        <v>15.0.0</v>
      </c>
      <c r="C6" s="73" t="str">
        <f>'MAX Originals'!C5</f>
        <v>C Series Module Support</v>
      </c>
      <c r="D6" s="73" t="str">
        <f>'MAX Originals'!D5</f>
        <v>15.0.0</v>
      </c>
      <c r="E6" s="74" t="str">
        <f>'MAX Originals'!E5</f>
        <v>C Series Module Support</v>
      </c>
      <c r="F6" s="74" t="str">
        <f>'MAX Originals'!F5</f>
        <v>15.0.0</v>
      </c>
      <c r="G6" s="75" t="str">
        <f>'MAX Originals'!G5</f>
        <v>C Series Module Support</v>
      </c>
      <c r="H6" s="75" t="str">
        <f>'MAX Originals'!H5</f>
        <v>15.0.0</v>
      </c>
      <c r="I6" s="54" t="str">
        <f>'MAX Originals'!I5</f>
        <v>C Series Module Support</v>
      </c>
      <c r="J6" s="54" t="str">
        <f>'MAX Originals'!J5</f>
        <v>18.1.0</v>
      </c>
      <c r="K6" s="66" t="str">
        <f>'MAX Originals'!K5</f>
        <v>C Series Module Support</v>
      </c>
      <c r="L6" s="66" t="str">
        <f>'MAX Originals'!L5</f>
        <v>18.1.0</v>
      </c>
      <c r="M6" s="90" t="str">
        <f>'MAX Originals'!M5</f>
        <v>C Series Module Support</v>
      </c>
      <c r="N6" s="90" t="str">
        <f>'MAX Originals'!N5</f>
        <v>18.1.0</v>
      </c>
      <c r="O6" s="178">
        <f>'MAX Originals'!O5</f>
        <v>0</v>
      </c>
      <c r="P6" s="178">
        <f>'MAX Originals'!P5</f>
        <v>0</v>
      </c>
    </row>
    <row r="7" spans="1:16" x14ac:dyDescent="0.25">
      <c r="A7" s="72" t="str">
        <f>'MAX Originals'!A6</f>
        <v>CVI</v>
      </c>
      <c r="B7" s="72" t="str">
        <f>'MAX Originals'!B6</f>
        <v>15.0.0</v>
      </c>
      <c r="C7" s="73" t="str">
        <f>'MAX Originals'!C6</f>
        <v>CVI</v>
      </c>
      <c r="D7" s="73" t="str">
        <f>'MAX Originals'!D6</f>
        <v>15.0.0</v>
      </c>
      <c r="E7" s="74" t="str">
        <f>'MAX Originals'!E6</f>
        <v>CVI</v>
      </c>
      <c r="F7" s="74" t="str">
        <f>'MAX Originals'!F6</f>
        <v>15.0.0</v>
      </c>
      <c r="G7" s="75" t="str">
        <f>'MAX Originals'!G6</f>
        <v>CVI</v>
      </c>
      <c r="H7" s="75" t="str">
        <f>'MAX Originals'!H6</f>
        <v>15.0.0</v>
      </c>
      <c r="I7" s="54" t="str">
        <f>'MAX Originals'!I6</f>
        <v>CVI</v>
      </c>
      <c r="J7" s="54" t="str">
        <f>'MAX Originals'!J6</f>
        <v>15.0.0</v>
      </c>
      <c r="K7" s="66" t="str">
        <f>'MAX Originals'!K6</f>
        <v>CVI</v>
      </c>
      <c r="L7" s="66" t="str">
        <f>'MAX Originals'!L6</f>
        <v>15.0.0</v>
      </c>
      <c r="M7" s="90" t="str">
        <f>'MAX Originals'!M6</f>
        <v>CVI</v>
      </c>
      <c r="N7" s="90" t="str">
        <f>'MAX Originals'!N6</f>
        <v>15.0.0</v>
      </c>
      <c r="O7" s="178">
        <f>'MAX Originals'!O6</f>
        <v>0</v>
      </c>
      <c r="P7" s="178">
        <f>'MAX Originals'!P6</f>
        <v>0</v>
      </c>
    </row>
    <row r="8" spans="1:16" x14ac:dyDescent="0.25">
      <c r="A8" s="72" t="str">
        <f>'MAX Originals'!A7</f>
        <v>Real-Time</v>
      </c>
      <c r="B8" s="72" t="str">
        <f>'MAX Originals'!B7</f>
        <v>15.0.0</v>
      </c>
      <c r="C8" s="73" t="str">
        <f>'MAX Originals'!C7</f>
        <v>Real-Time</v>
      </c>
      <c r="D8" s="73" t="str">
        <f>'MAX Originals'!D7</f>
        <v>15.0.0</v>
      </c>
      <c r="E8" s="74" t="str">
        <f>'MAX Originals'!E7</f>
        <v>Real-Time</v>
      </c>
      <c r="F8" s="74" t="str">
        <f>'MAX Originals'!F7</f>
        <v>15.0.0</v>
      </c>
      <c r="G8" s="75" t="str">
        <f>'MAX Originals'!G7</f>
        <v>Real-Time</v>
      </c>
      <c r="H8" s="75" t="str">
        <f>'MAX Originals'!H7</f>
        <v>15.0.0</v>
      </c>
      <c r="I8" s="54" t="str">
        <f>'MAX Originals'!I7</f>
        <v>Real-Time</v>
      </c>
      <c r="J8" s="54" t="str">
        <f>'MAX Originals'!J7</f>
        <v>15.0.0</v>
      </c>
      <c r="K8" s="66" t="str">
        <f>'MAX Originals'!K7</f>
        <v>Real-Time</v>
      </c>
      <c r="L8" s="66" t="str">
        <f>'MAX Originals'!L7</f>
        <v>15.0.0</v>
      </c>
      <c r="M8" s="90" t="str">
        <f>'MAX Originals'!M7</f>
        <v>Real-Time</v>
      </c>
      <c r="N8" s="90" t="str">
        <f>'MAX Originals'!N7</f>
        <v>15.0.0</v>
      </c>
      <c r="O8" s="178">
        <f>'MAX Originals'!O7</f>
        <v>0</v>
      </c>
      <c r="P8" s="178">
        <f>'MAX Originals'!P7</f>
        <v>0</v>
      </c>
    </row>
    <row r="9" spans="1:16" ht="30" x14ac:dyDescent="0.25">
      <c r="A9" s="72" t="str">
        <f>'MAX Originals'!A8</f>
        <v>CVI AddOns</v>
      </c>
      <c r="B9" s="72" t="str">
        <f>'MAX Originals'!B8</f>
        <v>LabWindows/CVI Shared AddOns</v>
      </c>
      <c r="C9" s="73" t="str">
        <f>'MAX Originals'!C8</f>
        <v>CVI AddOns</v>
      </c>
      <c r="D9" s="73" t="str">
        <f>'MAX Originals'!D8</f>
        <v>LabWindows/CVI Shared AddOns</v>
      </c>
      <c r="E9" s="74" t="str">
        <f>'MAX Originals'!E8</f>
        <v>CVI AddOns</v>
      </c>
      <c r="F9" s="74" t="str">
        <f>'MAX Originals'!F8</f>
        <v>LabWindows/CVI Shared AddOns</v>
      </c>
      <c r="G9" s="75" t="str">
        <f>'MAX Originals'!G8</f>
        <v>CVI AddOns</v>
      </c>
      <c r="H9" s="75" t="str">
        <f>'MAX Originals'!H8</f>
        <v>LabWindows/CVI Shared AddOns</v>
      </c>
      <c r="I9" s="54" t="str">
        <f>'MAX Originals'!I8</f>
        <v>CVI AddOns</v>
      </c>
      <c r="J9" s="54" t="str">
        <f>'MAX Originals'!J8</f>
        <v>LabWindows/CVI Shared AddOns</v>
      </c>
      <c r="K9" s="66" t="str">
        <f>'MAX Originals'!K8</f>
        <v>CVI AddOns</v>
      </c>
      <c r="L9" s="66" t="str">
        <f>'MAX Originals'!L8</f>
        <v>LabWindows/CVI Shared AddOns</v>
      </c>
      <c r="M9" s="90" t="str">
        <f>'MAX Originals'!M8</f>
        <v>CVI AddOns</v>
      </c>
      <c r="N9" s="90" t="str">
        <f>'MAX Originals'!N8</f>
        <v>LabWindows/CVI Shared AddOns</v>
      </c>
      <c r="O9" s="178">
        <f>'MAX Originals'!O8</f>
        <v>0</v>
      </c>
      <c r="P9" s="178">
        <f>'MAX Originals'!P8</f>
        <v>0</v>
      </c>
    </row>
    <row r="10" spans="1:16" x14ac:dyDescent="0.25">
      <c r="A10" s="72" t="str">
        <f>'MAX Originals'!A9</f>
        <v>PID Toolkit</v>
      </c>
      <c r="B10" s="72" t="str">
        <f>'MAX Originals'!B9</f>
        <v>2.1.0</v>
      </c>
      <c r="C10" s="73" t="str">
        <f>'MAX Originals'!C9</f>
        <v>PID Toolkit</v>
      </c>
      <c r="D10" s="73" t="str">
        <f>'MAX Originals'!D9</f>
        <v>2.1.0</v>
      </c>
      <c r="E10" s="74" t="str">
        <f>'MAX Originals'!E9</f>
        <v>PID Toolkit</v>
      </c>
      <c r="F10" s="74" t="str">
        <f>'MAX Originals'!F9</f>
        <v>2.1.0</v>
      </c>
      <c r="G10" s="75" t="str">
        <f>'MAX Originals'!G9</f>
        <v>PID Toolkit</v>
      </c>
      <c r="H10" s="75" t="str">
        <f>'MAX Originals'!H9</f>
        <v>2.1.0</v>
      </c>
      <c r="I10" s="54" t="str">
        <f>'MAX Originals'!I9</f>
        <v>PID Toolkit</v>
      </c>
      <c r="J10" s="54" t="str">
        <f>'MAX Originals'!J9</f>
        <v>2.1.0</v>
      </c>
      <c r="K10" s="66" t="str">
        <f>'MAX Originals'!K9</f>
        <v>PID Toolkit</v>
      </c>
      <c r="L10" s="66" t="str">
        <f>'MAX Originals'!L9</f>
        <v>2.1.0</v>
      </c>
      <c r="M10" s="90" t="str">
        <f>'MAX Originals'!M9</f>
        <v>PID Toolkit</v>
      </c>
      <c r="N10" s="90" t="str">
        <f>'MAX Originals'!N9</f>
        <v>2.1.0</v>
      </c>
      <c r="O10" s="178">
        <f>'MAX Originals'!O9</f>
        <v>0</v>
      </c>
      <c r="P10" s="178">
        <f>'MAX Originals'!P9</f>
        <v>0</v>
      </c>
    </row>
    <row r="11" spans="1:16" x14ac:dyDescent="0.25">
      <c r="A11" s="72" t="str">
        <f>'MAX Originals'!A10</f>
        <v>Profiler Toolkit</v>
      </c>
      <c r="B11" s="72" t="str">
        <f>'MAX Originals'!B10</f>
        <v>1.0.0</v>
      </c>
      <c r="C11" s="73" t="str">
        <f>'MAX Originals'!C10</f>
        <v>Profiler Toolkit</v>
      </c>
      <c r="D11" s="73" t="str">
        <f>'MAX Originals'!D10</f>
        <v>1.0.0</v>
      </c>
      <c r="E11" s="74" t="str">
        <f>'MAX Originals'!E10</f>
        <v>Profiler Toolkit</v>
      </c>
      <c r="F11" s="74" t="str">
        <f>'MAX Originals'!F10</f>
        <v>1.0.0</v>
      </c>
      <c r="G11" s="75" t="str">
        <f>'MAX Originals'!G10</f>
        <v>Profiler Toolkit</v>
      </c>
      <c r="H11" s="75" t="str">
        <f>'MAX Originals'!H10</f>
        <v>1.0.0</v>
      </c>
      <c r="I11" s="54" t="str">
        <f>'MAX Originals'!I10</f>
        <v>Profiler Toolkit</v>
      </c>
      <c r="J11" s="54" t="str">
        <f>'MAX Originals'!J10</f>
        <v>1.0.0</v>
      </c>
      <c r="K11" s="66" t="str">
        <f>'MAX Originals'!K10</f>
        <v>Profiler Toolkit</v>
      </c>
      <c r="L11" s="66" t="str">
        <f>'MAX Originals'!L10</f>
        <v>1.0.0</v>
      </c>
      <c r="M11" s="90" t="str">
        <f>'MAX Originals'!M10</f>
        <v>Profiler Toolkit</v>
      </c>
      <c r="N11" s="90" t="str">
        <f>'MAX Originals'!N10</f>
        <v>1.0.0</v>
      </c>
      <c r="O11" s="178">
        <f>'MAX Originals'!O10</f>
        <v>0</v>
      </c>
      <c r="P11" s="178">
        <f>'MAX Originals'!P10</f>
        <v>0</v>
      </c>
    </row>
    <row r="12" spans="1:16" ht="30" x14ac:dyDescent="0.25">
      <c r="A12" s="72" t="str">
        <f>'MAX Originals'!A11</f>
        <v>Real-Time Trace Viewer - CVI Support</v>
      </c>
      <c r="B12" s="72" t="str">
        <f>'MAX Originals'!B11</f>
        <v>15.0.0</v>
      </c>
      <c r="C12" s="73" t="str">
        <f>'MAX Originals'!C11</f>
        <v>Real-Time Trace Viewer - CVI Support</v>
      </c>
      <c r="D12" s="73" t="str">
        <f>'MAX Originals'!D11</f>
        <v>15.0.0</v>
      </c>
      <c r="E12" s="74" t="str">
        <f>'MAX Originals'!E11</f>
        <v>Real-Time Trace Viewer - CVI Support</v>
      </c>
      <c r="F12" s="74" t="str">
        <f>'MAX Originals'!F11</f>
        <v>15.0.0</v>
      </c>
      <c r="G12" s="75" t="str">
        <f>'MAX Originals'!G11</f>
        <v>Real-Time Trace Viewer - CVI Support</v>
      </c>
      <c r="H12" s="75" t="str">
        <f>'MAX Originals'!H11</f>
        <v>15.0.0</v>
      </c>
      <c r="I12" s="54" t="str">
        <f>'MAX Originals'!I11</f>
        <v>Real-Time Trace Viewer - CVI Support</v>
      </c>
      <c r="J12" s="54" t="str">
        <f>'MAX Originals'!J11</f>
        <v>15.0.0</v>
      </c>
      <c r="K12" s="66" t="str">
        <f>'MAX Originals'!K11</f>
        <v>Real-Time Trace Viewer - CVI Support</v>
      </c>
      <c r="L12" s="66" t="str">
        <f>'MAX Originals'!L11</f>
        <v>15.0.0</v>
      </c>
      <c r="M12" s="90" t="str">
        <f>'MAX Originals'!M11</f>
        <v>Real-Time Trace Viewer - CVI Support</v>
      </c>
      <c r="N12" s="90" t="str">
        <f>'MAX Originals'!N11</f>
        <v>15.0.0</v>
      </c>
      <c r="O12" s="178">
        <f>'MAX Originals'!O11</f>
        <v>0</v>
      </c>
      <c r="P12" s="178">
        <f>'MAX Originals'!P11</f>
        <v>0</v>
      </c>
    </row>
    <row r="13" spans="1:16" x14ac:dyDescent="0.25">
      <c r="A13" s="72" t="str">
        <f>'MAX Originals'!A12</f>
        <v>Signal Processing Toolkit</v>
      </c>
      <c r="B13" s="72" t="str">
        <f>'MAX Originals'!B12</f>
        <v>7.0.2</v>
      </c>
      <c r="C13" s="73" t="str">
        <f>'MAX Originals'!C12</f>
        <v>Signal Processing Toolkit</v>
      </c>
      <c r="D13" s="73" t="str">
        <f>'MAX Originals'!D12</f>
        <v>7.0.2</v>
      </c>
      <c r="E13" s="74" t="str">
        <f>'MAX Originals'!E12</f>
        <v>Signal Processing Toolkit</v>
      </c>
      <c r="F13" s="74" t="str">
        <f>'MAX Originals'!F12</f>
        <v>7.0.2</v>
      </c>
      <c r="G13" s="75" t="str">
        <f>'MAX Originals'!G12</f>
        <v>Signal Processing Toolkit</v>
      </c>
      <c r="H13" s="75" t="str">
        <f>'MAX Originals'!H12</f>
        <v>7.0.2</v>
      </c>
      <c r="I13" s="54" t="str">
        <f>'MAX Originals'!I12</f>
        <v>Signal Processing Toolkit</v>
      </c>
      <c r="J13" s="54" t="str">
        <f>'MAX Originals'!J12</f>
        <v>7.0.2</v>
      </c>
      <c r="K13" s="66" t="str">
        <f>'MAX Originals'!K12</f>
        <v>Signal Processing Toolkit</v>
      </c>
      <c r="L13" s="66" t="str">
        <f>'MAX Originals'!L12</f>
        <v>7.0.2</v>
      </c>
      <c r="M13" s="90" t="str">
        <f>'MAX Originals'!M12</f>
        <v>Signal Processing Toolkit</v>
      </c>
      <c r="N13" s="90" t="str">
        <f>'MAX Originals'!N12</f>
        <v>7.0.2</v>
      </c>
      <c r="O13" s="178">
        <f>'MAX Originals'!O12</f>
        <v>0</v>
      </c>
      <c r="P13" s="178">
        <f>'MAX Originals'!P12</f>
        <v>0</v>
      </c>
    </row>
    <row r="14" spans="1:16" x14ac:dyDescent="0.25">
      <c r="A14" s="72" t="str">
        <f>'MAX Originals'!A13</f>
        <v>SQL Toolkit</v>
      </c>
      <c r="B14" s="72" t="str">
        <f>'MAX Originals'!B13</f>
        <v>2.3.0</v>
      </c>
      <c r="C14" s="73" t="str">
        <f>'MAX Originals'!C13</f>
        <v>SQL Toolkit</v>
      </c>
      <c r="D14" s="73" t="str">
        <f>'MAX Originals'!D13</f>
        <v>2.3.0</v>
      </c>
      <c r="E14" s="74" t="str">
        <f>'MAX Originals'!E13</f>
        <v>SQL Toolkit</v>
      </c>
      <c r="F14" s="74" t="str">
        <f>'MAX Originals'!F13</f>
        <v>2.3.0</v>
      </c>
      <c r="G14" s="75" t="str">
        <f>'MAX Originals'!G13</f>
        <v>SQL Toolkit</v>
      </c>
      <c r="H14" s="75" t="str">
        <f>'MAX Originals'!H13</f>
        <v>2.3.0</v>
      </c>
      <c r="I14" s="54" t="str">
        <f>'MAX Originals'!I13</f>
        <v>SQL Toolkit</v>
      </c>
      <c r="J14" s="54" t="str">
        <f>'MAX Originals'!J13</f>
        <v>2.3.0</v>
      </c>
      <c r="K14" s="66" t="str">
        <f>'MAX Originals'!K13</f>
        <v>SQL Toolkit</v>
      </c>
      <c r="L14" s="66" t="str">
        <f>'MAX Originals'!L13</f>
        <v>2.3.0</v>
      </c>
      <c r="M14" s="90" t="str">
        <f>'MAX Originals'!M13</f>
        <v>SQL Toolkit</v>
      </c>
      <c r="N14" s="90" t="str">
        <f>'MAX Originals'!N13</f>
        <v>2.3.0</v>
      </c>
      <c r="O14" s="178">
        <f>'MAX Originals'!O13</f>
        <v>0</v>
      </c>
      <c r="P14" s="178">
        <f>'MAX Originals'!P13</f>
        <v>0</v>
      </c>
    </row>
    <row r="15" spans="1:16" x14ac:dyDescent="0.25">
      <c r="A15" s="72" t="str">
        <f>'MAX Originals'!A14</f>
        <v>CVI Runtime</v>
      </c>
      <c r="B15" s="72" t="str">
        <f>'MAX Originals'!B14</f>
        <v>15.0.0.408</v>
      </c>
      <c r="C15" s="73" t="str">
        <f>'MAX Originals'!C14</f>
        <v>CVI Runtime</v>
      </c>
      <c r="D15" s="73" t="str">
        <f>'MAX Originals'!D14</f>
        <v>15.0.0.408</v>
      </c>
      <c r="E15" s="74" t="str">
        <f>'MAX Originals'!E14</f>
        <v>CVI Runtime</v>
      </c>
      <c r="F15" s="74" t="str">
        <f>'MAX Originals'!F14</f>
        <v>15.0.0.408</v>
      </c>
      <c r="G15" s="75" t="str">
        <f>'MAX Originals'!G14</f>
        <v>CVI Runtime</v>
      </c>
      <c r="H15" s="75" t="str">
        <f>'MAX Originals'!H14</f>
        <v>15.0.0.408</v>
      </c>
      <c r="I15" s="54" t="str">
        <f>'MAX Originals'!I14</f>
        <v>CVI Runtime</v>
      </c>
      <c r="J15" s="54" t="str">
        <f>'MAX Originals'!J14</f>
        <v>15.0.0.408</v>
      </c>
      <c r="K15" s="66" t="str">
        <f>'MAX Originals'!K14</f>
        <v>CVI Runtime</v>
      </c>
      <c r="L15" s="66" t="str">
        <f>'MAX Originals'!L14</f>
        <v>15.0.0.408</v>
      </c>
      <c r="M15" s="90" t="str">
        <f>'MAX Originals'!M14</f>
        <v>CVI Runtime</v>
      </c>
      <c r="N15" s="90" t="str">
        <f>'MAX Originals'!N14</f>
        <v>15.0.0.408</v>
      </c>
      <c r="O15" s="178">
        <f>'MAX Originals'!O14</f>
        <v>0</v>
      </c>
      <c r="P15" s="178">
        <f>'MAX Originals'!P14</f>
        <v>0</v>
      </c>
    </row>
    <row r="16" spans="1:16" x14ac:dyDescent="0.25">
      <c r="A16" s="72" t="str">
        <f>'MAX Originals'!A15</f>
        <v>NI-DAQmx Device Driver</v>
      </c>
      <c r="B16" s="72" t="str">
        <f>'MAX Originals'!B15</f>
        <v>15.0.0f2</v>
      </c>
      <c r="C16" s="73" t="str">
        <f>'MAX Originals'!C15</f>
        <v>NI-DAQmx Device Driver</v>
      </c>
      <c r="D16" s="73" t="str">
        <f>'MAX Originals'!D15</f>
        <v>15.0.0f2</v>
      </c>
      <c r="E16" s="74" t="str">
        <f>'MAX Originals'!E15</f>
        <v>NI-DAQmx Device Driver</v>
      </c>
      <c r="F16" s="74" t="str">
        <f>'MAX Originals'!F15</f>
        <v>15.0.0f2</v>
      </c>
      <c r="G16" s="75" t="str">
        <f>'MAX Originals'!G15</f>
        <v>NI-DAQmx Device Driver</v>
      </c>
      <c r="H16" s="75" t="str">
        <f>'MAX Originals'!H15</f>
        <v>19.0.0f1</v>
      </c>
      <c r="I16" s="54" t="str">
        <f>'MAX Originals'!I15</f>
        <v>NI-DAQmx Device Driver</v>
      </c>
      <c r="J16" s="54" t="str">
        <f>'MAX Originals'!J15</f>
        <v>19.0.0f1</v>
      </c>
      <c r="K16" s="66" t="str">
        <f>'MAX Originals'!K15</f>
        <v>NI-DAQmx Device Driver</v>
      </c>
      <c r="L16" s="66" t="str">
        <f>'MAX Originals'!L15</f>
        <v>19.0.0f1</v>
      </c>
      <c r="M16" s="90" t="str">
        <f>'MAX Originals'!M15</f>
        <v>NI-DAQmx Device Driver</v>
      </c>
      <c r="N16" s="90" t="str">
        <f>'MAX Originals'!N15</f>
        <v>19.0.0f1</v>
      </c>
      <c r="O16" s="178">
        <f>'MAX Originals'!O15</f>
        <v>0</v>
      </c>
      <c r="P16" s="178">
        <f>'MAX Originals'!P15</f>
        <v>0</v>
      </c>
    </row>
    <row r="17" spans="1:16" x14ac:dyDescent="0.25">
      <c r="A17" s="72" t="str">
        <f>'MAX Originals'!A16</f>
        <v>NI-DAQmx ADE Support</v>
      </c>
      <c r="B17" s="72" t="str">
        <f>'MAX Originals'!B16</f>
        <v>15.0.0</v>
      </c>
      <c r="C17" s="73" t="str">
        <f>'MAX Originals'!C16</f>
        <v>NI-DAQmx ADE Support</v>
      </c>
      <c r="D17" s="73" t="str">
        <f>'MAX Originals'!D16</f>
        <v>15.0.0</v>
      </c>
      <c r="E17" s="74" t="str">
        <f>'MAX Originals'!E16</f>
        <v>NI-DAQmx ADE Support</v>
      </c>
      <c r="F17" s="74" t="str">
        <f>'MAX Originals'!F16</f>
        <v>15.0.0</v>
      </c>
      <c r="G17" s="75" t="str">
        <f>'MAX Originals'!G16</f>
        <v>NI-DAQmx ADE Support</v>
      </c>
      <c r="H17" s="75" t="str">
        <f>'MAX Originals'!H16</f>
        <v>15.0.0</v>
      </c>
      <c r="I17" s="54" t="str">
        <f>'MAX Originals'!I16</f>
        <v>NI-DAQmx ADE Support</v>
      </c>
      <c r="J17" s="54" t="str">
        <f>'MAX Originals'!J16</f>
        <v>18.1.0</v>
      </c>
      <c r="K17" s="66" t="str">
        <f>'MAX Originals'!K16</f>
        <v>NI-DAQmx ADE Support</v>
      </c>
      <c r="L17" s="66" t="str">
        <f>'MAX Originals'!L16</f>
        <v>18.1.0</v>
      </c>
      <c r="M17" s="90" t="str">
        <f>'MAX Originals'!M16</f>
        <v>NI-DAQmx ADE Support</v>
      </c>
      <c r="N17" s="90" t="str">
        <f>'MAX Originals'!N16</f>
        <v>18.1.0</v>
      </c>
      <c r="O17" s="178">
        <f>'MAX Originals'!O16</f>
        <v>0</v>
      </c>
      <c r="P17" s="178">
        <f>'MAX Originals'!P16</f>
        <v>0</v>
      </c>
    </row>
    <row r="18" spans="1:16" x14ac:dyDescent="0.25">
      <c r="A18" s="72" t="str">
        <f>'MAX Originals'!A17</f>
        <v>NI-DAQmx MAX Configuration</v>
      </c>
      <c r="B18" s="72" t="str">
        <f>'MAX Originals'!B17</f>
        <v>15.0.0</v>
      </c>
      <c r="C18" s="73" t="str">
        <f>'MAX Originals'!C17</f>
        <v>NI-DAQmx MAX Configuration</v>
      </c>
      <c r="D18" s="73" t="str">
        <f>'MAX Originals'!D17</f>
        <v>15.0.0</v>
      </c>
      <c r="E18" s="74" t="str">
        <f>'MAX Originals'!E17</f>
        <v>NI-DAQmx MAX Configuration</v>
      </c>
      <c r="F18" s="74" t="str">
        <f>'MAX Originals'!F17</f>
        <v>15.0.0</v>
      </c>
      <c r="G18" s="75" t="str">
        <f>'MAX Originals'!G17</f>
        <v>NI-DAQmx MAX Configuration</v>
      </c>
      <c r="H18" s="75" t="str">
        <f>'MAX Originals'!H17</f>
        <v>15.0.0</v>
      </c>
      <c r="I18" s="54" t="str">
        <f>'MAX Originals'!I17</f>
        <v>NI-DAQmx MAX Configuration</v>
      </c>
      <c r="J18" s="54" t="str">
        <f>'MAX Originals'!J17</f>
        <v>18.1.0</v>
      </c>
      <c r="K18" s="66" t="str">
        <f>'MAX Originals'!K17</f>
        <v>NI-DAQmx MAX Configuration</v>
      </c>
      <c r="L18" s="66" t="str">
        <f>'MAX Originals'!L17</f>
        <v>18.1.0</v>
      </c>
      <c r="M18" s="90" t="str">
        <f>'MAX Originals'!M17</f>
        <v>NI-DAQmx MAX Configuration</v>
      </c>
      <c r="N18" s="90" t="str">
        <f>'MAX Originals'!N17</f>
        <v>18.1.0</v>
      </c>
      <c r="O18" s="178">
        <f>'MAX Originals'!O17</f>
        <v>0</v>
      </c>
      <c r="P18" s="178">
        <f>'MAX Originals'!P17</f>
        <v>0</v>
      </c>
    </row>
    <row r="19" spans="1:16" x14ac:dyDescent="0.25">
      <c r="A19" s="72" t="str">
        <f>'MAX Originals'!A18</f>
        <v>NI Script Editor</v>
      </c>
      <c r="B19" s="72">
        <f>'MAX Originals'!B18</f>
        <v>14</v>
      </c>
      <c r="C19" s="73" t="str">
        <f>'MAX Originals'!C18</f>
        <v>NI Script Editor</v>
      </c>
      <c r="D19" s="73">
        <f>'MAX Originals'!D18</f>
        <v>14</v>
      </c>
      <c r="E19" s="74" t="str">
        <f>'MAX Originals'!E18</f>
        <v>NI Script Editor</v>
      </c>
      <c r="F19" s="74">
        <f>'MAX Originals'!F18</f>
        <v>14</v>
      </c>
      <c r="G19" s="75" t="str">
        <f>'MAX Originals'!G18</f>
        <v>NI Script Editor</v>
      </c>
      <c r="H19" s="75">
        <f>'MAX Originals'!H18</f>
        <v>14</v>
      </c>
      <c r="I19" s="54" t="str">
        <f>'MAX Originals'!I18</f>
        <v>NI Script Editor</v>
      </c>
      <c r="J19" s="54">
        <f>'MAX Originals'!J18</f>
        <v>14</v>
      </c>
      <c r="K19" s="66" t="str">
        <f>'MAX Originals'!K18</f>
        <v>NI Script Editor</v>
      </c>
      <c r="L19" s="66">
        <f>'MAX Originals'!L18</f>
        <v>14</v>
      </c>
      <c r="M19" s="90" t="str">
        <f>'MAX Originals'!M18</f>
        <v>NI Script Editor</v>
      </c>
      <c r="N19" s="90">
        <f>'MAX Originals'!N18</f>
        <v>14</v>
      </c>
      <c r="O19" s="178">
        <f>'MAX Originals'!O18</f>
        <v>0</v>
      </c>
      <c r="P19" s="178">
        <f>'MAX Originals'!P18</f>
        <v>0</v>
      </c>
    </row>
    <row r="20" spans="1:16" x14ac:dyDescent="0.25">
      <c r="A20" s="72" t="str">
        <f>'MAX Originals'!A19</f>
        <v>NI-DMM</v>
      </c>
      <c r="B20" s="72"/>
      <c r="C20" s="73" t="str">
        <f>'MAX Originals'!C19</f>
        <v>NI-DMM</v>
      </c>
      <c r="D20" s="73"/>
      <c r="E20" s="74" t="str">
        <f>'MAX Originals'!E19</f>
        <v>NI-DMM</v>
      </c>
      <c r="F20" s="74"/>
      <c r="G20" s="75" t="str">
        <f>'MAX Originals'!G19</f>
        <v>NI-DMM</v>
      </c>
      <c r="H20" s="75"/>
      <c r="I20" s="54" t="str">
        <f>'MAX Originals'!I19</f>
        <v>NI-DMM</v>
      </c>
      <c r="J20" s="54"/>
      <c r="K20" s="66" t="str">
        <f>'MAX Originals'!K19</f>
        <v>NI-DMM</v>
      </c>
      <c r="L20" s="66"/>
      <c r="M20" s="90" t="str">
        <f>'MAX Originals'!M19</f>
        <v>NI-DMM</v>
      </c>
      <c r="N20" s="90"/>
      <c r="O20" s="178">
        <f>'MAX Originals'!O19</f>
        <v>0</v>
      </c>
      <c r="P20" s="178"/>
    </row>
    <row r="21" spans="1:16" x14ac:dyDescent="0.25">
      <c r="A21" s="72" t="str">
        <f>'MAX Originals'!A20</f>
        <v>Configuration Support</v>
      </c>
      <c r="B21" s="72">
        <f>'MAX Originals'!B20</f>
        <v>15</v>
      </c>
      <c r="C21" s="73" t="str">
        <f>'MAX Originals'!C20</f>
        <v>Configuration Support</v>
      </c>
      <c r="D21" s="73">
        <f>'MAX Originals'!D20</f>
        <v>15</v>
      </c>
      <c r="E21" s="74" t="str">
        <f>'MAX Originals'!E20</f>
        <v>Configuration Support</v>
      </c>
      <c r="F21" s="74">
        <f>'MAX Originals'!F20</f>
        <v>15</v>
      </c>
      <c r="G21" s="75" t="str">
        <f>'MAX Originals'!G20</f>
        <v>Configuration Support</v>
      </c>
      <c r="H21" s="75">
        <f>'MAX Originals'!H20</f>
        <v>15</v>
      </c>
      <c r="I21" s="54" t="str">
        <f>'MAX Originals'!I20</f>
        <v>Configuration Support</v>
      </c>
      <c r="J21" s="54">
        <f>'MAX Originals'!J20</f>
        <v>15</v>
      </c>
      <c r="K21" s="66" t="str">
        <f>'MAX Originals'!K20</f>
        <v>Configuration Support</v>
      </c>
      <c r="L21" s="66">
        <f>'MAX Originals'!L20</f>
        <v>15</v>
      </c>
      <c r="M21" s="90" t="str">
        <f>'MAX Originals'!M20</f>
        <v>Configuration Support</v>
      </c>
      <c r="N21" s="90">
        <f>'MAX Originals'!N20</f>
        <v>15</v>
      </c>
      <c r="O21" s="178">
        <f>'MAX Originals'!O20</f>
        <v>0</v>
      </c>
      <c r="P21" s="178">
        <f>'MAX Originals'!P20</f>
        <v>0</v>
      </c>
    </row>
    <row r="22" spans="1:16" x14ac:dyDescent="0.25">
      <c r="A22" s="72" t="str">
        <f>'MAX Originals'!A21</f>
        <v>Development Support</v>
      </c>
      <c r="B22" s="72">
        <f>'MAX Originals'!B21</f>
        <v>15</v>
      </c>
      <c r="C22" s="73" t="str">
        <f>'MAX Originals'!C21</f>
        <v>Development Support</v>
      </c>
      <c r="D22" s="73">
        <f>'MAX Originals'!D21</f>
        <v>15</v>
      </c>
      <c r="E22" s="74" t="str">
        <f>'MAX Originals'!E21</f>
        <v>Development Support</v>
      </c>
      <c r="F22" s="74">
        <f>'MAX Originals'!F21</f>
        <v>15</v>
      </c>
      <c r="G22" s="75" t="str">
        <f>'MAX Originals'!G21</f>
        <v>Development Support</v>
      </c>
      <c r="H22" s="75">
        <f>'MAX Originals'!H21</f>
        <v>15</v>
      </c>
      <c r="I22" s="54" t="str">
        <f>'MAX Originals'!I21</f>
        <v>Development Support</v>
      </c>
      <c r="J22" s="54">
        <f>'MAX Originals'!J21</f>
        <v>15</v>
      </c>
      <c r="K22" s="66" t="str">
        <f>'MAX Originals'!K21</f>
        <v>Development Support</v>
      </c>
      <c r="L22" s="66">
        <f>'MAX Originals'!L21</f>
        <v>15</v>
      </c>
      <c r="M22" s="90" t="str">
        <f>'MAX Originals'!M21</f>
        <v>Development Support</v>
      </c>
      <c r="N22" s="90">
        <f>'MAX Originals'!N21</f>
        <v>15</v>
      </c>
      <c r="O22" s="178">
        <f>'MAX Originals'!O21</f>
        <v>0</v>
      </c>
      <c r="P22" s="178">
        <f>'MAX Originals'!P21</f>
        <v>0</v>
      </c>
    </row>
    <row r="23" spans="1:16" x14ac:dyDescent="0.25">
      <c r="A23" s="72" t="str">
        <f>'MAX Originals'!A22</f>
        <v>Runtime</v>
      </c>
      <c r="B23" s="72">
        <f>'MAX Originals'!B22</f>
        <v>15</v>
      </c>
      <c r="C23" s="73" t="str">
        <f>'MAX Originals'!C22</f>
        <v>Runtime</v>
      </c>
      <c r="D23" s="73">
        <f>'MAX Originals'!D22</f>
        <v>15</v>
      </c>
      <c r="E23" s="74" t="str">
        <f>'MAX Originals'!E22</f>
        <v>Runtime</v>
      </c>
      <c r="F23" s="74">
        <f>'MAX Originals'!F22</f>
        <v>15</v>
      </c>
      <c r="G23" s="75" t="str">
        <f>'MAX Originals'!G22</f>
        <v>Runtime</v>
      </c>
      <c r="H23" s="75">
        <f>'MAX Originals'!H22</f>
        <v>15</v>
      </c>
      <c r="I23" s="54" t="str">
        <f>'MAX Originals'!I22</f>
        <v>Runtime</v>
      </c>
      <c r="J23" s="54">
        <f>'MAX Originals'!J22</f>
        <v>15</v>
      </c>
      <c r="K23" s="66" t="str">
        <f>'MAX Originals'!K22</f>
        <v>Runtime</v>
      </c>
      <c r="L23" s="66">
        <f>'MAX Originals'!L22</f>
        <v>15</v>
      </c>
      <c r="M23" s="90" t="str">
        <f>'MAX Originals'!M22</f>
        <v>Runtime</v>
      </c>
      <c r="N23" s="90">
        <f>'MAX Originals'!N22</f>
        <v>15</v>
      </c>
      <c r="O23" s="178">
        <f>'MAX Originals'!O22</f>
        <v>0</v>
      </c>
      <c r="P23" s="178">
        <f>'MAX Originals'!P22</f>
        <v>0</v>
      </c>
    </row>
    <row r="24" spans="1:16" x14ac:dyDescent="0.25">
      <c r="A24" s="72" t="str">
        <f>'MAX Originals'!A23</f>
        <v>DMM Soft Front Panel</v>
      </c>
      <c r="B24" s="72" t="str">
        <f>'MAX Originals'!B23</f>
        <v>15.0.0</v>
      </c>
      <c r="C24" s="73" t="str">
        <f>'MAX Originals'!C23</f>
        <v>DMM Soft Front Panel</v>
      </c>
      <c r="D24" s="73" t="str">
        <f>'MAX Originals'!D23</f>
        <v>15.0.0</v>
      </c>
      <c r="E24" s="74" t="str">
        <f>'MAX Originals'!E23</f>
        <v>DMM Soft Front Panel</v>
      </c>
      <c r="F24" s="74" t="str">
        <f>'MAX Originals'!F23</f>
        <v>15.0.0</v>
      </c>
      <c r="G24" s="75" t="str">
        <f>'MAX Originals'!G23</f>
        <v>DMM Soft Front Panel</v>
      </c>
      <c r="H24" s="75" t="str">
        <f>'MAX Originals'!H23</f>
        <v>15.0.0</v>
      </c>
      <c r="I24" s="54" t="str">
        <f>'MAX Originals'!I23</f>
        <v>DMM Soft Front Panel</v>
      </c>
      <c r="J24" s="54" t="str">
        <f>'MAX Originals'!J23</f>
        <v>15.0.0</v>
      </c>
      <c r="K24" s="66" t="str">
        <f>'MAX Originals'!K23</f>
        <v>DMM Soft Front Panel</v>
      </c>
      <c r="L24" s="66" t="str">
        <f>'MAX Originals'!L23</f>
        <v>15.0.0</v>
      </c>
      <c r="M24" s="90" t="str">
        <f>'MAX Originals'!M23</f>
        <v>DMM Soft Front Panel</v>
      </c>
      <c r="N24" s="90" t="str">
        <f>'MAX Originals'!N23</f>
        <v>15.0.0</v>
      </c>
      <c r="O24" s="178">
        <f>'MAX Originals'!O23</f>
        <v>0</v>
      </c>
      <c r="P24" s="178">
        <f>'MAX Originals'!P23</f>
        <v>0</v>
      </c>
    </row>
    <row r="25" spans="1:16" x14ac:dyDescent="0.25">
      <c r="A25" s="72" t="str">
        <f>'MAX Originals'!A24</f>
        <v>NI-FGEN</v>
      </c>
      <c r="B25" s="72">
        <f>'MAX Originals'!B24</f>
        <v>0</v>
      </c>
      <c r="C25" s="73" t="str">
        <f>'MAX Originals'!C24</f>
        <v>NI-FGEN</v>
      </c>
      <c r="D25" s="73">
        <f>'MAX Originals'!D24</f>
        <v>0</v>
      </c>
      <c r="E25" s="74" t="str">
        <f>'MAX Originals'!E24</f>
        <v>NI-FGEN</v>
      </c>
      <c r="F25" s="74">
        <f>'MAX Originals'!F24</f>
        <v>0</v>
      </c>
      <c r="G25" s="75" t="str">
        <f>'MAX Originals'!G24</f>
        <v>NI-FGEN</v>
      </c>
      <c r="H25" s="75">
        <f>'MAX Originals'!H24</f>
        <v>0</v>
      </c>
      <c r="I25" s="54" t="str">
        <f>'MAX Originals'!I24</f>
        <v>NI-FGEN</v>
      </c>
      <c r="J25" s="54">
        <f>'MAX Originals'!J24</f>
        <v>0</v>
      </c>
      <c r="K25" s="66" t="str">
        <f>'MAX Originals'!K24</f>
        <v>NI-FGEN</v>
      </c>
      <c r="L25" s="66">
        <f>'MAX Originals'!L24</f>
        <v>0</v>
      </c>
      <c r="M25" s="90" t="str">
        <f>'MAX Originals'!M24</f>
        <v>NI-FGEN</v>
      </c>
      <c r="N25" s="90">
        <f>'MAX Originals'!N24</f>
        <v>0</v>
      </c>
      <c r="O25" s="178">
        <f>'MAX Originals'!O24</f>
        <v>0</v>
      </c>
      <c r="P25" s="178">
        <f>'MAX Originals'!P24</f>
        <v>0</v>
      </c>
    </row>
    <row r="26" spans="1:16" x14ac:dyDescent="0.25">
      <c r="A26" s="72" t="str">
        <f>'MAX Originals'!A25</f>
        <v>Configuration Support</v>
      </c>
      <c r="B26" s="72">
        <f>'MAX Originals'!B25</f>
        <v>15</v>
      </c>
      <c r="C26" s="73" t="str">
        <f>'MAX Originals'!C25</f>
        <v>Configuration Support</v>
      </c>
      <c r="D26" s="73">
        <f>'MAX Originals'!D25</f>
        <v>15</v>
      </c>
      <c r="E26" s="74" t="str">
        <f>'MAX Originals'!E25</f>
        <v>Configuration Support</v>
      </c>
      <c r="F26" s="74">
        <f>'MAX Originals'!F25</f>
        <v>15</v>
      </c>
      <c r="G26" s="75" t="str">
        <f>'MAX Originals'!G25</f>
        <v>Configuration Support</v>
      </c>
      <c r="H26" s="75">
        <f>'MAX Originals'!H25</f>
        <v>15</v>
      </c>
      <c r="I26" s="54" t="str">
        <f>'MAX Originals'!I25</f>
        <v>Configuration Support</v>
      </c>
      <c r="J26" s="54">
        <f>'MAX Originals'!J25</f>
        <v>15</v>
      </c>
      <c r="K26" s="66" t="str">
        <f>'MAX Originals'!K25</f>
        <v>Configuration Support</v>
      </c>
      <c r="L26" s="66">
        <f>'MAX Originals'!L25</f>
        <v>15</v>
      </c>
      <c r="M26" s="90" t="str">
        <f>'MAX Originals'!M25</f>
        <v>Configuration Support</v>
      </c>
      <c r="N26" s="90">
        <f>'MAX Originals'!N25</f>
        <v>15</v>
      </c>
      <c r="O26" s="178">
        <f>'MAX Originals'!O25</f>
        <v>0</v>
      </c>
      <c r="P26" s="178">
        <f>'MAX Originals'!P25</f>
        <v>0</v>
      </c>
    </row>
    <row r="27" spans="1:16" x14ac:dyDescent="0.25">
      <c r="A27" s="72" t="str">
        <f>'MAX Originals'!A26</f>
        <v>Development Support</v>
      </c>
      <c r="B27" s="72">
        <f>'MAX Originals'!B26</f>
        <v>15</v>
      </c>
      <c r="C27" s="73" t="str">
        <f>'MAX Originals'!C26</f>
        <v>Development Support</v>
      </c>
      <c r="D27" s="73">
        <f>'MAX Originals'!D26</f>
        <v>15</v>
      </c>
      <c r="E27" s="74" t="str">
        <f>'MAX Originals'!E26</f>
        <v>Development Support</v>
      </c>
      <c r="F27" s="74">
        <f>'MAX Originals'!F26</f>
        <v>15</v>
      </c>
      <c r="G27" s="75" t="str">
        <f>'MAX Originals'!G26</f>
        <v>Development Support</v>
      </c>
      <c r="H27" s="75">
        <f>'MAX Originals'!H26</f>
        <v>15</v>
      </c>
      <c r="I27" s="54" t="str">
        <f>'MAX Originals'!I26</f>
        <v>Development Support</v>
      </c>
      <c r="J27" s="54">
        <f>'MAX Originals'!J26</f>
        <v>15</v>
      </c>
      <c r="K27" s="66" t="str">
        <f>'MAX Originals'!K26</f>
        <v>Development Support</v>
      </c>
      <c r="L27" s="66">
        <f>'MAX Originals'!L26</f>
        <v>15</v>
      </c>
      <c r="M27" s="90" t="str">
        <f>'MAX Originals'!M26</f>
        <v>Development Support</v>
      </c>
      <c r="N27" s="90">
        <f>'MAX Originals'!N26</f>
        <v>15</v>
      </c>
      <c r="O27" s="178">
        <f>'MAX Originals'!O26</f>
        <v>0</v>
      </c>
      <c r="P27" s="178">
        <f>'MAX Originals'!P26</f>
        <v>0</v>
      </c>
    </row>
    <row r="28" spans="1:16" x14ac:dyDescent="0.25">
      <c r="A28" s="72" t="str">
        <f>'MAX Originals'!A27</f>
        <v>Runtime</v>
      </c>
      <c r="B28" s="72">
        <f>'MAX Originals'!B27</f>
        <v>15</v>
      </c>
      <c r="C28" s="73" t="str">
        <f>'MAX Originals'!C27</f>
        <v>Runtime</v>
      </c>
      <c r="D28" s="73">
        <f>'MAX Originals'!D27</f>
        <v>15</v>
      </c>
      <c r="E28" s="74" t="str">
        <f>'MAX Originals'!E27</f>
        <v>Runtime</v>
      </c>
      <c r="F28" s="74">
        <f>'MAX Originals'!F27</f>
        <v>15</v>
      </c>
      <c r="G28" s="75" t="str">
        <f>'MAX Originals'!G27</f>
        <v>Runtime</v>
      </c>
      <c r="H28" s="75">
        <f>'MAX Originals'!H27</f>
        <v>15</v>
      </c>
      <c r="I28" s="54" t="str">
        <f>'MAX Originals'!I27</f>
        <v>Runtime</v>
      </c>
      <c r="J28" s="54">
        <f>'MAX Originals'!J27</f>
        <v>15</v>
      </c>
      <c r="K28" s="66" t="str">
        <f>'MAX Originals'!K27</f>
        <v>Runtime</v>
      </c>
      <c r="L28" s="66">
        <f>'MAX Originals'!L27</f>
        <v>15</v>
      </c>
      <c r="M28" s="90" t="str">
        <f>'MAX Originals'!M27</f>
        <v>Runtime</v>
      </c>
      <c r="N28" s="90">
        <f>'MAX Originals'!N27</f>
        <v>15</v>
      </c>
      <c r="O28" s="178">
        <f>'MAX Originals'!O27</f>
        <v>0</v>
      </c>
      <c r="P28" s="178">
        <f>'MAX Originals'!P27</f>
        <v>0</v>
      </c>
    </row>
    <row r="29" spans="1:16" x14ac:dyDescent="0.25">
      <c r="A29" s="72" t="str">
        <f>'MAX Originals'!A28</f>
        <v>FGEN Soft Front Panel</v>
      </c>
      <c r="B29" s="72">
        <f>'MAX Originals'!B28</f>
        <v>15</v>
      </c>
      <c r="C29" s="73" t="str">
        <f>'MAX Originals'!C28</f>
        <v>FGEN Soft Front Panel</v>
      </c>
      <c r="D29" s="73">
        <f>'MAX Originals'!D28</f>
        <v>15</v>
      </c>
      <c r="E29" s="74" t="str">
        <f>'MAX Originals'!E28</f>
        <v>FGEN Soft Front Panel</v>
      </c>
      <c r="F29" s="74">
        <f>'MAX Originals'!F28</f>
        <v>15</v>
      </c>
      <c r="G29" s="75" t="str">
        <f>'MAX Originals'!G28</f>
        <v>FGEN Soft Front Panel</v>
      </c>
      <c r="H29" s="75">
        <f>'MAX Originals'!H28</f>
        <v>15</v>
      </c>
      <c r="I29" s="54" t="str">
        <f>'MAX Originals'!I28</f>
        <v>FGEN Soft Front Panel</v>
      </c>
      <c r="J29" s="54">
        <f>'MAX Originals'!J28</f>
        <v>15</v>
      </c>
      <c r="K29" s="66" t="str">
        <f>'MAX Originals'!K28</f>
        <v>FGEN Soft Front Panel</v>
      </c>
      <c r="L29" s="66">
        <f>'MAX Originals'!L28</f>
        <v>15</v>
      </c>
      <c r="M29" s="90" t="str">
        <f>'MAX Originals'!M28</f>
        <v>FGEN Soft Front Panel</v>
      </c>
      <c r="N29" s="90">
        <f>'MAX Originals'!N28</f>
        <v>15</v>
      </c>
      <c r="O29" s="178">
        <f>'MAX Originals'!O28</f>
        <v>0</v>
      </c>
      <c r="P29" s="178">
        <f>'MAX Originals'!P28</f>
        <v>0</v>
      </c>
    </row>
    <row r="30" spans="1:16" x14ac:dyDescent="0.25">
      <c r="A30" s="72" t="str">
        <f>'MAX Originals'!A29</f>
        <v>NI-488.2 Runtime</v>
      </c>
      <c r="B30" s="72" t="str">
        <f>'MAX Originals'!B29</f>
        <v>15.0.0</v>
      </c>
      <c r="C30" s="73" t="str">
        <f>'MAX Originals'!C29</f>
        <v>NI-488.2 Runtime</v>
      </c>
      <c r="D30" s="73" t="str">
        <f>'MAX Originals'!D29</f>
        <v>15.0.0</v>
      </c>
      <c r="E30" s="74" t="str">
        <f>'MAX Originals'!E29</f>
        <v>NI-488.2 Runtime</v>
      </c>
      <c r="F30" s="74" t="str">
        <f>'MAX Originals'!F29</f>
        <v>15.0.0</v>
      </c>
      <c r="G30" s="75" t="str">
        <f>'MAX Originals'!G29</f>
        <v>NI-488.2 Runtime</v>
      </c>
      <c r="H30" s="75" t="str">
        <f>'MAX Originals'!H29</f>
        <v>19.0.0</v>
      </c>
      <c r="I30" s="54" t="str">
        <f>'MAX Originals'!I29</f>
        <v>NI-488.2 Runtime</v>
      </c>
      <c r="J30" s="54" t="str">
        <f>'MAX Originals'!J29</f>
        <v>19.0.0</v>
      </c>
      <c r="K30" s="66" t="str">
        <f>'MAX Originals'!K29</f>
        <v>NI-488.2 Runtime</v>
      </c>
      <c r="L30" s="66" t="str">
        <f>'MAX Originals'!L29</f>
        <v>19.0.0</v>
      </c>
      <c r="M30" s="90" t="str">
        <f>'MAX Originals'!M29</f>
        <v>NI-488.2 Runtime</v>
      </c>
      <c r="N30" s="90" t="str">
        <f>'MAX Originals'!N29</f>
        <v>19.0.0</v>
      </c>
      <c r="O30" s="178">
        <f>'MAX Originals'!O29</f>
        <v>0</v>
      </c>
      <c r="P30" s="178">
        <f>'MAX Originals'!P29</f>
        <v>0</v>
      </c>
    </row>
    <row r="31" spans="1:16" x14ac:dyDescent="0.25">
      <c r="A31" s="72" t="str">
        <f>'MAX Originals'!A30</f>
        <v>NI-488.2</v>
      </c>
      <c r="B31" s="72" t="str">
        <f>'MAX Originals'!B30</f>
        <v>15.0.0</v>
      </c>
      <c r="C31" s="73" t="str">
        <f>'MAX Originals'!C30</f>
        <v>NI-488.2</v>
      </c>
      <c r="D31" s="73" t="str">
        <f>'MAX Originals'!D30</f>
        <v>15.0.0</v>
      </c>
      <c r="E31" s="74" t="str">
        <f>'MAX Originals'!E30</f>
        <v>NI-488.2</v>
      </c>
      <c r="F31" s="74" t="str">
        <f>'MAX Originals'!F30</f>
        <v>15.0.0</v>
      </c>
      <c r="G31" s="75" t="str">
        <f>'MAX Originals'!G30</f>
        <v>NI-488.2</v>
      </c>
      <c r="H31" s="75" t="str">
        <f>'MAX Originals'!H30</f>
        <v>15.0.0</v>
      </c>
      <c r="I31" s="54" t="str">
        <f>'MAX Originals'!I30</f>
        <v>NI-488.2</v>
      </c>
      <c r="J31" s="54" t="str">
        <f>'MAX Originals'!J30</f>
        <v>15.0.0</v>
      </c>
      <c r="K31" s="66" t="str">
        <f>'MAX Originals'!K30</f>
        <v>NI-488.2</v>
      </c>
      <c r="L31" s="66" t="str">
        <f>'MAX Originals'!L30</f>
        <v>15.0.0</v>
      </c>
      <c r="M31" s="90" t="str">
        <f>'MAX Originals'!M30</f>
        <v>NI-488.2</v>
      </c>
      <c r="N31" s="90" t="str">
        <f>'MAX Originals'!N30</f>
        <v>15.0.0</v>
      </c>
      <c r="O31" s="178">
        <f>'MAX Originals'!O30</f>
        <v>0</v>
      </c>
      <c r="P31" s="178">
        <f>'MAX Originals'!P30</f>
        <v>0</v>
      </c>
    </row>
    <row r="32" spans="1:16" x14ac:dyDescent="0.25">
      <c r="A32" s="72" t="str">
        <f>'MAX Originals'!A31</f>
        <v>NI I/O Trace</v>
      </c>
      <c r="B32" s="72" t="str">
        <f>'MAX Originals'!B31</f>
        <v>15.0.0f0</v>
      </c>
      <c r="C32" s="73" t="str">
        <f>'MAX Originals'!C31</f>
        <v>NI I/O Trace</v>
      </c>
      <c r="D32" s="73" t="str">
        <f>'MAX Originals'!D31</f>
        <v>15.0.0f0</v>
      </c>
      <c r="E32" s="74" t="str">
        <f>'MAX Originals'!E31</f>
        <v>NI I/O Trace</v>
      </c>
      <c r="F32" s="74" t="str">
        <f>'MAX Originals'!F31</f>
        <v>15.0.0f0</v>
      </c>
      <c r="G32" s="75" t="str">
        <f>'MAX Originals'!G39</f>
        <v>NI I/O Trace</v>
      </c>
      <c r="H32" s="75" t="str">
        <f>'MAX Originals'!H39</f>
        <v>19.0.0f0</v>
      </c>
      <c r="I32" s="54" t="str">
        <f>'MAX Originals'!I39</f>
        <v>NI I/O Trace</v>
      </c>
      <c r="J32" s="54" t="str">
        <f>'MAX Originals'!J39</f>
        <v>19.0.0f0</v>
      </c>
      <c r="K32" s="66" t="str">
        <f>'MAX Originals'!K39</f>
        <v>NI I/O Trace</v>
      </c>
      <c r="L32" s="66" t="str">
        <f>'MAX Originals'!L39</f>
        <v>19.0.0f0</v>
      </c>
      <c r="M32" s="90" t="str">
        <f>'MAX Originals'!M39</f>
        <v>NI I/O Trace</v>
      </c>
      <c r="N32" s="90" t="str">
        <f>'MAX Originals'!N39</f>
        <v>19.0.0f0</v>
      </c>
      <c r="O32" s="178">
        <f>'MAX Originals'!O39</f>
        <v>0</v>
      </c>
      <c r="P32" s="178">
        <f>'MAX Originals'!P39</f>
        <v>0</v>
      </c>
    </row>
    <row r="33" spans="1:16" x14ac:dyDescent="0.25">
      <c r="A33" s="72" t="str">
        <f>'MAX Originals'!A32</f>
        <v>IVI Compliance Package</v>
      </c>
      <c r="B33" s="72">
        <f>'MAX Originals'!B32</f>
        <v>15</v>
      </c>
      <c r="C33" s="73" t="str">
        <f>'MAX Originals'!C32</f>
        <v>IVI Compliance Package</v>
      </c>
      <c r="D33" s="73">
        <f>'MAX Originals'!D32</f>
        <v>15</v>
      </c>
      <c r="E33" s="74" t="str">
        <f>'MAX Originals'!E32</f>
        <v>IVI Compliance Package</v>
      </c>
      <c r="F33" s="74">
        <f>'MAX Originals'!F32</f>
        <v>15</v>
      </c>
      <c r="G33" s="75" t="str">
        <f>'MAX Originals'!G40</f>
        <v>IVI Compliance Package</v>
      </c>
      <c r="H33" s="75">
        <f>'MAX Originals'!H40</f>
        <v>15</v>
      </c>
      <c r="I33" s="54" t="str">
        <f>'MAX Originals'!I40</f>
        <v>IVI Compliance Package</v>
      </c>
      <c r="J33" s="54">
        <f>'MAX Originals'!J40</f>
        <v>15</v>
      </c>
      <c r="K33" s="66" t="str">
        <f>'MAX Originals'!K40</f>
        <v>IVI Compliance Package</v>
      </c>
      <c r="L33" s="66">
        <f>'MAX Originals'!L40</f>
        <v>15</v>
      </c>
      <c r="M33" s="90" t="str">
        <f>'MAX Originals'!M40</f>
        <v>IVI Compliance Package</v>
      </c>
      <c r="N33" s="90">
        <f>'MAX Originals'!N40</f>
        <v>15</v>
      </c>
      <c r="O33" s="178">
        <f>'MAX Originals'!O40</f>
        <v>0</v>
      </c>
      <c r="P33" s="178">
        <f>'MAX Originals'!P40</f>
        <v>0</v>
      </c>
    </row>
    <row r="34" spans="1:16" x14ac:dyDescent="0.25">
      <c r="A34" s="72" t="str">
        <f>'MAX Originals'!A33</f>
        <v>LabVIEW</v>
      </c>
      <c r="B34" s="72" t="str">
        <f>'MAX Originals'!B33</f>
        <v>15.0.0</v>
      </c>
      <c r="C34" s="73" t="str">
        <f>'MAX Originals'!C33</f>
        <v>LabVIEW</v>
      </c>
      <c r="D34" s="73" t="str">
        <f>'MAX Originals'!D33</f>
        <v>15.0.1</v>
      </c>
      <c r="E34" s="74" t="str">
        <f>'MAX Originals'!E80</f>
        <v>LabVIEW</v>
      </c>
      <c r="F34" s="74" t="str">
        <f>'MAX Originals'!F80</f>
        <v>15.0.1</v>
      </c>
      <c r="G34" s="75" t="str">
        <f>'MAX Originals'!G94</f>
        <v>LabVIEW</v>
      </c>
      <c r="H34" s="75" t="str">
        <f>'MAX Originals'!H94</f>
        <v>15.0.1</v>
      </c>
      <c r="I34" s="54" t="str">
        <f>'MAX Originals'!I95</f>
        <v>LabVIEW</v>
      </c>
      <c r="J34" s="54" t="str">
        <f>'MAX Originals'!J95</f>
        <v>15.0.1</v>
      </c>
      <c r="K34" s="66" t="str">
        <f>'MAX Originals'!K95</f>
        <v>LabVIEW</v>
      </c>
      <c r="L34" s="66" t="str">
        <f>'MAX Originals'!L95</f>
        <v>15.0.1</v>
      </c>
      <c r="M34" s="90" t="str">
        <f>'MAX Originals'!M95</f>
        <v>LabVIEW</v>
      </c>
      <c r="N34" s="90" t="str">
        <f>'MAX Originals'!N95</f>
        <v>15.0.1</v>
      </c>
      <c r="O34" s="178">
        <f>'MAX Originals'!O95</f>
        <v>0</v>
      </c>
      <c r="P34" s="178">
        <f>'MAX Originals'!P95</f>
        <v>0</v>
      </c>
    </row>
    <row r="35" spans="1:16" ht="30" x14ac:dyDescent="0.25">
      <c r="A35" s="72" t="str">
        <f>'MAX Originals'!A34</f>
        <v>Advanced Signal Processing Toolkit</v>
      </c>
      <c r="B35" s="72" t="str">
        <f>'MAX Originals'!B34</f>
        <v>15.0.0</v>
      </c>
      <c r="C35" s="73" t="str">
        <f>'MAX Originals'!C34</f>
        <v>Advanced Signal Processing Toolkit</v>
      </c>
      <c r="D35" s="73" t="str">
        <f>'MAX Originals'!D34</f>
        <v>15.0.0</v>
      </c>
      <c r="E35" s="74" t="str">
        <f>'MAX Originals'!E81</f>
        <v>Advanced Signal Processing Toolkit</v>
      </c>
      <c r="F35" s="74" t="str">
        <f>'MAX Originals'!F81</f>
        <v>15.0.0</v>
      </c>
      <c r="G35" s="75" t="str">
        <f>'MAX Originals'!G95</f>
        <v>Advanced Signal Processing Toolkit</v>
      </c>
      <c r="H35" s="75" t="str">
        <f>'MAX Originals'!H95</f>
        <v>15.0.0</v>
      </c>
      <c r="I35" s="54" t="str">
        <f>'MAX Originals'!I96</f>
        <v>Advanced Signal Processing Toolkit</v>
      </c>
      <c r="J35" s="54" t="str">
        <f>'MAX Originals'!J96</f>
        <v>15.0.0</v>
      </c>
      <c r="K35" s="66" t="str">
        <f>'MAX Originals'!K96</f>
        <v>Advanced Signal Processing Toolkit</v>
      </c>
      <c r="L35" s="66" t="str">
        <f>'MAX Originals'!L96</f>
        <v>15.0.0</v>
      </c>
      <c r="M35" s="90" t="str">
        <f>'MAX Originals'!M96</f>
        <v>Advanced Signal Processing Toolkit</v>
      </c>
      <c r="N35" s="90" t="str">
        <f>'MAX Originals'!N96</f>
        <v>15.0.0</v>
      </c>
      <c r="O35" s="178">
        <f>'MAX Originals'!O96</f>
        <v>0</v>
      </c>
      <c r="P35" s="178">
        <f>'MAX Originals'!P96</f>
        <v>0</v>
      </c>
    </row>
    <row r="36" spans="1:16" x14ac:dyDescent="0.25">
      <c r="A36" s="72" t="str">
        <f>'MAX Originals'!A35</f>
        <v>Database Connectivity Toolkit</v>
      </c>
      <c r="B36" s="72" t="str">
        <f>'MAX Originals'!B35</f>
        <v>15.0.0</v>
      </c>
      <c r="C36" s="73" t="str">
        <f>'MAX Originals'!C35</f>
        <v>Database Connectivity Toolkit</v>
      </c>
      <c r="D36" s="73" t="str">
        <f>'MAX Originals'!D35</f>
        <v>15.0.0</v>
      </c>
      <c r="E36" s="74" t="str">
        <f>'MAX Originals'!E82</f>
        <v>Database Connectivity Toolkit</v>
      </c>
      <c r="F36" s="74" t="str">
        <f>'MAX Originals'!F82</f>
        <v>15.0.0</v>
      </c>
      <c r="G36" s="75" t="str">
        <f>'MAX Originals'!G96</f>
        <v>Database Connectivity Toolkit</v>
      </c>
      <c r="H36" s="75" t="str">
        <f>'MAX Originals'!H96</f>
        <v>15.0.0</v>
      </c>
      <c r="I36" s="54" t="str">
        <f>'MAX Originals'!I97</f>
        <v>Database Connectivity Toolkit</v>
      </c>
      <c r="J36" s="54" t="str">
        <f>'MAX Originals'!J97</f>
        <v>15.0.0</v>
      </c>
      <c r="K36" s="66" t="str">
        <f>'MAX Originals'!K97</f>
        <v>Database Connectivity Toolkit</v>
      </c>
      <c r="L36" s="66" t="str">
        <f>'MAX Originals'!L97</f>
        <v>15.0.0</v>
      </c>
      <c r="M36" s="90" t="str">
        <f>'MAX Originals'!M97</f>
        <v>Database Connectivity Toolkit</v>
      </c>
      <c r="N36" s="90" t="str">
        <f>'MAX Originals'!N97</f>
        <v>15.0.0</v>
      </c>
      <c r="O36" s="178">
        <f>'MAX Originals'!O97</f>
        <v>0</v>
      </c>
      <c r="P36" s="178">
        <f>'MAX Originals'!P97</f>
        <v>0</v>
      </c>
    </row>
    <row r="37" spans="1:16" x14ac:dyDescent="0.25">
      <c r="A37" s="72" t="str">
        <f>'MAX Originals'!A36</f>
        <v>DataFinder Toolkit</v>
      </c>
      <c r="B37" s="72" t="str">
        <f>'MAX Originals'!B36</f>
        <v>15.0.06020</v>
      </c>
      <c r="C37" s="73" t="str">
        <f>'MAX Originals'!C36</f>
        <v>DataFinder Toolkit</v>
      </c>
      <c r="D37" s="73" t="str">
        <f>'MAX Originals'!D36</f>
        <v>15.0.06020</v>
      </c>
      <c r="E37" s="74" t="str">
        <f>'MAX Originals'!E83</f>
        <v>DataFinder Toolkit</v>
      </c>
      <c r="F37" s="74" t="str">
        <f>'MAX Originals'!F83</f>
        <v>15.0.06020</v>
      </c>
      <c r="G37" s="75" t="str">
        <f>'MAX Originals'!G97</f>
        <v>DataFinder Toolkit</v>
      </c>
      <c r="H37" s="75" t="str">
        <f>'MAX Originals'!H97</f>
        <v>15.0.06020</v>
      </c>
      <c r="I37" s="54" t="str">
        <f>'MAX Originals'!I98</f>
        <v>DataFinder Toolkit</v>
      </c>
      <c r="J37" s="54" t="str">
        <f>'MAX Originals'!J98</f>
        <v>15.0.06020</v>
      </c>
      <c r="K37" s="66" t="str">
        <f>'MAX Originals'!K98</f>
        <v>DataFinder Toolkit</v>
      </c>
      <c r="L37" s="66" t="str">
        <f>'MAX Originals'!L98</f>
        <v>15.0.06020</v>
      </c>
      <c r="M37" s="90" t="str">
        <f>'MAX Originals'!M98</f>
        <v>DataFinder Toolkit</v>
      </c>
      <c r="N37" s="90" t="str">
        <f>'MAX Originals'!N98</f>
        <v>15.0.06020</v>
      </c>
      <c r="O37" s="178">
        <f>'MAX Originals'!O98</f>
        <v>0</v>
      </c>
      <c r="P37" s="178">
        <f>'MAX Originals'!P98</f>
        <v>0</v>
      </c>
    </row>
    <row r="38" spans="1:16" x14ac:dyDescent="0.25">
      <c r="A38" s="72" t="str">
        <f>'MAX Originals'!A37</f>
        <v>Digital Filter Design Toolkit</v>
      </c>
      <c r="B38" s="72" t="str">
        <f>'MAX Originals'!B37</f>
        <v>15.0.0</v>
      </c>
      <c r="C38" s="73" t="str">
        <f>'MAX Originals'!C37</f>
        <v>Digital Filter Design Toolkit</v>
      </c>
      <c r="D38" s="73" t="str">
        <f>'MAX Originals'!D37</f>
        <v>15.0.0</v>
      </c>
      <c r="E38" s="74" t="str">
        <f>'MAX Originals'!E84</f>
        <v>Digital Filter Design Toolkit</v>
      </c>
      <c r="F38" s="74" t="str">
        <f>'MAX Originals'!F84</f>
        <v>15.0.0</v>
      </c>
      <c r="G38" s="75" t="str">
        <f>'MAX Originals'!G98</f>
        <v>Digital Filter Design Toolkit</v>
      </c>
      <c r="H38" s="75" t="str">
        <f>'MAX Originals'!H98</f>
        <v>15.0.0</v>
      </c>
      <c r="I38" s="54" t="str">
        <f>'MAX Originals'!I99</f>
        <v>Digital Filter Design Toolkit</v>
      </c>
      <c r="J38" s="54" t="str">
        <f>'MAX Originals'!J99</f>
        <v>15.0.0</v>
      </c>
      <c r="K38" s="66" t="str">
        <f>'MAX Originals'!K99</f>
        <v>Digital Filter Design Toolkit</v>
      </c>
      <c r="L38" s="66" t="str">
        <f>'MAX Originals'!L99</f>
        <v>15.0.0</v>
      </c>
      <c r="M38" s="90" t="str">
        <f>'MAX Originals'!M99</f>
        <v>Digital Filter Design Toolkit</v>
      </c>
      <c r="N38" s="90" t="str">
        <f>'MAX Originals'!N99</f>
        <v>15.0.0</v>
      </c>
      <c r="O38" s="178">
        <f>'MAX Originals'!O99</f>
        <v>0</v>
      </c>
      <c r="P38" s="178">
        <f>'MAX Originals'!P99</f>
        <v>0</v>
      </c>
    </row>
    <row r="39" spans="1:16" x14ac:dyDescent="0.25">
      <c r="A39" s="72" t="str">
        <f>'MAX Originals'!A38</f>
        <v>MathScript RT Module</v>
      </c>
      <c r="B39" s="72" t="str">
        <f>'MAX Originals'!B38</f>
        <v>15.0.0</v>
      </c>
      <c r="C39" s="73" t="str">
        <f>'MAX Originals'!C38</f>
        <v>MathScript RT Module</v>
      </c>
      <c r="D39" s="73" t="str">
        <f>'MAX Originals'!D38</f>
        <v>15.0.0</v>
      </c>
      <c r="E39" s="74" t="str">
        <f>'MAX Originals'!E85</f>
        <v>MathScript RT Module</v>
      </c>
      <c r="F39" s="74" t="str">
        <f>'MAX Originals'!F85</f>
        <v>15.0.0</v>
      </c>
      <c r="G39" s="75" t="str">
        <f>'MAX Originals'!G99</f>
        <v>MathScript RT Module</v>
      </c>
      <c r="H39" s="75" t="str">
        <f>'MAX Originals'!H99</f>
        <v>15.0.0</v>
      </c>
      <c r="I39" s="54" t="str">
        <f>'MAX Originals'!I100</f>
        <v>MathScript RT Module</v>
      </c>
      <c r="J39" s="54" t="str">
        <f>'MAX Originals'!J100</f>
        <v>15.0.0</v>
      </c>
      <c r="K39" s="66" t="str">
        <f>'MAX Originals'!K100</f>
        <v>MathScript RT Module</v>
      </c>
      <c r="L39" s="66" t="str">
        <f>'MAX Originals'!L100</f>
        <v>15.0.0</v>
      </c>
      <c r="M39" s="90" t="str">
        <f>'MAX Originals'!M100</f>
        <v>MathScript RT Module</v>
      </c>
      <c r="N39" s="90" t="str">
        <f>'MAX Originals'!N100</f>
        <v>15.0.0</v>
      </c>
      <c r="O39" s="178">
        <f>'MAX Originals'!O100</f>
        <v>0</v>
      </c>
      <c r="P39" s="178">
        <f>'MAX Originals'!P100</f>
        <v>0</v>
      </c>
    </row>
    <row r="40" spans="1:16" x14ac:dyDescent="0.25">
      <c r="A40" s="72" t="str">
        <f>'MAX Originals'!A39</f>
        <v>Real-Time</v>
      </c>
      <c r="B40" s="72" t="str">
        <f>'MAX Originals'!B39</f>
        <v>15.0.0</v>
      </c>
      <c r="C40" s="73" t="str">
        <f>'MAX Originals'!C39</f>
        <v>Real-Time</v>
      </c>
      <c r="D40" s="73" t="str">
        <f>'MAX Originals'!D39</f>
        <v>15.0.0</v>
      </c>
      <c r="E40" s="74" t="str">
        <f>'MAX Originals'!E86</f>
        <v>Real-Time</v>
      </c>
      <c r="F40" s="74" t="str">
        <f>'MAX Originals'!F86</f>
        <v>15.0.1</v>
      </c>
      <c r="G40" s="75" t="str">
        <f>'MAX Originals'!G100</f>
        <v>Real-Time</v>
      </c>
      <c r="H40" s="75" t="str">
        <f>'MAX Originals'!H100</f>
        <v>15.0.1</v>
      </c>
      <c r="I40" s="54" t="str">
        <f>'MAX Originals'!I101</f>
        <v>Real-Time</v>
      </c>
      <c r="J40" s="54" t="str">
        <f>'MAX Originals'!J101</f>
        <v>15.0.1</v>
      </c>
      <c r="K40" s="66" t="str">
        <f>'MAX Originals'!K101</f>
        <v>Real-Time</v>
      </c>
      <c r="L40" s="66" t="str">
        <f>'MAX Originals'!L101</f>
        <v>15.0.1</v>
      </c>
      <c r="M40" s="90" t="str">
        <f>'MAX Originals'!M101</f>
        <v>Real-Time</v>
      </c>
      <c r="N40" s="90" t="str">
        <f>'MAX Originals'!N101</f>
        <v>15.0.1</v>
      </c>
      <c r="O40" s="178">
        <f>'MAX Originals'!O101</f>
        <v>0</v>
      </c>
      <c r="P40" s="178">
        <f>'MAX Originals'!P101</f>
        <v>0</v>
      </c>
    </row>
    <row r="41" spans="1:16" ht="30" x14ac:dyDescent="0.25">
      <c r="A41" s="72" t="str">
        <f>'MAX Originals'!A40</f>
        <v>Real-Time Trace Viewer - LabVIEW 2015 Support</v>
      </c>
      <c r="B41" s="72" t="str">
        <f>'MAX Originals'!B40</f>
        <v>15.0.0</v>
      </c>
      <c r="C41" s="73" t="str">
        <f>'MAX Originals'!C40</f>
        <v>Real-Time Trace Viewer - LabVIEW 2015 Support</v>
      </c>
      <c r="D41" s="73" t="str">
        <f>'MAX Originals'!D40</f>
        <v>15.0.0</v>
      </c>
      <c r="E41" s="74" t="str">
        <f>'MAX Originals'!E87</f>
        <v>Real-Time Trace Viewer - LabVIEW 2015 Support</v>
      </c>
      <c r="F41" s="74" t="str">
        <f>'MAX Originals'!F87</f>
        <v>15.0.1</v>
      </c>
      <c r="G41" s="75" t="str">
        <f>'MAX Originals'!G101</f>
        <v>Real-Time Trace Viewer - LabVIEW 2015 Support</v>
      </c>
      <c r="H41" s="75" t="str">
        <f>'MAX Originals'!H101</f>
        <v>15.0.1</v>
      </c>
      <c r="I41" s="54" t="str">
        <f>'MAX Originals'!I102</f>
        <v>Real-Time Trace Viewer - LabVIEW 2015 Support</v>
      </c>
      <c r="J41" s="54" t="str">
        <f>'MAX Originals'!J102</f>
        <v>15.0.1</v>
      </c>
      <c r="K41" s="66" t="str">
        <f>'MAX Originals'!K102</f>
        <v>Real-Time Trace Viewer - LabVIEW 2015 Support</v>
      </c>
      <c r="L41" s="66" t="str">
        <f>'MAX Originals'!L102</f>
        <v>15.0.1</v>
      </c>
      <c r="M41" s="90" t="str">
        <f>'MAX Originals'!M102</f>
        <v>Real-Time Trace Viewer - LabVIEW 2015 Support</v>
      </c>
      <c r="N41" s="90" t="str">
        <f>'MAX Originals'!N102</f>
        <v>15.0.1</v>
      </c>
      <c r="O41" s="178">
        <f>'MAX Originals'!O102</f>
        <v>0</v>
      </c>
      <c r="P41" s="178">
        <f>'MAX Originals'!P102</f>
        <v>0</v>
      </c>
    </row>
    <row r="42" spans="1:16" ht="30" x14ac:dyDescent="0.25">
      <c r="A42" s="72" t="str">
        <f>'MAX Originals'!A41</f>
        <v>Report Generation Toolkit For Microsoft Office</v>
      </c>
      <c r="B42" s="72" t="str">
        <f>'MAX Originals'!B41</f>
        <v>15.0.0</v>
      </c>
      <c r="C42" s="73" t="str">
        <f>'MAX Originals'!C41</f>
        <v>Report Generation Toolkit For Microsoft Office</v>
      </c>
      <c r="D42" s="73" t="str">
        <f>'MAX Originals'!D41</f>
        <v>15.0.0</v>
      </c>
      <c r="E42" s="74" t="str">
        <f>'MAX Originals'!E88</f>
        <v>Report Generation Toolkit For Microsoft Office</v>
      </c>
      <c r="F42" s="74" t="str">
        <f>'MAX Originals'!F88</f>
        <v>15.0.0</v>
      </c>
      <c r="G42" s="75" t="str">
        <f>'MAX Originals'!G102</f>
        <v>Report Generation Toolkit For Microsoft Office</v>
      </c>
      <c r="H42" s="75" t="str">
        <f>'MAX Originals'!H102</f>
        <v>15.0.0</v>
      </c>
      <c r="I42" s="54" t="str">
        <f>'MAX Originals'!I103</f>
        <v>Report Generation Toolkit For Microsoft Office</v>
      </c>
      <c r="J42" s="54" t="str">
        <f>'MAX Originals'!J103</f>
        <v>15.0.0</v>
      </c>
      <c r="K42" s="66" t="str">
        <f>'MAX Originals'!K103</f>
        <v>Report Generation Toolkit For Microsoft Office</v>
      </c>
      <c r="L42" s="66" t="str">
        <f>'MAX Originals'!L103</f>
        <v>15.0.0</v>
      </c>
      <c r="M42" s="90" t="str">
        <f>'MAX Originals'!M103</f>
        <v>Report Generation Toolkit For Microsoft Office</v>
      </c>
      <c r="N42" s="90" t="str">
        <f>'MAX Originals'!N103</f>
        <v>15.0.0</v>
      </c>
      <c r="O42" s="178">
        <f>'MAX Originals'!O103</f>
        <v>0</v>
      </c>
      <c r="P42" s="178">
        <f>'MAX Originals'!P103</f>
        <v>0</v>
      </c>
    </row>
    <row r="43" spans="1:16" x14ac:dyDescent="0.25">
      <c r="A43" s="72" t="str">
        <f>'MAX Originals'!A42</f>
        <v>Statechart Module</v>
      </c>
      <c r="B43" s="72">
        <f>'MAX Originals'!B42</f>
        <v>15</v>
      </c>
      <c r="C43" s="73" t="str">
        <f>'MAX Originals'!C42</f>
        <v>Statechart Module</v>
      </c>
      <c r="D43" s="73">
        <f>'MAX Originals'!D42</f>
        <v>15</v>
      </c>
      <c r="E43" s="74" t="str">
        <f>'MAX Originals'!E89</f>
        <v>Statechart Module</v>
      </c>
      <c r="F43" s="74">
        <f>'MAX Originals'!F89</f>
        <v>15</v>
      </c>
      <c r="G43" s="75" t="str">
        <f>'MAX Originals'!G103</f>
        <v>Statechart Module</v>
      </c>
      <c r="H43" s="75">
        <f>'MAX Originals'!H103</f>
        <v>15</v>
      </c>
      <c r="I43" s="54" t="str">
        <f>'MAX Originals'!I104</f>
        <v>Statechart Module</v>
      </c>
      <c r="J43" s="54">
        <f>'MAX Originals'!J104</f>
        <v>15</v>
      </c>
      <c r="K43" s="66" t="str">
        <f>'MAX Originals'!K104</f>
        <v>Statechart Module</v>
      </c>
      <c r="L43" s="66">
        <f>'MAX Originals'!L104</f>
        <v>15</v>
      </c>
      <c r="M43" s="90" t="str">
        <f>'MAX Originals'!M104</f>
        <v>Statechart Module</v>
      </c>
      <c r="N43" s="90">
        <f>'MAX Originals'!N104</f>
        <v>15</v>
      </c>
      <c r="O43" s="178">
        <f>'MAX Originals'!O104</f>
        <v>0</v>
      </c>
      <c r="P43" s="178">
        <f>'MAX Originals'!P104</f>
        <v>0</v>
      </c>
    </row>
    <row r="44" spans="1:16" x14ac:dyDescent="0.25">
      <c r="A44" s="72" t="str">
        <f>'MAX Originals'!A43</f>
        <v>Unit Test Framework Toolkit</v>
      </c>
      <c r="B44" s="72" t="str">
        <f>'MAX Originals'!B43</f>
        <v>15.0.0</v>
      </c>
      <c r="C44" s="73" t="str">
        <f>'MAX Originals'!C43</f>
        <v>Unit Test Framework Toolkit</v>
      </c>
      <c r="D44" s="73" t="str">
        <f>'MAX Originals'!D43</f>
        <v>15.0.0</v>
      </c>
      <c r="E44" s="74" t="str">
        <f>'MAX Originals'!E90</f>
        <v>Unit Test Framework Toolkit</v>
      </c>
      <c r="F44" s="74" t="str">
        <f>'MAX Originals'!F90</f>
        <v>15.0.0</v>
      </c>
      <c r="G44" s="75" t="str">
        <f>'MAX Originals'!G104</f>
        <v>Unit Test Framework Toolkit</v>
      </c>
      <c r="H44" s="75" t="str">
        <f>'MAX Originals'!H104</f>
        <v>15.0.0</v>
      </c>
      <c r="I44" s="54" t="str">
        <f>'MAX Originals'!I105</f>
        <v>Unit Test Framework Toolkit</v>
      </c>
      <c r="J44" s="54" t="str">
        <f>'MAX Originals'!J105</f>
        <v>15.0.0</v>
      </c>
      <c r="K44" s="66" t="str">
        <f>'MAX Originals'!K105</f>
        <v>Unit Test Framework Toolkit</v>
      </c>
      <c r="L44" s="66" t="str">
        <f>'MAX Originals'!L105</f>
        <v>15.0.0</v>
      </c>
      <c r="M44" s="90" t="str">
        <f>'MAX Originals'!M105</f>
        <v>Unit Test Framework Toolkit</v>
      </c>
      <c r="N44" s="90" t="str">
        <f>'MAX Originals'!N105</f>
        <v>15.0.0</v>
      </c>
      <c r="O44" s="178">
        <f>'MAX Originals'!O105</f>
        <v>0</v>
      </c>
      <c r="P44" s="178">
        <f>'MAX Originals'!P105</f>
        <v>0</v>
      </c>
    </row>
    <row r="45" spans="1:16" x14ac:dyDescent="0.25">
      <c r="A45" s="72" t="str">
        <f>'MAX Originals'!A44</f>
        <v>VI Analyzer Toolkit</v>
      </c>
      <c r="B45" s="72" t="str">
        <f>'MAX Originals'!B44</f>
        <v>15.0.0</v>
      </c>
      <c r="C45" s="73" t="str">
        <f>'MAX Originals'!C44</f>
        <v>VI Analyzer Toolkit</v>
      </c>
      <c r="D45" s="73" t="str">
        <f>'MAX Originals'!D44</f>
        <v>15.0.0</v>
      </c>
      <c r="E45" s="74" t="str">
        <f>'MAX Originals'!E91</f>
        <v>VI Analyzer Toolkit</v>
      </c>
      <c r="F45" s="74" t="str">
        <f>'MAX Originals'!F91</f>
        <v>15.0.0</v>
      </c>
      <c r="G45" s="75" t="str">
        <f>'MAX Originals'!G105</f>
        <v>VI Analyzer Toolkit</v>
      </c>
      <c r="H45" s="75" t="str">
        <f>'MAX Originals'!H105</f>
        <v>15.0.0</v>
      </c>
      <c r="I45" s="54" t="str">
        <f>'MAX Originals'!I106</f>
        <v>VI Analyzer Toolkit</v>
      </c>
      <c r="J45" s="54" t="str">
        <f>'MAX Originals'!J106</f>
        <v>15.0.0</v>
      </c>
      <c r="K45" s="66" t="str">
        <f>'MAX Originals'!K106</f>
        <v>VI Analyzer Toolkit</v>
      </c>
      <c r="L45" s="66" t="str">
        <f>'MAX Originals'!L106</f>
        <v>15.0.0</v>
      </c>
      <c r="M45" s="90" t="str">
        <f>'MAX Originals'!M106</f>
        <v>VI Analyzer Toolkit</v>
      </c>
      <c r="N45" s="90" t="str">
        <f>'MAX Originals'!N106</f>
        <v>15.0.0</v>
      </c>
      <c r="O45" s="178">
        <f>'MAX Originals'!O106</f>
        <v>0</v>
      </c>
      <c r="P45" s="178">
        <f>'MAX Originals'!P106</f>
        <v>0</v>
      </c>
    </row>
    <row r="46" spans="1:16" x14ac:dyDescent="0.25">
      <c r="A46" s="72" t="str">
        <f>'MAX Originals'!A45</f>
        <v>LabVIEW 2015 (64-bit)</v>
      </c>
      <c r="B46" s="72" t="str">
        <f>'MAX Originals'!B45</f>
        <v>15.0.0</v>
      </c>
      <c r="C46" s="73" t="str">
        <f>'MAX Originals'!C45</f>
        <v>LabVIEW 2015 (64-bit)</v>
      </c>
      <c r="D46" s="73" t="str">
        <f>'MAX Originals'!D45</f>
        <v>15.0.0</v>
      </c>
      <c r="E46" s="74" t="str">
        <f>'MAX Originals'!E33</f>
        <v>LabVIEW 2015 (64-bit)</v>
      </c>
      <c r="F46" s="74" t="str">
        <f>'MAX Originals'!F33</f>
        <v>15.0.0</v>
      </c>
      <c r="G46" s="75" t="str">
        <f>'MAX Originals'!G41</f>
        <v>LabVIEW 2015 (64-bit)</v>
      </c>
      <c r="H46" s="75" t="str">
        <f>'MAX Originals'!H41</f>
        <v>15.0.0</v>
      </c>
      <c r="I46" s="54" t="str">
        <f>'MAX Originals'!I41</f>
        <v>LabVIEW 2015 (64-bit)</v>
      </c>
      <c r="J46" s="54" t="str">
        <f>'MAX Originals'!J41</f>
        <v>15.0.0</v>
      </c>
      <c r="K46" s="66" t="str">
        <f>'MAX Originals'!K41</f>
        <v>LabVIEW 2015 (64-bit)</v>
      </c>
      <c r="L46" s="66" t="str">
        <f>'MAX Originals'!L41</f>
        <v>15.0.0</v>
      </c>
      <c r="M46" s="90" t="str">
        <f>'MAX Originals'!M41</f>
        <v>LabVIEW 2015 (64-bit)</v>
      </c>
      <c r="N46" s="90" t="str">
        <f>'MAX Originals'!N41</f>
        <v>15.0.0</v>
      </c>
      <c r="O46" s="178">
        <f>'MAX Originals'!O41</f>
        <v>0</v>
      </c>
      <c r="P46" s="178">
        <f>'MAX Originals'!P41</f>
        <v>0</v>
      </c>
    </row>
    <row r="47" spans="1:16" x14ac:dyDescent="0.25">
      <c r="A47" s="72" t="str">
        <f>'MAX Originals'!A46</f>
        <v>LabVIEW Run-Time 2012 SP1 f9</v>
      </c>
      <c r="B47" s="72" t="str">
        <f>'MAX Originals'!B46</f>
        <v>12.0.1</v>
      </c>
      <c r="C47" s="73" t="str">
        <f>'MAX Originals'!C46</f>
        <v>LabVIEW Runtime 2012 SP1 f9</v>
      </c>
      <c r="D47" s="73" t="str">
        <f>'MAX Originals'!D46</f>
        <v>12.0.1</v>
      </c>
      <c r="E47" s="74" t="str">
        <f>'MAX Originals'!E34</f>
        <v>LabVIEW Runtime 2012 SP1 f9</v>
      </c>
      <c r="F47" s="74" t="str">
        <f>'MAX Originals'!F34</f>
        <v>12.0.1</v>
      </c>
      <c r="G47" s="75" t="str">
        <f>'MAX Originals'!G42</f>
        <v>LabVIEW Runtime 2012 SP1 f9</v>
      </c>
      <c r="H47" s="75" t="str">
        <f>'MAX Originals'!H42</f>
        <v>12.0.1</v>
      </c>
      <c r="I47" s="54" t="str">
        <f>'MAX Originals'!I42</f>
        <v>LabVIEW Runtime 2012 SP1 f9</v>
      </c>
      <c r="J47" s="54" t="str">
        <f>'MAX Originals'!J42</f>
        <v>12.0.1</v>
      </c>
      <c r="K47" s="66" t="str">
        <f>'MAX Originals'!K42</f>
        <v>LabVIEW Runtime 2012 SP1 f9</v>
      </c>
      <c r="L47" s="66" t="str">
        <f>'MAX Originals'!L42</f>
        <v>12.0.1</v>
      </c>
      <c r="M47" s="90" t="str">
        <f>'MAX Originals'!M42</f>
        <v>LabVIEW Runtime 2012 SP1 f9</v>
      </c>
      <c r="N47" s="90" t="str">
        <f>'MAX Originals'!N42</f>
        <v>12.0.1</v>
      </c>
      <c r="O47" s="178">
        <f>'MAX Originals'!O42</f>
        <v>0</v>
      </c>
      <c r="P47" s="178">
        <f>'MAX Originals'!P42</f>
        <v>0</v>
      </c>
    </row>
    <row r="48" spans="1:16" ht="30" x14ac:dyDescent="0.25">
      <c r="A48" s="72" t="str">
        <f>'MAX Originals'!A47</f>
        <v>LabVIEW Runtime 2012 SP1 f9 (64-bit)</v>
      </c>
      <c r="B48" s="72" t="str">
        <f>'MAX Originals'!B47</f>
        <v>12.0.1</v>
      </c>
      <c r="C48" s="73" t="str">
        <f>'MAX Originals'!C47</f>
        <v>LabVIEW Runtime 2012 SP1 f9 (64-bit)</v>
      </c>
      <c r="D48" s="73" t="str">
        <f>'MAX Originals'!D47</f>
        <v>12.0.1</v>
      </c>
      <c r="E48" s="74" t="str">
        <f>'MAX Originals'!E35</f>
        <v>LabVIEW Runtime 2012 SP1 f9 (64-bit)</v>
      </c>
      <c r="F48" s="74" t="str">
        <f>'MAX Originals'!F35</f>
        <v>12.0.1</v>
      </c>
      <c r="G48" s="75" t="str">
        <f>'MAX Originals'!G43</f>
        <v>LabVIEW Runtime 2012 SP1 f9 (64-bit)</v>
      </c>
      <c r="H48" s="75" t="str">
        <f>'MAX Originals'!H43</f>
        <v>12.0.1</v>
      </c>
      <c r="I48" s="54" t="str">
        <f>'MAX Originals'!I43</f>
        <v>LabVIEW Runtime 2012 SP1 f9 (64-bit)</v>
      </c>
      <c r="J48" s="54" t="str">
        <f>'MAX Originals'!J43</f>
        <v>12.0.1</v>
      </c>
      <c r="K48" s="66" t="str">
        <f>'MAX Originals'!K43</f>
        <v>LabVIEW Runtime 2012 SP1 f9 (64-bit)</v>
      </c>
      <c r="L48" s="66" t="str">
        <f>'MAX Originals'!L43</f>
        <v>12.0.1</v>
      </c>
      <c r="M48" s="90" t="str">
        <f>'MAX Originals'!M43</f>
        <v>LabVIEW Runtime 2012 SP1 f9 (64-bit)</v>
      </c>
      <c r="N48" s="90" t="str">
        <f>'MAX Originals'!N43</f>
        <v>12.0.1</v>
      </c>
      <c r="O48" s="178">
        <f>'MAX Originals'!O43</f>
        <v>0</v>
      </c>
      <c r="P48" s="178">
        <f>'MAX Originals'!P43</f>
        <v>0</v>
      </c>
    </row>
    <row r="49" spans="1:16" ht="30" x14ac:dyDescent="0.25">
      <c r="A49" s="72" t="str">
        <f>'MAX Originals'!A48</f>
        <v>Measurement &amp; Automation Explorer</v>
      </c>
      <c r="B49" s="72" t="str">
        <f>'MAX Originals'!B48</f>
        <v>15.0.0f0</v>
      </c>
      <c r="C49" s="73" t="str">
        <f>'MAX Originals'!C48</f>
        <v>Measurement &amp; Automation Explorer</v>
      </c>
      <c r="D49" s="73" t="str">
        <f>'MAX Originals'!D48</f>
        <v>15.3.0f0</v>
      </c>
      <c r="E49" s="74" t="str">
        <f>'MAX Originals'!E36</f>
        <v>Measurement &amp; Automation Explorer</v>
      </c>
      <c r="F49" s="74" t="str">
        <f>'MAX Originals'!F36</f>
        <v>15.3.0f0</v>
      </c>
      <c r="G49" s="75" t="str">
        <f>'MAX Originals'!G44</f>
        <v>Measurement &amp; Automation Explorer</v>
      </c>
      <c r="H49" s="75" t="str">
        <f>'MAX Originals'!H44</f>
        <v>15.3.0f0</v>
      </c>
      <c r="I49" s="54" t="str">
        <f>'MAX Originals'!I44</f>
        <v>Measurement &amp; Automation Explorer</v>
      </c>
      <c r="J49" s="54" t="str">
        <f>'MAX Originals'!J44</f>
        <v>18.0.0f0</v>
      </c>
      <c r="K49" s="66" t="str">
        <f>'MAX Originals'!K44</f>
        <v>Measurement &amp; Automation Explorer</v>
      </c>
      <c r="L49" s="66" t="str">
        <f>'MAX Originals'!L44</f>
        <v>18.0.0f0</v>
      </c>
      <c r="M49" s="90" t="str">
        <f>'MAX Originals'!M44</f>
        <v>Measurement &amp; Automation Explorer</v>
      </c>
      <c r="N49" s="90" t="str">
        <f>'MAX Originals'!N44</f>
        <v>18.0.0f0</v>
      </c>
      <c r="O49" s="178">
        <f>'MAX Originals'!O44</f>
        <v>0</v>
      </c>
      <c r="P49" s="178">
        <f>'MAX Originals'!P44</f>
        <v>0</v>
      </c>
    </row>
    <row r="50" spans="1:16" ht="30" x14ac:dyDescent="0.25">
      <c r="A50" s="72" t="str">
        <f>'MAX Originals'!A49</f>
        <v>Measurement Studio</v>
      </c>
      <c r="B50" s="72" t="str">
        <f>'MAX Originals'!B49</f>
        <v>Visual Studio 2010 Support - See individual versions below.</v>
      </c>
      <c r="C50" s="73" t="str">
        <f>'MAX Originals'!C49</f>
        <v>Measurement Studio</v>
      </c>
      <c r="D50" s="73" t="str">
        <f>'MAX Originals'!D49</f>
        <v>Visual Studio 2010 Support - See individual versions below.</v>
      </c>
      <c r="E50" s="74" t="str">
        <f>'MAX Originals'!E37</f>
        <v>Measurement Studio</v>
      </c>
      <c r="F50" s="74" t="str">
        <f>'MAX Originals'!F37</f>
        <v>Visual Studio 2010 Support - See individual versions below.</v>
      </c>
      <c r="G50" s="75" t="str">
        <f>'MAX Originals'!G45</f>
        <v>Measurement Studio</v>
      </c>
      <c r="H50" s="75" t="str">
        <f>'MAX Originals'!H45</f>
        <v>Visual Studio 2010 Support - See individual versions below.</v>
      </c>
      <c r="I50" s="54" t="str">
        <f>'MAX Originals'!I45</f>
        <v>Measurement Studio</v>
      </c>
      <c r="J50" s="54" t="str">
        <f>'MAX Originals'!J45</f>
        <v>Visual Studio 2010 Support - See individual versions below.</v>
      </c>
      <c r="K50" s="66" t="str">
        <f>'MAX Originals'!K45</f>
        <v>Measurement Studio</v>
      </c>
      <c r="L50" s="66" t="str">
        <f>'MAX Originals'!L45</f>
        <v>Visual Studio 2010 Support - See individual versions below.</v>
      </c>
      <c r="M50" s="90" t="str">
        <f>'MAX Originals'!M45</f>
        <v>Measurement Studio</v>
      </c>
      <c r="N50" s="90" t="str">
        <f>'MAX Originals'!N45</f>
        <v>Visual Studio 2010 Support - See individual versions below.</v>
      </c>
      <c r="O50" s="178">
        <f>'MAX Originals'!O45</f>
        <v>0</v>
      </c>
      <c r="P50" s="178">
        <f>'MAX Originals'!P45</f>
        <v>0</v>
      </c>
    </row>
    <row r="51" spans="1:16" x14ac:dyDescent="0.25">
      <c r="A51" s="72" t="str">
        <f>'MAX Originals'!A50</f>
        <v>DotNET</v>
      </c>
      <c r="B51" s="72">
        <f>'MAX Originals'!B50</f>
        <v>0</v>
      </c>
      <c r="C51" s="73" t="str">
        <f>'MAX Originals'!C50</f>
        <v>DotNET</v>
      </c>
      <c r="D51" s="73">
        <f>'MAX Originals'!D50</f>
        <v>0</v>
      </c>
      <c r="E51" s="74" t="str">
        <f>'MAX Originals'!E38</f>
        <v>DotNET</v>
      </c>
      <c r="F51" s="74">
        <f>'MAX Originals'!F38</f>
        <v>0</v>
      </c>
      <c r="G51" s="75" t="str">
        <f>'MAX Originals'!G46</f>
        <v>DotNET</v>
      </c>
      <c r="H51" s="75">
        <f>'MAX Originals'!H46</f>
        <v>0</v>
      </c>
      <c r="I51" s="54" t="str">
        <f>'MAX Originals'!I46</f>
        <v>DotNET</v>
      </c>
      <c r="J51" s="54">
        <f>'MAX Originals'!J46</f>
        <v>0</v>
      </c>
      <c r="K51" s="66" t="str">
        <f>'MAX Originals'!K46</f>
        <v>DotNET</v>
      </c>
      <c r="L51" s="66">
        <f>'MAX Originals'!L46</f>
        <v>0</v>
      </c>
      <c r="M51" s="90" t="str">
        <f>'MAX Originals'!M46</f>
        <v>DotNET</v>
      </c>
      <c r="N51" s="90">
        <f>'MAX Originals'!N46</f>
        <v>0</v>
      </c>
      <c r="O51" s="178">
        <f>'MAX Originals'!O46</f>
        <v>0</v>
      </c>
      <c r="P51" s="178">
        <f>'MAX Originals'!P46</f>
        <v>0</v>
      </c>
    </row>
    <row r="52" spans="1:16" x14ac:dyDescent="0.25">
      <c r="A52" s="72" t="str">
        <f>'MAX Originals'!A51</f>
        <v>Common</v>
      </c>
      <c r="B52" s="72" t="str">
        <f>'MAX Originals'!B51</f>
        <v>15.0.40.49154</v>
      </c>
      <c r="C52" s="73" t="str">
        <f>'MAX Originals'!C51</f>
        <v>Common</v>
      </c>
      <c r="D52" s="73" t="str">
        <f>'MAX Originals'!D51</f>
        <v>15.0.40.49154</v>
      </c>
      <c r="E52" s="74" t="str">
        <f>'MAX Originals'!E39</f>
        <v>Common</v>
      </c>
      <c r="F52" s="74" t="str">
        <f>'MAX Originals'!F39</f>
        <v>15.0.40.49154</v>
      </c>
      <c r="G52" s="75" t="str">
        <f>'MAX Originals'!G47</f>
        <v>Common</v>
      </c>
      <c r="H52" s="75" t="str">
        <f>'MAX Originals'!H47</f>
        <v>15.0.40.49154</v>
      </c>
      <c r="I52" s="54" t="str">
        <f>'MAX Originals'!I47</f>
        <v>Common</v>
      </c>
      <c r="J52" s="54" t="str">
        <f>'MAX Originals'!J47</f>
        <v>15.0.40.49154</v>
      </c>
      <c r="K52" s="66" t="str">
        <f>'MAX Originals'!K47</f>
        <v>Common</v>
      </c>
      <c r="L52" s="66" t="str">
        <f>'MAX Originals'!L47</f>
        <v>15.0.40.49154</v>
      </c>
      <c r="M52" s="90" t="str">
        <f>'MAX Originals'!M47</f>
        <v>Common</v>
      </c>
      <c r="N52" s="90" t="str">
        <f>'MAX Originals'!N47</f>
        <v>15.0.40.49154</v>
      </c>
      <c r="O52" s="178">
        <f>'MAX Originals'!O47</f>
        <v>0</v>
      </c>
      <c r="P52" s="178">
        <f>'MAX Originals'!P47</f>
        <v>0</v>
      </c>
    </row>
    <row r="53" spans="1:16" x14ac:dyDescent="0.25">
      <c r="A53" s="72" t="str">
        <f>'MAX Originals'!A52</f>
        <v>Common (64-bit)</v>
      </c>
      <c r="B53" s="72" t="str">
        <f>'MAX Originals'!B52</f>
        <v>15.0.40.49154</v>
      </c>
      <c r="C53" s="73" t="str">
        <f>'MAX Originals'!C52</f>
        <v>Common (64-bit)</v>
      </c>
      <c r="D53" s="73" t="str">
        <f>'MAX Originals'!D52</f>
        <v>15.0.40.49154</v>
      </c>
      <c r="E53" s="74" t="str">
        <f>'MAX Originals'!E40</f>
        <v>Common (64-bit)</v>
      </c>
      <c r="F53" s="74" t="str">
        <f>'MAX Originals'!F40</f>
        <v>15.0.40.49154</v>
      </c>
      <c r="G53" s="75" t="str">
        <f>'MAX Originals'!G48</f>
        <v>Common (64-bit)</v>
      </c>
      <c r="H53" s="75" t="str">
        <f>'MAX Originals'!H48</f>
        <v>15.0.40.49154</v>
      </c>
      <c r="I53" s="54" t="str">
        <f>'MAX Originals'!I48</f>
        <v>Common (64-bit)</v>
      </c>
      <c r="J53" s="54" t="str">
        <f>'MAX Originals'!J48</f>
        <v>15.0.40.49154</v>
      </c>
      <c r="K53" s="66" t="str">
        <f>'MAX Originals'!K48</f>
        <v>Common (64-bit)</v>
      </c>
      <c r="L53" s="66" t="str">
        <f>'MAX Originals'!L48</f>
        <v>15.0.40.49154</v>
      </c>
      <c r="M53" s="90" t="str">
        <f>'MAX Originals'!M48</f>
        <v>Common (64-bit)</v>
      </c>
      <c r="N53" s="90" t="str">
        <f>'MAX Originals'!N48</f>
        <v>15.0.40.49154</v>
      </c>
      <c r="O53" s="178">
        <f>'MAX Originals'!O48</f>
        <v>0</v>
      </c>
      <c r="P53" s="178">
        <f>'MAX Originals'!P48</f>
        <v>0</v>
      </c>
    </row>
    <row r="54" spans="1:16" x14ac:dyDescent="0.25">
      <c r="A54" s="72" t="str">
        <f>'MAX Originals'!A53</f>
        <v>NI-USI</v>
      </c>
      <c r="B54" s="72" t="str">
        <f>'MAX Originals'!B53</f>
        <v>15.0.0.5998</v>
      </c>
      <c r="C54" s="73" t="str">
        <f>'MAX Originals'!C53</f>
        <v>NI-USI</v>
      </c>
      <c r="D54" s="73" t="str">
        <f>'MAX Originals'!D53</f>
        <v>15.0.1.6118</v>
      </c>
      <c r="E54" s="74" t="str">
        <f>'MAX Originals'!E41</f>
        <v>NI-USI</v>
      </c>
      <c r="F54" s="74" t="str">
        <f>'MAX Originals'!F41</f>
        <v>15.0.1.6118</v>
      </c>
      <c r="G54" s="75" t="str">
        <f>'MAX Originals'!G49</f>
        <v>NI-USI</v>
      </c>
      <c r="H54" s="75" t="str">
        <f>'MAX Originals'!H49</f>
        <v>15.0.1.6118</v>
      </c>
      <c r="I54" s="54" t="str">
        <f>'MAX Originals'!I49</f>
        <v>NI-USI</v>
      </c>
      <c r="J54" s="54" t="str">
        <f>'MAX Originals'!J49</f>
        <v>15.0.1.6118</v>
      </c>
      <c r="K54" s="66" t="str">
        <f>'MAX Originals'!K49</f>
        <v>NI-USI</v>
      </c>
      <c r="L54" s="66" t="str">
        <f>'MAX Originals'!L49</f>
        <v>15.0.1.6118</v>
      </c>
      <c r="M54" s="90" t="str">
        <f>'MAX Originals'!M49</f>
        <v>NI-USI</v>
      </c>
      <c r="N54" s="90" t="str">
        <f>'MAX Originals'!N49</f>
        <v>17.0.0.6654</v>
      </c>
      <c r="O54" s="178">
        <f>'MAX Originals'!O49</f>
        <v>0</v>
      </c>
      <c r="P54" s="178">
        <f>'MAX Originals'!P49</f>
        <v>0</v>
      </c>
    </row>
    <row r="55" spans="1:16" x14ac:dyDescent="0.25">
      <c r="A55" s="72" t="str">
        <f>'MAX Originals'!A54</f>
        <v>NI-DCPower</v>
      </c>
      <c r="B55" s="72">
        <f>'MAX Originals'!B54</f>
        <v>0</v>
      </c>
      <c r="C55" s="73" t="str">
        <f>'MAX Originals'!C54</f>
        <v>NI-DCPower</v>
      </c>
      <c r="D55" s="73">
        <f>'MAX Originals'!D54</f>
        <v>0</v>
      </c>
      <c r="E55" s="74" t="str">
        <f>'MAX Originals'!E42</f>
        <v>NI-DCPower</v>
      </c>
      <c r="F55" s="74">
        <f>'MAX Originals'!F42</f>
        <v>0</v>
      </c>
      <c r="G55" s="75" t="str">
        <f>'MAX Originals'!G50</f>
        <v>NI-DCPower</v>
      </c>
      <c r="H55" s="75">
        <f>'MAX Originals'!H50</f>
        <v>0</v>
      </c>
      <c r="I55" s="54" t="str">
        <f>'MAX Originals'!I50</f>
        <v>NI-DCPower</v>
      </c>
      <c r="J55" s="54">
        <f>'MAX Originals'!J50</f>
        <v>0</v>
      </c>
      <c r="K55" s="66" t="str">
        <f>'MAX Originals'!K50</f>
        <v>NI-DCPower</v>
      </c>
      <c r="L55" s="66">
        <f>'MAX Originals'!L50</f>
        <v>0</v>
      </c>
      <c r="M55" s="90" t="str">
        <f>'MAX Originals'!M50</f>
        <v>NI-DCPower</v>
      </c>
      <c r="N55" s="90">
        <f>'MAX Originals'!N50</f>
        <v>0</v>
      </c>
      <c r="O55" s="178">
        <f>'MAX Originals'!O50</f>
        <v>0</v>
      </c>
      <c r="P55" s="178">
        <f>'MAX Originals'!P50</f>
        <v>0</v>
      </c>
    </row>
    <row r="56" spans="1:16" x14ac:dyDescent="0.25">
      <c r="A56" s="72" t="str">
        <f>'MAX Originals'!A55</f>
        <v>Configuration Support</v>
      </c>
      <c r="B56" s="72">
        <f>'MAX Originals'!B55</f>
        <v>15</v>
      </c>
      <c r="C56" s="73" t="str">
        <f>'MAX Originals'!C55</f>
        <v>Configuration Support</v>
      </c>
      <c r="D56" s="73">
        <f>'MAX Originals'!D55</f>
        <v>15</v>
      </c>
      <c r="E56" s="74" t="str">
        <f>'MAX Originals'!E43</f>
        <v>Configuration Support</v>
      </c>
      <c r="F56" s="74">
        <f>'MAX Originals'!F43</f>
        <v>15</v>
      </c>
      <c r="G56" s="75" t="str">
        <f>'MAX Originals'!G51</f>
        <v>Configuration Support</v>
      </c>
      <c r="H56" s="75">
        <f>'MAX Originals'!H51</f>
        <v>15</v>
      </c>
      <c r="I56" s="54" t="str">
        <f>'MAX Originals'!I51</f>
        <v>Configuration Support</v>
      </c>
      <c r="J56" s="54">
        <f>'MAX Originals'!J51</f>
        <v>15</v>
      </c>
      <c r="K56" s="66" t="str">
        <f>'MAX Originals'!K51</f>
        <v>Configuration Support</v>
      </c>
      <c r="L56" s="66">
        <f>'MAX Originals'!L51</f>
        <v>15</v>
      </c>
      <c r="M56" s="90" t="str">
        <f>'MAX Originals'!M51</f>
        <v>Configuration Support</v>
      </c>
      <c r="N56" s="90">
        <f>'MAX Originals'!N51</f>
        <v>15</v>
      </c>
      <c r="O56" s="178">
        <f>'MAX Originals'!O51</f>
        <v>0</v>
      </c>
      <c r="P56" s="178">
        <f>'MAX Originals'!P51</f>
        <v>0</v>
      </c>
    </row>
    <row r="57" spans="1:16" x14ac:dyDescent="0.25">
      <c r="A57" s="72" t="str">
        <f>'MAX Originals'!A56</f>
        <v>Development Support</v>
      </c>
      <c r="B57" s="72">
        <f>'MAX Originals'!B56</f>
        <v>15</v>
      </c>
      <c r="C57" s="73" t="str">
        <f>'MAX Originals'!C56</f>
        <v>Development Support</v>
      </c>
      <c r="D57" s="73">
        <f>'MAX Originals'!D56</f>
        <v>15</v>
      </c>
      <c r="E57" s="74" t="str">
        <f>'MAX Originals'!E44</f>
        <v>Development Support</v>
      </c>
      <c r="F57" s="74">
        <f>'MAX Originals'!F44</f>
        <v>15</v>
      </c>
      <c r="G57" s="75" t="str">
        <f>'MAX Originals'!G52</f>
        <v>Development Support</v>
      </c>
      <c r="H57" s="75">
        <f>'MAX Originals'!H52</f>
        <v>15</v>
      </c>
      <c r="I57" s="54" t="str">
        <f>'MAX Originals'!I52</f>
        <v>Development Support</v>
      </c>
      <c r="J57" s="54">
        <f>'MAX Originals'!J52</f>
        <v>15</v>
      </c>
      <c r="K57" s="66" t="str">
        <f>'MAX Originals'!K52</f>
        <v>Development Support</v>
      </c>
      <c r="L57" s="66">
        <f>'MAX Originals'!L52</f>
        <v>15</v>
      </c>
      <c r="M57" s="90" t="str">
        <f>'MAX Originals'!M52</f>
        <v>Development Support</v>
      </c>
      <c r="N57" s="90">
        <f>'MAX Originals'!N52</f>
        <v>15</v>
      </c>
      <c r="O57" s="178">
        <f>'MAX Originals'!O52</f>
        <v>0</v>
      </c>
      <c r="P57" s="178">
        <f>'MAX Originals'!P52</f>
        <v>0</v>
      </c>
    </row>
    <row r="58" spans="1:16" x14ac:dyDescent="0.25">
      <c r="A58" s="72" t="str">
        <f>'MAX Originals'!A57</f>
        <v>Runtime</v>
      </c>
      <c r="B58" s="72">
        <f>'MAX Originals'!B57</f>
        <v>15</v>
      </c>
      <c r="C58" s="73" t="str">
        <f>'MAX Originals'!C57</f>
        <v>Runtime</v>
      </c>
      <c r="D58" s="73">
        <f>'MAX Originals'!D57</f>
        <v>15</v>
      </c>
      <c r="E58" s="74" t="str">
        <f>'MAX Originals'!E45</f>
        <v>Runtime</v>
      </c>
      <c r="F58" s="74">
        <f>'MAX Originals'!F45</f>
        <v>15</v>
      </c>
      <c r="G58" s="75" t="str">
        <f>'MAX Originals'!G53</f>
        <v>Runtime</v>
      </c>
      <c r="H58" s="75">
        <f>'MAX Originals'!H53</f>
        <v>15</v>
      </c>
      <c r="I58" s="54" t="str">
        <f>'MAX Originals'!I53</f>
        <v>Runtime</v>
      </c>
      <c r="J58" s="54">
        <f>'MAX Originals'!J53</f>
        <v>15</v>
      </c>
      <c r="K58" s="66" t="str">
        <f>'MAX Originals'!K53</f>
        <v>Runtime</v>
      </c>
      <c r="L58" s="66">
        <f>'MAX Originals'!L53</f>
        <v>15</v>
      </c>
      <c r="M58" s="90" t="str">
        <f>'MAX Originals'!M53</f>
        <v>Runtime</v>
      </c>
      <c r="N58" s="90">
        <f>'MAX Originals'!N53</f>
        <v>15</v>
      </c>
      <c r="O58" s="178">
        <f>'MAX Originals'!O53</f>
        <v>0</v>
      </c>
      <c r="P58" s="178">
        <f>'MAX Originals'!P53</f>
        <v>0</v>
      </c>
    </row>
    <row r="59" spans="1:16" x14ac:dyDescent="0.25">
      <c r="A59" s="72" t="str">
        <f>'MAX Originals'!A58</f>
        <v>NI-DCPower Soft Front Panel</v>
      </c>
      <c r="B59" s="72">
        <f>'MAX Originals'!B58</f>
        <v>15</v>
      </c>
      <c r="C59" s="73" t="str">
        <f>'MAX Originals'!C58</f>
        <v>NI-DCPower Soft Front Panel</v>
      </c>
      <c r="D59" s="73">
        <f>'MAX Originals'!D58</f>
        <v>15</v>
      </c>
      <c r="E59" s="74" t="str">
        <f>'MAX Originals'!E46</f>
        <v>NI-DCPower Soft Front Panel</v>
      </c>
      <c r="F59" s="74">
        <f>'MAX Originals'!F46</f>
        <v>15</v>
      </c>
      <c r="G59" s="75" t="str">
        <f>'MAX Originals'!G54</f>
        <v>NI-DCPower Soft Front Panel</v>
      </c>
      <c r="H59" s="75">
        <f>'MAX Originals'!H54</f>
        <v>15</v>
      </c>
      <c r="I59" s="54" t="str">
        <f>'MAX Originals'!I54</f>
        <v>NI-DCPower Soft Front Panel</v>
      </c>
      <c r="J59" s="54">
        <f>'MAX Originals'!J54</f>
        <v>15</v>
      </c>
      <c r="K59" s="66" t="str">
        <f>'MAX Originals'!K54</f>
        <v>NI-DCPower Soft Front Panel</v>
      </c>
      <c r="L59" s="66">
        <f>'MAX Originals'!L54</f>
        <v>15</v>
      </c>
      <c r="M59" s="90" t="str">
        <f>'MAX Originals'!M54</f>
        <v>NI-DCPower Soft Front Panel</v>
      </c>
      <c r="N59" s="90">
        <f>'MAX Originals'!N54</f>
        <v>15</v>
      </c>
      <c r="O59" s="178">
        <f>'MAX Originals'!O54</f>
        <v>0</v>
      </c>
      <c r="P59" s="178">
        <f>'MAX Originals'!P54</f>
        <v>0</v>
      </c>
    </row>
    <row r="60" spans="1:16" x14ac:dyDescent="0.25">
      <c r="A60" s="72" t="str">
        <f>'MAX Originals'!A59</f>
        <v>NI-HSDIO</v>
      </c>
      <c r="B60" s="72">
        <f>'MAX Originals'!B59</f>
        <v>0</v>
      </c>
      <c r="C60" s="73" t="str">
        <f>'MAX Originals'!C59</f>
        <v>NI-HSDIO</v>
      </c>
      <c r="D60" s="73">
        <f>'MAX Originals'!D59</f>
        <v>0</v>
      </c>
      <c r="E60" s="74" t="str">
        <f>'MAX Originals'!E47</f>
        <v>NI-HSDIO</v>
      </c>
      <c r="F60" s="74">
        <f>'MAX Originals'!F47</f>
        <v>0</v>
      </c>
      <c r="G60" s="75" t="str">
        <f>'MAX Originals'!G55</f>
        <v>NI-HSDIO</v>
      </c>
      <c r="H60" s="75">
        <f>'MAX Originals'!H55</f>
        <v>0</v>
      </c>
      <c r="I60" s="54" t="str">
        <f>'MAX Originals'!I55</f>
        <v>NI-HSDIO</v>
      </c>
      <c r="J60" s="54">
        <f>'MAX Originals'!J55</f>
        <v>0</v>
      </c>
      <c r="K60" s="66" t="str">
        <f>'MAX Originals'!K55</f>
        <v>NI-HSDIO</v>
      </c>
      <c r="L60" s="66">
        <f>'MAX Originals'!L55</f>
        <v>0</v>
      </c>
      <c r="M60" s="90" t="str">
        <f>'MAX Originals'!M55</f>
        <v>NI-HSDIO</v>
      </c>
      <c r="N60" s="90">
        <f>'MAX Originals'!N55</f>
        <v>0</v>
      </c>
      <c r="O60" s="178">
        <f>'MAX Originals'!O55</f>
        <v>0</v>
      </c>
      <c r="P60" s="178">
        <f>'MAX Originals'!P55</f>
        <v>0</v>
      </c>
    </row>
    <row r="61" spans="1:16" x14ac:dyDescent="0.25">
      <c r="A61" s="72" t="str">
        <f>'MAX Originals'!A60</f>
        <v>Configuration Support</v>
      </c>
      <c r="B61" s="72">
        <f>'MAX Originals'!B60</f>
        <v>15</v>
      </c>
      <c r="C61" s="73" t="str">
        <f>'MAX Originals'!C60</f>
        <v>Configuration Support</v>
      </c>
      <c r="D61" s="73">
        <f>'MAX Originals'!D60</f>
        <v>15</v>
      </c>
      <c r="E61" s="74" t="str">
        <f>'MAX Originals'!E48</f>
        <v>Configuration Support</v>
      </c>
      <c r="F61" s="74">
        <f>'MAX Originals'!F48</f>
        <v>15</v>
      </c>
      <c r="G61" s="75" t="str">
        <f>'MAX Originals'!G56</f>
        <v>Configuration Support</v>
      </c>
      <c r="H61" s="75">
        <f>'MAX Originals'!H56</f>
        <v>15</v>
      </c>
      <c r="I61" s="54" t="str">
        <f>'MAX Originals'!I56</f>
        <v>Configuration Support</v>
      </c>
      <c r="J61" s="54">
        <f>'MAX Originals'!J56</f>
        <v>15</v>
      </c>
      <c r="K61" s="66" t="str">
        <f>'MAX Originals'!K56</f>
        <v>Configuration Support</v>
      </c>
      <c r="L61" s="66">
        <f>'MAX Originals'!L56</f>
        <v>15</v>
      </c>
      <c r="M61" s="90" t="str">
        <f>'MAX Originals'!M56</f>
        <v>Configuration Support</v>
      </c>
      <c r="N61" s="90">
        <f>'MAX Originals'!N56</f>
        <v>15</v>
      </c>
      <c r="O61" s="178">
        <f>'MAX Originals'!O56</f>
        <v>0</v>
      </c>
      <c r="P61" s="178">
        <f>'MAX Originals'!P56</f>
        <v>0</v>
      </c>
    </row>
    <row r="62" spans="1:16" x14ac:dyDescent="0.25">
      <c r="A62" s="72" t="str">
        <f>'MAX Originals'!A61</f>
        <v>Development Support</v>
      </c>
      <c r="B62" s="72">
        <f>'MAX Originals'!B61</f>
        <v>15</v>
      </c>
      <c r="C62" s="73" t="str">
        <f>'MAX Originals'!C61</f>
        <v>Development Support</v>
      </c>
      <c r="D62" s="73">
        <f>'MAX Originals'!D61</f>
        <v>15</v>
      </c>
      <c r="E62" s="74" t="str">
        <f>'MAX Originals'!E49</f>
        <v>Development Support</v>
      </c>
      <c r="F62" s="74">
        <f>'MAX Originals'!F49</f>
        <v>15</v>
      </c>
      <c r="G62" s="75" t="str">
        <f>'MAX Originals'!G57</f>
        <v>Development Support</v>
      </c>
      <c r="H62" s="75">
        <f>'MAX Originals'!H57</f>
        <v>15</v>
      </c>
      <c r="I62" s="54" t="str">
        <f>'MAX Originals'!I57</f>
        <v>Development Support</v>
      </c>
      <c r="J62" s="54">
        <f>'MAX Originals'!J57</f>
        <v>15</v>
      </c>
      <c r="K62" s="66" t="str">
        <f>'MAX Originals'!K57</f>
        <v>Development Support</v>
      </c>
      <c r="L62" s="66">
        <f>'MAX Originals'!L57</f>
        <v>15</v>
      </c>
      <c r="M62" s="90" t="str">
        <f>'MAX Originals'!M57</f>
        <v>Development Support</v>
      </c>
      <c r="N62" s="90">
        <f>'MAX Originals'!N57</f>
        <v>15</v>
      </c>
      <c r="O62" s="178">
        <f>'MAX Originals'!O57</f>
        <v>0</v>
      </c>
      <c r="P62" s="178">
        <f>'MAX Originals'!P57</f>
        <v>0</v>
      </c>
    </row>
    <row r="63" spans="1:16" x14ac:dyDescent="0.25">
      <c r="A63" s="72" t="str">
        <f>'MAX Originals'!A62</f>
        <v>Runtime</v>
      </c>
      <c r="B63" s="72">
        <f>'MAX Originals'!B62</f>
        <v>15</v>
      </c>
      <c r="C63" s="73" t="str">
        <f>'MAX Originals'!C62</f>
        <v>Runtime</v>
      </c>
      <c r="D63" s="73">
        <f>'MAX Originals'!D62</f>
        <v>15</v>
      </c>
      <c r="E63" s="74" t="str">
        <f>'MAX Originals'!E50</f>
        <v>Runtime</v>
      </c>
      <c r="F63" s="74">
        <f>'MAX Originals'!F50</f>
        <v>15</v>
      </c>
      <c r="G63" s="75" t="str">
        <f>'MAX Originals'!G58</f>
        <v>Runtime</v>
      </c>
      <c r="H63" s="75">
        <f>'MAX Originals'!H58</f>
        <v>15</v>
      </c>
      <c r="I63" s="54" t="str">
        <f>'MAX Originals'!I58</f>
        <v>Runtime</v>
      </c>
      <c r="J63" s="54">
        <f>'MAX Originals'!J58</f>
        <v>15</v>
      </c>
      <c r="K63" s="66" t="str">
        <f>'MAX Originals'!K58</f>
        <v>Runtime</v>
      </c>
      <c r="L63" s="66">
        <f>'MAX Originals'!L58</f>
        <v>15</v>
      </c>
      <c r="M63" s="90" t="str">
        <f>'MAX Originals'!M58</f>
        <v>Runtime</v>
      </c>
      <c r="N63" s="90">
        <f>'MAX Originals'!N58</f>
        <v>15</v>
      </c>
      <c r="O63" s="178">
        <f>'MAX Originals'!O58</f>
        <v>0</v>
      </c>
      <c r="P63" s="178">
        <f>'MAX Originals'!P58</f>
        <v>0</v>
      </c>
    </row>
    <row r="64" spans="1:16" x14ac:dyDescent="0.25">
      <c r="A64" s="72" t="str">
        <f>'MAX Originals'!A63</f>
        <v>NI-HWS</v>
      </c>
      <c r="B64" s="72" t="str">
        <f>'MAX Originals'!B63</f>
        <v>15.0.0</v>
      </c>
      <c r="C64" s="73" t="str">
        <f>'MAX Originals'!C63</f>
        <v>NI-HWS</v>
      </c>
      <c r="D64" s="73" t="str">
        <f>'MAX Originals'!D63</f>
        <v>15.0.0</v>
      </c>
      <c r="E64" s="74" t="str">
        <f>'MAX Originals'!E51</f>
        <v>NI-HWS</v>
      </c>
      <c r="F64" s="74" t="str">
        <f>'MAX Originals'!F51</f>
        <v>15.0.0</v>
      </c>
      <c r="G64" s="75" t="str">
        <f>'MAX Originals'!G59</f>
        <v>NI-HWS</v>
      </c>
      <c r="H64" s="75" t="str">
        <f>'MAX Originals'!H59</f>
        <v>15.0.0</v>
      </c>
      <c r="I64" s="54" t="str">
        <f>'MAX Originals'!I59</f>
        <v>NI-HWS</v>
      </c>
      <c r="J64" s="54" t="str">
        <f>'MAX Originals'!J59</f>
        <v>15.0.0</v>
      </c>
      <c r="K64" s="66" t="str">
        <f>'MAX Originals'!K59</f>
        <v>NI-HWS</v>
      </c>
      <c r="L64" s="66" t="str">
        <f>'MAX Originals'!L59</f>
        <v>15.0.0</v>
      </c>
      <c r="M64" s="90" t="str">
        <f>'MAX Originals'!M59</f>
        <v>NI-HWS</v>
      </c>
      <c r="N64" s="90" t="str">
        <f>'MAX Originals'!N59</f>
        <v>15.0.0</v>
      </c>
      <c r="O64" s="178">
        <f>'MAX Originals'!O59</f>
        <v>0</v>
      </c>
      <c r="P64" s="178">
        <f>'MAX Originals'!P59</f>
        <v>0</v>
      </c>
    </row>
    <row r="65" spans="1:16" ht="30" x14ac:dyDescent="0.25">
      <c r="A65" s="72" t="str">
        <f>'MAX Originals'!A64</f>
        <v>NI PXI Platform Services Configuration</v>
      </c>
      <c r="B65" s="72" t="str">
        <f>'MAX Originals'!B64</f>
        <v>15.0.0f1</v>
      </c>
      <c r="C65" s="73" t="str">
        <f>'MAX Originals'!C64</f>
        <v>NI PXI Platform Services Configuration</v>
      </c>
      <c r="D65" s="73" t="str">
        <f>'MAX Originals'!D64</f>
        <v>15.0.0f1</v>
      </c>
      <c r="E65" s="74" t="str">
        <f>'MAX Originals'!E52</f>
        <v>NI PXI Platform Services Configuration</v>
      </c>
      <c r="F65" s="74" t="str">
        <f>'MAX Originals'!F52</f>
        <v>15.0.0f1</v>
      </c>
      <c r="G65" s="75" t="str">
        <f>'MAX Originals'!G64</f>
        <v>NI PXI Platform Services Configuration</v>
      </c>
      <c r="H65" s="75" t="str">
        <f>'MAX Originals'!H64</f>
        <v>15.0.0f1</v>
      </c>
      <c r="I65" s="54" t="str">
        <f>'MAX Originals'!I64</f>
        <v>NI PXI Platform Services Configuration</v>
      </c>
      <c r="J65" s="54" t="str">
        <f>'MAX Originals'!J64</f>
        <v>18.0.0f0</v>
      </c>
      <c r="K65" s="66" t="str">
        <f>'MAX Originals'!K64</f>
        <v>NI PXI Platform Services Configuration</v>
      </c>
      <c r="L65" s="66" t="str">
        <f>'MAX Originals'!L64</f>
        <v>18.0.0f0</v>
      </c>
      <c r="M65" s="90" t="str">
        <f>'MAX Originals'!M64</f>
        <v>NI PXI Platform Services Configuration</v>
      </c>
      <c r="N65" s="90" t="str">
        <f>'MAX Originals'!N64</f>
        <v>18.0.0f0</v>
      </c>
      <c r="O65" s="178">
        <f>'MAX Originals'!O64</f>
        <v>0</v>
      </c>
      <c r="P65" s="178">
        <f>'MAX Originals'!P64</f>
        <v>0</v>
      </c>
    </row>
    <row r="66" spans="1:16" ht="30" x14ac:dyDescent="0.25">
      <c r="A66" s="72" t="str">
        <f>'MAX Originals'!A65</f>
        <v>NI PXI Platform Services Runtime</v>
      </c>
      <c r="B66" s="72" t="str">
        <f>'MAX Originals'!B65</f>
        <v>15.0.0f1</v>
      </c>
      <c r="C66" s="73" t="str">
        <f>'MAX Originals'!C65</f>
        <v>NI PXI Platform Services Runtime</v>
      </c>
      <c r="D66" s="73" t="str">
        <f>'MAX Originals'!D65</f>
        <v>15.0.0f1</v>
      </c>
      <c r="E66" s="74" t="str">
        <f>'MAX Originals'!E53</f>
        <v>NI PXI Platform Services Runtime</v>
      </c>
      <c r="F66" s="74" t="str">
        <f>'MAX Originals'!F53</f>
        <v>15.0.0f1</v>
      </c>
      <c r="G66" s="75" t="str">
        <f>'MAX Originals'!G65</f>
        <v>NI PXI Platform Services Runtime</v>
      </c>
      <c r="H66" s="75" t="str">
        <f>'MAX Originals'!H65</f>
        <v>19.0.0f1</v>
      </c>
      <c r="I66" s="54" t="str">
        <f>'MAX Originals'!I65</f>
        <v>NI PXI Platform Services Runtime</v>
      </c>
      <c r="J66" s="54" t="str">
        <f>'MAX Originals'!J65</f>
        <v>19.0.0f1</v>
      </c>
      <c r="K66" s="66" t="str">
        <f>'MAX Originals'!K65</f>
        <v>NI PXI Platform Services Runtime</v>
      </c>
      <c r="L66" s="66" t="str">
        <f>'MAX Originals'!L65</f>
        <v>19.0.0f1</v>
      </c>
      <c r="M66" s="90" t="str">
        <f>'MAX Originals'!M65</f>
        <v>NI PXI Platform Services Runtime</v>
      </c>
      <c r="N66" s="90" t="str">
        <f>'MAX Originals'!N65</f>
        <v>19.0.0f1</v>
      </c>
      <c r="O66" s="178">
        <f>'MAX Originals'!O65</f>
        <v>0</v>
      </c>
      <c r="P66" s="178">
        <f>'MAX Originals'!P65</f>
        <v>0</v>
      </c>
    </row>
    <row r="67" spans="1:16" x14ac:dyDescent="0.25">
      <c r="A67" s="72" t="str">
        <f>'MAX Originals'!A66</f>
        <v>NI-RIO</v>
      </c>
      <c r="B67" s="72" t="str">
        <f>'MAX Originals'!B66</f>
        <v>15.0.0</v>
      </c>
      <c r="C67" s="73" t="str">
        <f>'MAX Originals'!C66</f>
        <v>NI-RIO</v>
      </c>
      <c r="D67" s="73" t="str">
        <f>'MAX Originals'!D66</f>
        <v>15.0.0</v>
      </c>
      <c r="E67" s="74" t="str">
        <f>'MAX Originals'!E54</f>
        <v>NI-RIO</v>
      </c>
      <c r="F67" s="74" t="str">
        <f>'MAX Originals'!F54</f>
        <v>15.0.0</v>
      </c>
      <c r="G67" s="75" t="str">
        <f>'MAX Originals'!G66</f>
        <v>NI R Series Multifunction RIO</v>
      </c>
      <c r="H67" s="75" t="str">
        <f>'MAX Originals'!H66</f>
        <v>15.0.0</v>
      </c>
      <c r="I67" s="54" t="str">
        <f>'MAX Originals'!I66</f>
        <v>NI R Series Multifunction RIO</v>
      </c>
      <c r="J67" s="54" t="str">
        <f>'MAX Originals'!J66</f>
        <v>15.0.0</v>
      </c>
      <c r="K67" s="66" t="str">
        <f>'MAX Originals'!K66</f>
        <v>NI R Series Multifunction RIO</v>
      </c>
      <c r="L67" s="66" t="str">
        <f>'MAX Originals'!L66</f>
        <v>15.0.0</v>
      </c>
      <c r="M67" s="90" t="str">
        <f>'MAX Originals'!M66</f>
        <v>NI R Series Multifunction RIO</v>
      </c>
      <c r="N67" s="90" t="str">
        <f>'MAX Originals'!N66</f>
        <v>15.0.0</v>
      </c>
      <c r="O67" s="178">
        <f>'MAX Originals'!O66</f>
        <v>0</v>
      </c>
      <c r="P67" s="178">
        <f>'MAX Originals'!P66</f>
        <v>0</v>
      </c>
    </row>
    <row r="68" spans="1:16" x14ac:dyDescent="0.25">
      <c r="A68" s="72" t="str">
        <f>'MAX Originals'!A67</f>
        <v>NI R Series Multifunction RIO</v>
      </c>
      <c r="B68" s="72" t="str">
        <f>'MAX Originals'!B67</f>
        <v>15.0.0</v>
      </c>
      <c r="C68" s="73" t="str">
        <f>'MAX Originals'!C67</f>
        <v>NI R Series Multifunction RIO</v>
      </c>
      <c r="D68" s="73" t="str">
        <f>'MAX Originals'!D67</f>
        <v>15.0.0</v>
      </c>
      <c r="E68" s="74" t="str">
        <f>'MAX Originals'!E55</f>
        <v>NI R Series Multifunction RIO</v>
      </c>
      <c r="F68" s="74" t="str">
        <f>'MAX Originals'!F55</f>
        <v>15.0.0</v>
      </c>
      <c r="G68" s="75" t="str">
        <f>'MAX Originals'!G67</f>
        <v>NI-Sync</v>
      </c>
      <c r="H68" s="75" t="str">
        <f>'MAX Originals'!H67</f>
        <v>15.0.0f0</v>
      </c>
      <c r="I68" s="54" t="str">
        <f>'MAX Originals'!I67</f>
        <v>NI-Sync</v>
      </c>
      <c r="J68" s="54" t="str">
        <f>'MAX Originals'!J67</f>
        <v>15.0.0f0</v>
      </c>
      <c r="K68" s="66" t="str">
        <f>'MAX Originals'!K67</f>
        <v>NI-Sync</v>
      </c>
      <c r="L68" s="66" t="str">
        <f>'MAX Originals'!L67</f>
        <v>15.0.0f0</v>
      </c>
      <c r="M68" s="90" t="str">
        <f>'MAX Originals'!M67</f>
        <v>NI-Sync Runtime</v>
      </c>
      <c r="N68" s="90" t="str">
        <f>'MAX Originals'!N67</f>
        <v>15.0.1f0</v>
      </c>
      <c r="O68" s="178">
        <f>'MAX Originals'!O67</f>
        <v>0</v>
      </c>
      <c r="P68" s="178">
        <f>'MAX Originals'!P67</f>
        <v>0</v>
      </c>
    </row>
    <row r="69" spans="1:16" x14ac:dyDescent="0.25">
      <c r="A69" s="72" t="str">
        <f>'MAX Originals'!A68</f>
        <v>NI-Sync</v>
      </c>
      <c r="B69" s="72" t="str">
        <f>'MAX Originals'!B68</f>
        <v>15.0.0f0</v>
      </c>
      <c r="C69" s="73" t="str">
        <f>'MAX Originals'!C68</f>
        <v>NI-Sync</v>
      </c>
      <c r="D69" s="73" t="str">
        <f>'MAX Originals'!D68</f>
        <v>15.0.0f0</v>
      </c>
      <c r="E69" s="74" t="str">
        <f>'MAX Originals'!E56</f>
        <v>NI-Sync</v>
      </c>
      <c r="F69" s="74" t="str">
        <f>'MAX Originals'!F56</f>
        <v>15.0.0f0</v>
      </c>
      <c r="G69" s="75" t="str">
        <f>'MAX Originals'!G68</f>
        <v>NI-TimeSync</v>
      </c>
      <c r="H69" s="75" t="str">
        <f>'MAX Originals'!H68</f>
        <v>15.0.0f0</v>
      </c>
      <c r="I69" s="54" t="str">
        <f>'MAX Originals'!I69</f>
        <v>NI-TimeSync</v>
      </c>
      <c r="J69" s="54" t="str">
        <f>'MAX Originals'!J69</f>
        <v>15.0.0f0</v>
      </c>
      <c r="K69" s="66" t="str">
        <f>'MAX Originals'!K69</f>
        <v>NI-TimeSync</v>
      </c>
      <c r="L69" s="66" t="str">
        <f>'MAX Originals'!L69</f>
        <v>15.0.0f0</v>
      </c>
      <c r="M69" s="90" t="str">
        <f>'MAX Originals'!M69</f>
        <v>NI-TimeSync</v>
      </c>
      <c r="N69" s="90" t="str">
        <f>'MAX Originals'!N69</f>
        <v>15.0.0f0</v>
      </c>
      <c r="O69" s="178">
        <f>'MAX Originals'!O69</f>
        <v>0</v>
      </c>
      <c r="P69" s="178">
        <f>'MAX Originals'!P69</f>
        <v>0</v>
      </c>
    </row>
    <row r="70" spans="1:16" x14ac:dyDescent="0.25">
      <c r="A70" s="72" t="str">
        <f>'MAX Originals'!A69</f>
        <v>NI-TimeSync</v>
      </c>
      <c r="B70" s="72" t="str">
        <f>'MAX Originals'!B69</f>
        <v>15.0.0f0</v>
      </c>
      <c r="C70" s="73" t="str">
        <f>'MAX Originals'!C69</f>
        <v>NI-TimeSync</v>
      </c>
      <c r="D70" s="73" t="str">
        <f>'MAX Originals'!D69</f>
        <v>15.0.0f0</v>
      </c>
      <c r="E70" s="74" t="str">
        <f>'MAX Originals'!E57</f>
        <v>NI-TimeSync</v>
      </c>
      <c r="F70" s="74" t="str">
        <f>'MAX Originals'!F57</f>
        <v>15.0.0f0</v>
      </c>
      <c r="G70" s="75" t="str">
        <f>'MAX Originals'!G69</f>
        <v>NI-XNET Runtime</v>
      </c>
      <c r="H70" s="75" t="str">
        <f>'MAX Originals'!H69</f>
        <v>19.0.0f1</v>
      </c>
      <c r="I70" s="54" t="str">
        <f>'MAX Originals'!I70</f>
        <v>NI-XNET Runtime</v>
      </c>
      <c r="J70" s="54" t="str">
        <f>'MAX Originals'!J70</f>
        <v>19.0.0f1</v>
      </c>
      <c r="K70" s="66" t="str">
        <f>'MAX Originals'!K70</f>
        <v>NI-XNET Runtime</v>
      </c>
      <c r="L70" s="66" t="str">
        <f>'MAX Originals'!L70</f>
        <v>19.0.0f1</v>
      </c>
      <c r="M70" s="90" t="str">
        <f>'MAX Originals'!M70</f>
        <v>NI-XNET Runtime</v>
      </c>
      <c r="N70" s="90" t="str">
        <f>'MAX Originals'!N70</f>
        <v>19.0.0f1</v>
      </c>
      <c r="O70" s="178">
        <f>'MAX Originals'!O70</f>
        <v>0</v>
      </c>
      <c r="P70" s="178">
        <f>'MAX Originals'!P70</f>
        <v>0</v>
      </c>
    </row>
    <row r="71" spans="1:16" x14ac:dyDescent="0.25">
      <c r="A71" s="72" t="str">
        <f>'MAX Originals'!A70</f>
        <v>FlexRIO</v>
      </c>
      <c r="B71" s="72" t="str">
        <f>'MAX Originals'!B70</f>
        <v>15.0.0f0</v>
      </c>
      <c r="C71" s="73" t="str">
        <f>'MAX Originals'!C70</f>
        <v>FlexRIO</v>
      </c>
      <c r="D71" s="73" t="str">
        <f>'MAX Originals'!D70</f>
        <v>15.0.0f0</v>
      </c>
      <c r="E71" s="74" t="str">
        <f>'MAX Originals'!E58</f>
        <v>FlexRIO</v>
      </c>
      <c r="F71" s="74" t="str">
        <f>'MAX Originals'!F58</f>
        <v>15.0.0f0</v>
      </c>
      <c r="G71" s="75" t="str">
        <f>'MAX Originals'!G70</f>
        <v>FlexRIO</v>
      </c>
      <c r="H71" s="75" t="str">
        <f>'MAX Originals'!H70</f>
        <v>15.0.0f0</v>
      </c>
      <c r="I71" s="54" t="str">
        <f>'MAX Originals'!I71</f>
        <v>FlexRIO</v>
      </c>
      <c r="J71" s="54" t="str">
        <f>'MAX Originals'!J71</f>
        <v>15.0.0f0</v>
      </c>
      <c r="K71" s="66" t="str">
        <f>'MAX Originals'!K71</f>
        <v>FlexRIO</v>
      </c>
      <c r="L71" s="66" t="str">
        <f>'MAX Originals'!L71</f>
        <v>15.0.0f0</v>
      </c>
      <c r="M71" s="90" t="str">
        <f>'MAX Originals'!M71</f>
        <v>FlexRIO</v>
      </c>
      <c r="N71" s="90" t="str">
        <f>'MAX Originals'!N71</f>
        <v>15.0.0f0</v>
      </c>
      <c r="O71" s="178">
        <f>'MAX Originals'!O71</f>
        <v>0</v>
      </c>
      <c r="P71" s="178">
        <f>'MAX Originals'!P71</f>
        <v>0</v>
      </c>
    </row>
    <row r="72" spans="1:16" x14ac:dyDescent="0.25">
      <c r="A72" s="72" t="str">
        <f>'MAX Originals'!A71</f>
        <v>NI-PAL Software</v>
      </c>
      <c r="B72" s="72" t="str">
        <f>'MAX Originals'!B71</f>
        <v>15.0.0</v>
      </c>
      <c r="C72" s="73" t="str">
        <f>'MAX Originals'!C71</f>
        <v>NI-PAL Software</v>
      </c>
      <c r="D72" s="73" t="str">
        <f>'MAX Originals'!D71</f>
        <v>15.0.0</v>
      </c>
      <c r="E72" s="74" t="str">
        <f>'MAX Originals'!E59</f>
        <v>NI-PAL Software</v>
      </c>
      <c r="F72" s="74" t="str">
        <f>'MAX Originals'!F59</f>
        <v>15.1.0</v>
      </c>
      <c r="G72" s="75" t="str">
        <f>'MAX Originals'!G71</f>
        <v>NI-PAL Software</v>
      </c>
      <c r="H72" s="75" t="str">
        <f>'MAX Originals'!H71</f>
        <v>19.0.0</v>
      </c>
      <c r="I72" s="54" t="str">
        <f>'MAX Originals'!I72</f>
        <v>NI-PAL Software</v>
      </c>
      <c r="J72" s="54" t="str">
        <f>'MAX Originals'!J72</f>
        <v>19.0.0</v>
      </c>
      <c r="K72" s="66" t="str">
        <f>'MAX Originals'!K72</f>
        <v>NI-PAL Software</v>
      </c>
      <c r="L72" s="66" t="str">
        <f>'MAX Originals'!L72</f>
        <v>19.0.0</v>
      </c>
      <c r="M72" s="90" t="str">
        <f>'MAX Originals'!M72</f>
        <v>NI-PAL Software</v>
      </c>
      <c r="N72" s="90" t="str">
        <f>'MAX Originals'!N72</f>
        <v>19.0.0</v>
      </c>
      <c r="O72" s="178">
        <f>'MAX Originals'!O72</f>
        <v>0</v>
      </c>
      <c r="P72" s="178">
        <f>'MAX Originals'!P72</f>
        <v>0</v>
      </c>
    </row>
    <row r="73" spans="1:16" ht="30" x14ac:dyDescent="0.25">
      <c r="A73" s="72" t="str">
        <f>'MAX Originals'!A72</f>
        <v>NI 1588-2008 Network Management 15.0.0</v>
      </c>
      <c r="B73" s="72" t="str">
        <f>'MAX Originals'!B72</f>
        <v>15.0.0f0</v>
      </c>
      <c r="C73" s="73" t="str">
        <f>'MAX Originals'!C72</f>
        <v>NI 1588-2008 Network Management 15.0.0</v>
      </c>
      <c r="D73" s="73" t="str">
        <f>'MAX Originals'!D72</f>
        <v>15.0.0f0</v>
      </c>
      <c r="E73" s="74" t="str">
        <f>'MAX Originals'!E60</f>
        <v>NI 1588-2008 Network Management 15.0.0</v>
      </c>
      <c r="F73" s="74" t="str">
        <f>'MAX Originals'!F60</f>
        <v>15.0.0f0</v>
      </c>
      <c r="G73" s="75" t="str">
        <f>'MAX Originals'!G72</f>
        <v>NI 1588-2008 Network Management 15.0.0</v>
      </c>
      <c r="H73" s="75" t="str">
        <f>'MAX Originals'!H72</f>
        <v>15.0.0f0</v>
      </c>
      <c r="I73" s="54" t="str">
        <f>'MAX Originals'!I73</f>
        <v>NI 1588-2008 Network Management 15.0.0</v>
      </c>
      <c r="J73" s="54" t="str">
        <f>'MAX Originals'!J73</f>
        <v>15.0.0f0</v>
      </c>
      <c r="K73" s="66" t="str">
        <f>'MAX Originals'!K73</f>
        <v>NI 1588-2008 Network Management 15.0.0</v>
      </c>
      <c r="L73" s="66" t="str">
        <f>'MAX Originals'!L73</f>
        <v>15.0.0f0</v>
      </c>
      <c r="M73" s="90" t="str">
        <f>'MAX Originals'!M73</f>
        <v>NI 1588-2008 Network Management 15.0.0</v>
      </c>
      <c r="N73" s="90" t="str">
        <f>'MAX Originals'!N73</f>
        <v>15.0.0f0</v>
      </c>
      <c r="O73" s="178">
        <f>'MAX Originals'!O73</f>
        <v>0</v>
      </c>
      <c r="P73" s="178">
        <f>'MAX Originals'!P73</f>
        <v>0</v>
      </c>
    </row>
    <row r="74" spans="1:16" x14ac:dyDescent="0.25">
      <c r="A74" s="72" t="str">
        <f>'MAX Originals'!A73</f>
        <v>NI-SCOPE</v>
      </c>
      <c r="B74" s="72">
        <f>'MAX Originals'!B73</f>
        <v>0</v>
      </c>
      <c r="C74" s="73" t="str">
        <f>'MAX Originals'!C73</f>
        <v>NI-SCOPE</v>
      </c>
      <c r="D74" s="73">
        <f>'MAX Originals'!D73</f>
        <v>0</v>
      </c>
      <c r="E74" s="74" t="str">
        <f>'MAX Originals'!E61</f>
        <v>NI-SCOPE</v>
      </c>
      <c r="F74" s="74">
        <f>'MAX Originals'!F61</f>
        <v>0</v>
      </c>
      <c r="G74" s="75" t="str">
        <f>'MAX Originals'!G73</f>
        <v>NI-SCOPE</v>
      </c>
      <c r="H74" s="75">
        <f>'MAX Originals'!H73</f>
        <v>0</v>
      </c>
      <c r="I74" s="54" t="str">
        <f>'MAX Originals'!I74</f>
        <v>NI-SCOPE</v>
      </c>
      <c r="J74" s="54">
        <f>'MAX Originals'!J74</f>
        <v>0</v>
      </c>
      <c r="K74" s="66" t="str">
        <f>'MAX Originals'!K74</f>
        <v>NI-SCOPE</v>
      </c>
      <c r="L74" s="66">
        <f>'MAX Originals'!L74</f>
        <v>0</v>
      </c>
      <c r="M74" s="90" t="str">
        <f>'MAX Originals'!M74</f>
        <v>NI-SCOPE</v>
      </c>
      <c r="N74" s="90">
        <f>'MAX Originals'!N74</f>
        <v>0</v>
      </c>
      <c r="O74" s="178">
        <f>'MAX Originals'!O74</f>
        <v>0</v>
      </c>
      <c r="P74" s="178">
        <f>'MAX Originals'!P74</f>
        <v>0</v>
      </c>
    </row>
    <row r="75" spans="1:16" x14ac:dyDescent="0.25">
      <c r="A75" s="72" t="str">
        <f>'MAX Originals'!A74</f>
        <v>Configuration Support</v>
      </c>
      <c r="B75" s="72">
        <f>'MAX Originals'!B74</f>
        <v>15</v>
      </c>
      <c r="C75" s="73" t="str">
        <f>'MAX Originals'!C74</f>
        <v>Configuration Support</v>
      </c>
      <c r="D75" s="73">
        <f>'MAX Originals'!D74</f>
        <v>15</v>
      </c>
      <c r="E75" s="74" t="str">
        <f>'MAX Originals'!E62</f>
        <v>Configuration Support</v>
      </c>
      <c r="F75" s="74">
        <f>'MAX Originals'!F62</f>
        <v>15</v>
      </c>
      <c r="G75" s="75" t="str">
        <f>'MAX Originals'!G74</f>
        <v>Configuration Support</v>
      </c>
      <c r="H75" s="75">
        <f>'MAX Originals'!H74</f>
        <v>15</v>
      </c>
      <c r="I75" s="54" t="str">
        <f>'MAX Originals'!I75</f>
        <v>Configuration Support</v>
      </c>
      <c r="J75" s="54">
        <f>'MAX Originals'!J75</f>
        <v>15</v>
      </c>
      <c r="K75" s="66" t="str">
        <f>'MAX Originals'!K75</f>
        <v>Configuration Support</v>
      </c>
      <c r="L75" s="66">
        <f>'MAX Originals'!L75</f>
        <v>15</v>
      </c>
      <c r="M75" s="90" t="str">
        <f>'MAX Originals'!M75</f>
        <v>Configuration Support</v>
      </c>
      <c r="N75" s="90">
        <f>'MAX Originals'!N75</f>
        <v>15</v>
      </c>
      <c r="O75" s="178">
        <f>'MAX Originals'!O75</f>
        <v>0</v>
      </c>
      <c r="P75" s="178">
        <f>'MAX Originals'!P75</f>
        <v>0</v>
      </c>
    </row>
    <row r="76" spans="1:16" x14ac:dyDescent="0.25">
      <c r="A76" s="72" t="str">
        <f>'MAX Originals'!A75</f>
        <v>Development Support</v>
      </c>
      <c r="B76" s="72">
        <f>'MAX Originals'!B75</f>
        <v>15</v>
      </c>
      <c r="C76" s="73" t="str">
        <f>'MAX Originals'!C75</f>
        <v>Development Support</v>
      </c>
      <c r="D76" s="73">
        <f>'MAX Originals'!D75</f>
        <v>15</v>
      </c>
      <c r="E76" s="74" t="str">
        <f>'MAX Originals'!E63</f>
        <v>Development Support</v>
      </c>
      <c r="F76" s="74">
        <f>'MAX Originals'!F63</f>
        <v>15</v>
      </c>
      <c r="G76" s="75" t="str">
        <f>'MAX Originals'!G75</f>
        <v>Development Support</v>
      </c>
      <c r="H76" s="75">
        <f>'MAX Originals'!H75</f>
        <v>15</v>
      </c>
      <c r="I76" s="54" t="str">
        <f>'MAX Originals'!I76</f>
        <v>Development Support</v>
      </c>
      <c r="J76" s="54">
        <f>'MAX Originals'!J76</f>
        <v>15</v>
      </c>
      <c r="K76" s="66" t="str">
        <f>'MAX Originals'!K76</f>
        <v>Development Support</v>
      </c>
      <c r="L76" s="66">
        <f>'MAX Originals'!L76</f>
        <v>15</v>
      </c>
      <c r="M76" s="90" t="str">
        <f>'MAX Originals'!M76</f>
        <v>Development Support</v>
      </c>
      <c r="N76" s="90">
        <f>'MAX Originals'!N76</f>
        <v>15</v>
      </c>
      <c r="O76" s="178">
        <f>'MAX Originals'!O76</f>
        <v>0</v>
      </c>
      <c r="P76" s="178">
        <f>'MAX Originals'!P76</f>
        <v>0</v>
      </c>
    </row>
    <row r="77" spans="1:16" x14ac:dyDescent="0.25">
      <c r="A77" s="72" t="str">
        <f>'MAX Originals'!A76</f>
        <v>Runtime</v>
      </c>
      <c r="B77" s="72">
        <f>'MAX Originals'!B76</f>
        <v>15</v>
      </c>
      <c r="C77" s="73" t="str">
        <f>'MAX Originals'!C76</f>
        <v>Runtime</v>
      </c>
      <c r="D77" s="73">
        <f>'MAX Originals'!D76</f>
        <v>15</v>
      </c>
      <c r="E77" s="74" t="str">
        <f>'MAX Originals'!E64</f>
        <v>Runtime</v>
      </c>
      <c r="F77" s="74">
        <f>'MAX Originals'!F64</f>
        <v>15</v>
      </c>
      <c r="G77" s="75" t="str">
        <f>'MAX Originals'!G76</f>
        <v>Runtime</v>
      </c>
      <c r="H77" s="75">
        <f>'MAX Originals'!H76</f>
        <v>15</v>
      </c>
      <c r="I77" s="54" t="str">
        <f>'MAX Originals'!I77</f>
        <v>Runtime</v>
      </c>
      <c r="J77" s="54">
        <f>'MAX Originals'!J77</f>
        <v>15</v>
      </c>
      <c r="K77" s="66" t="str">
        <f>'MAX Originals'!K77</f>
        <v>Runtime</v>
      </c>
      <c r="L77" s="66">
        <f>'MAX Originals'!L77</f>
        <v>15</v>
      </c>
      <c r="M77" s="90" t="str">
        <f>'MAX Originals'!M77</f>
        <v>Runtime</v>
      </c>
      <c r="N77" s="90">
        <f>'MAX Originals'!N77</f>
        <v>15</v>
      </c>
      <c r="O77" s="178">
        <f>'MAX Originals'!O77</f>
        <v>0</v>
      </c>
      <c r="P77" s="178">
        <f>'MAX Originals'!P77</f>
        <v>0</v>
      </c>
    </row>
    <row r="78" spans="1:16" x14ac:dyDescent="0.25">
      <c r="A78" s="72" t="str">
        <f>'MAX Originals'!A77</f>
        <v>SCOPE Soft Front Panel</v>
      </c>
      <c r="B78" s="72">
        <f>'MAX Originals'!B77</f>
        <v>15</v>
      </c>
      <c r="C78" s="73" t="str">
        <f>'MAX Originals'!C77</f>
        <v>SCOPE Soft Front Panel</v>
      </c>
      <c r="D78" s="73">
        <f>'MAX Originals'!D77</f>
        <v>15</v>
      </c>
      <c r="E78" s="74" t="str">
        <f>'MAX Originals'!E65</f>
        <v>SCOPE Soft Front Panel</v>
      </c>
      <c r="F78" s="74">
        <f>'MAX Originals'!F65</f>
        <v>15</v>
      </c>
      <c r="G78" s="75" t="str">
        <f>'MAX Originals'!G77</f>
        <v>SCOPE Soft Front Panel</v>
      </c>
      <c r="H78" s="75">
        <f>'MAX Originals'!H77</f>
        <v>15</v>
      </c>
      <c r="I78" s="54" t="str">
        <f>'MAX Originals'!I78</f>
        <v>SCOPE Soft Front Panel</v>
      </c>
      <c r="J78" s="54">
        <f>'MAX Originals'!J78</f>
        <v>15</v>
      </c>
      <c r="K78" s="66" t="str">
        <f>'MAX Originals'!K78</f>
        <v>SCOPE Soft Front Panel</v>
      </c>
      <c r="L78" s="66">
        <f>'MAX Originals'!L78</f>
        <v>15</v>
      </c>
      <c r="M78" s="90" t="str">
        <f>'MAX Originals'!M78</f>
        <v>SCOPE Soft Front Panel</v>
      </c>
      <c r="N78" s="90">
        <f>'MAX Originals'!N78</f>
        <v>15</v>
      </c>
      <c r="O78" s="178">
        <f>'MAX Originals'!O78</f>
        <v>0</v>
      </c>
      <c r="P78" s="178">
        <f>'MAX Originals'!P78</f>
        <v>0</v>
      </c>
    </row>
    <row r="79" spans="1:16" x14ac:dyDescent="0.25">
      <c r="A79" s="72" t="str">
        <f>'MAX Originals'!A78</f>
        <v>NI-Serial Runtime</v>
      </c>
      <c r="B79" s="72" t="str">
        <f>'MAX Originals'!B78</f>
        <v>15.0.0f0</v>
      </c>
      <c r="C79" s="73" t="str">
        <f>'MAX Originals'!C78</f>
        <v>NI-Serial Runtime</v>
      </c>
      <c r="D79" s="73" t="str">
        <f>'MAX Originals'!D78</f>
        <v>15.0.0f0</v>
      </c>
      <c r="E79" s="74" t="str">
        <f>'MAX Originals'!E66</f>
        <v>NI-Serial Runtime</v>
      </c>
      <c r="F79" s="74" t="str">
        <f>'MAX Originals'!F66</f>
        <v>15.0.0f0</v>
      </c>
      <c r="G79" s="75" t="str">
        <f>'MAX Originals'!G78</f>
        <v>NI-Serial Runtime</v>
      </c>
      <c r="H79" s="75" t="str">
        <f>'MAX Originals'!H78</f>
        <v>19.0.0f0</v>
      </c>
      <c r="I79" s="54" t="str">
        <f>'MAX Originals'!I79</f>
        <v>NI-Serial Runtime</v>
      </c>
      <c r="J79" s="54" t="str">
        <f>'MAX Originals'!J79</f>
        <v>19.0.0f0</v>
      </c>
      <c r="K79" s="66" t="str">
        <f>'MAX Originals'!K79</f>
        <v>NI-Serial Runtime</v>
      </c>
      <c r="L79" s="66" t="str">
        <f>'MAX Originals'!L79</f>
        <v>19.0.0f0</v>
      </c>
      <c r="M79" s="90" t="str">
        <f>'MAX Originals'!M79</f>
        <v>NI-Serial Runtime</v>
      </c>
      <c r="N79" s="90" t="str">
        <f>'MAX Originals'!N79</f>
        <v>19.0.0f0</v>
      </c>
      <c r="O79" s="178">
        <f>'MAX Originals'!O79</f>
        <v>0</v>
      </c>
      <c r="P79" s="178">
        <f>'MAX Originals'!P79</f>
        <v>0</v>
      </c>
    </row>
    <row r="80" spans="1:16" x14ac:dyDescent="0.25">
      <c r="A80" s="72" t="str">
        <f>'MAX Originals'!A79</f>
        <v>NI-Serial Configuration</v>
      </c>
      <c r="B80" s="72" t="str">
        <f>'MAX Originals'!B79</f>
        <v>15.0.0f0</v>
      </c>
      <c r="C80" s="73" t="str">
        <f>'MAX Originals'!C79</f>
        <v>NI-Serial Configuration</v>
      </c>
      <c r="D80" s="73" t="str">
        <f>'MAX Originals'!D79</f>
        <v>15.0.0f0</v>
      </c>
      <c r="E80" s="74" t="str">
        <f>'MAX Originals'!E67</f>
        <v>NI-Serial Configuration</v>
      </c>
      <c r="F80" s="74" t="str">
        <f>'MAX Originals'!F67</f>
        <v>15.0.0f0</v>
      </c>
      <c r="G80" s="75" t="str">
        <f>'MAX Originals'!G79</f>
        <v>NI-Serial Configuration</v>
      </c>
      <c r="H80" s="75" t="str">
        <f>'MAX Originals'!H79</f>
        <v>15.0.0f0</v>
      </c>
      <c r="I80" s="54" t="str">
        <f>'MAX Originals'!I80</f>
        <v>NI-Serial Configuration</v>
      </c>
      <c r="J80" s="54" t="str">
        <f>'MAX Originals'!J80</f>
        <v>17.5.0f0</v>
      </c>
      <c r="K80" s="66" t="str">
        <f>'MAX Originals'!K80</f>
        <v>NI-Serial Configuration</v>
      </c>
      <c r="L80" s="66" t="str">
        <f>'MAX Originals'!L80</f>
        <v>17.5.0f0</v>
      </c>
      <c r="M80" s="90" t="str">
        <f>'MAX Originals'!M80</f>
        <v>NI-Serial Configuration</v>
      </c>
      <c r="N80" s="90" t="str">
        <f>'MAX Originals'!N80</f>
        <v>17.5.0f0</v>
      </c>
      <c r="O80" s="178">
        <f>'MAX Originals'!O80</f>
        <v>0</v>
      </c>
      <c r="P80" s="178">
        <f>'MAX Originals'!P80</f>
        <v>0</v>
      </c>
    </row>
    <row r="81" spans="1:16" x14ac:dyDescent="0.25">
      <c r="A81" s="72" t="str">
        <f>'MAX Originals'!A80</f>
        <v>NI SignalExpress</v>
      </c>
      <c r="B81" s="72">
        <f>'MAX Originals'!B80</f>
        <v>15</v>
      </c>
      <c r="C81" s="73" t="str">
        <f>'MAX Originals'!C80</f>
        <v>NI SignalExpress</v>
      </c>
      <c r="D81" s="73">
        <f>'MAX Originals'!D80</f>
        <v>15</v>
      </c>
      <c r="E81" s="74" t="str">
        <f>'MAX Originals'!E68</f>
        <v>NI SignalExpress</v>
      </c>
      <c r="F81" s="74">
        <f>'MAX Originals'!F68</f>
        <v>15</v>
      </c>
      <c r="G81" s="75" t="str">
        <f>'MAX Originals'!G80</f>
        <v>NI SignalExpress</v>
      </c>
      <c r="H81" s="75">
        <f>'MAX Originals'!H80</f>
        <v>15</v>
      </c>
      <c r="I81" s="54" t="str">
        <f>'MAX Originals'!I81</f>
        <v>NI SignalExpress</v>
      </c>
      <c r="J81" s="54">
        <f>'MAX Originals'!J81</f>
        <v>15</v>
      </c>
      <c r="K81" s="66" t="str">
        <f>'MAX Originals'!K81</f>
        <v>NI SignalExpress</v>
      </c>
      <c r="L81" s="66">
        <f>'MAX Originals'!L81</f>
        <v>15</v>
      </c>
      <c r="M81" s="90" t="str">
        <f>'MAX Originals'!M81</f>
        <v>NI SignalExpress</v>
      </c>
      <c r="N81" s="90">
        <f>'MAX Originals'!N81</f>
        <v>15</v>
      </c>
      <c r="O81" s="178">
        <f>'MAX Originals'!O81</f>
        <v>0</v>
      </c>
      <c r="P81" s="178">
        <f>'MAX Originals'!P81</f>
        <v>0</v>
      </c>
    </row>
    <row r="82" spans="1:16" x14ac:dyDescent="0.25">
      <c r="A82" s="72" t="str">
        <f>'MAX Originals'!A81</f>
        <v>NI-SWITCH</v>
      </c>
      <c r="B82" s="72">
        <f>'MAX Originals'!B81</f>
        <v>15</v>
      </c>
      <c r="C82" s="73" t="str">
        <f>'MAX Originals'!C81</f>
        <v>NI-SWITCH</v>
      </c>
      <c r="D82" s="73">
        <f>'MAX Originals'!D81</f>
        <v>15</v>
      </c>
      <c r="E82" s="74" t="str">
        <f>'MAX Originals'!E69</f>
        <v>NI-SWITCH</v>
      </c>
      <c r="F82" s="74">
        <f>'MAX Originals'!F69</f>
        <v>15</v>
      </c>
      <c r="G82" s="75" t="str">
        <f>'MAX Originals'!G81</f>
        <v>NI-SWITCH</v>
      </c>
      <c r="H82" s="75">
        <f>'MAX Originals'!H81</f>
        <v>15</v>
      </c>
      <c r="I82" s="54" t="str">
        <f>'MAX Originals'!I82</f>
        <v>NI-SWITCH</v>
      </c>
      <c r="J82" s="54">
        <f>'MAX Originals'!J82</f>
        <v>15</v>
      </c>
      <c r="K82" s="66" t="str">
        <f>'MAX Originals'!K82</f>
        <v>NI-SWITCH</v>
      </c>
      <c r="L82" s="66">
        <f>'MAX Originals'!L82</f>
        <v>15</v>
      </c>
      <c r="M82" s="90" t="str">
        <f>'MAX Originals'!M82</f>
        <v>NI-SWITCH</v>
      </c>
      <c r="N82" s="90">
        <f>'MAX Originals'!N82</f>
        <v>15</v>
      </c>
      <c r="O82" s="178">
        <f>'MAX Originals'!O82</f>
        <v>0</v>
      </c>
      <c r="P82" s="178">
        <f>'MAX Originals'!P82</f>
        <v>0</v>
      </c>
    </row>
    <row r="83" spans="1:16" x14ac:dyDescent="0.25">
      <c r="A83" s="72" t="str">
        <f>'MAX Originals'!A82</f>
        <v>Configuration Support</v>
      </c>
      <c r="B83" s="72">
        <f>'MAX Originals'!B82</f>
        <v>15</v>
      </c>
      <c r="C83" s="73" t="str">
        <f>'MAX Originals'!C82</f>
        <v>Configuration Support</v>
      </c>
      <c r="D83" s="73">
        <f>'MAX Originals'!D82</f>
        <v>15</v>
      </c>
      <c r="E83" s="74" t="str">
        <f>'MAX Originals'!E70</f>
        <v>Configuration Support</v>
      </c>
      <c r="F83" s="74">
        <f>'MAX Originals'!F70</f>
        <v>15</v>
      </c>
      <c r="G83" s="75" t="str">
        <f>'MAX Originals'!G82</f>
        <v>Configuration Support</v>
      </c>
      <c r="H83" s="75">
        <f>'MAX Originals'!H82</f>
        <v>15</v>
      </c>
      <c r="I83" s="54" t="str">
        <f>'MAX Originals'!I83</f>
        <v>Configuration Support</v>
      </c>
      <c r="J83" s="54">
        <f>'MAX Originals'!J83</f>
        <v>15</v>
      </c>
      <c r="K83" s="66" t="str">
        <f>'MAX Originals'!K83</f>
        <v>Configuration Support</v>
      </c>
      <c r="L83" s="66">
        <f>'MAX Originals'!L83</f>
        <v>15</v>
      </c>
      <c r="M83" s="90" t="str">
        <f>'MAX Originals'!M83</f>
        <v>Configuration Support</v>
      </c>
      <c r="N83" s="90">
        <f>'MAX Originals'!N83</f>
        <v>15</v>
      </c>
      <c r="O83" s="178">
        <f>'MAX Originals'!O83</f>
        <v>0</v>
      </c>
      <c r="P83" s="178">
        <f>'MAX Originals'!P83</f>
        <v>0</v>
      </c>
    </row>
    <row r="84" spans="1:16" x14ac:dyDescent="0.25">
      <c r="A84" s="72" t="str">
        <f>'MAX Originals'!A83</f>
        <v>Development Support</v>
      </c>
      <c r="B84" s="72">
        <f>'MAX Originals'!B83</f>
        <v>15</v>
      </c>
      <c r="C84" s="73" t="str">
        <f>'MAX Originals'!C83</f>
        <v>Development Support</v>
      </c>
      <c r="D84" s="73">
        <f>'MAX Originals'!D83</f>
        <v>15</v>
      </c>
      <c r="E84" s="74" t="str">
        <f>'MAX Originals'!E71</f>
        <v>Development Support</v>
      </c>
      <c r="F84" s="74">
        <f>'MAX Originals'!F71</f>
        <v>15</v>
      </c>
      <c r="G84" s="75" t="str">
        <f>'MAX Originals'!G83</f>
        <v>Development Support</v>
      </c>
      <c r="H84" s="75">
        <f>'MAX Originals'!H83</f>
        <v>15</v>
      </c>
      <c r="I84" s="54" t="str">
        <f>'MAX Originals'!I84</f>
        <v>Development Support</v>
      </c>
      <c r="J84" s="54">
        <f>'MAX Originals'!J84</f>
        <v>15</v>
      </c>
      <c r="K84" s="66" t="str">
        <f>'MAX Originals'!K84</f>
        <v>Development Support</v>
      </c>
      <c r="L84" s="66">
        <f>'MAX Originals'!L84</f>
        <v>15</v>
      </c>
      <c r="M84" s="90" t="str">
        <f>'MAX Originals'!M84</f>
        <v>Development Support</v>
      </c>
      <c r="N84" s="90">
        <f>'MAX Originals'!N84</f>
        <v>15</v>
      </c>
      <c r="O84" s="178">
        <f>'MAX Originals'!O84</f>
        <v>0</v>
      </c>
      <c r="P84" s="178">
        <f>'MAX Originals'!P84</f>
        <v>0</v>
      </c>
    </row>
    <row r="85" spans="1:16" x14ac:dyDescent="0.25">
      <c r="A85" s="72" t="str">
        <f>'MAX Originals'!A84</f>
        <v>Runtime</v>
      </c>
      <c r="B85" s="72">
        <f>'MAX Originals'!B84</f>
        <v>15</v>
      </c>
      <c r="C85" s="73" t="str">
        <f>'MAX Originals'!C84</f>
        <v>Runtime</v>
      </c>
      <c r="D85" s="73">
        <f>'MAX Originals'!D84</f>
        <v>15</v>
      </c>
      <c r="E85" s="74" t="str">
        <f>'MAX Originals'!E72</f>
        <v>Runtime</v>
      </c>
      <c r="F85" s="74">
        <f>'MAX Originals'!F72</f>
        <v>15</v>
      </c>
      <c r="G85" s="75" t="str">
        <f>'MAX Originals'!G84</f>
        <v>Runtime</v>
      </c>
      <c r="H85" s="75">
        <f>'MAX Originals'!H84</f>
        <v>15</v>
      </c>
      <c r="I85" s="54" t="str">
        <f>'MAX Originals'!I85</f>
        <v>Runtime</v>
      </c>
      <c r="J85" s="54">
        <f>'MAX Originals'!J85</f>
        <v>15</v>
      </c>
      <c r="K85" s="66" t="str">
        <f>'MAX Originals'!K85</f>
        <v>Runtime</v>
      </c>
      <c r="L85" s="66">
        <f>'MAX Originals'!L85</f>
        <v>15</v>
      </c>
      <c r="M85" s="90" t="str">
        <f>'MAX Originals'!M85</f>
        <v>Runtime</v>
      </c>
      <c r="N85" s="90">
        <f>'MAX Originals'!N85</f>
        <v>15</v>
      </c>
      <c r="O85" s="178">
        <f>'MAX Originals'!O85</f>
        <v>0</v>
      </c>
      <c r="P85" s="178">
        <f>'MAX Originals'!P85</f>
        <v>0</v>
      </c>
    </row>
    <row r="86" spans="1:16" x14ac:dyDescent="0.25">
      <c r="A86" s="72" t="str">
        <f>'MAX Originals'!A85</f>
        <v>Soft Front Panel</v>
      </c>
      <c r="B86" s="72" t="str">
        <f>'MAX Originals'!B85</f>
        <v>15.0.0</v>
      </c>
      <c r="C86" s="73" t="str">
        <f>'MAX Originals'!C85</f>
        <v>Soft Front Panel</v>
      </c>
      <c r="D86" s="73" t="str">
        <f>'MAX Originals'!D85</f>
        <v>15.0.0</v>
      </c>
      <c r="E86" s="74" t="str">
        <f>'MAX Originals'!E73</f>
        <v>Soft Front Panel</v>
      </c>
      <c r="F86" s="74" t="str">
        <f>'MAX Originals'!F73</f>
        <v>15.0.0</v>
      </c>
      <c r="G86" s="75" t="str">
        <f>'MAX Originals'!G85</f>
        <v>Soft Front Panel</v>
      </c>
      <c r="H86" s="75" t="str">
        <f>'MAX Originals'!H85</f>
        <v>15.0.0</v>
      </c>
      <c r="I86" s="54" t="str">
        <f>'MAX Originals'!I86</f>
        <v>Soft Front Panel</v>
      </c>
      <c r="J86" s="54" t="str">
        <f>'MAX Originals'!J86</f>
        <v>18.1.0</v>
      </c>
      <c r="K86" s="66" t="str">
        <f>'MAX Originals'!K86</f>
        <v>Soft Front Panel</v>
      </c>
      <c r="L86" s="66" t="str">
        <f>'MAX Originals'!L86</f>
        <v>18.1.0</v>
      </c>
      <c r="M86" s="90" t="str">
        <f>'MAX Originals'!M86</f>
        <v>Soft Front Panel</v>
      </c>
      <c r="N86" s="90" t="str">
        <f>'MAX Originals'!N86</f>
        <v>18.1.0</v>
      </c>
      <c r="O86" s="178">
        <f>'MAX Originals'!O86</f>
        <v>0</v>
      </c>
      <c r="P86" s="178">
        <f>'MAX Originals'!P86</f>
        <v>0</v>
      </c>
    </row>
    <row r="87" spans="1:16" x14ac:dyDescent="0.25">
      <c r="A87" s="72" t="str">
        <f>'MAX Originals'!A86</f>
        <v>NI System Configuration</v>
      </c>
      <c r="B87" s="72" t="str">
        <f>'MAX Originals'!B86</f>
        <v>15.0.0f0</v>
      </c>
      <c r="C87" s="73" t="str">
        <f>'MAX Originals'!C86</f>
        <v>NI System Configuration</v>
      </c>
      <c r="D87" s="73" t="str">
        <f>'MAX Originals'!D86</f>
        <v>15.3.0f0</v>
      </c>
      <c r="E87" s="74" t="str">
        <f>'MAX Originals'!E74</f>
        <v>NI System Configuration</v>
      </c>
      <c r="F87" s="74" t="str">
        <f>'MAX Originals'!F74</f>
        <v>15.3.0f0</v>
      </c>
      <c r="G87" s="75" t="str">
        <f>'MAX Originals'!G86</f>
        <v>NI System Configuration</v>
      </c>
      <c r="H87" s="75" t="str">
        <f>'MAX Originals'!H86</f>
        <v>19.0.0f0</v>
      </c>
      <c r="I87" s="54" t="str">
        <f>'MAX Originals'!I87</f>
        <v>NI System Configuration</v>
      </c>
      <c r="J87" s="54" t="str">
        <f>'MAX Originals'!J87</f>
        <v>19.0.0f0</v>
      </c>
      <c r="K87" s="66" t="str">
        <f>'MAX Originals'!K87</f>
        <v>NI System Configuration</v>
      </c>
      <c r="L87" s="66" t="str">
        <f>'MAX Originals'!L87</f>
        <v>19.0.0f0</v>
      </c>
      <c r="M87" s="90" t="str">
        <f>'MAX Originals'!M87</f>
        <v>NI System Configuration</v>
      </c>
      <c r="N87" s="90" t="str">
        <f>'MAX Originals'!N87</f>
        <v>19.0.0f0</v>
      </c>
      <c r="O87" s="178">
        <f>'MAX Originals'!O87</f>
        <v>0</v>
      </c>
      <c r="P87" s="178">
        <f>'MAX Originals'!P87</f>
        <v>0</v>
      </c>
    </row>
    <row r="88" spans="1:16" x14ac:dyDescent="0.25">
      <c r="A88" s="72" t="str">
        <f>'MAX Originals'!A87</f>
        <v>NI-TClk</v>
      </c>
      <c r="B88" s="72">
        <f>'MAX Originals'!B87</f>
        <v>15</v>
      </c>
      <c r="C88" s="73" t="str">
        <f>'MAX Originals'!C87</f>
        <v>NI-TClk</v>
      </c>
      <c r="D88" s="73">
        <f>'MAX Originals'!D87</f>
        <v>15</v>
      </c>
      <c r="E88" s="74" t="str">
        <f>'MAX Originals'!E75</f>
        <v>NI-TClk</v>
      </c>
      <c r="F88" s="74">
        <f>'MAX Originals'!F75</f>
        <v>15</v>
      </c>
      <c r="G88" s="75" t="str">
        <f>'MAX Originals'!G87</f>
        <v>NI-TClk</v>
      </c>
      <c r="H88" s="75">
        <f>'MAX Originals'!H87</f>
        <v>15</v>
      </c>
      <c r="I88" s="54" t="str">
        <f>'MAX Originals'!I88</f>
        <v>NI-TClk</v>
      </c>
      <c r="J88" s="54">
        <f>'MAX Originals'!J88</f>
        <v>15</v>
      </c>
      <c r="K88" s="66" t="str">
        <f>'MAX Originals'!K88</f>
        <v>NI-TClk</v>
      </c>
      <c r="L88" s="66">
        <f>'MAX Originals'!L88</f>
        <v>15</v>
      </c>
      <c r="M88" s="90" t="str">
        <f>'MAX Originals'!M88</f>
        <v>NI-TClk</v>
      </c>
      <c r="N88" s="90">
        <f>'MAX Originals'!N88</f>
        <v>15</v>
      </c>
      <c r="O88" s="178">
        <f>'MAX Originals'!O88</f>
        <v>0</v>
      </c>
      <c r="P88" s="178">
        <f>'MAX Originals'!P88</f>
        <v>0</v>
      </c>
    </row>
    <row r="89" spans="1:16" x14ac:dyDescent="0.25">
      <c r="A89" s="72" t="str">
        <f>'MAX Originals'!A88</f>
        <v>NI-VISA</v>
      </c>
      <c r="B89" s="72">
        <f>'MAX Originals'!B88</f>
        <v>15</v>
      </c>
      <c r="C89" s="73" t="str">
        <f>'MAX Originals'!C88</f>
        <v>NI-VISA</v>
      </c>
      <c r="D89" s="73">
        <f>'MAX Originals'!D88</f>
        <v>15</v>
      </c>
      <c r="E89" s="74" t="str">
        <f>'MAX Originals'!E76</f>
        <v>NI-VISA</v>
      </c>
      <c r="F89" s="74">
        <f>'MAX Originals'!F76</f>
        <v>15.5</v>
      </c>
      <c r="G89" s="75" t="str">
        <f>'MAX Originals'!G88</f>
        <v>NI-VISA</v>
      </c>
      <c r="H89" s="75">
        <f>'MAX Originals'!H88</f>
        <v>19</v>
      </c>
      <c r="I89" s="54" t="str">
        <f>'MAX Originals'!I89</f>
        <v>NI-VISA</v>
      </c>
      <c r="J89" s="54">
        <f>'MAX Originals'!J89</f>
        <v>19</v>
      </c>
      <c r="K89" s="66" t="str">
        <f>'MAX Originals'!K89</f>
        <v>NI-VISA</v>
      </c>
      <c r="L89" s="66">
        <f>'MAX Originals'!L89</f>
        <v>19</v>
      </c>
      <c r="M89" s="90" t="str">
        <f>'MAX Originals'!M89</f>
        <v>NI-VISA</v>
      </c>
      <c r="N89" s="90">
        <f>'MAX Originals'!N89</f>
        <v>19</v>
      </c>
      <c r="O89" s="178">
        <f>'MAX Originals'!O89</f>
        <v>0</v>
      </c>
      <c r="P89" s="178">
        <f>'MAX Originals'!P89</f>
        <v>0</v>
      </c>
    </row>
    <row r="90" spans="1:16" x14ac:dyDescent="0.25">
      <c r="A90" s="72" t="str">
        <f>'MAX Originals'!A89</f>
        <v>NiVisaServer.exe</v>
      </c>
      <c r="B90" s="72" t="str">
        <f>'MAX Originals'!B89</f>
        <v>15.0.0.49152</v>
      </c>
      <c r="C90" s="73" t="str">
        <f>'MAX Originals'!C89</f>
        <v>NiVisaServer.exe</v>
      </c>
      <c r="D90" s="73" t="str">
        <f>'MAX Originals'!D89</f>
        <v>15.0.0.49152</v>
      </c>
      <c r="E90" s="74" t="str">
        <f>'MAX Originals'!E77</f>
        <v>NiVisaServer.exe</v>
      </c>
      <c r="F90" s="74" t="str">
        <f>'MAX Originals'!F77</f>
        <v>15.0.0.49152</v>
      </c>
      <c r="G90" s="75" t="str">
        <f>'MAX Originals'!G89</f>
        <v>NiVisaServer.exe</v>
      </c>
      <c r="H90" s="75" t="str">
        <f>'MAX Originals'!H89</f>
        <v>15.0.0.49152</v>
      </c>
      <c r="I90" s="54" t="str">
        <f>'MAX Originals'!I90</f>
        <v>NiVisaServer.exe</v>
      </c>
      <c r="J90" s="54" t="str">
        <f>'MAX Originals'!J90</f>
        <v>15.0.0.49152</v>
      </c>
      <c r="K90" s="66" t="str">
        <f>'MAX Originals'!K90</f>
        <v>NiVisaServer.exe</v>
      </c>
      <c r="L90" s="66" t="str">
        <f>'MAX Originals'!L90</f>
        <v>15.0.0.49152</v>
      </c>
      <c r="M90" s="90" t="str">
        <f>'MAX Originals'!M90</f>
        <v>NiVisaServer.exe</v>
      </c>
      <c r="N90" s="90" t="str">
        <f>'MAX Originals'!N90</f>
        <v>15.0.0.49152</v>
      </c>
      <c r="O90" s="178">
        <f>'MAX Originals'!O90</f>
        <v>0</v>
      </c>
      <c r="P90" s="178">
        <f>'MAX Originals'!P90</f>
        <v>0</v>
      </c>
    </row>
    <row r="91" spans="1:16" x14ac:dyDescent="0.25">
      <c r="A91" s="72" t="str">
        <f>'MAX Originals'!A90</f>
        <v>NIvisaic.exe</v>
      </c>
      <c r="B91" s="72" t="str">
        <f>'MAX Originals'!B90</f>
        <v>15.0.0.49152</v>
      </c>
      <c r="C91" s="73" t="str">
        <f>'MAX Originals'!C90</f>
        <v>NIvisaic.exe</v>
      </c>
      <c r="D91" s="73" t="str">
        <f>'MAX Originals'!D90</f>
        <v>15.0.0.49152</v>
      </c>
      <c r="E91" s="74" t="str">
        <f>'MAX Originals'!E78</f>
        <v>NIvisaic.exe</v>
      </c>
      <c r="F91" s="74" t="str">
        <f>'MAX Originals'!F78</f>
        <v>15.0.0.49152</v>
      </c>
      <c r="G91" s="75" t="str">
        <f>'MAX Originals'!G90</f>
        <v>NIvisaic.exe</v>
      </c>
      <c r="H91" s="75" t="str">
        <f>'MAX Originals'!H90</f>
        <v>15.0.0.49152</v>
      </c>
      <c r="I91" s="54" t="str">
        <f>'MAX Originals'!I91</f>
        <v>NIvisaic.exe</v>
      </c>
      <c r="J91" s="54" t="str">
        <f>'MAX Originals'!J91</f>
        <v>18.0.0.49152</v>
      </c>
      <c r="K91" s="66" t="str">
        <f>'MAX Originals'!K91</f>
        <v>NIvisaic.exe</v>
      </c>
      <c r="L91" s="66" t="str">
        <f>'MAX Originals'!L91</f>
        <v>18.0.0.49152</v>
      </c>
      <c r="M91" s="90" t="str">
        <f>'MAX Originals'!M91</f>
        <v>NIvisaic.exe</v>
      </c>
      <c r="N91" s="90" t="str">
        <f>'MAX Originals'!N91</f>
        <v>18.0.0.49152</v>
      </c>
      <c r="O91" s="178">
        <f>'MAX Originals'!O91</f>
        <v>0</v>
      </c>
      <c r="P91" s="178">
        <f>'MAX Originals'!P91</f>
        <v>0</v>
      </c>
    </row>
    <row r="92" spans="1:16" x14ac:dyDescent="0.25">
      <c r="A92" s="72" t="str">
        <f>'MAX Originals'!A91</f>
        <v>NI-VISA Runtime</v>
      </c>
      <c r="B92" s="72">
        <f>'MAX Originals'!B91</f>
        <v>15</v>
      </c>
      <c r="C92" s="73" t="str">
        <f>'MAX Originals'!C91</f>
        <v>NI-VISA Runtime</v>
      </c>
      <c r="D92" s="73">
        <f>'MAX Originals'!D91</f>
        <v>15</v>
      </c>
      <c r="E92" s="74" t="str">
        <f>'MAX Originals'!E79</f>
        <v>NI-VISA Runtime</v>
      </c>
      <c r="F92" s="74">
        <f>'MAX Originals'!F79</f>
        <v>15.5</v>
      </c>
      <c r="G92" s="75" t="str">
        <f>'MAX Originals'!G91</f>
        <v>NI-VISA Runtime</v>
      </c>
      <c r="H92" s="75">
        <f>'MAX Originals'!H91</f>
        <v>19</v>
      </c>
      <c r="I92" s="54" t="str">
        <f>'MAX Originals'!I92</f>
        <v>NI-VISA Runtime</v>
      </c>
      <c r="J92" s="54">
        <f>'MAX Originals'!J92</f>
        <v>19</v>
      </c>
      <c r="K92" s="66" t="str">
        <f>'MAX Originals'!K92</f>
        <v>NI-VISA Runtime</v>
      </c>
      <c r="L92" s="66">
        <f>'MAX Originals'!L92</f>
        <v>19</v>
      </c>
      <c r="M92" s="90" t="str">
        <f>'MAX Originals'!M92</f>
        <v>NI-VISA Runtime</v>
      </c>
      <c r="N92" s="90">
        <f>'MAX Originals'!N92</f>
        <v>19</v>
      </c>
      <c r="O92" s="178">
        <f>'MAX Originals'!O92</f>
        <v>0</v>
      </c>
      <c r="P92" s="178">
        <f>'MAX Originals'!P92</f>
        <v>0</v>
      </c>
    </row>
    <row r="93" spans="1:16" x14ac:dyDescent="0.25">
      <c r="A93" s="72" t="str">
        <f>'MAX Originals'!A92</f>
        <v>LabVIEW Run-Time 2013 SP1 f6</v>
      </c>
      <c r="B93" s="72" t="str">
        <f>'MAX Originals'!B92</f>
        <v>13.0.1</v>
      </c>
      <c r="C93" s="73" t="str">
        <f>'MAX Originals'!C92</f>
        <v>LabVIEW Runtime 2013 SP1 f6</v>
      </c>
      <c r="D93" s="73" t="str">
        <f>'MAX Originals'!D92</f>
        <v>13.0.1</v>
      </c>
      <c r="E93" s="74" t="str">
        <f>'MAX Originals'!E92</f>
        <v>LabVIEW Runtime 2013 SP1 f6</v>
      </c>
      <c r="F93" s="74" t="str">
        <f>'MAX Originals'!F92</f>
        <v>13.0.1</v>
      </c>
      <c r="G93" s="75" t="str">
        <f>'MAX Originals'!G106</f>
        <v>LabVIEW Runtime 2013 SP1 f6</v>
      </c>
      <c r="H93" s="75" t="str">
        <f>'MAX Originals'!H106</f>
        <v>13.0.1</v>
      </c>
      <c r="I93" s="54" t="str">
        <f>'MAX Originals'!I107</f>
        <v>LabVIEW Runtime 2013 SP1 f6</v>
      </c>
      <c r="J93" s="54" t="str">
        <f>'MAX Originals'!J107</f>
        <v>13.0.1</v>
      </c>
      <c r="K93" s="66" t="str">
        <f>'MAX Originals'!K107</f>
        <v>LabVIEW Runtime 2013 SP1 f6</v>
      </c>
      <c r="L93" s="66" t="str">
        <f>'MAX Originals'!L107</f>
        <v>13.0.1</v>
      </c>
      <c r="M93" s="90" t="str">
        <f>'MAX Originals'!M107</f>
        <v>LabVIEW Runtime 2013 SP1 f6</v>
      </c>
      <c r="N93" s="90" t="str">
        <f>'MAX Originals'!N107</f>
        <v>13.0.1</v>
      </c>
      <c r="O93" s="178">
        <f>'MAX Originals'!O107</f>
        <v>0</v>
      </c>
      <c r="P93" s="178">
        <f>'MAX Originals'!P107</f>
        <v>0</v>
      </c>
    </row>
    <row r="94" spans="1:16" x14ac:dyDescent="0.25">
      <c r="A94" s="72" t="str">
        <f>'MAX Originals'!A93</f>
        <v>LabVIEW Run-Time 2014 SP1 f1</v>
      </c>
      <c r="B94" s="72" t="str">
        <f>'MAX Originals'!B93</f>
        <v>14.0.1</v>
      </c>
      <c r="C94" s="73" t="str">
        <f>'MAX Originals'!C93</f>
        <v>LabVIEW Runtime 2014 SP1 f3</v>
      </c>
      <c r="D94" s="73" t="str">
        <f>'MAX Originals'!D93</f>
        <v>14.0.1</v>
      </c>
      <c r="E94" s="74" t="str">
        <f>'MAX Originals'!E93</f>
        <v>LabVIEW Runtime 2014 SP1 f11</v>
      </c>
      <c r="F94" s="74" t="str">
        <f>'MAX Originals'!F93</f>
        <v>14.0.1</v>
      </c>
      <c r="G94" s="75" t="str">
        <f>'MAX Originals'!G107</f>
        <v>LabVIEW Runtime 2014 SP1 f11</v>
      </c>
      <c r="H94" s="75" t="str">
        <f>'MAX Originals'!H107</f>
        <v>14.0.1</v>
      </c>
      <c r="I94" s="54" t="str">
        <f>'MAX Originals'!I108</f>
        <v>LabVIEW Runtime 2014 SP1 f11</v>
      </c>
      <c r="J94" s="54" t="str">
        <f>'MAX Originals'!J108</f>
        <v>14.0.1</v>
      </c>
      <c r="K94" s="66" t="str">
        <f>'MAX Originals'!K108</f>
        <v>LabVIEW Runtime 2014 SP1 f11</v>
      </c>
      <c r="L94" s="66" t="str">
        <f>'MAX Originals'!L108</f>
        <v>14.0.1</v>
      </c>
      <c r="M94" s="90" t="str">
        <f>'MAX Originals'!M108</f>
        <v>LabVIEW Runtime 2014 SP1 f11</v>
      </c>
      <c r="N94" s="90" t="str">
        <f>'MAX Originals'!N108</f>
        <v>14.0.1</v>
      </c>
      <c r="O94" s="178">
        <f>'MAX Originals'!O108</f>
        <v>0</v>
      </c>
      <c r="P94" s="178">
        <f>'MAX Originals'!P108</f>
        <v>0</v>
      </c>
    </row>
    <row r="95" spans="1:16" x14ac:dyDescent="0.25">
      <c r="A95" s="72" t="str">
        <f>'MAX Originals'!A94</f>
        <v>LabVIEW Run-Time 2015</v>
      </c>
      <c r="B95" s="72" t="str">
        <f>'MAX Originals'!B94</f>
        <v>15.0.0</v>
      </c>
      <c r="C95" s="73" t="str">
        <f>'MAX Originals'!C94</f>
        <v>LabVIEW Runtime 2015 SP1</v>
      </c>
      <c r="D95" s="73" t="str">
        <f>'MAX Originals'!D94</f>
        <v>15.0.1</v>
      </c>
      <c r="E95" s="74" t="str">
        <f>'MAX Originals'!E94</f>
        <v>LabVIEW Runtime 2015 SP1 f10</v>
      </c>
      <c r="F95" s="74" t="str">
        <f>'MAX Originals'!F94</f>
        <v>15.0.1</v>
      </c>
      <c r="G95" s="75" t="str">
        <f>'MAX Originals'!G108</f>
        <v>LabVIEW Runtime 2015 SP1</v>
      </c>
      <c r="H95" s="75" t="str">
        <f>'MAX Originals'!H108</f>
        <v>15.0.1</v>
      </c>
      <c r="I95" s="54" t="str">
        <f>'MAX Originals'!I109</f>
        <v>LabVIEW Runtime 2015 SP1</v>
      </c>
      <c r="J95" s="54" t="str">
        <f>'MAX Originals'!J109</f>
        <v>15.0.1</v>
      </c>
      <c r="K95" s="66" t="str">
        <f>'MAX Originals'!K109</f>
        <v>LabVIEW Runtime 2015 SP1</v>
      </c>
      <c r="L95" s="66" t="str">
        <f>'MAX Originals'!L109</f>
        <v>15.0.1</v>
      </c>
      <c r="M95" s="90" t="str">
        <f>'MAX Originals'!M109</f>
        <v>LabVIEW Runtime 2015 SP1</v>
      </c>
      <c r="N95" s="90" t="str">
        <f>'MAX Originals'!N109</f>
        <v>15.0.1</v>
      </c>
      <c r="O95" s="178">
        <f>'MAX Originals'!O109</f>
        <v>0</v>
      </c>
      <c r="P95" s="178">
        <f>'MAX Originals'!P109</f>
        <v>0</v>
      </c>
    </row>
    <row r="96" spans="1:16" ht="30" x14ac:dyDescent="0.25">
      <c r="A96" s="72" t="str">
        <f>'MAX Originals'!A95</f>
        <v>LabVIEW Runtime 2014 SP1 f1 (64-bit)</v>
      </c>
      <c r="B96" s="72" t="str">
        <f>'MAX Originals'!B95</f>
        <v>14.0.1</v>
      </c>
      <c r="C96" s="73" t="str">
        <f>'MAX Originals'!C95</f>
        <v>LabVIEW Runtime 2014 SP1 f1 (64-bit)</v>
      </c>
      <c r="D96" s="73" t="str">
        <f>'MAX Originals'!D95</f>
        <v>14.0.1</v>
      </c>
      <c r="E96" s="74" t="str">
        <f>'MAX Originals'!E95</f>
        <v>LabVIEW Runtime 2014 SP1 f11 (64-bit)</v>
      </c>
      <c r="F96" s="74" t="str">
        <f>'MAX Originals'!F95</f>
        <v>14.0.1</v>
      </c>
      <c r="G96" s="75" t="str">
        <f>'MAX Originals'!G111</f>
        <v>LabVIEW Runtime 2014 SP1 f11 (64-bit)</v>
      </c>
      <c r="H96" s="75" t="str">
        <f>'MAX Originals'!H111</f>
        <v>14.0.1</v>
      </c>
      <c r="I96" s="54" t="str">
        <f>'MAX Originals'!I114</f>
        <v>LabVIEW Runtime 2014 SP1 f11 (64-bit)</v>
      </c>
      <c r="J96" s="54" t="str">
        <f>'MAX Originals'!J114</f>
        <v>14.0.1</v>
      </c>
      <c r="K96" s="66" t="str">
        <f>'MAX Originals'!K114</f>
        <v>LabVIEW Runtime 2014 SP1 f11 (64-bit)</v>
      </c>
      <c r="L96" s="66" t="str">
        <f>'MAX Originals'!L114</f>
        <v>14.0.1</v>
      </c>
      <c r="M96" s="90" t="str">
        <f>'MAX Originals'!M114</f>
        <v>LabVIEW Runtime 2014 SP1 f11 (64-bit)</v>
      </c>
      <c r="N96" s="90" t="str">
        <f>'MAX Originals'!N114</f>
        <v>14.0.1</v>
      </c>
      <c r="O96" s="178">
        <f>'MAX Originals'!O114</f>
        <v>0</v>
      </c>
      <c r="P96" s="178">
        <f>'MAX Originals'!P114</f>
        <v>0</v>
      </c>
    </row>
    <row r="97" spans="1:16" ht="30" x14ac:dyDescent="0.25">
      <c r="A97" s="72" t="str">
        <f>'MAX Originals'!A96</f>
        <v>LabVIEW Runtime 2015 (64-bit)</v>
      </c>
      <c r="B97" s="72" t="str">
        <f>'MAX Originals'!B96</f>
        <v>15.0.0</v>
      </c>
      <c r="C97" s="73" t="str">
        <f>'MAX Originals'!C96</f>
        <v>LabVIEW Runtime 2015 (64-bit)</v>
      </c>
      <c r="D97" s="73" t="str">
        <f>'MAX Originals'!D96</f>
        <v>15.0.0</v>
      </c>
      <c r="E97" s="74" t="str">
        <f>'MAX Originals'!E96</f>
        <v>LabVIEW Runtime 2015 f2 (64-bit)</v>
      </c>
      <c r="F97" s="74" t="str">
        <f>'MAX Originals'!F96</f>
        <v>15.0.0</v>
      </c>
      <c r="G97" s="75" t="str">
        <f>'MAX Originals'!G112</f>
        <v>LabVIEW Runtime 2015 f2 (64-bit)</v>
      </c>
      <c r="H97" s="75" t="str">
        <f>'MAX Originals'!H112</f>
        <v>15.0.0</v>
      </c>
      <c r="I97" s="54" t="str">
        <f>'MAX Originals'!I115</f>
        <v>LabVIEW Runtime 2015 f2 (64-bit)</v>
      </c>
      <c r="J97" s="54" t="str">
        <f>'MAX Originals'!J115</f>
        <v>15.0.0</v>
      </c>
      <c r="K97" s="66" t="str">
        <f>'MAX Originals'!K115</f>
        <v>LabVIEW Runtime 2015 f2 (64-bit)</v>
      </c>
      <c r="L97" s="66" t="str">
        <f>'MAX Originals'!L115</f>
        <v>15.0.0</v>
      </c>
      <c r="M97" s="90" t="str">
        <f>'MAX Originals'!M115</f>
        <v>LabVIEW Runtime 2015 f2 (64-bit)</v>
      </c>
      <c r="N97" s="90" t="str">
        <f>'MAX Originals'!N115</f>
        <v>15.0.0</v>
      </c>
      <c r="O97" s="178">
        <f>'MAX Originals'!O115</f>
        <v>0</v>
      </c>
      <c r="P97" s="178">
        <f>'MAX Originals'!P115</f>
        <v>0</v>
      </c>
    </row>
    <row r="98" spans="1:16" x14ac:dyDescent="0.25">
      <c r="A98" s="72" t="str">
        <f>'MAX Originals'!A31</f>
        <v>NI I/O Trace</v>
      </c>
      <c r="B98" s="72" t="s">
        <v>136</v>
      </c>
      <c r="C98" s="73" t="str">
        <f>'MAX Originals'!C31</f>
        <v>NI I/O Trace</v>
      </c>
      <c r="D98" s="73" t="s">
        <v>136</v>
      </c>
      <c r="E98" s="74" t="str">
        <f>'MAX Originals'!E31</f>
        <v>NI I/O Trace</v>
      </c>
      <c r="F98" s="74" t="s">
        <v>136</v>
      </c>
      <c r="G98" s="75" t="str">
        <f>'MAX Originals'!G31</f>
        <v>NI-IMAQ</v>
      </c>
      <c r="H98" s="75" t="str">
        <f>'MAX Originals'!H31</f>
        <v>19.0.0</v>
      </c>
      <c r="I98" s="54" t="str">
        <f>'MAX Originals'!I31</f>
        <v>NI-IMAQ</v>
      </c>
      <c r="J98" s="54" t="str">
        <f>'MAX Originals'!J31</f>
        <v>19.0.0</v>
      </c>
      <c r="K98" s="66" t="str">
        <f>'MAX Originals'!K31</f>
        <v>NI-IMAQ</v>
      </c>
      <c r="L98" s="66" t="str">
        <f>'MAX Originals'!L31</f>
        <v>19.0.0</v>
      </c>
      <c r="M98" s="90" t="str">
        <f>'MAX Originals'!M31</f>
        <v>NI-IMAQ</v>
      </c>
      <c r="N98" s="90" t="str">
        <f>'MAX Originals'!N31</f>
        <v>19.0.0</v>
      </c>
      <c r="O98" s="178">
        <f>'MAX Originals'!O31</f>
        <v>0</v>
      </c>
      <c r="P98" s="178">
        <f>'MAX Originals'!P31</f>
        <v>0</v>
      </c>
    </row>
    <row r="99" spans="1:16" x14ac:dyDescent="0.25">
      <c r="A99" s="72" t="str">
        <f>'MAX Originals'!A32</f>
        <v>IVI Compliance Package</v>
      </c>
      <c r="B99" s="72" t="s">
        <v>136</v>
      </c>
      <c r="C99" s="73" t="str">
        <f>'MAX Originals'!C32</f>
        <v>IVI Compliance Package</v>
      </c>
      <c r="D99" s="73" t="s">
        <v>136</v>
      </c>
      <c r="E99" s="74" t="str">
        <f>'MAX Originals'!E32</f>
        <v>IVI Compliance Package</v>
      </c>
      <c r="F99" s="74" t="s">
        <v>136</v>
      </c>
      <c r="G99" s="75" t="str">
        <f>'MAX Originals'!G32</f>
        <v>Runtime 19.0.0</v>
      </c>
      <c r="H99" s="75" t="str">
        <f>'MAX Originals'!H32</f>
        <v>19.0.0</v>
      </c>
      <c r="I99" s="54" t="str">
        <f>'MAX Originals'!I32</f>
        <v>Runtime 19.0.0</v>
      </c>
      <c r="J99" s="54" t="str">
        <f>'MAX Originals'!J32</f>
        <v>19.0.0</v>
      </c>
      <c r="K99" s="66" t="str">
        <f>'MAX Originals'!K32</f>
        <v>Runtime 19.0.0</v>
      </c>
      <c r="L99" s="66" t="str">
        <f>'MAX Originals'!L32</f>
        <v>19.0.0</v>
      </c>
      <c r="M99" s="90" t="str">
        <f>'MAX Originals'!M32</f>
        <v>Runtime 19.0.0</v>
      </c>
      <c r="N99" s="90" t="str">
        <f>'MAX Originals'!N32</f>
        <v>19.0.0</v>
      </c>
      <c r="O99" s="178">
        <f>'MAX Originals'!O32</f>
        <v>0</v>
      </c>
      <c r="P99" s="178">
        <f>'MAX Originals'!P32</f>
        <v>0</v>
      </c>
    </row>
    <row r="100" spans="1:16" x14ac:dyDescent="0.25">
      <c r="A100" s="72" t="str">
        <f>'MAX Originals'!A33</f>
        <v>LabVIEW</v>
      </c>
      <c r="B100" s="72" t="s">
        <v>136</v>
      </c>
      <c r="C100" s="73" t="str">
        <f>'MAX Originals'!C33</f>
        <v>LabVIEW</v>
      </c>
      <c r="D100" s="73" t="s">
        <v>136</v>
      </c>
      <c r="E100" s="74" t="str">
        <f>'MAX Originals'!E33</f>
        <v>LabVIEW 2015 (64-bit)</v>
      </c>
      <c r="F100" s="74" t="s">
        <v>136</v>
      </c>
      <c r="G100" s="75" t="str">
        <f>'MAX Originals'!G33</f>
        <v>NI-IMAQ I/O</v>
      </c>
      <c r="H100" s="75" t="str">
        <f>'MAX Originals'!H33</f>
        <v>19.0.0</v>
      </c>
      <c r="I100" s="54" t="str">
        <f>'MAX Originals'!I33</f>
        <v>NI-IMAQ I/O</v>
      </c>
      <c r="J100" s="54" t="str">
        <f>'MAX Originals'!J33</f>
        <v>19.0.0</v>
      </c>
      <c r="K100" s="66" t="str">
        <f>'MAX Originals'!K33</f>
        <v>NI-IMAQ I/O</v>
      </c>
      <c r="L100" s="66" t="str">
        <f>'MAX Originals'!L33</f>
        <v>19.0.0</v>
      </c>
      <c r="M100" s="90" t="str">
        <f>'MAX Originals'!M33</f>
        <v>NI-IMAQ I/O</v>
      </c>
      <c r="N100" s="90" t="str">
        <f>'MAX Originals'!N33</f>
        <v>19.0.0</v>
      </c>
      <c r="O100" s="178">
        <f>'MAX Originals'!O33</f>
        <v>0</v>
      </c>
      <c r="P100" s="178">
        <f>'MAX Originals'!P33</f>
        <v>0</v>
      </c>
    </row>
    <row r="101" spans="1:16" ht="30" x14ac:dyDescent="0.25">
      <c r="A101" s="72" t="str">
        <f>'MAX Originals'!A34</f>
        <v>Advanced Signal Processing Toolkit</v>
      </c>
      <c r="B101" s="72" t="s">
        <v>136</v>
      </c>
      <c r="C101" s="73" t="str">
        <f>'MAX Originals'!C34</f>
        <v>Advanced Signal Processing Toolkit</v>
      </c>
      <c r="D101" s="73" t="s">
        <v>136</v>
      </c>
      <c r="E101" s="74" t="str">
        <f>'MAX Originals'!E34</f>
        <v>LabVIEW Runtime 2012 SP1 f9</v>
      </c>
      <c r="F101" s="74" t="s">
        <v>136</v>
      </c>
      <c r="G101" s="75" t="str">
        <f>'MAX Originals'!G34</f>
        <v>Runtime 19.0.0</v>
      </c>
      <c r="H101" s="75" t="str">
        <f>'MAX Originals'!H34</f>
        <v>19.0.0</v>
      </c>
      <c r="I101" s="54" t="str">
        <f>'MAX Originals'!I34</f>
        <v>Runtime 19.0.0</v>
      </c>
      <c r="J101" s="54" t="str">
        <f>'MAX Originals'!J34</f>
        <v>19.0.0</v>
      </c>
      <c r="K101" s="66" t="str">
        <f>'MAX Originals'!K34</f>
        <v>Runtime 19.0.0</v>
      </c>
      <c r="L101" s="66" t="str">
        <f>'MAX Originals'!L34</f>
        <v>19.0.0</v>
      </c>
      <c r="M101" s="90" t="str">
        <f>'MAX Originals'!M34</f>
        <v>Runtime 19.0.0</v>
      </c>
      <c r="N101" s="90" t="str">
        <f>'MAX Originals'!N34</f>
        <v>19.0.0</v>
      </c>
      <c r="O101" s="178">
        <f>'MAX Originals'!O34</f>
        <v>0</v>
      </c>
      <c r="P101" s="178">
        <f>'MAX Originals'!P34</f>
        <v>0</v>
      </c>
    </row>
    <row r="102" spans="1:16" ht="30" x14ac:dyDescent="0.25">
      <c r="A102" s="72" t="str">
        <f>'MAX Originals'!A35</f>
        <v>Database Connectivity Toolkit</v>
      </c>
      <c r="B102" s="72" t="s">
        <v>136</v>
      </c>
      <c r="C102" s="73" t="str">
        <f>'MAX Originals'!C35</f>
        <v>Database Connectivity Toolkit</v>
      </c>
      <c r="D102" s="73" t="s">
        <v>136</v>
      </c>
      <c r="E102" s="74" t="str">
        <f>'MAX Originals'!E35</f>
        <v>LabVIEW Runtime 2012 SP1 f9 (64-bit)</v>
      </c>
      <c r="F102" s="74" t="s">
        <v>136</v>
      </c>
      <c r="G102" s="75" t="str">
        <f>'MAX Originals'!G35</f>
        <v>Vision Common Resources</v>
      </c>
      <c r="H102" s="75" t="str">
        <f>'MAX Originals'!H35</f>
        <v>19.0.0</v>
      </c>
      <c r="I102" s="54" t="str">
        <f>'MAX Originals'!I35</f>
        <v>Vision Common Resources</v>
      </c>
      <c r="J102" s="54" t="str">
        <f>'MAX Originals'!J35</f>
        <v>19.0.0</v>
      </c>
      <c r="K102" s="66" t="str">
        <f>'MAX Originals'!K35</f>
        <v>Vision Common Resources</v>
      </c>
      <c r="L102" s="66" t="str">
        <f>'MAX Originals'!L35</f>
        <v>19.0.0</v>
      </c>
      <c r="M102" s="90" t="str">
        <f>'MAX Originals'!M35</f>
        <v>Vision Common Resources</v>
      </c>
      <c r="N102" s="90" t="str">
        <f>'MAX Originals'!N35</f>
        <v>19.0.0</v>
      </c>
      <c r="O102" s="178">
        <f>'MAX Originals'!O35</f>
        <v>0</v>
      </c>
      <c r="P102" s="178">
        <f>'MAX Originals'!P35</f>
        <v>0</v>
      </c>
    </row>
    <row r="103" spans="1:16" ht="30" x14ac:dyDescent="0.25">
      <c r="A103" s="72" t="str">
        <f>'MAX Originals'!A36</f>
        <v>DataFinder Toolkit</v>
      </c>
      <c r="B103" s="72" t="s">
        <v>136</v>
      </c>
      <c r="C103" s="73" t="str">
        <f>'MAX Originals'!C36</f>
        <v>DataFinder Toolkit</v>
      </c>
      <c r="D103" s="73" t="s">
        <v>136</v>
      </c>
      <c r="E103" s="74" t="str">
        <f>'MAX Originals'!E36</f>
        <v>Measurement &amp; Automation Explorer</v>
      </c>
      <c r="F103" s="74" t="s">
        <v>136</v>
      </c>
      <c r="G103" s="75" t="str">
        <f>'MAX Originals'!G36</f>
        <v>Image Processing and Machine Vision</v>
      </c>
      <c r="H103" s="75" t="str">
        <f>'MAX Originals'!H36</f>
        <v>19.0.0.49152</v>
      </c>
      <c r="I103" s="54" t="str">
        <f>'MAX Originals'!I36</f>
        <v>Image Processing and Machine Vision</v>
      </c>
      <c r="J103" s="54" t="str">
        <f>'MAX Originals'!J36</f>
        <v>19.0.0.49152</v>
      </c>
      <c r="K103" s="66" t="str">
        <f>'MAX Originals'!K36</f>
        <v>Image Processing and Machine Vision</v>
      </c>
      <c r="L103" s="66" t="str">
        <f>'MAX Originals'!L36</f>
        <v>19.0.0.49152</v>
      </c>
      <c r="M103" s="90" t="str">
        <f>'MAX Originals'!M36</f>
        <v>Image Processing and Machine Vision</v>
      </c>
      <c r="N103" s="90" t="str">
        <f>'MAX Originals'!N36</f>
        <v>19.0.0.49152</v>
      </c>
      <c r="O103" s="178">
        <f>'MAX Originals'!O36</f>
        <v>0</v>
      </c>
      <c r="P103" s="178">
        <f>'MAX Originals'!P36</f>
        <v>0</v>
      </c>
    </row>
    <row r="104" spans="1:16" x14ac:dyDescent="0.25">
      <c r="A104" s="72" t="str">
        <f>'MAX Originals'!A37</f>
        <v>Digital Filter Design Toolkit</v>
      </c>
      <c r="B104" s="72" t="s">
        <v>136</v>
      </c>
      <c r="C104" s="73" t="str">
        <f>'MAX Originals'!C37</f>
        <v>Digital Filter Design Toolkit</v>
      </c>
      <c r="D104" s="73" t="s">
        <v>136</v>
      </c>
      <c r="E104" s="74" t="str">
        <f>'MAX Originals'!E37</f>
        <v>Measurement Studio</v>
      </c>
      <c r="F104" s="74" t="s">
        <v>136</v>
      </c>
      <c r="G104" s="75" t="str">
        <f>'MAX Originals'!G37</f>
        <v>Image Services</v>
      </c>
      <c r="H104" s="75" t="str">
        <f>'MAX Originals'!H37</f>
        <v>19.0.0.49152</v>
      </c>
      <c r="I104" s="54" t="str">
        <f>'MAX Originals'!I37</f>
        <v>Image Services</v>
      </c>
      <c r="J104" s="54" t="str">
        <f>'MAX Originals'!J37</f>
        <v>19.0.0.49152</v>
      </c>
      <c r="K104" s="66" t="str">
        <f>'MAX Originals'!K37</f>
        <v>Image Services</v>
      </c>
      <c r="L104" s="66" t="str">
        <f>'MAX Originals'!L37</f>
        <v>19.0.0.49152</v>
      </c>
      <c r="M104" s="90" t="str">
        <f>'MAX Originals'!M37</f>
        <v>Image Services</v>
      </c>
      <c r="N104" s="90" t="str">
        <f>'MAX Originals'!N37</f>
        <v>19.0.0.49152</v>
      </c>
      <c r="O104" s="178">
        <f>'MAX Originals'!O37</f>
        <v>0</v>
      </c>
      <c r="P104" s="178">
        <f>'MAX Originals'!P37</f>
        <v>0</v>
      </c>
    </row>
    <row r="105" spans="1:16" ht="30" x14ac:dyDescent="0.25">
      <c r="A105" s="72" t="str">
        <f>'MAX Originals'!A38</f>
        <v>MathScript RT Module</v>
      </c>
      <c r="B105" s="72" t="s">
        <v>136</v>
      </c>
      <c r="C105" s="73" t="str">
        <f>'MAX Originals'!C38</f>
        <v>MathScript RT Module</v>
      </c>
      <c r="D105" s="73" t="s">
        <v>136</v>
      </c>
      <c r="E105" s="74" t="str">
        <f>'MAX Originals'!E38</f>
        <v>DotNET</v>
      </c>
      <c r="F105" s="74" t="s">
        <v>136</v>
      </c>
      <c r="G105" s="75" t="str">
        <f>'MAX Originals'!G38</f>
        <v>NI-Industrial Communications for EtherCAT</v>
      </c>
      <c r="H105" s="75" t="str">
        <f>'MAX Originals'!H38</f>
        <v>15.0.0f3</v>
      </c>
      <c r="I105" s="54" t="str">
        <f>'MAX Originals'!I38</f>
        <v>NI-Industrial Communications for EtherCAT</v>
      </c>
      <c r="J105" s="54" t="str">
        <f>'MAX Originals'!J38</f>
        <v>15.0.0f3</v>
      </c>
      <c r="K105" s="66" t="str">
        <f>'MAX Originals'!K38</f>
        <v>NI-Industrial Communications for EtherCAT</v>
      </c>
      <c r="L105" s="66" t="str">
        <f>'MAX Originals'!L38</f>
        <v>18.0.0f1</v>
      </c>
      <c r="M105" s="90" t="str">
        <f>'MAX Originals'!M38</f>
        <v>NI-Industrial Communications for EtherCAT</v>
      </c>
      <c r="N105" s="90" t="str">
        <f>'MAX Originals'!N38</f>
        <v>18.0.0f1</v>
      </c>
      <c r="O105" s="178">
        <f>'MAX Originals'!O38</f>
        <v>0</v>
      </c>
      <c r="P105" s="178">
        <f>'MAX Originals'!P38</f>
        <v>0</v>
      </c>
    </row>
    <row r="106" spans="1:16" ht="30" x14ac:dyDescent="0.25">
      <c r="A106" s="72" t="str">
        <f>'MAX Originals'!A60</f>
        <v>Configuration Support</v>
      </c>
      <c r="B106" s="72" t="s">
        <v>136</v>
      </c>
      <c r="C106" s="73" t="str">
        <f>'MAX Originals'!C60</f>
        <v>Configuration Support</v>
      </c>
      <c r="D106" s="73" t="s">
        <v>136</v>
      </c>
      <c r="E106" s="74" t="str">
        <f>'MAX Originals'!E60</f>
        <v>NI 1588-2008 Network Management 15.0.0</v>
      </c>
      <c r="F106" s="74" t="s">
        <v>136</v>
      </c>
      <c r="G106" s="75" t="str">
        <f>'MAX Originals'!G60</f>
        <v>NI-IMAQdx</v>
      </c>
      <c r="H106" s="75" t="str">
        <f>'MAX Originals'!H60</f>
        <v>19.0.0</v>
      </c>
      <c r="I106" s="54" t="str">
        <f>'MAX Originals'!I60</f>
        <v>NI-IMAQdx</v>
      </c>
      <c r="J106" s="54" t="str">
        <f>'MAX Originals'!J60</f>
        <v>19.0.0</v>
      </c>
      <c r="K106" s="66" t="str">
        <f>'MAX Originals'!K60</f>
        <v>NI-IMAQdx</v>
      </c>
      <c r="L106" s="66" t="str">
        <f>'MAX Originals'!L60</f>
        <v>19.0.0</v>
      </c>
      <c r="M106" s="90" t="str">
        <f>'MAX Originals'!M60</f>
        <v>NI-IMAQdx</v>
      </c>
      <c r="N106" s="90" t="str">
        <f>'MAX Originals'!N60</f>
        <v>19.0.0</v>
      </c>
      <c r="O106" s="178">
        <f>'MAX Originals'!O60</f>
        <v>0</v>
      </c>
      <c r="P106" s="178">
        <f>'MAX Originals'!P60</f>
        <v>0</v>
      </c>
    </row>
    <row r="107" spans="1:16" x14ac:dyDescent="0.25">
      <c r="A107" s="72" t="str">
        <f>'MAX Originals'!A61</f>
        <v>Development Support</v>
      </c>
      <c r="B107" s="72" t="s">
        <v>136</v>
      </c>
      <c r="C107" s="73" t="str">
        <f>'MAX Originals'!C61</f>
        <v>Development Support</v>
      </c>
      <c r="D107" s="73" t="s">
        <v>136</v>
      </c>
      <c r="E107" s="74" t="str">
        <f>'MAX Originals'!E61</f>
        <v>NI-SCOPE</v>
      </c>
      <c r="F107" s="74" t="s">
        <v>136</v>
      </c>
      <c r="G107" s="75" t="str">
        <f>'MAX Originals'!G61</f>
        <v>Runtime 19.0.0</v>
      </c>
      <c r="H107" s="75" t="str">
        <f>'MAX Originals'!H61</f>
        <v>19.0.0</v>
      </c>
      <c r="I107" s="54" t="str">
        <f>'MAX Originals'!I61</f>
        <v>Runtime 19.0.0</v>
      </c>
      <c r="J107" s="54" t="str">
        <f>'MAX Originals'!J61</f>
        <v>19.0.0</v>
      </c>
      <c r="K107" s="66" t="str">
        <f>'MAX Originals'!K61</f>
        <v>Runtime 19.0.0</v>
      </c>
      <c r="L107" s="66" t="str">
        <f>'MAX Originals'!L61</f>
        <v>19.0.0</v>
      </c>
      <c r="M107" s="90" t="str">
        <f>'MAX Originals'!M61</f>
        <v>Runtime 19.0.0</v>
      </c>
      <c r="N107" s="90" t="str">
        <f>'MAX Originals'!N61</f>
        <v>19.0.0</v>
      </c>
      <c r="O107" s="178">
        <f>'MAX Originals'!O61</f>
        <v>0</v>
      </c>
      <c r="P107" s="178">
        <f>'MAX Originals'!P61</f>
        <v>0</v>
      </c>
    </row>
    <row r="108" spans="1:16" x14ac:dyDescent="0.25">
      <c r="A108" s="72" t="str">
        <f>'MAX Originals'!A62</f>
        <v>Runtime</v>
      </c>
      <c r="B108" s="72" t="s">
        <v>136</v>
      </c>
      <c r="C108" s="73" t="str">
        <f>'MAX Originals'!C62</f>
        <v>Runtime</v>
      </c>
      <c r="D108" s="73" t="s">
        <v>136</v>
      </c>
      <c r="E108" s="74" t="str">
        <f>'MAX Originals'!E62</f>
        <v>Configuration Support</v>
      </c>
      <c r="F108" s="74" t="s">
        <v>136</v>
      </c>
      <c r="G108" s="75" t="str">
        <f>'MAX Originals'!G62</f>
        <v>USB3 Vision Driver</v>
      </c>
      <c r="H108" s="75" t="str">
        <f>'MAX Originals'!H62</f>
        <v>19.0.0.49152</v>
      </c>
      <c r="I108" s="54" t="str">
        <f>'MAX Originals'!I62</f>
        <v>USB3 Vision Driver</v>
      </c>
      <c r="J108" s="54" t="str">
        <f>'MAX Originals'!J62</f>
        <v>19.0.0.49152</v>
      </c>
      <c r="K108" s="66" t="str">
        <f>'MAX Originals'!K62</f>
        <v>USB3 Vision Driver</v>
      </c>
      <c r="L108" s="66" t="str">
        <f>'MAX Originals'!L62</f>
        <v>19.0.0.49152</v>
      </c>
      <c r="M108" s="90" t="str">
        <f>'MAX Originals'!M62</f>
        <v>USB3 Vision Driver</v>
      </c>
      <c r="N108" s="90" t="str">
        <f>'MAX Originals'!N62</f>
        <v>19.0.0.49152</v>
      </c>
      <c r="O108" s="178">
        <f>'MAX Originals'!O62</f>
        <v>0</v>
      </c>
      <c r="P108" s="178">
        <f>'MAX Originals'!P62</f>
        <v>0</v>
      </c>
    </row>
    <row r="109" spans="1:16" x14ac:dyDescent="0.25">
      <c r="A109" s="72" t="str">
        <f>'MAX Originals'!A63</f>
        <v>NI-HWS</v>
      </c>
      <c r="B109" s="72" t="s">
        <v>136</v>
      </c>
      <c r="C109" s="73" t="str">
        <f>'MAX Originals'!C63</f>
        <v>NI-HWS</v>
      </c>
      <c r="D109" s="73" t="s">
        <v>136</v>
      </c>
      <c r="E109" s="74" t="str">
        <f>'MAX Originals'!E63</f>
        <v>Development Support</v>
      </c>
      <c r="F109" s="74" t="s">
        <v>136</v>
      </c>
      <c r="G109" s="75" t="str">
        <f>'MAX Originals'!G63</f>
        <v>GigE Vision Driver</v>
      </c>
      <c r="H109" s="75" t="str">
        <f>'MAX Originals'!H63</f>
        <v>1.9.3.49152</v>
      </c>
      <c r="I109" s="54" t="str">
        <f>'MAX Originals'!I63</f>
        <v>GigE Vision Driver</v>
      </c>
      <c r="J109" s="54" t="str">
        <f>'MAX Originals'!J63</f>
        <v>1.9.3.49152</v>
      </c>
      <c r="K109" s="66" t="str">
        <f>'MAX Originals'!K63</f>
        <v>GigE Vision Driver</v>
      </c>
      <c r="L109" s="66" t="str">
        <f>'MAX Originals'!L63</f>
        <v>1.9.3.49152</v>
      </c>
      <c r="M109" s="90" t="str">
        <f>'MAX Originals'!M63</f>
        <v>GigE Vision Driver</v>
      </c>
      <c r="N109" s="90" t="str">
        <f>'MAX Originals'!N63</f>
        <v>1.9.3.49152</v>
      </c>
      <c r="O109" s="178">
        <f>'MAX Originals'!O63</f>
        <v>0</v>
      </c>
      <c r="P109" s="178">
        <f>'MAX Originals'!P63</f>
        <v>0</v>
      </c>
    </row>
    <row r="110" spans="1:16" x14ac:dyDescent="0.25">
      <c r="A110" s="72" t="str">
        <f>'MAX Originals'!A92</f>
        <v>LabVIEW Run-Time 2013 SP1 f6</v>
      </c>
      <c r="B110" s="72" t="s">
        <v>136</v>
      </c>
      <c r="C110" s="73" t="str">
        <f>'MAX Originals'!C92</f>
        <v>LabVIEW Runtime 2013 SP1 f6</v>
      </c>
      <c r="D110" s="73" t="s">
        <v>136</v>
      </c>
      <c r="E110" s="74" t="str">
        <f>'MAX Originals'!E92</f>
        <v>LabVIEW Runtime 2013 SP1 f6</v>
      </c>
      <c r="F110" s="74" t="s">
        <v>136</v>
      </c>
      <c r="G110" s="75" t="str">
        <f>'MAX Originals'!G92</f>
        <v>Vision Development Module</v>
      </c>
      <c r="H110" s="75" t="str">
        <f>'MAX Originals'!H92</f>
        <v>19.0.0</v>
      </c>
      <c r="I110" s="54" t="str">
        <f>'MAX Originals'!I93</f>
        <v>Vision Development Module</v>
      </c>
      <c r="J110" s="54" t="str">
        <f>'MAX Originals'!J93</f>
        <v>19.0.0</v>
      </c>
      <c r="K110" s="66" t="str">
        <f>'MAX Originals'!K93</f>
        <v>Vision Development Module</v>
      </c>
      <c r="L110" s="66" t="str">
        <f>'MAX Originals'!L93</f>
        <v>19.0.0</v>
      </c>
      <c r="M110" s="90" t="str">
        <f>'MAX Originals'!M93</f>
        <v>Vision Development Module</v>
      </c>
      <c r="N110" s="90" t="str">
        <f>'MAX Originals'!N93</f>
        <v>19.0.0</v>
      </c>
      <c r="O110" s="178">
        <f>'MAX Originals'!O93</f>
        <v>0</v>
      </c>
      <c r="P110" s="178">
        <f>'MAX Originals'!P93</f>
        <v>0</v>
      </c>
    </row>
    <row r="111" spans="1:16" x14ac:dyDescent="0.25">
      <c r="A111" s="72" t="str">
        <f>'MAX Originals'!A93</f>
        <v>LabVIEW Run-Time 2014 SP1 f1</v>
      </c>
      <c r="B111" s="72" t="s">
        <v>136</v>
      </c>
      <c r="C111" s="73" t="str">
        <f>'MAX Originals'!C93</f>
        <v>LabVIEW Runtime 2014 SP1 f3</v>
      </c>
      <c r="D111" s="73" t="s">
        <v>136</v>
      </c>
      <c r="E111" s="74" t="str">
        <f>'MAX Originals'!E93</f>
        <v>LabVIEW Runtime 2014 SP1 f11</v>
      </c>
      <c r="F111" s="74" t="s">
        <v>136</v>
      </c>
      <c r="G111" s="75" t="str">
        <f>'MAX Originals'!G93</f>
        <v>Runtime Support 2019</v>
      </c>
      <c r="H111" s="75" t="str">
        <f>'MAX Originals'!H93</f>
        <v>19.0.0</v>
      </c>
      <c r="I111" s="54" t="str">
        <f>'MAX Originals'!I94</f>
        <v>Runtime Support 2019</v>
      </c>
      <c r="J111" s="54" t="str">
        <f>'MAX Originals'!J94</f>
        <v>19.0.0</v>
      </c>
      <c r="K111" s="66" t="str">
        <f>'MAX Originals'!K94</f>
        <v>Runtime Support 2019</v>
      </c>
      <c r="L111" s="66" t="str">
        <f>'MAX Originals'!L94</f>
        <v>19.0.0</v>
      </c>
      <c r="M111" s="90" t="str">
        <f>'MAX Originals'!M94</f>
        <v>Runtime Support 2019</v>
      </c>
      <c r="N111" s="90" t="str">
        <f>'MAX Originals'!N94</f>
        <v>19.0.0</v>
      </c>
      <c r="O111" s="178">
        <f>'MAX Originals'!O94</f>
        <v>0</v>
      </c>
      <c r="P111" s="178">
        <f>'MAX Originals'!P94</f>
        <v>0</v>
      </c>
    </row>
    <row r="112" spans="1:16" x14ac:dyDescent="0.25">
      <c r="A112" s="72" t="s">
        <v>445</v>
      </c>
      <c r="B112" s="72" t="s">
        <v>136</v>
      </c>
      <c r="C112" s="73" t="s">
        <v>445</v>
      </c>
      <c r="D112" s="73" t="s">
        <v>136</v>
      </c>
      <c r="E112" s="74" t="s">
        <v>445</v>
      </c>
      <c r="F112" s="74" t="s">
        <v>136</v>
      </c>
      <c r="G112" s="75" t="str">
        <f>'MAX Originals'!G109</f>
        <v>LabVIEW Runtime 2018 SP1 f3</v>
      </c>
      <c r="H112" s="75" t="str">
        <f>'MAX Originals'!H109</f>
        <v>18.0.1</v>
      </c>
      <c r="I112" s="54" t="str">
        <f>'MAX Originals'!I112</f>
        <v>LabVIEW Runtime 2018 SP1 f3</v>
      </c>
      <c r="J112" s="54" t="str">
        <f>'MAX Originals'!J112</f>
        <v>18.0.1</v>
      </c>
      <c r="K112" s="66" t="str">
        <f>'MAX Originals'!K112</f>
        <v>LabVIEW Runtime 2018 SP1 f3</v>
      </c>
      <c r="L112" s="66" t="str">
        <f>'MAX Originals'!L112</f>
        <v>18.0.1</v>
      </c>
      <c r="M112" s="90" t="str">
        <f>'MAX Originals'!M112</f>
        <v>LabVIEW Runtime 2018 SP1 f3</v>
      </c>
      <c r="N112" s="90" t="str">
        <f>'MAX Originals'!N112</f>
        <v>18.0.1</v>
      </c>
      <c r="O112" s="178">
        <f>'MAX Originals'!O112</f>
        <v>0</v>
      </c>
      <c r="P112" s="178">
        <f>'MAX Originals'!P112</f>
        <v>0</v>
      </c>
    </row>
    <row r="113" spans="1:16" x14ac:dyDescent="0.25">
      <c r="A113" s="72" t="s">
        <v>446</v>
      </c>
      <c r="B113" s="72" t="s">
        <v>136</v>
      </c>
      <c r="C113" s="73" t="s">
        <v>446</v>
      </c>
      <c r="D113" s="73" t="s">
        <v>136</v>
      </c>
      <c r="E113" s="74" t="s">
        <v>446</v>
      </c>
      <c r="F113" s="74" t="s">
        <v>136</v>
      </c>
      <c r="G113" s="75" t="str">
        <f>'MAX Originals'!G110</f>
        <v>LabVIEW Runtime 2019</v>
      </c>
      <c r="H113" s="75" t="str">
        <f>'MAX Originals'!H110</f>
        <v>19.0.0</v>
      </c>
      <c r="I113" s="54" t="str">
        <f>'MAX Originals'!I113</f>
        <v>LabVIEW Runtime 2019</v>
      </c>
      <c r="J113" s="54" t="str">
        <f>'MAX Originals'!J113</f>
        <v>19.0.0</v>
      </c>
      <c r="K113" s="66" t="str">
        <f>'MAX Originals'!K113</f>
        <v>LabVIEW Runtime 2019</v>
      </c>
      <c r="L113" s="66" t="str">
        <f>'MAX Originals'!L113</f>
        <v>19.0.0</v>
      </c>
      <c r="M113" s="90" t="str">
        <f>'MAX Originals'!M113</f>
        <v>LabVIEW Runtime 2019</v>
      </c>
      <c r="N113" s="90" t="str">
        <f>'MAX Originals'!N113</f>
        <v>19.0.0</v>
      </c>
      <c r="O113" s="178">
        <f>'MAX Originals'!O113</f>
        <v>0</v>
      </c>
      <c r="P113" s="178">
        <f>'MAX Originals'!P113</f>
        <v>0</v>
      </c>
    </row>
    <row r="114" spans="1:16" x14ac:dyDescent="0.25">
      <c r="A114" s="72" t="s">
        <v>483</v>
      </c>
      <c r="B114" s="72" t="s">
        <v>136</v>
      </c>
      <c r="C114" s="73" t="s">
        <v>483</v>
      </c>
      <c r="D114" s="73" t="s">
        <v>136</v>
      </c>
      <c r="E114" s="74" t="s">
        <v>483</v>
      </c>
      <c r="F114" s="74" t="s">
        <v>136</v>
      </c>
      <c r="G114" s="75" t="s">
        <v>483</v>
      </c>
      <c r="H114" s="75" t="s">
        <v>136</v>
      </c>
      <c r="I114" s="54" t="str">
        <f>'MAX Originals'!I110</f>
        <v>LabVIEW Runtime 2016 f5</v>
      </c>
      <c r="J114" s="54" t="str">
        <f>'MAX Originals'!J110</f>
        <v>16.0.0</v>
      </c>
      <c r="K114" s="66" t="str">
        <f>'MAX Originals'!K110</f>
        <v>LabVIEW Runtime 2016 f5</v>
      </c>
      <c r="L114" s="66" t="str">
        <f>'MAX Originals'!L110</f>
        <v>16.0.0</v>
      </c>
      <c r="M114" s="90" t="str">
        <f>'MAX Originals'!M110</f>
        <v>LabVIEW Runtime 2016 f5</v>
      </c>
      <c r="N114" s="90" t="str">
        <f>'MAX Originals'!N110</f>
        <v>16.0.0</v>
      </c>
      <c r="O114" s="178">
        <f>'MAX Originals'!O110</f>
        <v>0</v>
      </c>
      <c r="P114" s="178">
        <f>'MAX Originals'!P110</f>
        <v>0</v>
      </c>
    </row>
    <row r="115" spans="1:16" x14ac:dyDescent="0.25">
      <c r="A115" s="72" t="s">
        <v>484</v>
      </c>
      <c r="B115" s="72" t="s">
        <v>136</v>
      </c>
      <c r="C115" s="73" t="s">
        <v>484</v>
      </c>
      <c r="D115" s="73" t="s">
        <v>136</v>
      </c>
      <c r="E115" s="74" t="s">
        <v>484</v>
      </c>
      <c r="F115" s="74" t="s">
        <v>136</v>
      </c>
      <c r="G115" s="75" t="s">
        <v>484</v>
      </c>
      <c r="H115" s="75" t="s">
        <v>136</v>
      </c>
      <c r="I115" s="54" t="str">
        <f>'MAX Originals'!I111</f>
        <v>LabVIEW Runtime 2017 SP1 f2</v>
      </c>
      <c r="J115" s="54" t="str">
        <f>'MAX Originals'!J111</f>
        <v>17.0.1</v>
      </c>
      <c r="K115" s="66" t="str">
        <f>'MAX Originals'!K111</f>
        <v>LabVIEW Runtime 2017 SP1 f2</v>
      </c>
      <c r="L115" s="66" t="str">
        <f>'MAX Originals'!L111</f>
        <v>17.0.1</v>
      </c>
      <c r="M115" s="90" t="str">
        <f>'MAX Originals'!M111</f>
        <v>LabVIEW Runtime 2017 SP1 f3</v>
      </c>
      <c r="N115" s="90" t="str">
        <f>'MAX Originals'!N111</f>
        <v>17.0.1</v>
      </c>
      <c r="O115" s="178">
        <f>'MAX Originals'!O111</f>
        <v>0</v>
      </c>
      <c r="P115" s="178">
        <f>'MAX Originals'!P111</f>
        <v>0</v>
      </c>
    </row>
    <row r="116" spans="1:16" x14ac:dyDescent="0.25">
      <c r="A116" s="72" t="s">
        <v>56</v>
      </c>
      <c r="B116" s="72" t="s">
        <v>136</v>
      </c>
      <c r="C116" s="73" t="s">
        <v>56</v>
      </c>
      <c r="D116" s="73" t="s">
        <v>136</v>
      </c>
      <c r="E116" s="74" t="s">
        <v>56</v>
      </c>
      <c r="F116" s="74" t="s">
        <v>136</v>
      </c>
      <c r="G116" s="75" t="s">
        <v>56</v>
      </c>
      <c r="H116" s="75" t="s">
        <v>136</v>
      </c>
      <c r="I116" s="54" t="str">
        <f>'MAX Originals'!I68</f>
        <v>NI-Sync</v>
      </c>
      <c r="J116" s="54" t="str">
        <f>'MAX Originals'!J68</f>
        <v>18.1.0f0</v>
      </c>
      <c r="K116" s="66" t="str">
        <f>'MAX Originals'!K68</f>
        <v>NI-Sync</v>
      </c>
      <c r="L116" s="66" t="str">
        <f>'MAX Originals'!L68</f>
        <v>18.1.0f0</v>
      </c>
      <c r="M116" s="90" t="str">
        <f>'MAX Originals'!M68</f>
        <v>NI-Sync</v>
      </c>
      <c r="N116" s="90" t="str">
        <f>'MAX Originals'!N68</f>
        <v>18.1.0f0</v>
      </c>
      <c r="O116" s="178">
        <f>'MAX Originals'!O68</f>
        <v>0</v>
      </c>
      <c r="P116" s="178">
        <f>'MAX Originals'!P68</f>
        <v>0</v>
      </c>
    </row>
    <row r="117" spans="1:16" x14ac:dyDescent="0.25">
      <c r="A117" s="27"/>
      <c r="C117" s="27"/>
      <c r="E117" s="27"/>
      <c r="G117" s="27"/>
      <c r="O117" s="179">
        <f>'MAX Originals'!O117</f>
        <v>0</v>
      </c>
      <c r="P117" s="179">
        <f>'MAX Originals'!P117</f>
        <v>0</v>
      </c>
    </row>
    <row r="118" spans="1:16" x14ac:dyDescent="0.25">
      <c r="A118" s="27"/>
      <c r="C118" s="27"/>
      <c r="E118" s="27"/>
      <c r="G118" s="27"/>
    </row>
    <row r="119" spans="1:16" x14ac:dyDescent="0.25">
      <c r="A119" s="27"/>
      <c r="C119" s="27"/>
      <c r="E119" s="27"/>
      <c r="G119" s="27"/>
    </row>
    <row r="120" spans="1:16" x14ac:dyDescent="0.25">
      <c r="A120" s="27"/>
      <c r="C120" s="27"/>
      <c r="E120" s="27"/>
      <c r="G120" s="27"/>
    </row>
    <row r="121" spans="1:16" x14ac:dyDescent="0.25">
      <c r="A121" s="27"/>
      <c r="C121" s="27"/>
      <c r="E121" s="27"/>
      <c r="G121" s="27"/>
    </row>
    <row r="122" spans="1:16" x14ac:dyDescent="0.25">
      <c r="A122" s="27"/>
      <c r="C122" s="27"/>
      <c r="E122" s="27"/>
      <c r="G122" s="27"/>
    </row>
    <row r="123" spans="1:16" x14ac:dyDescent="0.25">
      <c r="A123" s="27"/>
      <c r="C123" s="27"/>
      <c r="E123" s="27"/>
      <c r="G123" s="27"/>
    </row>
    <row r="124" spans="1:16" x14ac:dyDescent="0.25">
      <c r="A124" s="27"/>
      <c r="C124" s="27"/>
      <c r="E124" s="27"/>
      <c r="G124" s="27"/>
    </row>
  </sheetData>
  <autoFilter ref="A4:L116" xr:uid="{1C477741-8AB5-4865-8C9F-FBCEFE4919A6}"/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Originals</vt:lpstr>
      <vt:lpstr>Scott</vt:lpstr>
      <vt:lpstr>Cmb Run</vt:lpstr>
      <vt:lpstr>Cmb Dev</vt:lpstr>
      <vt:lpstr>Cross-Ref</vt:lpstr>
      <vt:lpstr>Cross-Ref Manual</vt:lpstr>
      <vt:lpstr>Install Diff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2024-07-15T15:25:32Z</dcterms:modified>
</cp:coreProperties>
</file>