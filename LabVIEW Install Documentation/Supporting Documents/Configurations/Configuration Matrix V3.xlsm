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site.jci.com/personal/jbeachsc_jci_com/Documents/Documents/Projects/LabVIEW Install Documentation/Supporting Documents/Configurations/"/>
    </mc:Choice>
  </mc:AlternateContent>
  <xr:revisionPtr revIDLastSave="5065" documentId="8_{94374330-8E57-4BF1-BA5A-A2D6E61ED8E1}" xr6:coauthVersionLast="47" xr6:coauthVersionMax="47" xr10:uidLastSave="{BDD562F6-8AF4-4F32-84FF-ADBA4C96BE8A}"/>
  <bookViews>
    <workbookView xWindow="28680" yWindow="-345" windowWidth="29040" windowHeight="15840" xr2:uid="{B7160913-C58D-4B00-B611-0B600A1B0B17}"/>
  </bookViews>
  <sheets>
    <sheet name="Originals" sheetId="4" r:id="rId1"/>
    <sheet name="Scott" sheetId="12" r:id="rId2"/>
    <sheet name="Cross-Ref" sheetId="21" r:id="rId3"/>
    <sheet name="Scott-Vin Compare" sheetId="19" r:id="rId4"/>
    <sheet name="Cmb Run" sheetId="13" r:id="rId5"/>
    <sheet name="Cmb Dev" sheetId="15" r:id="rId6"/>
    <sheet name="Cross-Ref Unique" sheetId="17" r:id="rId7"/>
    <sheet name="Cross-Ref Man" sheetId="18" r:id="rId8"/>
    <sheet name="Install Diff" sheetId="3" r:id="rId9"/>
    <sheet name="MAX Cross Reference" sheetId="6" r:id="rId10"/>
  </sheets>
  <definedNames>
    <definedName name="_xlnm._FilterDatabase" localSheetId="5" hidden="1">'Cmb Dev'!$A$3:$I$545</definedName>
    <definedName name="_xlnm._FilterDatabase" localSheetId="4" hidden="1">'Cmb Run'!$A$3:$I$317</definedName>
    <definedName name="_xlnm._FilterDatabase" localSheetId="2" hidden="1">'Cross-Ref'!$A$3:$I$604</definedName>
    <definedName name="_xlnm._FilterDatabase" localSheetId="7" hidden="1">'Cross-Ref Man'!$A$3:$N$329</definedName>
    <definedName name="_xlnm._FilterDatabase" localSheetId="6" hidden="1">'Cross-Ref Unique'!$A$3:$H$291</definedName>
    <definedName name="_xlnm._FilterDatabase" localSheetId="8" hidden="1">'Install Diff'!$A$3:$H$141</definedName>
    <definedName name="_xlnm._FilterDatabase" localSheetId="9" hidden="1">'MAX Cross Reference'!$A$3:$T$119</definedName>
    <definedName name="_xlnm._FilterDatabase" localSheetId="0" hidden="1">Originals!$A$3:$I$399</definedName>
    <definedName name="_xlnm._FilterDatabase" localSheetId="1" hidden="1">Scott!$A$3:$I$204</definedName>
    <definedName name="_xlnm._FilterDatabase" localSheetId="3" hidden="1">'Scott-Vin Compare'!$A$1:$J$409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21" l="1"/>
  <c r="B10" i="21"/>
  <c r="C10" i="21"/>
  <c r="D10" i="21"/>
  <c r="E10" i="21"/>
  <c r="F10" i="21"/>
  <c r="G10" i="21"/>
  <c r="H10" i="21"/>
  <c r="I10" i="21"/>
  <c r="A12" i="21"/>
  <c r="B12" i="21"/>
  <c r="C12" i="21"/>
  <c r="D12" i="21"/>
  <c r="E12" i="21"/>
  <c r="F12" i="21"/>
  <c r="G12" i="21"/>
  <c r="H12" i="21"/>
  <c r="I12" i="21"/>
  <c r="A17" i="21"/>
  <c r="B17" i="21"/>
  <c r="C17" i="21"/>
  <c r="D17" i="21"/>
  <c r="E17" i="21"/>
  <c r="F17" i="21"/>
  <c r="G17" i="21"/>
  <c r="H17" i="21"/>
  <c r="I17" i="21"/>
  <c r="A19" i="21"/>
  <c r="B19" i="21"/>
  <c r="C19" i="21"/>
  <c r="D19" i="21"/>
  <c r="E19" i="21"/>
  <c r="F19" i="21"/>
  <c r="G19" i="21"/>
  <c r="H19" i="21"/>
  <c r="I19" i="21"/>
  <c r="A22" i="21"/>
  <c r="B22" i="21"/>
  <c r="C22" i="21"/>
  <c r="D22" i="21"/>
  <c r="E22" i="21"/>
  <c r="F22" i="21"/>
  <c r="G22" i="21"/>
  <c r="H22" i="21"/>
  <c r="I22" i="21"/>
  <c r="A24" i="21"/>
  <c r="B24" i="21"/>
  <c r="C24" i="21"/>
  <c r="D24" i="21"/>
  <c r="E24" i="21"/>
  <c r="F24" i="21"/>
  <c r="G24" i="21"/>
  <c r="H24" i="21"/>
  <c r="I24" i="21"/>
  <c r="A29" i="21"/>
  <c r="B29" i="21"/>
  <c r="C29" i="21"/>
  <c r="D29" i="21"/>
  <c r="E29" i="21"/>
  <c r="F29" i="21"/>
  <c r="G29" i="21"/>
  <c r="H29" i="21"/>
  <c r="I29" i="21"/>
  <c r="A32" i="21"/>
  <c r="B32" i="21"/>
  <c r="C32" i="21"/>
  <c r="D32" i="21"/>
  <c r="E32" i="21"/>
  <c r="F32" i="21"/>
  <c r="G32" i="21"/>
  <c r="H32" i="21"/>
  <c r="I32" i="21"/>
  <c r="A34" i="21"/>
  <c r="B34" i="21"/>
  <c r="C34" i="21"/>
  <c r="D34" i="21"/>
  <c r="E34" i="21"/>
  <c r="F34" i="21"/>
  <c r="G34" i="21"/>
  <c r="H34" i="21"/>
  <c r="I34" i="21"/>
  <c r="A36" i="21"/>
  <c r="B36" i="21"/>
  <c r="C36" i="21"/>
  <c r="D36" i="21"/>
  <c r="E36" i="21"/>
  <c r="F36" i="21"/>
  <c r="G36" i="21"/>
  <c r="H36" i="21"/>
  <c r="I36" i="21"/>
  <c r="A38" i="21"/>
  <c r="B38" i="21"/>
  <c r="C38" i="21"/>
  <c r="D38" i="21"/>
  <c r="E38" i="21"/>
  <c r="F38" i="21"/>
  <c r="G38" i="21"/>
  <c r="H38" i="21"/>
  <c r="I38" i="21"/>
  <c r="A40" i="21"/>
  <c r="B40" i="21"/>
  <c r="C40" i="21"/>
  <c r="D40" i="21"/>
  <c r="E40" i="21"/>
  <c r="F40" i="21"/>
  <c r="G40" i="21"/>
  <c r="H40" i="21"/>
  <c r="I40" i="21"/>
  <c r="A42" i="21"/>
  <c r="B42" i="21"/>
  <c r="C42" i="21"/>
  <c r="D42" i="21"/>
  <c r="E42" i="21"/>
  <c r="F42" i="21"/>
  <c r="G42" i="21"/>
  <c r="H42" i="21"/>
  <c r="I42" i="21"/>
  <c r="A45" i="21"/>
  <c r="B45" i="21"/>
  <c r="C45" i="21"/>
  <c r="D45" i="21"/>
  <c r="E45" i="21"/>
  <c r="F45" i="21"/>
  <c r="G45" i="21"/>
  <c r="H45" i="21"/>
  <c r="I45" i="21"/>
  <c r="A47" i="21"/>
  <c r="B47" i="21"/>
  <c r="C47" i="21"/>
  <c r="D47" i="21"/>
  <c r="E47" i="21"/>
  <c r="F47" i="21"/>
  <c r="G47" i="21"/>
  <c r="H47" i="21"/>
  <c r="I47" i="21"/>
  <c r="A51" i="21"/>
  <c r="B51" i="21"/>
  <c r="C51" i="21"/>
  <c r="D51" i="21"/>
  <c r="E51" i="21"/>
  <c r="F51" i="21"/>
  <c r="G51" i="21"/>
  <c r="H51" i="21"/>
  <c r="I51" i="21"/>
  <c r="A55" i="21"/>
  <c r="B55" i="21"/>
  <c r="C55" i="21"/>
  <c r="D55" i="21"/>
  <c r="E55" i="21"/>
  <c r="F55" i="21"/>
  <c r="G55" i="21"/>
  <c r="H55" i="21"/>
  <c r="I55" i="21"/>
  <c r="A57" i="21"/>
  <c r="B57" i="21"/>
  <c r="C57" i="21"/>
  <c r="D57" i="21"/>
  <c r="E57" i="21"/>
  <c r="F57" i="21"/>
  <c r="G57" i="21"/>
  <c r="H57" i="21"/>
  <c r="I57" i="21"/>
  <c r="A59" i="21"/>
  <c r="B59" i="21"/>
  <c r="C59" i="21"/>
  <c r="D59" i="21"/>
  <c r="E59" i="21"/>
  <c r="F59" i="21"/>
  <c r="G59" i="21"/>
  <c r="H59" i="21"/>
  <c r="I59" i="21"/>
  <c r="A62" i="21"/>
  <c r="B62" i="21"/>
  <c r="C62" i="21"/>
  <c r="D62" i="21"/>
  <c r="E62" i="21"/>
  <c r="F62" i="21"/>
  <c r="G62" i="21"/>
  <c r="H62" i="21"/>
  <c r="I62" i="21"/>
  <c r="A64" i="21"/>
  <c r="B64" i="21"/>
  <c r="C64" i="21"/>
  <c r="D64" i="21"/>
  <c r="E64" i="21"/>
  <c r="F64" i="21"/>
  <c r="G64" i="21"/>
  <c r="H64" i="21"/>
  <c r="I64" i="21"/>
  <c r="A66" i="21"/>
  <c r="B66" i="21"/>
  <c r="C66" i="21"/>
  <c r="D66" i="21"/>
  <c r="E66" i="21"/>
  <c r="F66" i="21"/>
  <c r="G66" i="21"/>
  <c r="H66" i="21"/>
  <c r="I66" i="21"/>
  <c r="A68" i="21"/>
  <c r="B68" i="21"/>
  <c r="C68" i="21"/>
  <c r="D68" i="21"/>
  <c r="E68" i="21"/>
  <c r="F68" i="21"/>
  <c r="G68" i="21"/>
  <c r="H68" i="21"/>
  <c r="I68" i="21"/>
  <c r="A70" i="21"/>
  <c r="B70" i="21"/>
  <c r="C70" i="21"/>
  <c r="D70" i="21"/>
  <c r="E70" i="21"/>
  <c r="F70" i="21"/>
  <c r="G70" i="21"/>
  <c r="H70" i="21"/>
  <c r="I70" i="21"/>
  <c r="A72" i="21"/>
  <c r="B72" i="21"/>
  <c r="C72" i="21"/>
  <c r="D72" i="21"/>
  <c r="E72" i="21"/>
  <c r="F72" i="21"/>
  <c r="G72" i="21"/>
  <c r="H72" i="21"/>
  <c r="I72" i="21"/>
  <c r="A74" i="21"/>
  <c r="B74" i="21"/>
  <c r="C74" i="21"/>
  <c r="D74" i="21"/>
  <c r="E74" i="21"/>
  <c r="F74" i="21"/>
  <c r="G74" i="21"/>
  <c r="H74" i="21"/>
  <c r="I74" i="21"/>
  <c r="A76" i="21"/>
  <c r="B76" i="21"/>
  <c r="C76" i="21"/>
  <c r="D76" i="21"/>
  <c r="E76" i="21"/>
  <c r="F76" i="21"/>
  <c r="G76" i="21"/>
  <c r="H76" i="21"/>
  <c r="I76" i="21"/>
  <c r="A78" i="21"/>
  <c r="B78" i="21"/>
  <c r="C78" i="21"/>
  <c r="D78" i="21"/>
  <c r="E78" i="21"/>
  <c r="F78" i="21"/>
  <c r="G78" i="21"/>
  <c r="H78" i="21"/>
  <c r="I78" i="21"/>
  <c r="A80" i="21"/>
  <c r="B80" i="21"/>
  <c r="C80" i="21"/>
  <c r="D80" i="21"/>
  <c r="E80" i="21"/>
  <c r="F80" i="21"/>
  <c r="G80" i="21"/>
  <c r="H80" i="21"/>
  <c r="I80" i="21"/>
  <c r="A85" i="21"/>
  <c r="B85" i="21"/>
  <c r="C85" i="21"/>
  <c r="D85" i="21"/>
  <c r="E85" i="21"/>
  <c r="F85" i="21"/>
  <c r="G85" i="21"/>
  <c r="H85" i="21"/>
  <c r="I85" i="21"/>
  <c r="A87" i="21"/>
  <c r="B87" i="21"/>
  <c r="C87" i="21"/>
  <c r="D87" i="21"/>
  <c r="E87" i="21"/>
  <c r="F87" i="21"/>
  <c r="G87" i="21"/>
  <c r="H87" i="21"/>
  <c r="I87" i="21"/>
  <c r="A90" i="21"/>
  <c r="B90" i="21"/>
  <c r="C90" i="21"/>
  <c r="D90" i="21"/>
  <c r="E90" i="21"/>
  <c r="F90" i="21"/>
  <c r="G90" i="21"/>
  <c r="H90" i="21"/>
  <c r="I90" i="21"/>
  <c r="A94" i="21"/>
  <c r="B94" i="21"/>
  <c r="C94" i="21"/>
  <c r="D94" i="21"/>
  <c r="E94" i="21"/>
  <c r="F94" i="21"/>
  <c r="G94" i="21"/>
  <c r="H94" i="21"/>
  <c r="I94" i="21"/>
  <c r="A96" i="21"/>
  <c r="B96" i="21"/>
  <c r="C96" i="21"/>
  <c r="D96" i="21"/>
  <c r="E96" i="21"/>
  <c r="F96" i="21"/>
  <c r="G96" i="21"/>
  <c r="H96" i="21"/>
  <c r="I96" i="21"/>
  <c r="A98" i="21"/>
  <c r="B98" i="21"/>
  <c r="C98" i="21"/>
  <c r="D98" i="21"/>
  <c r="E98" i="21"/>
  <c r="F98" i="21"/>
  <c r="G98" i="21"/>
  <c r="H98" i="21"/>
  <c r="I98" i="21"/>
  <c r="A101" i="21"/>
  <c r="B101" i="21"/>
  <c r="C101" i="21"/>
  <c r="D101" i="21"/>
  <c r="E101" i="21"/>
  <c r="F101" i="21"/>
  <c r="G101" i="21"/>
  <c r="H101" i="21"/>
  <c r="I101" i="21"/>
  <c r="A127" i="21"/>
  <c r="B127" i="21"/>
  <c r="C127" i="21"/>
  <c r="D127" i="21"/>
  <c r="E127" i="21"/>
  <c r="F127" i="21"/>
  <c r="G127" i="21"/>
  <c r="H127" i="21"/>
  <c r="I127" i="21"/>
  <c r="A121" i="21"/>
  <c r="B121" i="21"/>
  <c r="C121" i="21"/>
  <c r="D121" i="21"/>
  <c r="E121" i="21"/>
  <c r="F121" i="21"/>
  <c r="G121" i="21"/>
  <c r="H121" i="21"/>
  <c r="I121" i="21"/>
  <c r="A108" i="21"/>
  <c r="B108" i="21"/>
  <c r="C108" i="21"/>
  <c r="D108" i="21"/>
  <c r="E108" i="21"/>
  <c r="F108" i="21"/>
  <c r="G108" i="21"/>
  <c r="H108" i="21"/>
  <c r="I108" i="21"/>
  <c r="A109" i="21"/>
  <c r="B109" i="21"/>
  <c r="C109" i="21"/>
  <c r="D109" i="21"/>
  <c r="E109" i="21"/>
  <c r="F109" i="21"/>
  <c r="G109" i="21"/>
  <c r="H109" i="21"/>
  <c r="I109" i="21"/>
  <c r="A112" i="21"/>
  <c r="B112" i="21"/>
  <c r="C112" i="21"/>
  <c r="D112" i="21"/>
  <c r="E112" i="21"/>
  <c r="F112" i="21"/>
  <c r="G112" i="21"/>
  <c r="H112" i="21"/>
  <c r="I112" i="21"/>
  <c r="A119" i="21"/>
  <c r="B119" i="21"/>
  <c r="C119" i="21"/>
  <c r="D119" i="21"/>
  <c r="E119" i="21"/>
  <c r="F119" i="21"/>
  <c r="G119" i="21"/>
  <c r="H119" i="21"/>
  <c r="I119" i="21"/>
  <c r="A128" i="21"/>
  <c r="B128" i="21"/>
  <c r="C128" i="21"/>
  <c r="D128" i="21"/>
  <c r="E128" i="21"/>
  <c r="F128" i="21"/>
  <c r="G128" i="21"/>
  <c r="H128" i="21"/>
  <c r="I128" i="21"/>
  <c r="A142" i="21"/>
  <c r="B142" i="21"/>
  <c r="C142" i="21"/>
  <c r="D142" i="21"/>
  <c r="E142" i="21"/>
  <c r="F142" i="21"/>
  <c r="G142" i="21"/>
  <c r="H142" i="21"/>
  <c r="I142" i="21"/>
  <c r="A144" i="21"/>
  <c r="B144" i="21"/>
  <c r="C144" i="21"/>
  <c r="D144" i="21"/>
  <c r="E144" i="21"/>
  <c r="F144" i="21"/>
  <c r="G144" i="21"/>
  <c r="H144" i="21"/>
  <c r="I144" i="21"/>
  <c r="A120" i="21"/>
  <c r="B120" i="21"/>
  <c r="C120" i="21"/>
  <c r="D120" i="21"/>
  <c r="E120" i="21"/>
  <c r="F120" i="21"/>
  <c r="G120" i="21"/>
  <c r="H120" i="21"/>
  <c r="I120" i="21"/>
  <c r="A123" i="21"/>
  <c r="B123" i="21"/>
  <c r="C123" i="21"/>
  <c r="D123" i="21"/>
  <c r="E123" i="21"/>
  <c r="F123" i="21"/>
  <c r="G123" i="21"/>
  <c r="H123" i="21"/>
  <c r="I123" i="21"/>
  <c r="A136" i="21"/>
  <c r="B136" i="21"/>
  <c r="C136" i="21"/>
  <c r="D136" i="21"/>
  <c r="E136" i="21"/>
  <c r="F136" i="21"/>
  <c r="G136" i="21"/>
  <c r="H136" i="21"/>
  <c r="I136" i="21"/>
  <c r="A139" i="21"/>
  <c r="B139" i="21"/>
  <c r="C139" i="21"/>
  <c r="D139" i="21"/>
  <c r="E139" i="21"/>
  <c r="F139" i="21"/>
  <c r="G139" i="21"/>
  <c r="H139" i="21"/>
  <c r="I139" i="21"/>
  <c r="A151" i="21"/>
  <c r="B151" i="21"/>
  <c r="C151" i="21"/>
  <c r="D151" i="21"/>
  <c r="E151" i="21"/>
  <c r="F151" i="21"/>
  <c r="G151" i="21"/>
  <c r="H151" i="21"/>
  <c r="I151" i="21"/>
  <c r="A153" i="21"/>
  <c r="B153" i="21"/>
  <c r="C153" i="21"/>
  <c r="D153" i="21"/>
  <c r="E153" i="21"/>
  <c r="F153" i="21"/>
  <c r="G153" i="21"/>
  <c r="H153" i="21"/>
  <c r="I153" i="21"/>
  <c r="A157" i="21"/>
  <c r="B157" i="21"/>
  <c r="C157" i="21"/>
  <c r="D157" i="21"/>
  <c r="E157" i="21"/>
  <c r="F157" i="21"/>
  <c r="G157" i="21"/>
  <c r="H157" i="21"/>
  <c r="I157" i="21"/>
  <c r="A164" i="21"/>
  <c r="B164" i="21"/>
  <c r="C164" i="21"/>
  <c r="D164" i="21"/>
  <c r="E164" i="21"/>
  <c r="F164" i="21"/>
  <c r="G164" i="21"/>
  <c r="H164" i="21"/>
  <c r="I164" i="21"/>
  <c r="A172" i="21"/>
  <c r="B172" i="21"/>
  <c r="C172" i="21"/>
  <c r="D172" i="21"/>
  <c r="E172" i="21"/>
  <c r="F172" i="21"/>
  <c r="G172" i="21"/>
  <c r="H172" i="21"/>
  <c r="I172" i="21"/>
  <c r="A173" i="21"/>
  <c r="B173" i="21"/>
  <c r="C173" i="21"/>
  <c r="D173" i="21"/>
  <c r="E173" i="21"/>
  <c r="F173" i="21"/>
  <c r="G173" i="21"/>
  <c r="H173" i="21"/>
  <c r="I173" i="21"/>
  <c r="A181" i="21"/>
  <c r="B181" i="21"/>
  <c r="C181" i="21"/>
  <c r="D181" i="21"/>
  <c r="E181" i="21"/>
  <c r="F181" i="21"/>
  <c r="G181" i="21"/>
  <c r="H181" i="21"/>
  <c r="I181" i="21"/>
  <c r="A185" i="21"/>
  <c r="B185" i="21"/>
  <c r="C185" i="21"/>
  <c r="D185" i="21"/>
  <c r="E185" i="21"/>
  <c r="F185" i="21"/>
  <c r="G185" i="21"/>
  <c r="H185" i="21"/>
  <c r="I185" i="21"/>
  <c r="A187" i="21"/>
  <c r="B187" i="21"/>
  <c r="C187" i="21"/>
  <c r="D187" i="21"/>
  <c r="E187" i="21"/>
  <c r="F187" i="21"/>
  <c r="G187" i="21"/>
  <c r="H187" i="21"/>
  <c r="I187" i="21"/>
  <c r="A189" i="21"/>
  <c r="B189" i="21"/>
  <c r="C189" i="21"/>
  <c r="D189" i="21"/>
  <c r="E189" i="21"/>
  <c r="F189" i="21"/>
  <c r="G189" i="21"/>
  <c r="H189" i="21"/>
  <c r="I189" i="21"/>
  <c r="A191" i="21"/>
  <c r="B191" i="21"/>
  <c r="C191" i="21"/>
  <c r="D191" i="21"/>
  <c r="E191" i="21"/>
  <c r="F191" i="21"/>
  <c r="G191" i="21"/>
  <c r="H191" i="21"/>
  <c r="I191" i="21"/>
  <c r="A193" i="21"/>
  <c r="B193" i="21"/>
  <c r="C193" i="21"/>
  <c r="D193" i="21"/>
  <c r="E193" i="21"/>
  <c r="F193" i="21"/>
  <c r="G193" i="21"/>
  <c r="H193" i="21"/>
  <c r="I193" i="21"/>
  <c r="A195" i="21"/>
  <c r="B195" i="21"/>
  <c r="C195" i="21"/>
  <c r="D195" i="21"/>
  <c r="E195" i="21"/>
  <c r="F195" i="21"/>
  <c r="G195" i="21"/>
  <c r="H195" i="21"/>
  <c r="I195" i="21"/>
  <c r="A197" i="21"/>
  <c r="B197" i="21"/>
  <c r="C197" i="21"/>
  <c r="D197" i="21"/>
  <c r="E197" i="21"/>
  <c r="F197" i="21"/>
  <c r="G197" i="21"/>
  <c r="H197" i="21"/>
  <c r="I197" i="21"/>
  <c r="A199" i="21"/>
  <c r="B199" i="21"/>
  <c r="C199" i="21"/>
  <c r="D199" i="21"/>
  <c r="E199" i="21"/>
  <c r="F199" i="21"/>
  <c r="G199" i="21"/>
  <c r="H199" i="21"/>
  <c r="I199" i="21"/>
  <c r="A201" i="21"/>
  <c r="B201" i="21"/>
  <c r="C201" i="21"/>
  <c r="D201" i="21"/>
  <c r="E201" i="21"/>
  <c r="F201" i="21"/>
  <c r="G201" i="21"/>
  <c r="H201" i="21"/>
  <c r="I201" i="21"/>
  <c r="A203" i="21"/>
  <c r="B203" i="21"/>
  <c r="C203" i="21"/>
  <c r="D203" i="21"/>
  <c r="E203" i="21"/>
  <c r="F203" i="21"/>
  <c r="G203" i="21"/>
  <c r="H203" i="21"/>
  <c r="I203" i="21"/>
  <c r="A205" i="21"/>
  <c r="B205" i="21"/>
  <c r="C205" i="21"/>
  <c r="D205" i="21"/>
  <c r="E205" i="21"/>
  <c r="F205" i="21"/>
  <c r="G205" i="21"/>
  <c r="H205" i="21"/>
  <c r="I205" i="21"/>
  <c r="A207" i="21"/>
  <c r="B207" i="21"/>
  <c r="C207" i="21"/>
  <c r="D207" i="21"/>
  <c r="E207" i="21"/>
  <c r="F207" i="21"/>
  <c r="G207" i="21"/>
  <c r="H207" i="21"/>
  <c r="I207" i="21"/>
  <c r="A209" i="21"/>
  <c r="B209" i="21"/>
  <c r="C209" i="21"/>
  <c r="D209" i="21"/>
  <c r="E209" i="21"/>
  <c r="F209" i="21"/>
  <c r="G209" i="21"/>
  <c r="H209" i="21"/>
  <c r="I209" i="21"/>
  <c r="A211" i="21"/>
  <c r="B211" i="21"/>
  <c r="C211" i="21"/>
  <c r="D211" i="21"/>
  <c r="E211" i="21"/>
  <c r="F211" i="21"/>
  <c r="G211" i="21"/>
  <c r="H211" i="21"/>
  <c r="I211" i="21"/>
  <c r="A213" i="21"/>
  <c r="B213" i="21"/>
  <c r="C213" i="21"/>
  <c r="D213" i="21"/>
  <c r="E213" i="21"/>
  <c r="F213" i="21"/>
  <c r="G213" i="21"/>
  <c r="H213" i="21"/>
  <c r="I213" i="21"/>
  <c r="A215" i="21"/>
  <c r="B215" i="21"/>
  <c r="C215" i="21"/>
  <c r="D215" i="21"/>
  <c r="E215" i="21"/>
  <c r="F215" i="21"/>
  <c r="G215" i="21"/>
  <c r="H215" i="21"/>
  <c r="I215" i="21"/>
  <c r="A217" i="21"/>
  <c r="B217" i="21"/>
  <c r="C217" i="21"/>
  <c r="D217" i="21"/>
  <c r="E217" i="21"/>
  <c r="F217" i="21"/>
  <c r="G217" i="21"/>
  <c r="H217" i="21"/>
  <c r="I217" i="21"/>
  <c r="A219" i="21"/>
  <c r="B219" i="21"/>
  <c r="C219" i="21"/>
  <c r="D219" i="21"/>
  <c r="E219" i="21"/>
  <c r="F219" i="21"/>
  <c r="G219" i="21"/>
  <c r="H219" i="21"/>
  <c r="I219" i="21"/>
  <c r="A223" i="21"/>
  <c r="B223" i="21"/>
  <c r="C223" i="21"/>
  <c r="D223" i="21"/>
  <c r="E223" i="21"/>
  <c r="F223" i="21"/>
  <c r="G223" i="21"/>
  <c r="H223" i="21"/>
  <c r="I223" i="21"/>
  <c r="A221" i="21"/>
  <c r="B221" i="21"/>
  <c r="C221" i="21"/>
  <c r="D221" i="21"/>
  <c r="E221" i="21"/>
  <c r="F221" i="21"/>
  <c r="G221" i="21"/>
  <c r="H221" i="21"/>
  <c r="I221" i="21"/>
  <c r="A225" i="21"/>
  <c r="B225" i="21"/>
  <c r="C225" i="21"/>
  <c r="D225" i="21"/>
  <c r="E225" i="21"/>
  <c r="F225" i="21"/>
  <c r="G225" i="21"/>
  <c r="H225" i="21"/>
  <c r="I225" i="21"/>
  <c r="A227" i="21"/>
  <c r="B227" i="21"/>
  <c r="C227" i="21"/>
  <c r="D227" i="21"/>
  <c r="E227" i="21"/>
  <c r="F227" i="21"/>
  <c r="G227" i="21"/>
  <c r="H227" i="21"/>
  <c r="I227" i="21"/>
  <c r="A229" i="21"/>
  <c r="B229" i="21"/>
  <c r="C229" i="21"/>
  <c r="D229" i="21"/>
  <c r="E229" i="21"/>
  <c r="F229" i="21"/>
  <c r="G229" i="21"/>
  <c r="H229" i="21"/>
  <c r="I229" i="21"/>
  <c r="A231" i="21"/>
  <c r="B231" i="21"/>
  <c r="C231" i="21"/>
  <c r="D231" i="21"/>
  <c r="E231" i="21"/>
  <c r="F231" i="21"/>
  <c r="G231" i="21"/>
  <c r="H231" i="21"/>
  <c r="I231" i="21"/>
  <c r="A233" i="21"/>
  <c r="B233" i="21"/>
  <c r="C233" i="21"/>
  <c r="D233" i="21"/>
  <c r="E233" i="21"/>
  <c r="F233" i="21"/>
  <c r="G233" i="21"/>
  <c r="H233" i="21"/>
  <c r="I233" i="21"/>
  <c r="A235" i="21"/>
  <c r="B235" i="21"/>
  <c r="C235" i="21"/>
  <c r="D235" i="21"/>
  <c r="E235" i="21"/>
  <c r="F235" i="21"/>
  <c r="G235" i="21"/>
  <c r="H235" i="21"/>
  <c r="I235" i="21"/>
  <c r="A237" i="21"/>
  <c r="B237" i="21"/>
  <c r="C237" i="21"/>
  <c r="D237" i="21"/>
  <c r="E237" i="21"/>
  <c r="F237" i="21"/>
  <c r="G237" i="21"/>
  <c r="H237" i="21"/>
  <c r="I237" i="21"/>
  <c r="A239" i="21"/>
  <c r="B239" i="21"/>
  <c r="C239" i="21"/>
  <c r="D239" i="21"/>
  <c r="E239" i="21"/>
  <c r="F239" i="21"/>
  <c r="G239" i="21"/>
  <c r="H239" i="21"/>
  <c r="I239" i="21"/>
  <c r="A241" i="21"/>
  <c r="B241" i="21"/>
  <c r="C241" i="21"/>
  <c r="D241" i="21"/>
  <c r="E241" i="21"/>
  <c r="F241" i="21"/>
  <c r="G241" i="21"/>
  <c r="H241" i="21"/>
  <c r="I241" i="21"/>
  <c r="A243" i="21"/>
  <c r="B243" i="21"/>
  <c r="C243" i="21"/>
  <c r="D243" i="21"/>
  <c r="E243" i="21"/>
  <c r="F243" i="21"/>
  <c r="G243" i="21"/>
  <c r="H243" i="21"/>
  <c r="I243" i="21"/>
  <c r="A247" i="21"/>
  <c r="B247" i="21"/>
  <c r="C247" i="21"/>
  <c r="D247" i="21"/>
  <c r="E247" i="21"/>
  <c r="F247" i="21"/>
  <c r="G247" i="21"/>
  <c r="H247" i="21"/>
  <c r="I247" i="21"/>
  <c r="A252" i="21"/>
  <c r="B252" i="21"/>
  <c r="C252" i="21"/>
  <c r="D252" i="21"/>
  <c r="E252" i="21"/>
  <c r="F252" i="21"/>
  <c r="G252" i="21"/>
  <c r="H252" i="21"/>
  <c r="I252" i="21"/>
  <c r="A255" i="21"/>
  <c r="B255" i="21"/>
  <c r="C255" i="21"/>
  <c r="D255" i="21"/>
  <c r="E255" i="21"/>
  <c r="F255" i="21"/>
  <c r="G255" i="21"/>
  <c r="H255" i="21"/>
  <c r="I255" i="21"/>
  <c r="A257" i="21"/>
  <c r="B257" i="21"/>
  <c r="C257" i="21"/>
  <c r="D257" i="21"/>
  <c r="E257" i="21"/>
  <c r="F257" i="21"/>
  <c r="G257" i="21"/>
  <c r="H257" i="21"/>
  <c r="I257" i="21"/>
  <c r="A264" i="21"/>
  <c r="B264" i="21"/>
  <c r="C264" i="21"/>
  <c r="D264" i="21"/>
  <c r="E264" i="21"/>
  <c r="F264" i="21"/>
  <c r="G264" i="21"/>
  <c r="H264" i="21"/>
  <c r="I264" i="21"/>
  <c r="A262" i="21"/>
  <c r="B262" i="21"/>
  <c r="C262" i="21"/>
  <c r="D262" i="21"/>
  <c r="E262" i="21"/>
  <c r="F262" i="21"/>
  <c r="G262" i="21"/>
  <c r="H262" i="21"/>
  <c r="I262" i="21"/>
  <c r="A266" i="21"/>
  <c r="B266" i="21"/>
  <c r="C266" i="21"/>
  <c r="D266" i="21"/>
  <c r="E266" i="21"/>
  <c r="F266" i="21"/>
  <c r="G266" i="21"/>
  <c r="H266" i="21"/>
  <c r="I266" i="21"/>
  <c r="A291" i="21"/>
  <c r="B291" i="21"/>
  <c r="C291" i="21"/>
  <c r="D291" i="21"/>
  <c r="E291" i="21"/>
  <c r="F291" i="21"/>
  <c r="G291" i="21"/>
  <c r="H291" i="21"/>
  <c r="I291" i="21"/>
  <c r="A267" i="21"/>
  <c r="B267" i="21"/>
  <c r="C267" i="21"/>
  <c r="D267" i="21"/>
  <c r="E267" i="21"/>
  <c r="F267" i="21"/>
  <c r="G267" i="21"/>
  <c r="H267" i="21"/>
  <c r="I267" i="21"/>
  <c r="A274" i="21"/>
  <c r="B274" i="21"/>
  <c r="C274" i="21"/>
  <c r="D274" i="21"/>
  <c r="E274" i="21"/>
  <c r="F274" i="21"/>
  <c r="G274" i="21"/>
  <c r="H274" i="21"/>
  <c r="I274" i="21"/>
  <c r="A279" i="21"/>
  <c r="B279" i="21"/>
  <c r="C279" i="21"/>
  <c r="D279" i="21"/>
  <c r="E279" i="21"/>
  <c r="F279" i="21"/>
  <c r="G279" i="21"/>
  <c r="H279" i="21"/>
  <c r="I279" i="21"/>
  <c r="A284" i="21"/>
  <c r="B284" i="21"/>
  <c r="C284" i="21"/>
  <c r="D284" i="21"/>
  <c r="E284" i="21"/>
  <c r="F284" i="21"/>
  <c r="G284" i="21"/>
  <c r="H284" i="21"/>
  <c r="I284" i="21"/>
  <c r="A289" i="21"/>
  <c r="B289" i="21"/>
  <c r="C289" i="21"/>
  <c r="D289" i="21"/>
  <c r="E289" i="21"/>
  <c r="F289" i="21"/>
  <c r="G289" i="21"/>
  <c r="H289" i="21"/>
  <c r="I289" i="21"/>
  <c r="A293" i="21"/>
  <c r="B293" i="21"/>
  <c r="C293" i="21"/>
  <c r="D293" i="21"/>
  <c r="E293" i="21"/>
  <c r="F293" i="21"/>
  <c r="G293" i="21"/>
  <c r="H293" i="21"/>
  <c r="I293" i="21"/>
  <c r="A306" i="21"/>
  <c r="B306" i="21"/>
  <c r="C306" i="21"/>
  <c r="D306" i="21"/>
  <c r="E306" i="21"/>
  <c r="F306" i="21"/>
  <c r="G306" i="21"/>
  <c r="H306" i="21"/>
  <c r="I306" i="21"/>
  <c r="A303" i="21"/>
  <c r="B303" i="21"/>
  <c r="C303" i="21"/>
  <c r="D303" i="21"/>
  <c r="E303" i="21"/>
  <c r="F303" i="21"/>
  <c r="G303" i="21"/>
  <c r="H303" i="21"/>
  <c r="I303" i="21"/>
  <c r="A311" i="21"/>
  <c r="B311" i="21"/>
  <c r="C311" i="21"/>
  <c r="D311" i="21"/>
  <c r="E311" i="21"/>
  <c r="F311" i="21"/>
  <c r="G311" i="21"/>
  <c r="H311" i="21"/>
  <c r="I311" i="21"/>
  <c r="A316" i="21"/>
  <c r="B316" i="21"/>
  <c r="C316" i="21"/>
  <c r="D316" i="21"/>
  <c r="E316" i="21"/>
  <c r="F316" i="21"/>
  <c r="G316" i="21"/>
  <c r="H316" i="21"/>
  <c r="I316" i="21"/>
  <c r="A321" i="21"/>
  <c r="B321" i="21"/>
  <c r="C321" i="21"/>
  <c r="D321" i="21"/>
  <c r="E321" i="21"/>
  <c r="F321" i="21"/>
  <c r="G321" i="21"/>
  <c r="H321" i="21"/>
  <c r="I321" i="21"/>
  <c r="A326" i="21"/>
  <c r="B326" i="21"/>
  <c r="C326" i="21"/>
  <c r="D326" i="21"/>
  <c r="E326" i="21"/>
  <c r="F326" i="21"/>
  <c r="G326" i="21"/>
  <c r="H326" i="21"/>
  <c r="I326" i="21"/>
  <c r="A329" i="21"/>
  <c r="B329" i="21"/>
  <c r="C329" i="21"/>
  <c r="D329" i="21"/>
  <c r="E329" i="21"/>
  <c r="F329" i="21"/>
  <c r="G329" i="21"/>
  <c r="H329" i="21"/>
  <c r="I329" i="21"/>
  <c r="A333" i="21"/>
  <c r="B333" i="21"/>
  <c r="C333" i="21"/>
  <c r="D333" i="21"/>
  <c r="E333" i="21"/>
  <c r="F333" i="21"/>
  <c r="G333" i="21"/>
  <c r="H333" i="21"/>
  <c r="I333" i="21"/>
  <c r="A336" i="21"/>
  <c r="B336" i="21"/>
  <c r="C336" i="21"/>
  <c r="D336" i="21"/>
  <c r="E336" i="21"/>
  <c r="F336" i="21"/>
  <c r="G336" i="21"/>
  <c r="H336" i="21"/>
  <c r="I336" i="21"/>
  <c r="A339" i="21"/>
  <c r="B339" i="21"/>
  <c r="C339" i="21"/>
  <c r="D339" i="21"/>
  <c r="E339" i="21"/>
  <c r="F339" i="21"/>
  <c r="G339" i="21"/>
  <c r="H339" i="21"/>
  <c r="I339" i="21"/>
  <c r="A342" i="21"/>
  <c r="B342" i="21"/>
  <c r="C342" i="21"/>
  <c r="D342" i="21"/>
  <c r="E342" i="21"/>
  <c r="F342" i="21"/>
  <c r="G342" i="21"/>
  <c r="H342" i="21"/>
  <c r="I342" i="21"/>
  <c r="A344" i="21"/>
  <c r="B344" i="21"/>
  <c r="C344" i="21"/>
  <c r="D344" i="21"/>
  <c r="E344" i="21"/>
  <c r="F344" i="21"/>
  <c r="G344" i="21"/>
  <c r="H344" i="21"/>
  <c r="I344" i="21"/>
  <c r="A348" i="21"/>
  <c r="B348" i="21"/>
  <c r="C348" i="21"/>
  <c r="D348" i="21"/>
  <c r="E348" i="21"/>
  <c r="F348" i="21"/>
  <c r="G348" i="21"/>
  <c r="H348" i="21"/>
  <c r="I348" i="21"/>
  <c r="A351" i="21"/>
  <c r="B351" i="21"/>
  <c r="C351" i="21"/>
  <c r="D351" i="21"/>
  <c r="E351" i="21"/>
  <c r="F351" i="21"/>
  <c r="G351" i="21"/>
  <c r="H351" i="21"/>
  <c r="I351" i="21"/>
  <c r="A354" i="21"/>
  <c r="B354" i="21"/>
  <c r="C354" i="21"/>
  <c r="D354" i="21"/>
  <c r="E354" i="21"/>
  <c r="F354" i="21"/>
  <c r="G354" i="21"/>
  <c r="H354" i="21"/>
  <c r="I354" i="21"/>
  <c r="A356" i="21"/>
  <c r="B356" i="21"/>
  <c r="C356" i="21"/>
  <c r="D356" i="21"/>
  <c r="E356" i="21"/>
  <c r="F356" i="21"/>
  <c r="G356" i="21"/>
  <c r="H356" i="21"/>
  <c r="I356" i="21"/>
  <c r="A358" i="21"/>
  <c r="B358" i="21"/>
  <c r="C358" i="21"/>
  <c r="D358" i="21"/>
  <c r="E358" i="21"/>
  <c r="F358" i="21"/>
  <c r="G358" i="21"/>
  <c r="H358" i="21"/>
  <c r="I358" i="21"/>
  <c r="A362" i="21"/>
  <c r="B362" i="21"/>
  <c r="C362" i="21"/>
  <c r="D362" i="21"/>
  <c r="E362" i="21"/>
  <c r="F362" i="21"/>
  <c r="G362" i="21"/>
  <c r="H362" i="21"/>
  <c r="I362" i="21"/>
  <c r="A365" i="21"/>
  <c r="B365" i="21"/>
  <c r="C365" i="21"/>
  <c r="D365" i="21"/>
  <c r="E365" i="21"/>
  <c r="F365" i="21"/>
  <c r="G365" i="21"/>
  <c r="H365" i="21"/>
  <c r="I365" i="21"/>
  <c r="A368" i="21"/>
  <c r="B368" i="21"/>
  <c r="C368" i="21"/>
  <c r="D368" i="21"/>
  <c r="E368" i="21"/>
  <c r="F368" i="21"/>
  <c r="G368" i="21"/>
  <c r="H368" i="21"/>
  <c r="I368" i="21"/>
  <c r="A371" i="21"/>
  <c r="B371" i="21"/>
  <c r="C371" i="21"/>
  <c r="D371" i="21"/>
  <c r="E371" i="21"/>
  <c r="F371" i="21"/>
  <c r="G371" i="21"/>
  <c r="H371" i="21"/>
  <c r="I371" i="21"/>
  <c r="A373" i="21"/>
  <c r="B373" i="21"/>
  <c r="C373" i="21"/>
  <c r="D373" i="21"/>
  <c r="E373" i="21"/>
  <c r="F373" i="21"/>
  <c r="G373" i="21"/>
  <c r="H373" i="21"/>
  <c r="I373" i="21"/>
  <c r="A375" i="21"/>
  <c r="B375" i="21"/>
  <c r="C375" i="21"/>
  <c r="D375" i="21"/>
  <c r="E375" i="21"/>
  <c r="F375" i="21"/>
  <c r="G375" i="21"/>
  <c r="H375" i="21"/>
  <c r="I375" i="21"/>
  <c r="A377" i="21"/>
  <c r="B377" i="21"/>
  <c r="C377" i="21"/>
  <c r="D377" i="21"/>
  <c r="E377" i="21"/>
  <c r="F377" i="21"/>
  <c r="G377" i="21"/>
  <c r="H377" i="21"/>
  <c r="I377" i="21"/>
  <c r="A379" i="21"/>
  <c r="B379" i="21"/>
  <c r="C379" i="21"/>
  <c r="D379" i="21"/>
  <c r="E379" i="21"/>
  <c r="F379" i="21"/>
  <c r="G379" i="21"/>
  <c r="H379" i="21"/>
  <c r="I379" i="21"/>
  <c r="A381" i="21"/>
  <c r="B381" i="21"/>
  <c r="C381" i="21"/>
  <c r="D381" i="21"/>
  <c r="E381" i="21"/>
  <c r="F381" i="21"/>
  <c r="G381" i="21"/>
  <c r="H381" i="21"/>
  <c r="I381" i="21"/>
  <c r="A382" i="21"/>
  <c r="B382" i="21"/>
  <c r="C382" i="21"/>
  <c r="D382" i="21"/>
  <c r="E382" i="21"/>
  <c r="F382" i="21"/>
  <c r="G382" i="21"/>
  <c r="H382" i="21"/>
  <c r="I382" i="21"/>
  <c r="A383" i="21"/>
  <c r="B383" i="21"/>
  <c r="C383" i="21"/>
  <c r="D383" i="21"/>
  <c r="E383" i="21"/>
  <c r="F383" i="21"/>
  <c r="G383" i="21"/>
  <c r="H383" i="21"/>
  <c r="I383" i="21"/>
  <c r="A389" i="21"/>
  <c r="B389" i="21"/>
  <c r="C389" i="21"/>
  <c r="D389" i="21"/>
  <c r="E389" i="21"/>
  <c r="F389" i="21"/>
  <c r="G389" i="21"/>
  <c r="H389" i="21"/>
  <c r="I389" i="21"/>
  <c r="A390" i="21"/>
  <c r="B390" i="21"/>
  <c r="C390" i="21"/>
  <c r="D390" i="21"/>
  <c r="E390" i="21"/>
  <c r="F390" i="21"/>
  <c r="G390" i="21"/>
  <c r="H390" i="21"/>
  <c r="I390" i="21"/>
  <c r="A394" i="21"/>
  <c r="B394" i="21"/>
  <c r="C394" i="21"/>
  <c r="D394" i="21"/>
  <c r="E394" i="21"/>
  <c r="F394" i="21"/>
  <c r="G394" i="21"/>
  <c r="H394" i="21"/>
  <c r="I394" i="21"/>
  <c r="A395" i="21"/>
  <c r="B395" i="21"/>
  <c r="C395" i="21"/>
  <c r="D395" i="21"/>
  <c r="E395" i="21"/>
  <c r="F395" i="21"/>
  <c r="G395" i="21"/>
  <c r="H395" i="21"/>
  <c r="I395" i="21"/>
  <c r="A402" i="21"/>
  <c r="B402" i="21"/>
  <c r="C402" i="21"/>
  <c r="D402" i="21"/>
  <c r="E402" i="21"/>
  <c r="F402" i="21"/>
  <c r="G402" i="21"/>
  <c r="H402" i="21"/>
  <c r="I402" i="21"/>
  <c r="A407" i="21"/>
  <c r="B407" i="21"/>
  <c r="C407" i="21"/>
  <c r="D407" i="21"/>
  <c r="E407" i="21"/>
  <c r="F407" i="21"/>
  <c r="G407" i="21"/>
  <c r="H407" i="21"/>
  <c r="I407" i="21"/>
  <c r="A410" i="21"/>
  <c r="B410" i="21"/>
  <c r="C410" i="21"/>
  <c r="D410" i="21"/>
  <c r="E410" i="21"/>
  <c r="F410" i="21"/>
  <c r="G410" i="21"/>
  <c r="H410" i="21"/>
  <c r="I410" i="21"/>
  <c r="A420" i="21"/>
  <c r="B420" i="21"/>
  <c r="C420" i="21"/>
  <c r="D420" i="21"/>
  <c r="E420" i="21"/>
  <c r="F420" i="21"/>
  <c r="G420" i="21"/>
  <c r="H420" i="21"/>
  <c r="I420" i="21"/>
  <c r="A421" i="21"/>
  <c r="B421" i="21"/>
  <c r="C421" i="21"/>
  <c r="D421" i="21"/>
  <c r="E421" i="21"/>
  <c r="F421" i="21"/>
  <c r="G421" i="21"/>
  <c r="H421" i="21"/>
  <c r="I421" i="21"/>
  <c r="A424" i="21"/>
  <c r="B424" i="21"/>
  <c r="C424" i="21"/>
  <c r="D424" i="21"/>
  <c r="E424" i="21"/>
  <c r="F424" i="21"/>
  <c r="G424" i="21"/>
  <c r="H424" i="21"/>
  <c r="I424" i="21"/>
  <c r="A427" i="21"/>
  <c r="B427" i="21"/>
  <c r="C427" i="21"/>
  <c r="D427" i="21"/>
  <c r="E427" i="21"/>
  <c r="F427" i="21"/>
  <c r="G427" i="21"/>
  <c r="H427" i="21"/>
  <c r="I427" i="21"/>
  <c r="A430" i="21"/>
  <c r="B430" i="21"/>
  <c r="C430" i="21"/>
  <c r="D430" i="21"/>
  <c r="E430" i="21"/>
  <c r="F430" i="21"/>
  <c r="G430" i="21"/>
  <c r="H430" i="21"/>
  <c r="I430" i="21"/>
  <c r="A434" i="21"/>
  <c r="B434" i="21"/>
  <c r="C434" i="21"/>
  <c r="D434" i="21"/>
  <c r="E434" i="21"/>
  <c r="F434" i="21"/>
  <c r="G434" i="21"/>
  <c r="H434" i="21"/>
  <c r="I434" i="21"/>
  <c r="A438" i="21"/>
  <c r="B438" i="21"/>
  <c r="C438" i="21"/>
  <c r="D438" i="21"/>
  <c r="E438" i="21"/>
  <c r="F438" i="21"/>
  <c r="G438" i="21"/>
  <c r="H438" i="21"/>
  <c r="I438" i="21"/>
  <c r="A443" i="21"/>
  <c r="B443" i="21"/>
  <c r="C443" i="21"/>
  <c r="D443" i="21"/>
  <c r="E443" i="21"/>
  <c r="F443" i="21"/>
  <c r="G443" i="21"/>
  <c r="H443" i="21"/>
  <c r="I443" i="21"/>
  <c r="A444" i="21"/>
  <c r="B444" i="21"/>
  <c r="C444" i="21"/>
  <c r="D444" i="21"/>
  <c r="E444" i="21"/>
  <c r="F444" i="21"/>
  <c r="G444" i="21"/>
  <c r="H444" i="21"/>
  <c r="I444" i="21"/>
  <c r="A447" i="21"/>
  <c r="B447" i="21"/>
  <c r="C447" i="21"/>
  <c r="D447" i="21"/>
  <c r="E447" i="21"/>
  <c r="F447" i="21"/>
  <c r="G447" i="21"/>
  <c r="H447" i="21"/>
  <c r="I447" i="21"/>
  <c r="A450" i="21"/>
  <c r="B450" i="21"/>
  <c r="C450" i="21"/>
  <c r="D450" i="21"/>
  <c r="E450" i="21"/>
  <c r="F450" i="21"/>
  <c r="G450" i="21"/>
  <c r="H450" i="21"/>
  <c r="I450" i="21"/>
  <c r="A453" i="21"/>
  <c r="B453" i="21"/>
  <c r="C453" i="21"/>
  <c r="D453" i="21"/>
  <c r="E453" i="21"/>
  <c r="F453" i="21"/>
  <c r="G453" i="21"/>
  <c r="H453" i="21"/>
  <c r="I453" i="21"/>
  <c r="A459" i="21"/>
  <c r="B459" i="21"/>
  <c r="C459" i="21"/>
  <c r="D459" i="21"/>
  <c r="E459" i="21"/>
  <c r="F459" i="21"/>
  <c r="G459" i="21"/>
  <c r="H459" i="21"/>
  <c r="I459" i="21"/>
  <c r="A462" i="21"/>
  <c r="B462" i="21"/>
  <c r="C462" i="21"/>
  <c r="D462" i="21"/>
  <c r="E462" i="21"/>
  <c r="F462" i="21"/>
  <c r="G462" i="21"/>
  <c r="H462" i="21"/>
  <c r="I462" i="21"/>
  <c r="A466" i="21"/>
  <c r="B466" i="21"/>
  <c r="C466" i="21"/>
  <c r="D466" i="21"/>
  <c r="E466" i="21"/>
  <c r="F466" i="21"/>
  <c r="G466" i="21"/>
  <c r="H466" i="21"/>
  <c r="I466" i="21"/>
  <c r="A468" i="21"/>
  <c r="B468" i="21"/>
  <c r="C468" i="21"/>
  <c r="D468" i="21"/>
  <c r="E468" i="21"/>
  <c r="F468" i="21"/>
  <c r="G468" i="21"/>
  <c r="H468" i="21"/>
  <c r="I468" i="21"/>
  <c r="A472" i="21"/>
  <c r="B472" i="21"/>
  <c r="C472" i="21"/>
  <c r="D472" i="21"/>
  <c r="E472" i="21"/>
  <c r="F472" i="21"/>
  <c r="G472" i="21"/>
  <c r="H472" i="21"/>
  <c r="I472" i="21"/>
  <c r="A473" i="21"/>
  <c r="B473" i="21"/>
  <c r="C473" i="21"/>
  <c r="D473" i="21"/>
  <c r="E473" i="21"/>
  <c r="F473" i="21"/>
  <c r="G473" i="21"/>
  <c r="H473" i="21"/>
  <c r="I473" i="21"/>
  <c r="A486" i="21"/>
  <c r="B486" i="21"/>
  <c r="C486" i="21"/>
  <c r="D486" i="21"/>
  <c r="E486" i="21"/>
  <c r="F486" i="21"/>
  <c r="G486" i="21"/>
  <c r="H486" i="21"/>
  <c r="I486" i="21"/>
  <c r="A491" i="21"/>
  <c r="B491" i="21"/>
  <c r="C491" i="21"/>
  <c r="D491" i="21"/>
  <c r="E491" i="21"/>
  <c r="F491" i="21"/>
  <c r="G491" i="21"/>
  <c r="H491" i="21"/>
  <c r="I491" i="21"/>
  <c r="A496" i="21"/>
  <c r="B496" i="21"/>
  <c r="C496" i="21"/>
  <c r="D496" i="21"/>
  <c r="E496" i="21"/>
  <c r="F496" i="21"/>
  <c r="G496" i="21"/>
  <c r="H496" i="21"/>
  <c r="I496" i="21"/>
  <c r="A497" i="21"/>
  <c r="B497" i="21"/>
  <c r="C497" i="21"/>
  <c r="D497" i="21"/>
  <c r="E497" i="21"/>
  <c r="F497" i="21"/>
  <c r="G497" i="21"/>
  <c r="H497" i="21"/>
  <c r="I497" i="21"/>
  <c r="A499" i="21"/>
  <c r="B499" i="21"/>
  <c r="C499" i="21"/>
  <c r="D499" i="21"/>
  <c r="E499" i="21"/>
  <c r="F499" i="21"/>
  <c r="G499" i="21"/>
  <c r="H499" i="21"/>
  <c r="I499" i="21"/>
  <c r="A501" i="21"/>
  <c r="B501" i="21"/>
  <c r="C501" i="21"/>
  <c r="D501" i="21"/>
  <c r="E501" i="21"/>
  <c r="F501" i="21"/>
  <c r="G501" i="21"/>
  <c r="H501" i="21"/>
  <c r="I501" i="21"/>
  <c r="A503" i="21"/>
  <c r="B503" i="21"/>
  <c r="C503" i="21"/>
  <c r="D503" i="21"/>
  <c r="E503" i="21"/>
  <c r="F503" i="21"/>
  <c r="G503" i="21"/>
  <c r="H503" i="21"/>
  <c r="I503" i="21"/>
  <c r="A505" i="21"/>
  <c r="B505" i="21"/>
  <c r="C505" i="21"/>
  <c r="D505" i="21"/>
  <c r="E505" i="21"/>
  <c r="F505" i="21"/>
  <c r="G505" i="21"/>
  <c r="H505" i="21"/>
  <c r="I505" i="21"/>
  <c r="A507" i="21"/>
  <c r="B507" i="21"/>
  <c r="C507" i="21"/>
  <c r="D507" i="21"/>
  <c r="E507" i="21"/>
  <c r="F507" i="21"/>
  <c r="G507" i="21"/>
  <c r="H507" i="21"/>
  <c r="I507" i="21"/>
  <c r="A509" i="21"/>
  <c r="B509" i="21"/>
  <c r="C509" i="21"/>
  <c r="D509" i="21"/>
  <c r="E509" i="21"/>
  <c r="F509" i="21"/>
  <c r="G509" i="21"/>
  <c r="H509" i="21"/>
  <c r="I509" i="21"/>
  <c r="A511" i="21"/>
  <c r="B511" i="21"/>
  <c r="C511" i="21"/>
  <c r="D511" i="21"/>
  <c r="E511" i="21"/>
  <c r="F511" i="21"/>
  <c r="G511" i="21"/>
  <c r="H511" i="21"/>
  <c r="I511" i="21"/>
  <c r="A513" i="21"/>
  <c r="B513" i="21"/>
  <c r="C513" i="21"/>
  <c r="D513" i="21"/>
  <c r="E513" i="21"/>
  <c r="F513" i="21"/>
  <c r="G513" i="21"/>
  <c r="H513" i="21"/>
  <c r="I513" i="21"/>
  <c r="A515" i="21"/>
  <c r="B515" i="21"/>
  <c r="C515" i="21"/>
  <c r="D515" i="21"/>
  <c r="E515" i="21"/>
  <c r="F515" i="21"/>
  <c r="G515" i="21"/>
  <c r="H515" i="21"/>
  <c r="I515" i="21"/>
  <c r="A517" i="21"/>
  <c r="B517" i="21"/>
  <c r="C517" i="21"/>
  <c r="D517" i="21"/>
  <c r="E517" i="21"/>
  <c r="F517" i="21"/>
  <c r="G517" i="21"/>
  <c r="H517" i="21"/>
  <c r="I517" i="21"/>
  <c r="A519" i="21"/>
  <c r="B519" i="21"/>
  <c r="C519" i="21"/>
  <c r="D519" i="21"/>
  <c r="E519" i="21"/>
  <c r="F519" i="21"/>
  <c r="G519" i="21"/>
  <c r="H519" i="21"/>
  <c r="I519" i="21"/>
  <c r="A521" i="21"/>
  <c r="B521" i="21"/>
  <c r="C521" i="21"/>
  <c r="D521" i="21"/>
  <c r="E521" i="21"/>
  <c r="F521" i="21"/>
  <c r="G521" i="21"/>
  <c r="H521" i="21"/>
  <c r="I521" i="21"/>
  <c r="A523" i="21"/>
  <c r="B523" i="21"/>
  <c r="C523" i="21"/>
  <c r="D523" i="21"/>
  <c r="E523" i="21"/>
  <c r="F523" i="21"/>
  <c r="G523" i="21"/>
  <c r="H523" i="21"/>
  <c r="I523" i="21"/>
  <c r="A525" i="21"/>
  <c r="B525" i="21"/>
  <c r="C525" i="21"/>
  <c r="D525" i="21"/>
  <c r="E525" i="21"/>
  <c r="F525" i="21"/>
  <c r="G525" i="21"/>
  <c r="H525" i="21"/>
  <c r="I525" i="21"/>
  <c r="A527" i="21"/>
  <c r="B527" i="21"/>
  <c r="C527" i="21"/>
  <c r="D527" i="21"/>
  <c r="E527" i="21"/>
  <c r="F527" i="21"/>
  <c r="G527" i="21"/>
  <c r="H527" i="21"/>
  <c r="I527" i="21"/>
  <c r="A529" i="21"/>
  <c r="B529" i="21"/>
  <c r="C529" i="21"/>
  <c r="D529" i="21"/>
  <c r="E529" i="21"/>
  <c r="F529" i="21"/>
  <c r="G529" i="21"/>
  <c r="H529" i="21"/>
  <c r="I529" i="21"/>
  <c r="A531" i="21"/>
  <c r="B531" i="21"/>
  <c r="C531" i="21"/>
  <c r="D531" i="21"/>
  <c r="E531" i="21"/>
  <c r="F531" i="21"/>
  <c r="G531" i="21"/>
  <c r="H531" i="21"/>
  <c r="I531" i="21"/>
  <c r="A533" i="21"/>
  <c r="B533" i="21"/>
  <c r="C533" i="21"/>
  <c r="D533" i="21"/>
  <c r="E533" i="21"/>
  <c r="F533" i="21"/>
  <c r="G533" i="21"/>
  <c r="H533" i="21"/>
  <c r="I533" i="21"/>
  <c r="A535" i="21"/>
  <c r="B535" i="21"/>
  <c r="C535" i="21"/>
  <c r="D535" i="21"/>
  <c r="E535" i="21"/>
  <c r="F535" i="21"/>
  <c r="G535" i="21"/>
  <c r="H535" i="21"/>
  <c r="I535" i="21"/>
  <c r="A537" i="21"/>
  <c r="B537" i="21"/>
  <c r="C537" i="21"/>
  <c r="D537" i="21"/>
  <c r="E537" i="21"/>
  <c r="F537" i="21"/>
  <c r="G537" i="21"/>
  <c r="H537" i="21"/>
  <c r="I537" i="21"/>
  <c r="A539" i="21"/>
  <c r="B539" i="21"/>
  <c r="C539" i="21"/>
  <c r="D539" i="21"/>
  <c r="E539" i="21"/>
  <c r="F539" i="21"/>
  <c r="G539" i="21"/>
  <c r="H539" i="21"/>
  <c r="I539" i="21"/>
  <c r="A541" i="21"/>
  <c r="B541" i="21"/>
  <c r="C541" i="21"/>
  <c r="D541" i="21"/>
  <c r="E541" i="21"/>
  <c r="F541" i="21"/>
  <c r="G541" i="21"/>
  <c r="H541" i="21"/>
  <c r="I541" i="21"/>
  <c r="A544" i="21"/>
  <c r="B544" i="21"/>
  <c r="C544" i="21"/>
  <c r="D544" i="21"/>
  <c r="E544" i="21"/>
  <c r="F544" i="21"/>
  <c r="G544" i="21"/>
  <c r="H544" i="21"/>
  <c r="I544" i="21"/>
  <c r="A546" i="21"/>
  <c r="B546" i="21"/>
  <c r="C546" i="21"/>
  <c r="D546" i="21"/>
  <c r="E546" i="21"/>
  <c r="F546" i="21"/>
  <c r="G546" i="21"/>
  <c r="H546" i="21"/>
  <c r="I546" i="21"/>
  <c r="A548" i="21"/>
  <c r="B548" i="21"/>
  <c r="C548" i="21"/>
  <c r="D548" i="21"/>
  <c r="E548" i="21"/>
  <c r="F548" i="21"/>
  <c r="G548" i="21"/>
  <c r="H548" i="21"/>
  <c r="I548" i="21"/>
  <c r="A549" i="21"/>
  <c r="B549" i="21"/>
  <c r="C549" i="21"/>
  <c r="D549" i="21"/>
  <c r="E549" i="21"/>
  <c r="F549" i="21"/>
  <c r="G549" i="21"/>
  <c r="H549" i="21"/>
  <c r="I549" i="21"/>
  <c r="A550" i="21"/>
  <c r="B550" i="21"/>
  <c r="C550" i="21"/>
  <c r="D550" i="21"/>
  <c r="E550" i="21"/>
  <c r="F550" i="21"/>
  <c r="G550" i="21"/>
  <c r="H550" i="21"/>
  <c r="I550" i="21"/>
  <c r="A551" i="21"/>
  <c r="B551" i="21"/>
  <c r="C551" i="21"/>
  <c r="D551" i="21"/>
  <c r="E551" i="21"/>
  <c r="F551" i="21"/>
  <c r="G551" i="21"/>
  <c r="H551" i="21"/>
  <c r="I551" i="21"/>
  <c r="A557" i="21"/>
  <c r="B557" i="21"/>
  <c r="C557" i="21"/>
  <c r="D557" i="21"/>
  <c r="E557" i="21"/>
  <c r="F557" i="21"/>
  <c r="G557" i="21"/>
  <c r="H557" i="21"/>
  <c r="I557" i="21"/>
  <c r="A558" i="21"/>
  <c r="B558" i="21"/>
  <c r="C558" i="21"/>
  <c r="D558" i="21"/>
  <c r="E558" i="21"/>
  <c r="F558" i="21"/>
  <c r="G558" i="21"/>
  <c r="H558" i="21"/>
  <c r="I558" i="21"/>
  <c r="A563" i="21"/>
  <c r="B563" i="21"/>
  <c r="C563" i="21"/>
  <c r="D563" i="21"/>
  <c r="E563" i="21"/>
  <c r="F563" i="21"/>
  <c r="G563" i="21"/>
  <c r="H563" i="21"/>
  <c r="I563" i="21"/>
  <c r="A568" i="21"/>
  <c r="B568" i="21"/>
  <c r="C568" i="21"/>
  <c r="D568" i="21"/>
  <c r="E568" i="21"/>
  <c r="F568" i="21"/>
  <c r="G568" i="21"/>
  <c r="H568" i="21"/>
  <c r="I568" i="21"/>
  <c r="A570" i="21"/>
  <c r="B570" i="21"/>
  <c r="C570" i="21"/>
  <c r="D570" i="21"/>
  <c r="E570" i="21"/>
  <c r="F570" i="21"/>
  <c r="G570" i="21"/>
  <c r="H570" i="21"/>
  <c r="I570" i="21"/>
  <c r="A572" i="21"/>
  <c r="B572" i="21"/>
  <c r="C572" i="21"/>
  <c r="D572" i="21"/>
  <c r="E572" i="21"/>
  <c r="F572" i="21"/>
  <c r="G572" i="21"/>
  <c r="H572" i="21"/>
  <c r="I572" i="21"/>
  <c r="A576" i="21"/>
  <c r="B576" i="21"/>
  <c r="C576" i="21"/>
  <c r="D576" i="21"/>
  <c r="E576" i="21"/>
  <c r="F576" i="21"/>
  <c r="G576" i="21"/>
  <c r="H576" i="21"/>
  <c r="I576" i="21"/>
  <c r="A578" i="21"/>
  <c r="B578" i="21"/>
  <c r="C578" i="21"/>
  <c r="D578" i="21"/>
  <c r="E578" i="21"/>
  <c r="F578" i="21"/>
  <c r="G578" i="21"/>
  <c r="H578" i="21"/>
  <c r="I578" i="21"/>
  <c r="A584" i="21"/>
  <c r="B584" i="21"/>
  <c r="C584" i="21"/>
  <c r="D584" i="21"/>
  <c r="E584" i="21"/>
  <c r="F584" i="21"/>
  <c r="G584" i="21"/>
  <c r="H584" i="21"/>
  <c r="I584" i="21"/>
  <c r="A586" i="21"/>
  <c r="B586" i="21"/>
  <c r="C586" i="21"/>
  <c r="D586" i="21"/>
  <c r="E586" i="21"/>
  <c r="F586" i="21"/>
  <c r="G586" i="21"/>
  <c r="H586" i="21"/>
  <c r="I586" i="21"/>
  <c r="A592" i="21"/>
  <c r="B592" i="21"/>
  <c r="C592" i="21"/>
  <c r="D592" i="21"/>
  <c r="E592" i="21"/>
  <c r="F592" i="21"/>
  <c r="G592" i="21"/>
  <c r="H592" i="21"/>
  <c r="I592" i="21"/>
  <c r="A595" i="21"/>
  <c r="B595" i="21"/>
  <c r="C595" i="21"/>
  <c r="D595" i="21"/>
  <c r="E595" i="21"/>
  <c r="F595" i="21"/>
  <c r="G595" i="21"/>
  <c r="H595" i="21"/>
  <c r="I595" i="21"/>
  <c r="A598" i="21"/>
  <c r="B598" i="21"/>
  <c r="C598" i="21"/>
  <c r="D598" i="21"/>
  <c r="E598" i="21"/>
  <c r="F598" i="21"/>
  <c r="G598" i="21"/>
  <c r="H598" i="21"/>
  <c r="I598" i="21"/>
  <c r="A601" i="21"/>
  <c r="B601" i="21"/>
  <c r="C601" i="21"/>
  <c r="D601" i="21"/>
  <c r="E601" i="21"/>
  <c r="F601" i="21"/>
  <c r="G601" i="21"/>
  <c r="H601" i="21"/>
  <c r="I601" i="21"/>
  <c r="A581" i="21"/>
  <c r="B581" i="21"/>
  <c r="C581" i="21"/>
  <c r="D581" i="21"/>
  <c r="E581" i="21"/>
  <c r="F581" i="21"/>
  <c r="G581" i="21"/>
  <c r="H581" i="21"/>
  <c r="I581" i="21"/>
  <c r="A312" i="21"/>
  <c r="B312" i="21"/>
  <c r="C312" i="21"/>
  <c r="D312" i="21"/>
  <c r="E312" i="21"/>
  <c r="F312" i="21"/>
  <c r="G312" i="21"/>
  <c r="H312" i="21"/>
  <c r="I312" i="21"/>
  <c r="A494" i="21"/>
  <c r="B494" i="21"/>
  <c r="C494" i="21"/>
  <c r="D494" i="21"/>
  <c r="E494" i="21"/>
  <c r="F494" i="21"/>
  <c r="G494" i="21"/>
  <c r="H494" i="21"/>
  <c r="I494" i="21"/>
  <c r="A49" i="21"/>
  <c r="B49" i="21"/>
  <c r="C49" i="21"/>
  <c r="D49" i="21"/>
  <c r="E49" i="21"/>
  <c r="F49" i="21"/>
  <c r="G49" i="21"/>
  <c r="H49" i="21"/>
  <c r="I49" i="21"/>
  <c r="A147" i="21"/>
  <c r="B147" i="21"/>
  <c r="C147" i="21"/>
  <c r="D147" i="21"/>
  <c r="E147" i="21"/>
  <c r="F147" i="21"/>
  <c r="G147" i="21"/>
  <c r="H147" i="21"/>
  <c r="I147" i="21"/>
  <c r="B6" i="21"/>
  <c r="C6" i="21"/>
  <c r="D6" i="21"/>
  <c r="E6" i="21"/>
  <c r="F6" i="21"/>
  <c r="G6" i="21"/>
  <c r="H6" i="21"/>
  <c r="I6" i="21"/>
  <c r="A6" i="21"/>
  <c r="A7" i="21"/>
  <c r="B7" i="21"/>
  <c r="C7" i="21"/>
  <c r="D7" i="21"/>
  <c r="E7" i="21"/>
  <c r="F7" i="21"/>
  <c r="G7" i="21"/>
  <c r="H7" i="21"/>
  <c r="I7" i="21"/>
  <c r="A13" i="21"/>
  <c r="B13" i="21"/>
  <c r="C13" i="21"/>
  <c r="D13" i="21"/>
  <c r="E13" i="21"/>
  <c r="F13" i="21"/>
  <c r="G13" i="21"/>
  <c r="H13" i="21"/>
  <c r="I13" i="21"/>
  <c r="A20" i="21"/>
  <c r="B20" i="21"/>
  <c r="C20" i="21"/>
  <c r="D20" i="21"/>
  <c r="E20" i="21"/>
  <c r="F20" i="21"/>
  <c r="G20" i="21"/>
  <c r="H20" i="21"/>
  <c r="I20" i="21"/>
  <c r="A25" i="21"/>
  <c r="B25" i="21"/>
  <c r="C25" i="21"/>
  <c r="D25" i="21"/>
  <c r="E25" i="21"/>
  <c r="F25" i="21"/>
  <c r="G25" i="21"/>
  <c r="H25" i="21"/>
  <c r="I25" i="21"/>
  <c r="A30" i="21"/>
  <c r="B30" i="21"/>
  <c r="C30" i="21"/>
  <c r="D30" i="21"/>
  <c r="E30" i="21"/>
  <c r="F30" i="21"/>
  <c r="G30" i="21"/>
  <c r="H30" i="21"/>
  <c r="I30" i="21"/>
  <c r="A43" i="21"/>
  <c r="B43" i="21"/>
  <c r="C43" i="21"/>
  <c r="D43" i="21"/>
  <c r="E43" i="21"/>
  <c r="F43" i="21"/>
  <c r="G43" i="21"/>
  <c r="H43" i="21"/>
  <c r="I43" i="21"/>
  <c r="A52" i="21"/>
  <c r="B52" i="21"/>
  <c r="C52" i="21"/>
  <c r="D52" i="21"/>
  <c r="E52" i="21"/>
  <c r="F52" i="21"/>
  <c r="G52" i="21"/>
  <c r="H52" i="21"/>
  <c r="I52" i="21"/>
  <c r="A88" i="21"/>
  <c r="B88" i="21"/>
  <c r="C88" i="21"/>
  <c r="D88" i="21"/>
  <c r="E88" i="21"/>
  <c r="F88" i="21"/>
  <c r="G88" i="21"/>
  <c r="H88" i="21"/>
  <c r="I88" i="21"/>
  <c r="A129" i="21"/>
  <c r="B129" i="21"/>
  <c r="C129" i="21"/>
  <c r="D129" i="21"/>
  <c r="E129" i="21"/>
  <c r="F129" i="21"/>
  <c r="G129" i="21"/>
  <c r="H129" i="21"/>
  <c r="I129" i="21"/>
  <c r="A124" i="21"/>
  <c r="B124" i="21"/>
  <c r="C124" i="21"/>
  <c r="D124" i="21"/>
  <c r="E124" i="21"/>
  <c r="F124" i="21"/>
  <c r="G124" i="21"/>
  <c r="H124" i="21"/>
  <c r="I124" i="21"/>
  <c r="A102" i="21"/>
  <c r="B102" i="21"/>
  <c r="C102" i="21"/>
  <c r="D102" i="21"/>
  <c r="E102" i="21"/>
  <c r="F102" i="21"/>
  <c r="G102" i="21"/>
  <c r="H102" i="21"/>
  <c r="I102" i="21"/>
  <c r="A103" i="21"/>
  <c r="B103" i="21"/>
  <c r="C103" i="21"/>
  <c r="D103" i="21"/>
  <c r="E103" i="21"/>
  <c r="F103" i="21"/>
  <c r="G103" i="21"/>
  <c r="H103" i="21"/>
  <c r="I103" i="21"/>
  <c r="A110" i="21"/>
  <c r="B110" i="21"/>
  <c r="C110" i="21"/>
  <c r="D110" i="21"/>
  <c r="E110" i="21"/>
  <c r="F110" i="21"/>
  <c r="G110" i="21"/>
  <c r="H110" i="21"/>
  <c r="I110" i="21"/>
  <c r="A113" i="21"/>
  <c r="B113" i="21"/>
  <c r="C113" i="21"/>
  <c r="D113" i="21"/>
  <c r="E113" i="21"/>
  <c r="F113" i="21"/>
  <c r="G113" i="21"/>
  <c r="H113" i="21"/>
  <c r="I113" i="21"/>
  <c r="A114" i="21"/>
  <c r="B114" i="21"/>
  <c r="C114" i="21"/>
  <c r="D114" i="21"/>
  <c r="E114" i="21"/>
  <c r="F114" i="21"/>
  <c r="G114" i="21"/>
  <c r="H114" i="21"/>
  <c r="I114" i="21"/>
  <c r="A145" i="21"/>
  <c r="B145" i="21"/>
  <c r="C145" i="21"/>
  <c r="D145" i="21"/>
  <c r="E145" i="21"/>
  <c r="F145" i="21"/>
  <c r="G145" i="21"/>
  <c r="H145" i="21"/>
  <c r="I145" i="21"/>
  <c r="A152" i="21"/>
  <c r="B152" i="21"/>
  <c r="C152" i="21"/>
  <c r="D152" i="21"/>
  <c r="E152" i="21"/>
  <c r="F152" i="21"/>
  <c r="G152" i="21"/>
  <c r="H152" i="21"/>
  <c r="I152" i="21"/>
  <c r="A154" i="21"/>
  <c r="B154" i="21"/>
  <c r="C154" i="21"/>
  <c r="D154" i="21"/>
  <c r="E154" i="21"/>
  <c r="F154" i="21"/>
  <c r="G154" i="21"/>
  <c r="H154" i="21"/>
  <c r="I154" i="21"/>
  <c r="A159" i="21"/>
  <c r="B159" i="21"/>
  <c r="C159" i="21"/>
  <c r="D159" i="21"/>
  <c r="E159" i="21"/>
  <c r="F159" i="21"/>
  <c r="G159" i="21"/>
  <c r="H159" i="21"/>
  <c r="I159" i="21"/>
  <c r="A168" i="21"/>
  <c r="B168" i="21"/>
  <c r="C168" i="21"/>
  <c r="D168" i="21"/>
  <c r="E168" i="21"/>
  <c r="F168" i="21"/>
  <c r="G168" i="21"/>
  <c r="H168" i="21"/>
  <c r="I168" i="21"/>
  <c r="A169" i="21"/>
  <c r="B169" i="21"/>
  <c r="C169" i="21"/>
  <c r="D169" i="21"/>
  <c r="E169" i="21"/>
  <c r="F169" i="21"/>
  <c r="G169" i="21"/>
  <c r="H169" i="21"/>
  <c r="I169" i="21"/>
  <c r="A176" i="21"/>
  <c r="B176" i="21"/>
  <c r="C176" i="21"/>
  <c r="D176" i="21"/>
  <c r="E176" i="21"/>
  <c r="F176" i="21"/>
  <c r="G176" i="21"/>
  <c r="H176" i="21"/>
  <c r="I176" i="21"/>
  <c r="A248" i="21"/>
  <c r="B248" i="21"/>
  <c r="C248" i="21"/>
  <c r="D248" i="21"/>
  <c r="E248" i="21"/>
  <c r="F248" i="21"/>
  <c r="G248" i="21"/>
  <c r="H248" i="21"/>
  <c r="I248" i="21"/>
  <c r="A258" i="21"/>
  <c r="B258" i="21"/>
  <c r="C258" i="21"/>
  <c r="D258" i="21"/>
  <c r="E258" i="21"/>
  <c r="F258" i="21"/>
  <c r="G258" i="21"/>
  <c r="H258" i="21"/>
  <c r="I258" i="21"/>
  <c r="A271" i="21"/>
  <c r="B271" i="21"/>
  <c r="C271" i="21"/>
  <c r="D271" i="21"/>
  <c r="E271" i="21"/>
  <c r="F271" i="21"/>
  <c r="G271" i="21"/>
  <c r="H271" i="21"/>
  <c r="I271" i="21"/>
  <c r="A276" i="21"/>
  <c r="B276" i="21"/>
  <c r="C276" i="21"/>
  <c r="D276" i="21"/>
  <c r="E276" i="21"/>
  <c r="F276" i="21"/>
  <c r="G276" i="21"/>
  <c r="H276" i="21"/>
  <c r="I276" i="21"/>
  <c r="A277" i="21"/>
  <c r="B277" i="21"/>
  <c r="C277" i="21"/>
  <c r="D277" i="21"/>
  <c r="E277" i="21"/>
  <c r="F277" i="21"/>
  <c r="G277" i="21"/>
  <c r="H277" i="21"/>
  <c r="I277" i="21"/>
  <c r="A282" i="21"/>
  <c r="B282" i="21"/>
  <c r="C282" i="21"/>
  <c r="D282" i="21"/>
  <c r="E282" i="21"/>
  <c r="F282" i="21"/>
  <c r="G282" i="21"/>
  <c r="H282" i="21"/>
  <c r="I282" i="21"/>
  <c r="A287" i="21"/>
  <c r="B287" i="21"/>
  <c r="C287" i="21"/>
  <c r="D287" i="21"/>
  <c r="E287" i="21"/>
  <c r="F287" i="21"/>
  <c r="G287" i="21"/>
  <c r="H287" i="21"/>
  <c r="I287" i="21"/>
  <c r="A294" i="21"/>
  <c r="B294" i="21"/>
  <c r="C294" i="21"/>
  <c r="D294" i="21"/>
  <c r="E294" i="21"/>
  <c r="F294" i="21"/>
  <c r="G294" i="21"/>
  <c r="H294" i="21"/>
  <c r="I294" i="21"/>
  <c r="A301" i="21"/>
  <c r="B301" i="21"/>
  <c r="C301" i="21"/>
  <c r="D301" i="21"/>
  <c r="E301" i="21"/>
  <c r="F301" i="21"/>
  <c r="G301" i="21"/>
  <c r="H301" i="21"/>
  <c r="I301" i="21"/>
  <c r="A307" i="21"/>
  <c r="B307" i="21"/>
  <c r="C307" i="21"/>
  <c r="D307" i="21"/>
  <c r="E307" i="21"/>
  <c r="F307" i="21"/>
  <c r="G307" i="21"/>
  <c r="H307" i="21"/>
  <c r="I307" i="21"/>
  <c r="A313" i="21"/>
  <c r="B313" i="21"/>
  <c r="C313" i="21"/>
  <c r="D313" i="21"/>
  <c r="E313" i="21"/>
  <c r="F313" i="21"/>
  <c r="G313" i="21"/>
  <c r="H313" i="21"/>
  <c r="I313" i="21"/>
  <c r="A318" i="21"/>
  <c r="B318" i="21"/>
  <c r="C318" i="21"/>
  <c r="D318" i="21"/>
  <c r="E318" i="21"/>
  <c r="F318" i="21"/>
  <c r="G318" i="21"/>
  <c r="H318" i="21"/>
  <c r="I318" i="21"/>
  <c r="A323" i="21"/>
  <c r="B323" i="21"/>
  <c r="C323" i="21"/>
  <c r="D323" i="21"/>
  <c r="E323" i="21"/>
  <c r="F323" i="21"/>
  <c r="G323" i="21"/>
  <c r="H323" i="21"/>
  <c r="I323" i="21"/>
  <c r="A330" i="21"/>
  <c r="B330" i="21"/>
  <c r="C330" i="21"/>
  <c r="D330" i="21"/>
  <c r="E330" i="21"/>
  <c r="F330" i="21"/>
  <c r="G330" i="21"/>
  <c r="H330" i="21"/>
  <c r="I330" i="21"/>
  <c r="A331" i="21"/>
  <c r="B331" i="21"/>
  <c r="C331" i="21"/>
  <c r="D331" i="21"/>
  <c r="E331" i="21"/>
  <c r="F331" i="21"/>
  <c r="G331" i="21"/>
  <c r="H331" i="21"/>
  <c r="I331" i="21"/>
  <c r="A334" i="21"/>
  <c r="B334" i="21"/>
  <c r="C334" i="21"/>
  <c r="D334" i="21"/>
  <c r="E334" i="21"/>
  <c r="F334" i="21"/>
  <c r="G334" i="21"/>
  <c r="H334" i="21"/>
  <c r="I334" i="21"/>
  <c r="A337" i="21"/>
  <c r="B337" i="21"/>
  <c r="C337" i="21"/>
  <c r="D337" i="21"/>
  <c r="E337" i="21"/>
  <c r="F337" i="21"/>
  <c r="G337" i="21"/>
  <c r="H337" i="21"/>
  <c r="I337" i="21"/>
  <c r="A340" i="21"/>
  <c r="B340" i="21"/>
  <c r="C340" i="21"/>
  <c r="D340" i="21"/>
  <c r="E340" i="21"/>
  <c r="F340" i="21"/>
  <c r="G340" i="21"/>
  <c r="H340" i="21"/>
  <c r="I340" i="21"/>
  <c r="A345" i="21"/>
  <c r="B345" i="21"/>
  <c r="C345" i="21"/>
  <c r="D345" i="21"/>
  <c r="E345" i="21"/>
  <c r="F345" i="21"/>
  <c r="G345" i="21"/>
  <c r="H345" i="21"/>
  <c r="I345" i="21"/>
  <c r="A346" i="21"/>
  <c r="B346" i="21"/>
  <c r="C346" i="21"/>
  <c r="D346" i="21"/>
  <c r="E346" i="21"/>
  <c r="F346" i="21"/>
  <c r="G346" i="21"/>
  <c r="H346" i="21"/>
  <c r="I346" i="21"/>
  <c r="A349" i="21"/>
  <c r="B349" i="21"/>
  <c r="C349" i="21"/>
  <c r="D349" i="21"/>
  <c r="E349" i="21"/>
  <c r="F349" i="21"/>
  <c r="G349" i="21"/>
  <c r="H349" i="21"/>
  <c r="I349" i="21"/>
  <c r="A352" i="21"/>
  <c r="B352" i="21"/>
  <c r="C352" i="21"/>
  <c r="D352" i="21"/>
  <c r="E352" i="21"/>
  <c r="F352" i="21"/>
  <c r="G352" i="21"/>
  <c r="H352" i="21"/>
  <c r="I352" i="21"/>
  <c r="A355" i="21"/>
  <c r="B355" i="21"/>
  <c r="C355" i="21"/>
  <c r="D355" i="21"/>
  <c r="E355" i="21"/>
  <c r="F355" i="21"/>
  <c r="G355" i="21"/>
  <c r="H355" i="21"/>
  <c r="I355" i="21"/>
  <c r="A359" i="21"/>
  <c r="B359" i="21"/>
  <c r="C359" i="21"/>
  <c r="D359" i="21"/>
  <c r="E359" i="21"/>
  <c r="F359" i="21"/>
  <c r="G359" i="21"/>
  <c r="H359" i="21"/>
  <c r="I359" i="21"/>
  <c r="A360" i="21"/>
  <c r="B360" i="21"/>
  <c r="C360" i="21"/>
  <c r="D360" i="21"/>
  <c r="E360" i="21"/>
  <c r="F360" i="21"/>
  <c r="G360" i="21"/>
  <c r="H360" i="21"/>
  <c r="I360" i="21"/>
  <c r="A363" i="21"/>
  <c r="B363" i="21"/>
  <c r="C363" i="21"/>
  <c r="D363" i="21"/>
  <c r="E363" i="21"/>
  <c r="F363" i="21"/>
  <c r="G363" i="21"/>
  <c r="H363" i="21"/>
  <c r="I363" i="21"/>
  <c r="A366" i="21"/>
  <c r="B366" i="21"/>
  <c r="C366" i="21"/>
  <c r="D366" i="21"/>
  <c r="E366" i="21"/>
  <c r="F366" i="21"/>
  <c r="G366" i="21"/>
  <c r="H366" i="21"/>
  <c r="I366" i="21"/>
  <c r="A369" i="21"/>
  <c r="B369" i="21"/>
  <c r="C369" i="21"/>
  <c r="D369" i="21"/>
  <c r="E369" i="21"/>
  <c r="F369" i="21"/>
  <c r="G369" i="21"/>
  <c r="H369" i="21"/>
  <c r="I369" i="21"/>
  <c r="A405" i="21"/>
  <c r="B405" i="21"/>
  <c r="C405" i="21"/>
  <c r="D405" i="21"/>
  <c r="E405" i="21"/>
  <c r="F405" i="21"/>
  <c r="G405" i="21"/>
  <c r="H405" i="21"/>
  <c r="I405" i="21"/>
  <c r="A408" i="21"/>
  <c r="B408" i="21"/>
  <c r="C408" i="21"/>
  <c r="D408" i="21"/>
  <c r="E408" i="21"/>
  <c r="F408" i="21"/>
  <c r="G408" i="21"/>
  <c r="H408" i="21"/>
  <c r="I408" i="21"/>
  <c r="A416" i="21"/>
  <c r="B416" i="21"/>
  <c r="C416" i="21"/>
  <c r="D416" i="21"/>
  <c r="E416" i="21"/>
  <c r="F416" i="21"/>
  <c r="G416" i="21"/>
  <c r="H416" i="21"/>
  <c r="I416" i="21"/>
  <c r="A417" i="21"/>
  <c r="B417" i="21"/>
  <c r="C417" i="21"/>
  <c r="D417" i="21"/>
  <c r="E417" i="21"/>
  <c r="F417" i="21"/>
  <c r="G417" i="21"/>
  <c r="H417" i="21"/>
  <c r="I417" i="21"/>
  <c r="A422" i="21"/>
  <c r="B422" i="21"/>
  <c r="C422" i="21"/>
  <c r="D422" i="21"/>
  <c r="E422" i="21"/>
  <c r="F422" i="21"/>
  <c r="G422" i="21"/>
  <c r="H422" i="21"/>
  <c r="I422" i="21"/>
  <c r="A425" i="21"/>
  <c r="B425" i="21"/>
  <c r="C425" i="21"/>
  <c r="D425" i="21"/>
  <c r="E425" i="21"/>
  <c r="F425" i="21"/>
  <c r="G425" i="21"/>
  <c r="H425" i="21"/>
  <c r="I425" i="21"/>
  <c r="A428" i="21"/>
  <c r="B428" i="21"/>
  <c r="C428" i="21"/>
  <c r="D428" i="21"/>
  <c r="E428" i="21"/>
  <c r="F428" i="21"/>
  <c r="G428" i="21"/>
  <c r="H428" i="21"/>
  <c r="I428" i="21"/>
  <c r="A431" i="21"/>
  <c r="B431" i="21"/>
  <c r="C431" i="21"/>
  <c r="D431" i="21"/>
  <c r="E431" i="21"/>
  <c r="F431" i="21"/>
  <c r="G431" i="21"/>
  <c r="H431" i="21"/>
  <c r="I431" i="21"/>
  <c r="A435" i="21"/>
  <c r="B435" i="21"/>
  <c r="C435" i="21"/>
  <c r="D435" i="21"/>
  <c r="E435" i="21"/>
  <c r="F435" i="21"/>
  <c r="G435" i="21"/>
  <c r="H435" i="21"/>
  <c r="I435" i="21"/>
  <c r="A440" i="21"/>
  <c r="B440" i="21"/>
  <c r="C440" i="21"/>
  <c r="D440" i="21"/>
  <c r="E440" i="21"/>
  <c r="F440" i="21"/>
  <c r="G440" i="21"/>
  <c r="H440" i="21"/>
  <c r="I440" i="21"/>
  <c r="A445" i="21"/>
  <c r="B445" i="21"/>
  <c r="C445" i="21"/>
  <c r="D445" i="21"/>
  <c r="E445" i="21"/>
  <c r="F445" i="21"/>
  <c r="G445" i="21"/>
  <c r="H445" i="21"/>
  <c r="I445" i="21"/>
  <c r="A448" i="21"/>
  <c r="B448" i="21"/>
  <c r="C448" i="21"/>
  <c r="D448" i="21"/>
  <c r="E448" i="21"/>
  <c r="F448" i="21"/>
  <c r="G448" i="21"/>
  <c r="H448" i="21"/>
  <c r="I448" i="21"/>
  <c r="A451" i="21"/>
  <c r="B451" i="21"/>
  <c r="C451" i="21"/>
  <c r="D451" i="21"/>
  <c r="E451" i="21"/>
  <c r="F451" i="21"/>
  <c r="G451" i="21"/>
  <c r="H451" i="21"/>
  <c r="I451" i="21"/>
  <c r="A454" i="21"/>
  <c r="B454" i="21"/>
  <c r="C454" i="21"/>
  <c r="D454" i="21"/>
  <c r="E454" i="21"/>
  <c r="F454" i="21"/>
  <c r="G454" i="21"/>
  <c r="H454" i="21"/>
  <c r="I454" i="21"/>
  <c r="A455" i="21"/>
  <c r="B455" i="21"/>
  <c r="C455" i="21"/>
  <c r="D455" i="21"/>
  <c r="E455" i="21"/>
  <c r="F455" i="21"/>
  <c r="G455" i="21"/>
  <c r="H455" i="21"/>
  <c r="I455" i="21"/>
  <c r="A460" i="21"/>
  <c r="B460" i="21"/>
  <c r="C460" i="21"/>
  <c r="D460" i="21"/>
  <c r="E460" i="21"/>
  <c r="F460" i="21"/>
  <c r="G460" i="21"/>
  <c r="H460" i="21"/>
  <c r="I460" i="21"/>
  <c r="A463" i="21"/>
  <c r="B463" i="21"/>
  <c r="C463" i="21"/>
  <c r="D463" i="21"/>
  <c r="E463" i="21"/>
  <c r="F463" i="21"/>
  <c r="G463" i="21"/>
  <c r="H463" i="21"/>
  <c r="I463" i="21"/>
  <c r="A467" i="21"/>
  <c r="B467" i="21"/>
  <c r="C467" i="21"/>
  <c r="D467" i="21"/>
  <c r="E467" i="21"/>
  <c r="F467" i="21"/>
  <c r="G467" i="21"/>
  <c r="H467" i="21"/>
  <c r="I467" i="21"/>
  <c r="A477" i="21"/>
  <c r="B477" i="21"/>
  <c r="C477" i="21"/>
  <c r="D477" i="21"/>
  <c r="E477" i="21"/>
  <c r="F477" i="21"/>
  <c r="G477" i="21"/>
  <c r="H477" i="21"/>
  <c r="I477" i="21"/>
  <c r="A478" i="21"/>
  <c r="B478" i="21"/>
  <c r="C478" i="21"/>
  <c r="D478" i="21"/>
  <c r="E478" i="21"/>
  <c r="F478" i="21"/>
  <c r="G478" i="21"/>
  <c r="H478" i="21"/>
  <c r="I478" i="21"/>
  <c r="A483" i="21"/>
  <c r="B483" i="21"/>
  <c r="C483" i="21"/>
  <c r="D483" i="21"/>
  <c r="E483" i="21"/>
  <c r="F483" i="21"/>
  <c r="G483" i="21"/>
  <c r="H483" i="21"/>
  <c r="I483" i="21"/>
  <c r="A488" i="21"/>
  <c r="B488" i="21"/>
  <c r="C488" i="21"/>
  <c r="D488" i="21"/>
  <c r="E488" i="21"/>
  <c r="F488" i="21"/>
  <c r="G488" i="21"/>
  <c r="H488" i="21"/>
  <c r="I488" i="21"/>
  <c r="A552" i="21"/>
  <c r="B552" i="21"/>
  <c r="C552" i="21"/>
  <c r="D552" i="21"/>
  <c r="E552" i="21"/>
  <c r="F552" i="21"/>
  <c r="G552" i="21"/>
  <c r="H552" i="21"/>
  <c r="I552" i="21"/>
  <c r="A559" i="21"/>
  <c r="B559" i="21"/>
  <c r="C559" i="21"/>
  <c r="D559" i="21"/>
  <c r="E559" i="21"/>
  <c r="F559" i="21"/>
  <c r="G559" i="21"/>
  <c r="H559" i="21"/>
  <c r="I559" i="21"/>
  <c r="A564" i="21"/>
  <c r="B564" i="21"/>
  <c r="C564" i="21"/>
  <c r="D564" i="21"/>
  <c r="E564" i="21"/>
  <c r="F564" i="21"/>
  <c r="G564" i="21"/>
  <c r="H564" i="21"/>
  <c r="I564" i="21"/>
  <c r="A574" i="21"/>
  <c r="B574" i="21"/>
  <c r="C574" i="21"/>
  <c r="D574" i="21"/>
  <c r="E574" i="21"/>
  <c r="F574" i="21"/>
  <c r="G574" i="21"/>
  <c r="H574" i="21"/>
  <c r="I574" i="21"/>
  <c r="A582" i="21"/>
  <c r="B582" i="21"/>
  <c r="C582" i="21"/>
  <c r="D582" i="21"/>
  <c r="E582" i="21"/>
  <c r="F582" i="21"/>
  <c r="G582" i="21"/>
  <c r="H582" i="21"/>
  <c r="I582" i="21"/>
  <c r="A590" i="21"/>
  <c r="B590" i="21"/>
  <c r="C590" i="21"/>
  <c r="D590" i="21"/>
  <c r="E590" i="21"/>
  <c r="F590" i="21"/>
  <c r="G590" i="21"/>
  <c r="H590" i="21"/>
  <c r="I590" i="21"/>
  <c r="A5" i="21"/>
  <c r="B5" i="21"/>
  <c r="C5" i="21"/>
  <c r="D5" i="21"/>
  <c r="E5" i="21"/>
  <c r="F5" i="21"/>
  <c r="G5" i="21"/>
  <c r="H5" i="21"/>
  <c r="I5" i="21"/>
  <c r="A8" i="21"/>
  <c r="B8" i="21"/>
  <c r="C8" i="21"/>
  <c r="D8" i="21"/>
  <c r="E8" i="21"/>
  <c r="F8" i="21"/>
  <c r="G8" i="21"/>
  <c r="H8" i="21"/>
  <c r="I8" i="21"/>
  <c r="A14" i="21"/>
  <c r="B14" i="21"/>
  <c r="C14" i="21"/>
  <c r="D14" i="21"/>
  <c r="E14" i="21"/>
  <c r="F14" i="21"/>
  <c r="G14" i="21"/>
  <c r="H14" i="21"/>
  <c r="I14" i="21"/>
  <c r="A21" i="21"/>
  <c r="B21" i="21"/>
  <c r="C21" i="21"/>
  <c r="D21" i="21"/>
  <c r="E21" i="21"/>
  <c r="F21" i="21"/>
  <c r="G21" i="21"/>
  <c r="H21" i="21"/>
  <c r="I21" i="21"/>
  <c r="A26" i="21"/>
  <c r="B26" i="21"/>
  <c r="C26" i="21"/>
  <c r="D26" i="21"/>
  <c r="E26" i="21"/>
  <c r="F26" i="21"/>
  <c r="G26" i="21"/>
  <c r="H26" i="21"/>
  <c r="I26" i="21"/>
  <c r="A31" i="21"/>
  <c r="B31" i="21"/>
  <c r="C31" i="21"/>
  <c r="D31" i="21"/>
  <c r="E31" i="21"/>
  <c r="F31" i="21"/>
  <c r="G31" i="21"/>
  <c r="H31" i="21"/>
  <c r="I31" i="21"/>
  <c r="A44" i="21"/>
  <c r="B44" i="21"/>
  <c r="C44" i="21"/>
  <c r="D44" i="21"/>
  <c r="E44" i="21"/>
  <c r="F44" i="21"/>
  <c r="G44" i="21"/>
  <c r="H44" i="21"/>
  <c r="I44" i="21"/>
  <c r="A50" i="21"/>
  <c r="B50" i="21"/>
  <c r="C50" i="21"/>
  <c r="D50" i="21"/>
  <c r="E50" i="21"/>
  <c r="F50" i="21"/>
  <c r="G50" i="21"/>
  <c r="H50" i="21"/>
  <c r="I50" i="21"/>
  <c r="A89" i="21"/>
  <c r="B89" i="21"/>
  <c r="C89" i="21"/>
  <c r="D89" i="21"/>
  <c r="E89" i="21"/>
  <c r="F89" i="21"/>
  <c r="G89" i="21"/>
  <c r="H89" i="21"/>
  <c r="I89" i="21"/>
  <c r="A104" i="21"/>
  <c r="B104" i="21"/>
  <c r="C104" i="21"/>
  <c r="D104" i="21"/>
  <c r="E104" i="21"/>
  <c r="F104" i="21"/>
  <c r="G104" i="21"/>
  <c r="H104" i="21"/>
  <c r="I104" i="21"/>
  <c r="A105" i="21"/>
  <c r="B105" i="21"/>
  <c r="C105" i="21"/>
  <c r="D105" i="21"/>
  <c r="E105" i="21"/>
  <c r="F105" i="21"/>
  <c r="G105" i="21"/>
  <c r="H105" i="21"/>
  <c r="I105" i="21"/>
  <c r="A111" i="21"/>
  <c r="B111" i="21"/>
  <c r="C111" i="21"/>
  <c r="D111" i="21"/>
  <c r="E111" i="21"/>
  <c r="F111" i="21"/>
  <c r="G111" i="21"/>
  <c r="H111" i="21"/>
  <c r="I111" i="21"/>
  <c r="A115" i="21"/>
  <c r="B115" i="21"/>
  <c r="C115" i="21"/>
  <c r="D115" i="21"/>
  <c r="E115" i="21"/>
  <c r="F115" i="21"/>
  <c r="G115" i="21"/>
  <c r="H115" i="21"/>
  <c r="I115" i="21"/>
  <c r="A130" i="21"/>
  <c r="B130" i="21"/>
  <c r="C130" i="21"/>
  <c r="D130" i="21"/>
  <c r="E130" i="21"/>
  <c r="F130" i="21"/>
  <c r="G130" i="21"/>
  <c r="H130" i="21"/>
  <c r="I130" i="21"/>
  <c r="A116" i="21"/>
  <c r="B116" i="21"/>
  <c r="C116" i="21"/>
  <c r="D116" i="21"/>
  <c r="E116" i="21"/>
  <c r="F116" i="21"/>
  <c r="G116" i="21"/>
  <c r="H116" i="21"/>
  <c r="I116" i="21"/>
  <c r="A125" i="21"/>
  <c r="B125" i="21"/>
  <c r="C125" i="21"/>
  <c r="D125" i="21"/>
  <c r="E125" i="21"/>
  <c r="F125" i="21"/>
  <c r="G125" i="21"/>
  <c r="H125" i="21"/>
  <c r="I125" i="21"/>
  <c r="A146" i="21"/>
  <c r="B146" i="21"/>
  <c r="C146" i="21"/>
  <c r="D146" i="21"/>
  <c r="E146" i="21"/>
  <c r="F146" i="21"/>
  <c r="G146" i="21"/>
  <c r="H146" i="21"/>
  <c r="I146" i="21"/>
  <c r="A155" i="21"/>
  <c r="B155" i="21"/>
  <c r="C155" i="21"/>
  <c r="D155" i="21"/>
  <c r="E155" i="21"/>
  <c r="F155" i="21"/>
  <c r="G155" i="21"/>
  <c r="H155" i="21"/>
  <c r="I155" i="21"/>
  <c r="A160" i="21"/>
  <c r="B160" i="21"/>
  <c r="C160" i="21"/>
  <c r="D160" i="21"/>
  <c r="E160" i="21"/>
  <c r="F160" i="21"/>
  <c r="G160" i="21"/>
  <c r="H160" i="21"/>
  <c r="I160" i="21"/>
  <c r="A174" i="21"/>
  <c r="B174" i="21"/>
  <c r="C174" i="21"/>
  <c r="D174" i="21"/>
  <c r="E174" i="21"/>
  <c r="F174" i="21"/>
  <c r="G174" i="21"/>
  <c r="H174" i="21"/>
  <c r="I174" i="21"/>
  <c r="A175" i="21"/>
  <c r="B175" i="21"/>
  <c r="C175" i="21"/>
  <c r="D175" i="21"/>
  <c r="E175" i="21"/>
  <c r="F175" i="21"/>
  <c r="G175" i="21"/>
  <c r="H175" i="21"/>
  <c r="I175" i="21"/>
  <c r="A177" i="21"/>
  <c r="B177" i="21"/>
  <c r="C177" i="21"/>
  <c r="D177" i="21"/>
  <c r="E177" i="21"/>
  <c r="F177" i="21"/>
  <c r="G177" i="21"/>
  <c r="H177" i="21"/>
  <c r="I177" i="21"/>
  <c r="A249" i="21"/>
  <c r="B249" i="21"/>
  <c r="C249" i="21"/>
  <c r="D249" i="21"/>
  <c r="E249" i="21"/>
  <c r="F249" i="21"/>
  <c r="G249" i="21"/>
  <c r="H249" i="21"/>
  <c r="I249" i="21"/>
  <c r="A259" i="21"/>
  <c r="B259" i="21"/>
  <c r="C259" i="21"/>
  <c r="D259" i="21"/>
  <c r="E259" i="21"/>
  <c r="F259" i="21"/>
  <c r="G259" i="21"/>
  <c r="H259" i="21"/>
  <c r="I259" i="21"/>
  <c r="A269" i="21"/>
  <c r="B269" i="21"/>
  <c r="C269" i="21"/>
  <c r="D269" i="21"/>
  <c r="E269" i="21"/>
  <c r="F269" i="21"/>
  <c r="G269" i="21"/>
  <c r="H269" i="21"/>
  <c r="I269" i="21"/>
  <c r="A272" i="21"/>
  <c r="B272" i="21"/>
  <c r="C272" i="21"/>
  <c r="D272" i="21"/>
  <c r="E272" i="21"/>
  <c r="F272" i="21"/>
  <c r="G272" i="21"/>
  <c r="H272" i="21"/>
  <c r="I272" i="21"/>
  <c r="A278" i="21"/>
  <c r="B278" i="21"/>
  <c r="C278" i="21"/>
  <c r="D278" i="21"/>
  <c r="E278" i="21"/>
  <c r="F278" i="21"/>
  <c r="G278" i="21"/>
  <c r="H278" i="21"/>
  <c r="I278" i="21"/>
  <c r="A283" i="21"/>
  <c r="B283" i="21"/>
  <c r="C283" i="21"/>
  <c r="D283" i="21"/>
  <c r="E283" i="21"/>
  <c r="F283" i="21"/>
  <c r="G283" i="21"/>
  <c r="H283" i="21"/>
  <c r="I283" i="21"/>
  <c r="A288" i="21"/>
  <c r="B288" i="21"/>
  <c r="C288" i="21"/>
  <c r="D288" i="21"/>
  <c r="E288" i="21"/>
  <c r="F288" i="21"/>
  <c r="G288" i="21"/>
  <c r="H288" i="21"/>
  <c r="I288" i="21"/>
  <c r="A295" i="21"/>
  <c r="B295" i="21"/>
  <c r="C295" i="21"/>
  <c r="D295" i="21"/>
  <c r="E295" i="21"/>
  <c r="F295" i="21"/>
  <c r="G295" i="21"/>
  <c r="H295" i="21"/>
  <c r="I295" i="21"/>
  <c r="A302" i="21"/>
  <c r="B302" i="21"/>
  <c r="C302" i="21"/>
  <c r="D302" i="21"/>
  <c r="E302" i="21"/>
  <c r="F302" i="21"/>
  <c r="G302" i="21"/>
  <c r="H302" i="21"/>
  <c r="I302" i="21"/>
  <c r="A308" i="21"/>
  <c r="B308" i="21"/>
  <c r="C308" i="21"/>
  <c r="D308" i="21"/>
  <c r="E308" i="21"/>
  <c r="F308" i="21"/>
  <c r="G308" i="21"/>
  <c r="H308" i="21"/>
  <c r="I308" i="21"/>
  <c r="A314" i="21"/>
  <c r="B314" i="21"/>
  <c r="C314" i="21"/>
  <c r="D314" i="21"/>
  <c r="E314" i="21"/>
  <c r="F314" i="21"/>
  <c r="G314" i="21"/>
  <c r="H314" i="21"/>
  <c r="I314" i="21"/>
  <c r="A319" i="21"/>
  <c r="B319" i="21"/>
  <c r="C319" i="21"/>
  <c r="D319" i="21"/>
  <c r="E319" i="21"/>
  <c r="F319" i="21"/>
  <c r="G319" i="21"/>
  <c r="H319" i="21"/>
  <c r="I319" i="21"/>
  <c r="A324" i="21"/>
  <c r="B324" i="21"/>
  <c r="C324" i="21"/>
  <c r="D324" i="21"/>
  <c r="E324" i="21"/>
  <c r="F324" i="21"/>
  <c r="G324" i="21"/>
  <c r="H324" i="21"/>
  <c r="I324" i="21"/>
  <c r="A328" i="21"/>
  <c r="B328" i="21"/>
  <c r="C328" i="21"/>
  <c r="D328" i="21"/>
  <c r="E328" i="21"/>
  <c r="F328" i="21"/>
  <c r="G328" i="21"/>
  <c r="H328" i="21"/>
  <c r="I328" i="21"/>
  <c r="A332" i="21"/>
  <c r="B332" i="21"/>
  <c r="C332" i="21"/>
  <c r="D332" i="21"/>
  <c r="E332" i="21"/>
  <c r="F332" i="21"/>
  <c r="G332" i="21"/>
  <c r="H332" i="21"/>
  <c r="I332" i="21"/>
  <c r="A335" i="21"/>
  <c r="B335" i="21"/>
  <c r="C335" i="21"/>
  <c r="D335" i="21"/>
  <c r="E335" i="21"/>
  <c r="F335" i="21"/>
  <c r="G335" i="21"/>
  <c r="H335" i="21"/>
  <c r="I335" i="21"/>
  <c r="A338" i="21"/>
  <c r="B338" i="21"/>
  <c r="C338" i="21"/>
  <c r="D338" i="21"/>
  <c r="E338" i="21"/>
  <c r="F338" i="21"/>
  <c r="G338" i="21"/>
  <c r="H338" i="21"/>
  <c r="I338" i="21"/>
  <c r="A341" i="21"/>
  <c r="B341" i="21"/>
  <c r="C341" i="21"/>
  <c r="D341" i="21"/>
  <c r="E341" i="21"/>
  <c r="F341" i="21"/>
  <c r="G341" i="21"/>
  <c r="H341" i="21"/>
  <c r="I341" i="21"/>
  <c r="A343" i="21"/>
  <c r="B343" i="21"/>
  <c r="C343" i="21"/>
  <c r="D343" i="21"/>
  <c r="E343" i="21"/>
  <c r="F343" i="21"/>
  <c r="G343" i="21"/>
  <c r="H343" i="21"/>
  <c r="I343" i="21"/>
  <c r="A347" i="21"/>
  <c r="B347" i="21"/>
  <c r="C347" i="21"/>
  <c r="D347" i="21"/>
  <c r="E347" i="21"/>
  <c r="F347" i="21"/>
  <c r="G347" i="21"/>
  <c r="H347" i="21"/>
  <c r="I347" i="21"/>
  <c r="A350" i="21"/>
  <c r="B350" i="21"/>
  <c r="C350" i="21"/>
  <c r="D350" i="21"/>
  <c r="E350" i="21"/>
  <c r="F350" i="21"/>
  <c r="G350" i="21"/>
  <c r="H350" i="21"/>
  <c r="I350" i="21"/>
  <c r="A353" i="21"/>
  <c r="B353" i="21"/>
  <c r="C353" i="21"/>
  <c r="D353" i="21"/>
  <c r="E353" i="21"/>
  <c r="F353" i="21"/>
  <c r="G353" i="21"/>
  <c r="H353" i="21"/>
  <c r="I353" i="21"/>
  <c r="A357" i="21"/>
  <c r="B357" i="21"/>
  <c r="C357" i="21"/>
  <c r="D357" i="21"/>
  <c r="E357" i="21"/>
  <c r="F357" i="21"/>
  <c r="G357" i="21"/>
  <c r="H357" i="21"/>
  <c r="I357" i="21"/>
  <c r="A361" i="21"/>
  <c r="B361" i="21"/>
  <c r="C361" i="21"/>
  <c r="D361" i="21"/>
  <c r="E361" i="21"/>
  <c r="F361" i="21"/>
  <c r="G361" i="21"/>
  <c r="H361" i="21"/>
  <c r="I361" i="21"/>
  <c r="A364" i="21"/>
  <c r="B364" i="21"/>
  <c r="C364" i="21"/>
  <c r="D364" i="21"/>
  <c r="E364" i="21"/>
  <c r="F364" i="21"/>
  <c r="G364" i="21"/>
  <c r="H364" i="21"/>
  <c r="I364" i="21"/>
  <c r="A367" i="21"/>
  <c r="B367" i="21"/>
  <c r="C367" i="21"/>
  <c r="D367" i="21"/>
  <c r="E367" i="21"/>
  <c r="F367" i="21"/>
  <c r="G367" i="21"/>
  <c r="H367" i="21"/>
  <c r="I367" i="21"/>
  <c r="A370" i="21"/>
  <c r="B370" i="21"/>
  <c r="C370" i="21"/>
  <c r="D370" i="21"/>
  <c r="E370" i="21"/>
  <c r="F370" i="21"/>
  <c r="G370" i="21"/>
  <c r="H370" i="21"/>
  <c r="I370" i="21"/>
  <c r="A372" i="21"/>
  <c r="B372" i="21"/>
  <c r="C372" i="21"/>
  <c r="D372" i="21"/>
  <c r="E372" i="21"/>
  <c r="F372" i="21"/>
  <c r="G372" i="21"/>
  <c r="H372" i="21"/>
  <c r="I372" i="21"/>
  <c r="A374" i="21"/>
  <c r="B374" i="21"/>
  <c r="C374" i="21"/>
  <c r="D374" i="21"/>
  <c r="E374" i="21"/>
  <c r="F374" i="21"/>
  <c r="G374" i="21"/>
  <c r="H374" i="21"/>
  <c r="I374" i="21"/>
  <c r="A376" i="21"/>
  <c r="B376" i="21"/>
  <c r="C376" i="21"/>
  <c r="D376" i="21"/>
  <c r="E376" i="21"/>
  <c r="F376" i="21"/>
  <c r="G376" i="21"/>
  <c r="H376" i="21"/>
  <c r="I376" i="21"/>
  <c r="A378" i="21"/>
  <c r="B378" i="21"/>
  <c r="C378" i="21"/>
  <c r="D378" i="21"/>
  <c r="E378" i="21"/>
  <c r="F378" i="21"/>
  <c r="G378" i="21"/>
  <c r="H378" i="21"/>
  <c r="I378" i="21"/>
  <c r="A380" i="21"/>
  <c r="B380" i="21"/>
  <c r="C380" i="21"/>
  <c r="D380" i="21"/>
  <c r="E380" i="21"/>
  <c r="F380" i="21"/>
  <c r="G380" i="21"/>
  <c r="H380" i="21"/>
  <c r="I380" i="21"/>
  <c r="A399" i="21"/>
  <c r="B399" i="21"/>
  <c r="C399" i="21"/>
  <c r="D399" i="21"/>
  <c r="E399" i="21"/>
  <c r="F399" i="21"/>
  <c r="G399" i="21"/>
  <c r="H399" i="21"/>
  <c r="I399" i="21"/>
  <c r="A404" i="21"/>
  <c r="B404" i="21"/>
  <c r="C404" i="21"/>
  <c r="D404" i="21"/>
  <c r="E404" i="21"/>
  <c r="F404" i="21"/>
  <c r="G404" i="21"/>
  <c r="H404" i="21"/>
  <c r="I404" i="21"/>
  <c r="A409" i="21"/>
  <c r="B409" i="21"/>
  <c r="C409" i="21"/>
  <c r="D409" i="21"/>
  <c r="E409" i="21"/>
  <c r="F409" i="21"/>
  <c r="G409" i="21"/>
  <c r="H409" i="21"/>
  <c r="I409" i="21"/>
  <c r="A418" i="21"/>
  <c r="B418" i="21"/>
  <c r="C418" i="21"/>
  <c r="D418" i="21"/>
  <c r="E418" i="21"/>
  <c r="F418" i="21"/>
  <c r="G418" i="21"/>
  <c r="H418" i="21"/>
  <c r="I418" i="21"/>
  <c r="A419" i="21"/>
  <c r="B419" i="21"/>
  <c r="C419" i="21"/>
  <c r="D419" i="21"/>
  <c r="E419" i="21"/>
  <c r="F419" i="21"/>
  <c r="G419" i="21"/>
  <c r="H419" i="21"/>
  <c r="I419" i="21"/>
  <c r="A423" i="21"/>
  <c r="B423" i="21"/>
  <c r="C423" i="21"/>
  <c r="D423" i="21"/>
  <c r="E423" i="21"/>
  <c r="F423" i="21"/>
  <c r="G423" i="21"/>
  <c r="H423" i="21"/>
  <c r="I423" i="21"/>
  <c r="A426" i="21"/>
  <c r="B426" i="21"/>
  <c r="C426" i="21"/>
  <c r="D426" i="21"/>
  <c r="E426" i="21"/>
  <c r="F426" i="21"/>
  <c r="G426" i="21"/>
  <c r="H426" i="21"/>
  <c r="I426" i="21"/>
  <c r="A429" i="21"/>
  <c r="B429" i="21"/>
  <c r="C429" i="21"/>
  <c r="D429" i="21"/>
  <c r="E429" i="21"/>
  <c r="F429" i="21"/>
  <c r="G429" i="21"/>
  <c r="H429" i="21"/>
  <c r="I429" i="21"/>
  <c r="A432" i="21"/>
  <c r="B432" i="21"/>
  <c r="C432" i="21"/>
  <c r="D432" i="21"/>
  <c r="E432" i="21"/>
  <c r="F432" i="21"/>
  <c r="G432" i="21"/>
  <c r="H432" i="21"/>
  <c r="I432" i="21"/>
  <c r="A436" i="21"/>
  <c r="B436" i="21"/>
  <c r="C436" i="21"/>
  <c r="D436" i="21"/>
  <c r="E436" i="21"/>
  <c r="F436" i="21"/>
  <c r="G436" i="21"/>
  <c r="H436" i="21"/>
  <c r="I436" i="21"/>
  <c r="A441" i="21"/>
  <c r="B441" i="21"/>
  <c r="C441" i="21"/>
  <c r="D441" i="21"/>
  <c r="E441" i="21"/>
  <c r="F441" i="21"/>
  <c r="G441" i="21"/>
  <c r="H441" i="21"/>
  <c r="I441" i="21"/>
  <c r="A442" i="21"/>
  <c r="B442" i="21"/>
  <c r="C442" i="21"/>
  <c r="D442" i="21"/>
  <c r="E442" i="21"/>
  <c r="F442" i="21"/>
  <c r="G442" i="21"/>
  <c r="H442" i="21"/>
  <c r="I442" i="21"/>
  <c r="A446" i="21"/>
  <c r="B446" i="21"/>
  <c r="C446" i="21"/>
  <c r="D446" i="21"/>
  <c r="E446" i="21"/>
  <c r="F446" i="21"/>
  <c r="G446" i="21"/>
  <c r="H446" i="21"/>
  <c r="I446" i="21"/>
  <c r="A449" i="21"/>
  <c r="B449" i="21"/>
  <c r="C449" i="21"/>
  <c r="D449" i="21"/>
  <c r="E449" i="21"/>
  <c r="F449" i="21"/>
  <c r="G449" i="21"/>
  <c r="H449" i="21"/>
  <c r="I449" i="21"/>
  <c r="A452" i="21"/>
  <c r="B452" i="21"/>
  <c r="C452" i="21"/>
  <c r="D452" i="21"/>
  <c r="E452" i="21"/>
  <c r="F452" i="21"/>
  <c r="G452" i="21"/>
  <c r="H452" i="21"/>
  <c r="I452" i="21"/>
  <c r="A456" i="21"/>
  <c r="B456" i="21"/>
  <c r="C456" i="21"/>
  <c r="D456" i="21"/>
  <c r="E456" i="21"/>
  <c r="F456" i="21"/>
  <c r="G456" i="21"/>
  <c r="H456" i="21"/>
  <c r="I456" i="21"/>
  <c r="A461" i="21"/>
  <c r="B461" i="21"/>
  <c r="C461" i="21"/>
  <c r="D461" i="21"/>
  <c r="E461" i="21"/>
  <c r="F461" i="21"/>
  <c r="G461" i="21"/>
  <c r="H461" i="21"/>
  <c r="I461" i="21"/>
  <c r="A464" i="21"/>
  <c r="B464" i="21"/>
  <c r="C464" i="21"/>
  <c r="D464" i="21"/>
  <c r="E464" i="21"/>
  <c r="F464" i="21"/>
  <c r="G464" i="21"/>
  <c r="H464" i="21"/>
  <c r="I464" i="21"/>
  <c r="A469" i="21"/>
  <c r="B469" i="21"/>
  <c r="C469" i="21"/>
  <c r="D469" i="21"/>
  <c r="E469" i="21"/>
  <c r="F469" i="21"/>
  <c r="G469" i="21"/>
  <c r="H469" i="21"/>
  <c r="I469" i="21"/>
  <c r="A479" i="21"/>
  <c r="B479" i="21"/>
  <c r="C479" i="21"/>
  <c r="D479" i="21"/>
  <c r="E479" i="21"/>
  <c r="F479" i="21"/>
  <c r="G479" i="21"/>
  <c r="H479" i="21"/>
  <c r="I479" i="21"/>
  <c r="A480" i="21"/>
  <c r="B480" i="21"/>
  <c r="C480" i="21"/>
  <c r="D480" i="21"/>
  <c r="E480" i="21"/>
  <c r="F480" i="21"/>
  <c r="G480" i="21"/>
  <c r="H480" i="21"/>
  <c r="I480" i="21"/>
  <c r="A484" i="21"/>
  <c r="B484" i="21"/>
  <c r="C484" i="21"/>
  <c r="E484" i="21"/>
  <c r="F484" i="21"/>
  <c r="G484" i="21"/>
  <c r="H484" i="21"/>
  <c r="I484" i="21"/>
  <c r="A489" i="21"/>
  <c r="B489" i="21"/>
  <c r="C489" i="21"/>
  <c r="D489" i="21"/>
  <c r="E489" i="21"/>
  <c r="F489" i="21"/>
  <c r="G489" i="21"/>
  <c r="H489" i="21"/>
  <c r="I489" i="21"/>
  <c r="A553" i="21"/>
  <c r="B553" i="21"/>
  <c r="C553" i="21"/>
  <c r="D553" i="21"/>
  <c r="E553" i="21"/>
  <c r="F553" i="21"/>
  <c r="G553" i="21"/>
  <c r="H553" i="21"/>
  <c r="I553" i="21"/>
  <c r="A560" i="21"/>
  <c r="B560" i="21"/>
  <c r="C560" i="21"/>
  <c r="D560" i="21"/>
  <c r="E560" i="21"/>
  <c r="F560" i="21"/>
  <c r="G560" i="21"/>
  <c r="H560" i="21"/>
  <c r="I560" i="21"/>
  <c r="A565" i="21"/>
  <c r="B565" i="21"/>
  <c r="C565" i="21"/>
  <c r="D565" i="21"/>
  <c r="E565" i="21"/>
  <c r="F565" i="21"/>
  <c r="G565" i="21"/>
  <c r="H565" i="21"/>
  <c r="I565" i="21"/>
  <c r="A575" i="21"/>
  <c r="B575" i="21"/>
  <c r="C575" i="21"/>
  <c r="D575" i="21"/>
  <c r="E575" i="21"/>
  <c r="F575" i="21"/>
  <c r="G575" i="21"/>
  <c r="H575" i="21"/>
  <c r="I575" i="21"/>
  <c r="A583" i="21"/>
  <c r="B583" i="21"/>
  <c r="C583" i="21"/>
  <c r="D583" i="21"/>
  <c r="E583" i="21"/>
  <c r="F583" i="21"/>
  <c r="G583" i="21"/>
  <c r="H583" i="21"/>
  <c r="I583" i="21"/>
  <c r="A591" i="21"/>
  <c r="B591" i="21"/>
  <c r="C591" i="21"/>
  <c r="D591" i="21"/>
  <c r="E591" i="21"/>
  <c r="F591" i="21"/>
  <c r="G591" i="21"/>
  <c r="H591" i="21"/>
  <c r="I591" i="21"/>
  <c r="A9" i="21"/>
  <c r="B9" i="21"/>
  <c r="C9" i="21"/>
  <c r="D9" i="21"/>
  <c r="E9" i="21"/>
  <c r="F9" i="21"/>
  <c r="G9" i="21"/>
  <c r="H9" i="21"/>
  <c r="I9" i="21"/>
  <c r="A11" i="21"/>
  <c r="B11" i="21"/>
  <c r="C11" i="21"/>
  <c r="D11" i="21"/>
  <c r="E11" i="21"/>
  <c r="F11" i="21"/>
  <c r="G11" i="21"/>
  <c r="H11" i="21"/>
  <c r="I11" i="21"/>
  <c r="A15" i="21"/>
  <c r="B15" i="21"/>
  <c r="C15" i="21"/>
  <c r="D15" i="21"/>
  <c r="E15" i="21"/>
  <c r="F15" i="21"/>
  <c r="G15" i="21"/>
  <c r="H15" i="21"/>
  <c r="I15" i="21"/>
  <c r="A18" i="21"/>
  <c r="B18" i="21"/>
  <c r="C18" i="21"/>
  <c r="D18" i="21"/>
  <c r="E18" i="21"/>
  <c r="F18" i="21"/>
  <c r="G18" i="21"/>
  <c r="H18" i="21"/>
  <c r="I18" i="21"/>
  <c r="A23" i="21"/>
  <c r="B23" i="21"/>
  <c r="C23" i="21"/>
  <c r="D23" i="21"/>
  <c r="E23" i="21"/>
  <c r="F23" i="21"/>
  <c r="G23" i="21"/>
  <c r="H23" i="21"/>
  <c r="I23" i="21"/>
  <c r="A27" i="21"/>
  <c r="B27" i="21"/>
  <c r="C27" i="21"/>
  <c r="D27" i="21"/>
  <c r="E27" i="21"/>
  <c r="F27" i="21"/>
  <c r="G27" i="21"/>
  <c r="H27" i="21"/>
  <c r="I27" i="21"/>
  <c r="A33" i="21"/>
  <c r="B33" i="21"/>
  <c r="C33" i="21"/>
  <c r="D33" i="21"/>
  <c r="E33" i="21"/>
  <c r="F33" i="21"/>
  <c r="G33" i="21"/>
  <c r="H33" i="21"/>
  <c r="I33" i="21"/>
  <c r="A35" i="21"/>
  <c r="B35" i="21"/>
  <c r="C35" i="21"/>
  <c r="D35" i="21"/>
  <c r="E35" i="21"/>
  <c r="F35" i="21"/>
  <c r="G35" i="21"/>
  <c r="H35" i="21"/>
  <c r="I35" i="21"/>
  <c r="A37" i="21"/>
  <c r="B37" i="21"/>
  <c r="C37" i="21"/>
  <c r="D37" i="21"/>
  <c r="E37" i="21"/>
  <c r="F37" i="21"/>
  <c r="G37" i="21"/>
  <c r="H37" i="21"/>
  <c r="I37" i="21"/>
  <c r="A39" i="21"/>
  <c r="B39" i="21"/>
  <c r="C39" i="21"/>
  <c r="D39" i="21"/>
  <c r="E39" i="21"/>
  <c r="F39" i="21"/>
  <c r="G39" i="21"/>
  <c r="H39" i="21"/>
  <c r="I39" i="21"/>
  <c r="A41" i="21"/>
  <c r="B41" i="21"/>
  <c r="C41" i="21"/>
  <c r="D41" i="21"/>
  <c r="E41" i="21"/>
  <c r="F41" i="21"/>
  <c r="G41" i="21"/>
  <c r="H41" i="21"/>
  <c r="I41" i="21"/>
  <c r="A46" i="21"/>
  <c r="B46" i="21"/>
  <c r="C46" i="21"/>
  <c r="D46" i="21"/>
  <c r="E46" i="21"/>
  <c r="F46" i="21"/>
  <c r="G46" i="21"/>
  <c r="H46" i="21"/>
  <c r="I46" i="21"/>
  <c r="A48" i="21"/>
  <c r="B48" i="21"/>
  <c r="C48" i="21"/>
  <c r="D48" i="21"/>
  <c r="E48" i="21"/>
  <c r="F48" i="21"/>
  <c r="G48" i="21"/>
  <c r="H48" i="21"/>
  <c r="I48" i="21"/>
  <c r="A53" i="21"/>
  <c r="B53" i="21"/>
  <c r="C53" i="21"/>
  <c r="D53" i="21"/>
  <c r="E53" i="21"/>
  <c r="F53" i="21"/>
  <c r="G53" i="21"/>
  <c r="H53" i="21"/>
  <c r="I53" i="21"/>
  <c r="A54" i="21"/>
  <c r="B54" i="21"/>
  <c r="C54" i="21"/>
  <c r="D54" i="21"/>
  <c r="E54" i="21"/>
  <c r="F54" i="21"/>
  <c r="G54" i="21"/>
  <c r="H54" i="21"/>
  <c r="I54" i="21"/>
  <c r="A56" i="21"/>
  <c r="B56" i="21"/>
  <c r="C56" i="21"/>
  <c r="D56" i="21"/>
  <c r="E56" i="21"/>
  <c r="F56" i="21"/>
  <c r="G56" i="21"/>
  <c r="H56" i="21"/>
  <c r="I56" i="21"/>
  <c r="A58" i="21"/>
  <c r="B58" i="21"/>
  <c r="C58" i="21"/>
  <c r="D58" i="21"/>
  <c r="E58" i="21"/>
  <c r="F58" i="21"/>
  <c r="G58" i="21"/>
  <c r="H58" i="21"/>
  <c r="I58" i="21"/>
  <c r="A60" i="21"/>
  <c r="B60" i="21"/>
  <c r="C60" i="21"/>
  <c r="D60" i="21"/>
  <c r="E60" i="21"/>
  <c r="F60" i="21"/>
  <c r="G60" i="21"/>
  <c r="H60" i="21"/>
  <c r="I60" i="21"/>
  <c r="A61" i="21"/>
  <c r="B61" i="21"/>
  <c r="C61" i="21"/>
  <c r="D61" i="21"/>
  <c r="E61" i="21"/>
  <c r="F61" i="21"/>
  <c r="G61" i="21"/>
  <c r="H61" i="21"/>
  <c r="I61" i="21"/>
  <c r="A63" i="21"/>
  <c r="B63" i="21"/>
  <c r="C63" i="21"/>
  <c r="D63" i="21"/>
  <c r="E63" i="21"/>
  <c r="F63" i="21"/>
  <c r="G63" i="21"/>
  <c r="H63" i="21"/>
  <c r="I63" i="21"/>
  <c r="A65" i="21"/>
  <c r="B65" i="21"/>
  <c r="C65" i="21"/>
  <c r="D65" i="21"/>
  <c r="E65" i="21"/>
  <c r="F65" i="21"/>
  <c r="G65" i="21"/>
  <c r="H65" i="21"/>
  <c r="I65" i="21"/>
  <c r="A67" i="21"/>
  <c r="B67" i="21"/>
  <c r="C67" i="21"/>
  <c r="D67" i="21"/>
  <c r="E67" i="21"/>
  <c r="F67" i="21"/>
  <c r="G67" i="21"/>
  <c r="H67" i="21"/>
  <c r="I67" i="21"/>
  <c r="A69" i="21"/>
  <c r="B69" i="21"/>
  <c r="C69" i="21"/>
  <c r="D69" i="21"/>
  <c r="E69" i="21"/>
  <c r="F69" i="21"/>
  <c r="G69" i="21"/>
  <c r="H69" i="21"/>
  <c r="I69" i="21"/>
  <c r="A71" i="21"/>
  <c r="B71" i="21"/>
  <c r="C71" i="21"/>
  <c r="D71" i="21"/>
  <c r="E71" i="21"/>
  <c r="F71" i="21"/>
  <c r="G71" i="21"/>
  <c r="H71" i="21"/>
  <c r="I71" i="21"/>
  <c r="A73" i="21"/>
  <c r="B73" i="21"/>
  <c r="C73" i="21"/>
  <c r="D73" i="21"/>
  <c r="E73" i="21"/>
  <c r="F73" i="21"/>
  <c r="G73" i="21"/>
  <c r="H73" i="21"/>
  <c r="I73" i="21"/>
  <c r="A75" i="21"/>
  <c r="B75" i="21"/>
  <c r="C75" i="21"/>
  <c r="D75" i="21"/>
  <c r="E75" i="21"/>
  <c r="F75" i="21"/>
  <c r="G75" i="21"/>
  <c r="H75" i="21"/>
  <c r="I75" i="21"/>
  <c r="A77" i="21"/>
  <c r="B77" i="21"/>
  <c r="C77" i="21"/>
  <c r="D77" i="21"/>
  <c r="E77" i="21"/>
  <c r="F77" i="21"/>
  <c r="G77" i="21"/>
  <c r="H77" i="21"/>
  <c r="I77" i="21"/>
  <c r="A79" i="21"/>
  <c r="B79" i="21"/>
  <c r="C79" i="21"/>
  <c r="D79" i="21"/>
  <c r="E79" i="21"/>
  <c r="F79" i="21"/>
  <c r="G79" i="21"/>
  <c r="H79" i="21"/>
  <c r="I79" i="21"/>
  <c r="A81" i="21"/>
  <c r="B81" i="21"/>
  <c r="C81" i="21"/>
  <c r="D81" i="21"/>
  <c r="E81" i="21"/>
  <c r="F81" i="21"/>
  <c r="G81" i="21"/>
  <c r="H81" i="21"/>
  <c r="I81" i="21"/>
  <c r="A82" i="21"/>
  <c r="B82" i="21"/>
  <c r="C82" i="21"/>
  <c r="D82" i="21"/>
  <c r="E82" i="21"/>
  <c r="F82" i="21"/>
  <c r="G82" i="21"/>
  <c r="H82" i="21"/>
  <c r="I82" i="21"/>
  <c r="A83" i="21"/>
  <c r="B83" i="21"/>
  <c r="C83" i="21"/>
  <c r="D83" i="21"/>
  <c r="E83" i="21"/>
  <c r="F83" i="21"/>
  <c r="G83" i="21"/>
  <c r="H83" i="21"/>
  <c r="I83" i="21"/>
  <c r="A84" i="21"/>
  <c r="B84" i="21"/>
  <c r="C84" i="21"/>
  <c r="D84" i="21"/>
  <c r="E84" i="21"/>
  <c r="F84" i="21"/>
  <c r="G84" i="21"/>
  <c r="H84" i="21"/>
  <c r="I84" i="21"/>
  <c r="A86" i="21"/>
  <c r="B86" i="21"/>
  <c r="C86" i="21"/>
  <c r="D86" i="21"/>
  <c r="E86" i="21"/>
  <c r="F86" i="21"/>
  <c r="G86" i="21"/>
  <c r="H86" i="21"/>
  <c r="I86" i="21"/>
  <c r="A91" i="21"/>
  <c r="B91" i="21"/>
  <c r="C91" i="21"/>
  <c r="D91" i="21"/>
  <c r="E91" i="21"/>
  <c r="F91" i="21"/>
  <c r="G91" i="21"/>
  <c r="H91" i="21"/>
  <c r="I91" i="21"/>
  <c r="A92" i="21"/>
  <c r="B92" i="21"/>
  <c r="C92" i="21"/>
  <c r="D92" i="21"/>
  <c r="E92" i="21"/>
  <c r="F92" i="21"/>
  <c r="G92" i="21"/>
  <c r="H92" i="21"/>
  <c r="I92" i="21"/>
  <c r="A93" i="21"/>
  <c r="B93" i="21"/>
  <c r="C93" i="21"/>
  <c r="D93" i="21"/>
  <c r="E93" i="21"/>
  <c r="F93" i="21"/>
  <c r="G93" i="21"/>
  <c r="H93" i="21"/>
  <c r="I93" i="21"/>
  <c r="A95" i="21"/>
  <c r="B95" i="21"/>
  <c r="C95" i="21"/>
  <c r="D95" i="21"/>
  <c r="E95" i="21"/>
  <c r="F95" i="21"/>
  <c r="G95" i="21"/>
  <c r="H95" i="21"/>
  <c r="I95" i="21"/>
  <c r="A97" i="21"/>
  <c r="B97" i="21"/>
  <c r="C97" i="21"/>
  <c r="D97" i="21"/>
  <c r="E97" i="21"/>
  <c r="F97" i="21"/>
  <c r="G97" i="21"/>
  <c r="H97" i="21"/>
  <c r="I97" i="21"/>
  <c r="A99" i="21"/>
  <c r="B99" i="21"/>
  <c r="C99" i="21"/>
  <c r="D99" i="21"/>
  <c r="E99" i="21"/>
  <c r="F99" i="21"/>
  <c r="G99" i="21"/>
  <c r="H99" i="21"/>
  <c r="I99" i="21"/>
  <c r="A100" i="21"/>
  <c r="B100" i="21"/>
  <c r="C100" i="21"/>
  <c r="D100" i="21"/>
  <c r="E100" i="21"/>
  <c r="F100" i="21"/>
  <c r="G100" i="21"/>
  <c r="H100" i="21"/>
  <c r="I100" i="21"/>
  <c r="A106" i="21"/>
  <c r="B106" i="21"/>
  <c r="C106" i="21"/>
  <c r="D106" i="21"/>
  <c r="E106" i="21"/>
  <c r="F106" i="21"/>
  <c r="G106" i="21"/>
  <c r="H106" i="21"/>
  <c r="I106" i="21"/>
  <c r="A117" i="21"/>
  <c r="B117" i="21"/>
  <c r="C117" i="21"/>
  <c r="D117" i="21"/>
  <c r="E117" i="21"/>
  <c r="F117" i="21"/>
  <c r="G117" i="21"/>
  <c r="H117" i="21"/>
  <c r="I117" i="21"/>
  <c r="A134" i="21"/>
  <c r="B134" i="21"/>
  <c r="C134" i="21"/>
  <c r="D134" i="21"/>
  <c r="E134" i="21"/>
  <c r="F134" i="21"/>
  <c r="G134" i="21"/>
  <c r="H134" i="21"/>
  <c r="I134" i="21"/>
  <c r="A137" i="21"/>
  <c r="B137" i="21"/>
  <c r="C137" i="21"/>
  <c r="D137" i="21"/>
  <c r="E137" i="21"/>
  <c r="F137" i="21"/>
  <c r="G137" i="21"/>
  <c r="H137" i="21"/>
  <c r="I137" i="21"/>
  <c r="A141" i="21"/>
  <c r="B141" i="21"/>
  <c r="C141" i="21"/>
  <c r="D141" i="21"/>
  <c r="E141" i="21"/>
  <c r="F141" i="21"/>
  <c r="G141" i="21"/>
  <c r="H141" i="21"/>
  <c r="I141" i="21"/>
  <c r="A143" i="21"/>
  <c r="B143" i="21"/>
  <c r="C143" i="21"/>
  <c r="D143" i="21"/>
  <c r="E143" i="21"/>
  <c r="F143" i="21"/>
  <c r="G143" i="21"/>
  <c r="H143" i="21"/>
  <c r="I143" i="21"/>
  <c r="A133" i="21"/>
  <c r="B133" i="21"/>
  <c r="C133" i="21"/>
  <c r="D133" i="21"/>
  <c r="E133" i="21"/>
  <c r="F133" i="21"/>
  <c r="G133" i="21"/>
  <c r="H133" i="21"/>
  <c r="I133" i="21"/>
  <c r="A122" i="21"/>
  <c r="B122" i="21"/>
  <c r="C122" i="21"/>
  <c r="D122" i="21"/>
  <c r="E122" i="21"/>
  <c r="F122" i="21"/>
  <c r="G122" i="21"/>
  <c r="H122" i="21"/>
  <c r="I122" i="21"/>
  <c r="A126" i="21"/>
  <c r="B126" i="21"/>
  <c r="C126" i="21"/>
  <c r="D126" i="21"/>
  <c r="E126" i="21"/>
  <c r="F126" i="21"/>
  <c r="G126" i="21"/>
  <c r="H126" i="21"/>
  <c r="I126" i="21"/>
  <c r="A148" i="21"/>
  <c r="B148" i="21"/>
  <c r="C148" i="21"/>
  <c r="D148" i="21"/>
  <c r="E148" i="21"/>
  <c r="F148" i="21"/>
  <c r="G148" i="21"/>
  <c r="H148" i="21"/>
  <c r="I148" i="21"/>
  <c r="A150" i="21"/>
  <c r="B150" i="21"/>
  <c r="C150" i="21"/>
  <c r="D150" i="21"/>
  <c r="E150" i="21"/>
  <c r="F150" i="21"/>
  <c r="G150" i="21"/>
  <c r="H150" i="21"/>
  <c r="I150" i="21"/>
  <c r="A158" i="21"/>
  <c r="B158" i="21"/>
  <c r="C158" i="21"/>
  <c r="D158" i="21"/>
  <c r="E158" i="21"/>
  <c r="F158" i="21"/>
  <c r="G158" i="21"/>
  <c r="H158" i="21"/>
  <c r="I158" i="21"/>
  <c r="A161" i="21"/>
  <c r="B161" i="21"/>
  <c r="C161" i="21"/>
  <c r="D161" i="21"/>
  <c r="E161" i="21"/>
  <c r="F161" i="21"/>
  <c r="G161" i="21"/>
  <c r="H161" i="21"/>
  <c r="I161" i="21"/>
  <c r="A162" i="21"/>
  <c r="B162" i="21"/>
  <c r="C162" i="21"/>
  <c r="D162" i="21"/>
  <c r="E162" i="21"/>
  <c r="F162" i="21"/>
  <c r="G162" i="21"/>
  <c r="H162" i="21"/>
  <c r="I162" i="21"/>
  <c r="A163" i="21"/>
  <c r="B163" i="21"/>
  <c r="C163" i="21"/>
  <c r="D163" i="21"/>
  <c r="E163" i="21"/>
  <c r="F163" i="21"/>
  <c r="G163" i="21"/>
  <c r="H163" i="21"/>
  <c r="I163" i="21"/>
  <c r="A165" i="21"/>
  <c r="B165" i="21"/>
  <c r="C165" i="21"/>
  <c r="D165" i="21"/>
  <c r="E165" i="21"/>
  <c r="F165" i="21"/>
  <c r="G165" i="21"/>
  <c r="H165" i="21"/>
  <c r="I165" i="21"/>
  <c r="A166" i="21"/>
  <c r="B166" i="21"/>
  <c r="C166" i="21"/>
  <c r="D166" i="21"/>
  <c r="E166" i="21"/>
  <c r="F166" i="21"/>
  <c r="G166" i="21"/>
  <c r="H166" i="21"/>
  <c r="I166" i="21"/>
  <c r="A167" i="21"/>
  <c r="B167" i="21"/>
  <c r="C167" i="21"/>
  <c r="D167" i="21"/>
  <c r="E167" i="21"/>
  <c r="F167" i="21"/>
  <c r="G167" i="21"/>
  <c r="H167" i="21"/>
  <c r="I167" i="21"/>
  <c r="A170" i="21"/>
  <c r="B170" i="21"/>
  <c r="C170" i="21"/>
  <c r="D170" i="21"/>
  <c r="E170" i="21"/>
  <c r="F170" i="21"/>
  <c r="G170" i="21"/>
  <c r="H170" i="21"/>
  <c r="I170" i="21"/>
  <c r="A171" i="21"/>
  <c r="B171" i="21"/>
  <c r="C171" i="21"/>
  <c r="D171" i="21"/>
  <c r="E171" i="21"/>
  <c r="F171" i="21"/>
  <c r="G171" i="21"/>
  <c r="H171" i="21"/>
  <c r="I171" i="21"/>
  <c r="A178" i="21"/>
  <c r="B178" i="21"/>
  <c r="C178" i="21"/>
  <c r="D178" i="21"/>
  <c r="E178" i="21"/>
  <c r="F178" i="21"/>
  <c r="G178" i="21"/>
  <c r="H178" i="21"/>
  <c r="I178" i="21"/>
  <c r="A179" i="21"/>
  <c r="B179" i="21"/>
  <c r="C179" i="21"/>
  <c r="D179" i="21"/>
  <c r="E179" i="21"/>
  <c r="F179" i="21"/>
  <c r="G179" i="21"/>
  <c r="H179" i="21"/>
  <c r="I179" i="21"/>
  <c r="A180" i="21"/>
  <c r="B180" i="21"/>
  <c r="C180" i="21"/>
  <c r="D180" i="21"/>
  <c r="E180" i="21"/>
  <c r="F180" i="21"/>
  <c r="G180" i="21"/>
  <c r="H180" i="21"/>
  <c r="I180" i="21"/>
  <c r="A182" i="21"/>
  <c r="B182" i="21"/>
  <c r="C182" i="21"/>
  <c r="D182" i="21"/>
  <c r="E182" i="21"/>
  <c r="F182" i="21"/>
  <c r="G182" i="21"/>
  <c r="H182" i="21"/>
  <c r="I182" i="21"/>
  <c r="A183" i="21"/>
  <c r="B183" i="21"/>
  <c r="C183" i="21"/>
  <c r="D183" i="21"/>
  <c r="E183" i="21"/>
  <c r="F183" i="21"/>
  <c r="G183" i="21"/>
  <c r="H183" i="21"/>
  <c r="I183" i="21"/>
  <c r="A184" i="21"/>
  <c r="B184" i="21"/>
  <c r="C184" i="21"/>
  <c r="D184" i="21"/>
  <c r="E184" i="21"/>
  <c r="F184" i="21"/>
  <c r="G184" i="21"/>
  <c r="H184" i="21"/>
  <c r="I184" i="21"/>
  <c r="A186" i="21"/>
  <c r="B186" i="21"/>
  <c r="C186" i="21"/>
  <c r="D186" i="21"/>
  <c r="E186" i="21"/>
  <c r="F186" i="21"/>
  <c r="G186" i="21"/>
  <c r="H186" i="21"/>
  <c r="I186" i="21"/>
  <c r="A188" i="21"/>
  <c r="B188" i="21"/>
  <c r="C188" i="21"/>
  <c r="D188" i="21"/>
  <c r="E188" i="21"/>
  <c r="F188" i="21"/>
  <c r="G188" i="21"/>
  <c r="H188" i="21"/>
  <c r="I188" i="21"/>
  <c r="A190" i="21"/>
  <c r="B190" i="21"/>
  <c r="C190" i="21"/>
  <c r="D190" i="21"/>
  <c r="E190" i="21"/>
  <c r="F190" i="21"/>
  <c r="G190" i="21"/>
  <c r="H190" i="21"/>
  <c r="I190" i="21"/>
  <c r="A192" i="21"/>
  <c r="B192" i="21"/>
  <c r="C192" i="21"/>
  <c r="D192" i="21"/>
  <c r="E192" i="21"/>
  <c r="F192" i="21"/>
  <c r="G192" i="21"/>
  <c r="H192" i="21"/>
  <c r="I192" i="21"/>
  <c r="A194" i="21"/>
  <c r="B194" i="21"/>
  <c r="C194" i="21"/>
  <c r="D194" i="21"/>
  <c r="E194" i="21"/>
  <c r="F194" i="21"/>
  <c r="G194" i="21"/>
  <c r="H194" i="21"/>
  <c r="I194" i="21"/>
  <c r="A196" i="21"/>
  <c r="B196" i="21"/>
  <c r="C196" i="21"/>
  <c r="D196" i="21"/>
  <c r="E196" i="21"/>
  <c r="F196" i="21"/>
  <c r="G196" i="21"/>
  <c r="H196" i="21"/>
  <c r="I196" i="21"/>
  <c r="A198" i="21"/>
  <c r="B198" i="21"/>
  <c r="C198" i="21"/>
  <c r="D198" i="21"/>
  <c r="E198" i="21"/>
  <c r="F198" i="21"/>
  <c r="G198" i="21"/>
  <c r="H198" i="21"/>
  <c r="I198" i="21"/>
  <c r="A200" i="21"/>
  <c r="B200" i="21"/>
  <c r="C200" i="21"/>
  <c r="D200" i="21"/>
  <c r="E200" i="21"/>
  <c r="F200" i="21"/>
  <c r="G200" i="21"/>
  <c r="H200" i="21"/>
  <c r="I200" i="21"/>
  <c r="A202" i="21"/>
  <c r="B202" i="21"/>
  <c r="C202" i="21"/>
  <c r="D202" i="21"/>
  <c r="E202" i="21"/>
  <c r="F202" i="21"/>
  <c r="G202" i="21"/>
  <c r="H202" i="21"/>
  <c r="I202" i="21"/>
  <c r="A204" i="21"/>
  <c r="B204" i="21"/>
  <c r="C204" i="21"/>
  <c r="D204" i="21"/>
  <c r="E204" i="21"/>
  <c r="F204" i="21"/>
  <c r="G204" i="21"/>
  <c r="H204" i="21"/>
  <c r="I204" i="21"/>
  <c r="A206" i="21"/>
  <c r="B206" i="21"/>
  <c r="C206" i="21"/>
  <c r="D206" i="21"/>
  <c r="E206" i="21"/>
  <c r="F206" i="21"/>
  <c r="G206" i="21"/>
  <c r="H206" i="21"/>
  <c r="I206" i="21"/>
  <c r="A208" i="21"/>
  <c r="B208" i="21"/>
  <c r="C208" i="21"/>
  <c r="D208" i="21"/>
  <c r="E208" i="21"/>
  <c r="F208" i="21"/>
  <c r="G208" i="21"/>
  <c r="H208" i="21"/>
  <c r="I208" i="21"/>
  <c r="A210" i="21"/>
  <c r="B210" i="21"/>
  <c r="C210" i="21"/>
  <c r="D210" i="21"/>
  <c r="E210" i="21"/>
  <c r="F210" i="21"/>
  <c r="G210" i="21"/>
  <c r="H210" i="21"/>
  <c r="I210" i="21"/>
  <c r="A212" i="21"/>
  <c r="B212" i="21"/>
  <c r="C212" i="21"/>
  <c r="D212" i="21"/>
  <c r="E212" i="21"/>
  <c r="F212" i="21"/>
  <c r="G212" i="21"/>
  <c r="H212" i="21"/>
  <c r="I212" i="21"/>
  <c r="A214" i="21"/>
  <c r="B214" i="21"/>
  <c r="C214" i="21"/>
  <c r="D214" i="21"/>
  <c r="E214" i="21"/>
  <c r="F214" i="21"/>
  <c r="G214" i="21"/>
  <c r="H214" i="21"/>
  <c r="I214" i="21"/>
  <c r="A216" i="21"/>
  <c r="B216" i="21"/>
  <c r="C216" i="21"/>
  <c r="D216" i="21"/>
  <c r="E216" i="21"/>
  <c r="F216" i="21"/>
  <c r="G216" i="21"/>
  <c r="H216" i="21"/>
  <c r="I216" i="21"/>
  <c r="A218" i="21"/>
  <c r="B218" i="21"/>
  <c r="C218" i="21"/>
  <c r="D218" i="21"/>
  <c r="E218" i="21"/>
  <c r="F218" i="21"/>
  <c r="G218" i="21"/>
  <c r="H218" i="21"/>
  <c r="I218" i="21"/>
  <c r="A222" i="21"/>
  <c r="B222" i="21"/>
  <c r="C222" i="21"/>
  <c r="D222" i="21"/>
  <c r="E222" i="21"/>
  <c r="F222" i="21"/>
  <c r="G222" i="21"/>
  <c r="H222" i="21"/>
  <c r="I222" i="21"/>
  <c r="A220" i="21"/>
  <c r="B220" i="21"/>
  <c r="C220" i="21"/>
  <c r="D220" i="21"/>
  <c r="E220" i="21"/>
  <c r="F220" i="21"/>
  <c r="G220" i="21"/>
  <c r="H220" i="21"/>
  <c r="I220" i="21"/>
  <c r="A224" i="21"/>
  <c r="B224" i="21"/>
  <c r="C224" i="21"/>
  <c r="D224" i="21"/>
  <c r="E224" i="21"/>
  <c r="F224" i="21"/>
  <c r="G224" i="21"/>
  <c r="H224" i="21"/>
  <c r="I224" i="21"/>
  <c r="A226" i="21"/>
  <c r="B226" i="21"/>
  <c r="C226" i="21"/>
  <c r="D226" i="21"/>
  <c r="E226" i="21"/>
  <c r="F226" i="21"/>
  <c r="G226" i="21"/>
  <c r="H226" i="21"/>
  <c r="I226" i="21"/>
  <c r="A228" i="21"/>
  <c r="B228" i="21"/>
  <c r="C228" i="21"/>
  <c r="D228" i="21"/>
  <c r="E228" i="21"/>
  <c r="F228" i="21"/>
  <c r="G228" i="21"/>
  <c r="H228" i="21"/>
  <c r="I228" i="21"/>
  <c r="A230" i="21"/>
  <c r="B230" i="21"/>
  <c r="C230" i="21"/>
  <c r="D230" i="21"/>
  <c r="E230" i="21"/>
  <c r="F230" i="21"/>
  <c r="G230" i="21"/>
  <c r="H230" i="21"/>
  <c r="I230" i="21"/>
  <c r="A232" i="21"/>
  <c r="B232" i="21"/>
  <c r="C232" i="21"/>
  <c r="D232" i="21"/>
  <c r="E232" i="21"/>
  <c r="F232" i="21"/>
  <c r="G232" i="21"/>
  <c r="H232" i="21"/>
  <c r="I232" i="21"/>
  <c r="A234" i="21"/>
  <c r="B234" i="21"/>
  <c r="C234" i="21"/>
  <c r="D234" i="21"/>
  <c r="E234" i="21"/>
  <c r="F234" i="21"/>
  <c r="G234" i="21"/>
  <c r="H234" i="21"/>
  <c r="I234" i="21"/>
  <c r="A236" i="21"/>
  <c r="B236" i="21"/>
  <c r="C236" i="21"/>
  <c r="D236" i="21"/>
  <c r="E236" i="21"/>
  <c r="F236" i="21"/>
  <c r="G236" i="21"/>
  <c r="H236" i="21"/>
  <c r="I236" i="21"/>
  <c r="A238" i="21"/>
  <c r="B238" i="21"/>
  <c r="C238" i="21"/>
  <c r="D238" i="21"/>
  <c r="E238" i="21"/>
  <c r="F238" i="21"/>
  <c r="G238" i="21"/>
  <c r="H238" i="21"/>
  <c r="I238" i="21"/>
  <c r="A240" i="21"/>
  <c r="B240" i="21"/>
  <c r="C240" i="21"/>
  <c r="D240" i="21"/>
  <c r="E240" i="21"/>
  <c r="F240" i="21"/>
  <c r="G240" i="21"/>
  <c r="H240" i="21"/>
  <c r="I240" i="21"/>
  <c r="A242" i="21"/>
  <c r="B242" i="21"/>
  <c r="C242" i="21"/>
  <c r="D242" i="21"/>
  <c r="E242" i="21"/>
  <c r="F242" i="21"/>
  <c r="G242" i="21"/>
  <c r="H242" i="21"/>
  <c r="I242" i="21"/>
  <c r="A244" i="21"/>
  <c r="B244" i="21"/>
  <c r="C244" i="21"/>
  <c r="D244" i="21"/>
  <c r="E244" i="21"/>
  <c r="F244" i="21"/>
  <c r="G244" i="21"/>
  <c r="H244" i="21"/>
  <c r="I244" i="21"/>
  <c r="A245" i="21"/>
  <c r="B245" i="21"/>
  <c r="C245" i="21"/>
  <c r="D245" i="21"/>
  <c r="E245" i="21"/>
  <c r="F245" i="21"/>
  <c r="G245" i="21"/>
  <c r="H245" i="21"/>
  <c r="I245" i="21"/>
  <c r="A246" i="21"/>
  <c r="B246" i="21"/>
  <c r="C246" i="21"/>
  <c r="D246" i="21"/>
  <c r="E246" i="21"/>
  <c r="F246" i="21"/>
  <c r="G246" i="21"/>
  <c r="H246" i="21"/>
  <c r="I246" i="21"/>
  <c r="A250" i="21"/>
  <c r="B250" i="21"/>
  <c r="C250" i="21"/>
  <c r="D250" i="21"/>
  <c r="E250" i="21"/>
  <c r="F250" i="21"/>
  <c r="G250" i="21"/>
  <c r="H250" i="21"/>
  <c r="I250" i="21"/>
  <c r="A251" i="21"/>
  <c r="B251" i="21"/>
  <c r="C251" i="21"/>
  <c r="D251" i="21"/>
  <c r="E251" i="21"/>
  <c r="F251" i="21"/>
  <c r="G251" i="21"/>
  <c r="H251" i="21"/>
  <c r="I251" i="21"/>
  <c r="A253" i="21"/>
  <c r="B253" i="21"/>
  <c r="C253" i="21"/>
  <c r="D253" i="21"/>
  <c r="E253" i="21"/>
  <c r="F253" i="21"/>
  <c r="G253" i="21"/>
  <c r="H253" i="21"/>
  <c r="I253" i="21"/>
  <c r="A254" i="21"/>
  <c r="B254" i="21"/>
  <c r="C254" i="21"/>
  <c r="D254" i="21"/>
  <c r="E254" i="21"/>
  <c r="F254" i="21"/>
  <c r="G254" i="21"/>
  <c r="H254" i="21"/>
  <c r="I254" i="21"/>
  <c r="A256" i="21"/>
  <c r="B256" i="21"/>
  <c r="C256" i="21"/>
  <c r="D256" i="21"/>
  <c r="E256" i="21"/>
  <c r="F256" i="21"/>
  <c r="G256" i="21"/>
  <c r="H256" i="21"/>
  <c r="I256" i="21"/>
  <c r="A261" i="21"/>
  <c r="B261" i="21"/>
  <c r="C261" i="21"/>
  <c r="D261" i="21"/>
  <c r="E261" i="21"/>
  <c r="F261" i="21"/>
  <c r="G261" i="21"/>
  <c r="H261" i="21"/>
  <c r="I261" i="21"/>
  <c r="A263" i="21"/>
  <c r="B263" i="21"/>
  <c r="C263" i="21"/>
  <c r="D263" i="21"/>
  <c r="E263" i="21"/>
  <c r="F263" i="21"/>
  <c r="G263" i="21"/>
  <c r="H263" i="21"/>
  <c r="I263" i="21"/>
  <c r="A265" i="21"/>
  <c r="B265" i="21"/>
  <c r="C265" i="21"/>
  <c r="D265" i="21"/>
  <c r="E265" i="21"/>
  <c r="F265" i="21"/>
  <c r="G265" i="21"/>
  <c r="H265" i="21"/>
  <c r="I265" i="21"/>
  <c r="A270" i="21"/>
  <c r="B270" i="21"/>
  <c r="C270" i="21"/>
  <c r="D270" i="21"/>
  <c r="E270" i="21"/>
  <c r="F270" i="21"/>
  <c r="G270" i="21"/>
  <c r="H270" i="21"/>
  <c r="I270" i="21"/>
  <c r="A275" i="21"/>
  <c r="B275" i="21"/>
  <c r="C275" i="21"/>
  <c r="D275" i="21"/>
  <c r="E275" i="21"/>
  <c r="F275" i="21"/>
  <c r="G275" i="21"/>
  <c r="H275" i="21"/>
  <c r="I275" i="21"/>
  <c r="A280" i="21"/>
  <c r="B280" i="21"/>
  <c r="C280" i="21"/>
  <c r="D280" i="21"/>
  <c r="E280" i="21"/>
  <c r="F280" i="21"/>
  <c r="G280" i="21"/>
  <c r="H280" i="21"/>
  <c r="I280" i="21"/>
  <c r="A281" i="21"/>
  <c r="B281" i="21"/>
  <c r="C281" i="21"/>
  <c r="D281" i="21"/>
  <c r="E281" i="21"/>
  <c r="F281" i="21"/>
  <c r="G281" i="21"/>
  <c r="H281" i="21"/>
  <c r="I281" i="21"/>
  <c r="A286" i="21"/>
  <c r="B286" i="21"/>
  <c r="C286" i="21"/>
  <c r="D286" i="21"/>
  <c r="E286" i="21"/>
  <c r="F286" i="21"/>
  <c r="G286" i="21"/>
  <c r="H286" i="21"/>
  <c r="I286" i="21"/>
  <c r="A290" i="21"/>
  <c r="B290" i="21"/>
  <c r="C290" i="21"/>
  <c r="D290" i="21"/>
  <c r="E290" i="21"/>
  <c r="F290" i="21"/>
  <c r="G290" i="21"/>
  <c r="H290" i="21"/>
  <c r="I290" i="21"/>
  <c r="A296" i="21"/>
  <c r="B296" i="21"/>
  <c r="C296" i="21"/>
  <c r="D296" i="21"/>
  <c r="E296" i="21"/>
  <c r="F296" i="21"/>
  <c r="G296" i="21"/>
  <c r="H296" i="21"/>
  <c r="I296" i="21"/>
  <c r="A297" i="21"/>
  <c r="B297" i="21"/>
  <c r="C297" i="21"/>
  <c r="D297" i="21"/>
  <c r="E297" i="21"/>
  <c r="F297" i="21"/>
  <c r="G297" i="21"/>
  <c r="H297" i="21"/>
  <c r="I297" i="21"/>
  <c r="A298" i="21"/>
  <c r="B298" i="21"/>
  <c r="C298" i="21"/>
  <c r="D298" i="21"/>
  <c r="E298" i="21"/>
  <c r="F298" i="21"/>
  <c r="G298" i="21"/>
  <c r="H298" i="21"/>
  <c r="I298" i="21"/>
  <c r="A299" i="21"/>
  <c r="B299" i="21"/>
  <c r="C299" i="21"/>
  <c r="D299" i="21"/>
  <c r="E299" i="21"/>
  <c r="F299" i="21"/>
  <c r="G299" i="21"/>
  <c r="H299" i="21"/>
  <c r="I299" i="21"/>
  <c r="A300" i="21"/>
  <c r="B300" i="21"/>
  <c r="C300" i="21"/>
  <c r="D300" i="21"/>
  <c r="E300" i="21"/>
  <c r="F300" i="21"/>
  <c r="G300" i="21"/>
  <c r="H300" i="21"/>
  <c r="I300" i="21"/>
  <c r="A305" i="21"/>
  <c r="B305" i="21"/>
  <c r="C305" i="21"/>
  <c r="D305" i="21"/>
  <c r="E305" i="21"/>
  <c r="F305" i="21"/>
  <c r="G305" i="21"/>
  <c r="H305" i="21"/>
  <c r="I305" i="21"/>
  <c r="A309" i="21"/>
  <c r="B309" i="21"/>
  <c r="C309" i="21"/>
  <c r="D309" i="21"/>
  <c r="E309" i="21"/>
  <c r="F309" i="21"/>
  <c r="G309" i="21"/>
  <c r="H309" i="21"/>
  <c r="I309" i="21"/>
  <c r="A310" i="21"/>
  <c r="B310" i="21"/>
  <c r="C310" i="21"/>
  <c r="D310" i="21"/>
  <c r="E310" i="21"/>
  <c r="F310" i="21"/>
  <c r="G310" i="21"/>
  <c r="H310" i="21"/>
  <c r="I310" i="21"/>
  <c r="A317" i="21"/>
  <c r="B317" i="21"/>
  <c r="C317" i="21"/>
  <c r="D317" i="21"/>
  <c r="E317" i="21"/>
  <c r="F317" i="21"/>
  <c r="G317" i="21"/>
  <c r="H317" i="21"/>
  <c r="I317" i="21"/>
  <c r="A322" i="21"/>
  <c r="B322" i="21"/>
  <c r="C322" i="21"/>
  <c r="D322" i="21"/>
  <c r="E322" i="21"/>
  <c r="F322" i="21"/>
  <c r="G322" i="21"/>
  <c r="H322" i="21"/>
  <c r="I322" i="21"/>
  <c r="A327" i="21"/>
  <c r="B327" i="21"/>
  <c r="C327" i="21"/>
  <c r="D327" i="21"/>
  <c r="E327" i="21"/>
  <c r="F327" i="21"/>
  <c r="G327" i="21"/>
  <c r="H327" i="21"/>
  <c r="I327" i="21"/>
  <c r="A384" i="21"/>
  <c r="B384" i="21"/>
  <c r="C384" i="21"/>
  <c r="D384" i="21"/>
  <c r="E384" i="21"/>
  <c r="F384" i="21"/>
  <c r="G384" i="21"/>
  <c r="H384" i="21"/>
  <c r="I384" i="21"/>
  <c r="A385" i="21"/>
  <c r="B385" i="21"/>
  <c r="C385" i="21"/>
  <c r="D385" i="21"/>
  <c r="E385" i="21"/>
  <c r="F385" i="21"/>
  <c r="G385" i="21"/>
  <c r="H385" i="21"/>
  <c r="I385" i="21"/>
  <c r="A386" i="21"/>
  <c r="B386" i="21"/>
  <c r="C386" i="21"/>
  <c r="D386" i="21"/>
  <c r="E386" i="21"/>
  <c r="F386" i="21"/>
  <c r="G386" i="21"/>
  <c r="H386" i="21"/>
  <c r="I386" i="21"/>
  <c r="A387" i="21"/>
  <c r="B387" i="21"/>
  <c r="C387" i="21"/>
  <c r="D387" i="21"/>
  <c r="E387" i="21"/>
  <c r="F387" i="21"/>
  <c r="G387" i="21"/>
  <c r="H387" i="21"/>
  <c r="I387" i="21"/>
  <c r="A388" i="21"/>
  <c r="B388" i="21"/>
  <c r="C388" i="21"/>
  <c r="D388" i="21"/>
  <c r="E388" i="21"/>
  <c r="F388" i="21"/>
  <c r="G388" i="21"/>
  <c r="H388" i="21"/>
  <c r="I388" i="21"/>
  <c r="A391" i="21"/>
  <c r="B391" i="21"/>
  <c r="C391" i="21"/>
  <c r="D391" i="21"/>
  <c r="E391" i="21"/>
  <c r="F391" i="21"/>
  <c r="G391" i="21"/>
  <c r="H391" i="21"/>
  <c r="I391" i="21"/>
  <c r="A392" i="21"/>
  <c r="B392" i="21"/>
  <c r="C392" i="21"/>
  <c r="D392" i="21"/>
  <c r="E392" i="21"/>
  <c r="F392" i="21"/>
  <c r="G392" i="21"/>
  <c r="H392" i="21"/>
  <c r="I392" i="21"/>
  <c r="A393" i="21"/>
  <c r="B393" i="21"/>
  <c r="C393" i="21"/>
  <c r="D393" i="21"/>
  <c r="E393" i="21"/>
  <c r="F393" i="21"/>
  <c r="G393" i="21"/>
  <c r="H393" i="21"/>
  <c r="I393" i="21"/>
  <c r="A396" i="21"/>
  <c r="B396" i="21"/>
  <c r="C396" i="21"/>
  <c r="D396" i="21"/>
  <c r="E396" i="21"/>
  <c r="F396" i="21"/>
  <c r="G396" i="21"/>
  <c r="H396" i="21"/>
  <c r="I396" i="21"/>
  <c r="A398" i="21"/>
  <c r="B398" i="21"/>
  <c r="C398" i="21"/>
  <c r="D398" i="21"/>
  <c r="E398" i="21"/>
  <c r="F398" i="21"/>
  <c r="G398" i="21"/>
  <c r="H398" i="21"/>
  <c r="I398" i="21"/>
  <c r="A397" i="21"/>
  <c r="B397" i="21"/>
  <c r="C397" i="21"/>
  <c r="D397" i="21"/>
  <c r="E397" i="21"/>
  <c r="F397" i="21"/>
  <c r="G397" i="21"/>
  <c r="H397" i="21"/>
  <c r="I397" i="21"/>
  <c r="A400" i="21"/>
  <c r="B400" i="21"/>
  <c r="C400" i="21"/>
  <c r="D400" i="21"/>
  <c r="E400" i="21"/>
  <c r="F400" i="21"/>
  <c r="G400" i="21"/>
  <c r="H400" i="21"/>
  <c r="I400" i="21"/>
  <c r="A406" i="21"/>
  <c r="B406" i="21"/>
  <c r="C406" i="21"/>
  <c r="D406" i="21"/>
  <c r="E406" i="21"/>
  <c r="F406" i="21"/>
  <c r="G406" i="21"/>
  <c r="H406" i="21"/>
  <c r="I406" i="21"/>
  <c r="A411" i="21"/>
  <c r="B411" i="21"/>
  <c r="C411" i="21"/>
  <c r="D411" i="21"/>
  <c r="E411" i="21"/>
  <c r="F411" i="21"/>
  <c r="G411" i="21"/>
  <c r="H411" i="21"/>
  <c r="I411" i="21"/>
  <c r="A413" i="21"/>
  <c r="B413" i="21"/>
  <c r="C413" i="21"/>
  <c r="D413" i="21"/>
  <c r="E413" i="21"/>
  <c r="F413" i="21"/>
  <c r="G413" i="21"/>
  <c r="H413" i="21"/>
  <c r="I413" i="21"/>
  <c r="A414" i="21"/>
  <c r="B414" i="21"/>
  <c r="C414" i="21"/>
  <c r="D414" i="21"/>
  <c r="E414" i="21"/>
  <c r="F414" i="21"/>
  <c r="G414" i="21"/>
  <c r="H414" i="21"/>
  <c r="I414" i="21"/>
  <c r="A415" i="21"/>
  <c r="B415" i="21"/>
  <c r="C415" i="21"/>
  <c r="D415" i="21"/>
  <c r="E415" i="21"/>
  <c r="F415" i="21"/>
  <c r="G415" i="21"/>
  <c r="H415" i="21"/>
  <c r="I415" i="21"/>
  <c r="A439" i="21"/>
  <c r="B439" i="21"/>
  <c r="C439" i="21"/>
  <c r="D439" i="21"/>
  <c r="E439" i="21"/>
  <c r="F439" i="21"/>
  <c r="G439" i="21"/>
  <c r="H439" i="21"/>
  <c r="I439" i="21"/>
  <c r="A433" i="21"/>
  <c r="B433" i="21"/>
  <c r="C433" i="21"/>
  <c r="D433" i="21"/>
  <c r="E433" i="21"/>
  <c r="F433" i="21"/>
  <c r="G433" i="21"/>
  <c r="H433" i="21"/>
  <c r="I433" i="21"/>
  <c r="A457" i="21"/>
  <c r="B457" i="21"/>
  <c r="C457" i="21"/>
  <c r="D457" i="21"/>
  <c r="E457" i="21"/>
  <c r="F457" i="21"/>
  <c r="G457" i="21"/>
  <c r="H457" i="21"/>
  <c r="I457" i="21"/>
  <c r="A458" i="21"/>
  <c r="B458" i="21"/>
  <c r="C458" i="21"/>
  <c r="D458" i="21"/>
  <c r="E458" i="21"/>
  <c r="F458" i="21"/>
  <c r="G458" i="21"/>
  <c r="H458" i="21"/>
  <c r="I458" i="21"/>
  <c r="A465" i="21"/>
  <c r="B465" i="21"/>
  <c r="C465" i="21"/>
  <c r="D465" i="21"/>
  <c r="E465" i="21"/>
  <c r="F465" i="21"/>
  <c r="G465" i="21"/>
  <c r="H465" i="21"/>
  <c r="I465" i="21"/>
  <c r="A471" i="21"/>
  <c r="B471" i="21"/>
  <c r="C471" i="21"/>
  <c r="D471" i="21"/>
  <c r="E471" i="21"/>
  <c r="F471" i="21"/>
  <c r="G471" i="21"/>
  <c r="H471" i="21"/>
  <c r="I471" i="21"/>
  <c r="A474" i="21"/>
  <c r="B474" i="21"/>
  <c r="C474" i="21"/>
  <c r="D474" i="21"/>
  <c r="E474" i="21"/>
  <c r="F474" i="21"/>
  <c r="G474" i="21"/>
  <c r="H474" i="21"/>
  <c r="I474" i="21"/>
  <c r="A481" i="21"/>
  <c r="B481" i="21"/>
  <c r="C481" i="21"/>
  <c r="D481" i="21"/>
  <c r="E481" i="21"/>
  <c r="F481" i="21"/>
  <c r="G481" i="21"/>
  <c r="H481" i="21"/>
  <c r="I481" i="21"/>
  <c r="A482" i="21"/>
  <c r="B482" i="21"/>
  <c r="C482" i="21"/>
  <c r="D482" i="21"/>
  <c r="E482" i="21"/>
  <c r="F482" i="21"/>
  <c r="G482" i="21"/>
  <c r="H482" i="21"/>
  <c r="I482" i="21"/>
  <c r="A487" i="21"/>
  <c r="B487" i="21"/>
  <c r="C487" i="21"/>
  <c r="D487" i="21"/>
  <c r="E487" i="21"/>
  <c r="F487" i="21"/>
  <c r="G487" i="21"/>
  <c r="H487" i="21"/>
  <c r="I487" i="21"/>
  <c r="A490" i="21"/>
  <c r="B490" i="21"/>
  <c r="C490" i="21"/>
  <c r="D490" i="21"/>
  <c r="E490" i="21"/>
  <c r="F490" i="21"/>
  <c r="G490" i="21"/>
  <c r="H490" i="21"/>
  <c r="I490" i="21"/>
  <c r="A492" i="21"/>
  <c r="B492" i="21"/>
  <c r="C492" i="21"/>
  <c r="D492" i="21"/>
  <c r="E492" i="21"/>
  <c r="F492" i="21"/>
  <c r="G492" i="21"/>
  <c r="H492" i="21"/>
  <c r="I492" i="21"/>
  <c r="A493" i="21"/>
  <c r="B493" i="21"/>
  <c r="C493" i="21"/>
  <c r="D493" i="21"/>
  <c r="E493" i="21"/>
  <c r="F493" i="21"/>
  <c r="G493" i="21"/>
  <c r="H493" i="21"/>
  <c r="I493" i="21"/>
  <c r="A495" i="21"/>
  <c r="B495" i="21"/>
  <c r="C495" i="21"/>
  <c r="D495" i="21"/>
  <c r="E495" i="21"/>
  <c r="F495" i="21"/>
  <c r="G495" i="21"/>
  <c r="H495" i="21"/>
  <c r="I495" i="21"/>
  <c r="A498" i="21"/>
  <c r="B498" i="21"/>
  <c r="C498" i="21"/>
  <c r="D498" i="21"/>
  <c r="E498" i="21"/>
  <c r="F498" i="21"/>
  <c r="G498" i="21"/>
  <c r="H498" i="21"/>
  <c r="I498" i="21"/>
  <c r="A500" i="21"/>
  <c r="B500" i="21"/>
  <c r="C500" i="21"/>
  <c r="D500" i="21"/>
  <c r="E500" i="21"/>
  <c r="F500" i="21"/>
  <c r="G500" i="21"/>
  <c r="H500" i="21"/>
  <c r="I500" i="21"/>
  <c r="A502" i="21"/>
  <c r="B502" i="21"/>
  <c r="C502" i="21"/>
  <c r="D502" i="21"/>
  <c r="E502" i="21"/>
  <c r="F502" i="21"/>
  <c r="G502" i="21"/>
  <c r="H502" i="21"/>
  <c r="I502" i="21"/>
  <c r="A504" i="21"/>
  <c r="B504" i="21"/>
  <c r="C504" i="21"/>
  <c r="D504" i="21"/>
  <c r="E504" i="21"/>
  <c r="F504" i="21"/>
  <c r="G504" i="21"/>
  <c r="H504" i="21"/>
  <c r="I504" i="21"/>
  <c r="A506" i="21"/>
  <c r="B506" i="21"/>
  <c r="C506" i="21"/>
  <c r="D506" i="21"/>
  <c r="E506" i="21"/>
  <c r="F506" i="21"/>
  <c r="G506" i="21"/>
  <c r="H506" i="21"/>
  <c r="I506" i="21"/>
  <c r="A508" i="21"/>
  <c r="B508" i="21"/>
  <c r="C508" i="21"/>
  <c r="D508" i="21"/>
  <c r="E508" i="21"/>
  <c r="F508" i="21"/>
  <c r="G508" i="21"/>
  <c r="H508" i="21"/>
  <c r="I508" i="21"/>
  <c r="A510" i="21"/>
  <c r="B510" i="21"/>
  <c r="C510" i="21"/>
  <c r="D510" i="21"/>
  <c r="E510" i="21"/>
  <c r="F510" i="21"/>
  <c r="G510" i="21"/>
  <c r="H510" i="21"/>
  <c r="I510" i="21"/>
  <c r="A512" i="21"/>
  <c r="B512" i="21"/>
  <c r="C512" i="21"/>
  <c r="D512" i="21"/>
  <c r="E512" i="21"/>
  <c r="F512" i="21"/>
  <c r="G512" i="21"/>
  <c r="H512" i="21"/>
  <c r="I512" i="21"/>
  <c r="A514" i="21"/>
  <c r="B514" i="21"/>
  <c r="C514" i="21"/>
  <c r="D514" i="21"/>
  <c r="E514" i="21"/>
  <c r="F514" i="21"/>
  <c r="G514" i="21"/>
  <c r="H514" i="21"/>
  <c r="I514" i="21"/>
  <c r="A516" i="21"/>
  <c r="B516" i="21"/>
  <c r="C516" i="21"/>
  <c r="D516" i="21"/>
  <c r="E516" i="21"/>
  <c r="F516" i="21"/>
  <c r="G516" i="21"/>
  <c r="H516" i="21"/>
  <c r="I516" i="21"/>
  <c r="A518" i="21"/>
  <c r="B518" i="21"/>
  <c r="C518" i="21"/>
  <c r="D518" i="21"/>
  <c r="E518" i="21"/>
  <c r="F518" i="21"/>
  <c r="G518" i="21"/>
  <c r="H518" i="21"/>
  <c r="I518" i="21"/>
  <c r="A520" i="21"/>
  <c r="B520" i="21"/>
  <c r="C520" i="21"/>
  <c r="D520" i="21"/>
  <c r="E520" i="21"/>
  <c r="F520" i="21"/>
  <c r="G520" i="21"/>
  <c r="H520" i="21"/>
  <c r="I520" i="21"/>
  <c r="A522" i="21"/>
  <c r="B522" i="21"/>
  <c r="C522" i="21"/>
  <c r="D522" i="21"/>
  <c r="E522" i="21"/>
  <c r="F522" i="21"/>
  <c r="G522" i="21"/>
  <c r="H522" i="21"/>
  <c r="I522" i="21"/>
  <c r="A524" i="21"/>
  <c r="B524" i="21"/>
  <c r="C524" i="21"/>
  <c r="D524" i="21"/>
  <c r="E524" i="21"/>
  <c r="F524" i="21"/>
  <c r="G524" i="21"/>
  <c r="H524" i="21"/>
  <c r="I524" i="21"/>
  <c r="A526" i="21"/>
  <c r="B526" i="21"/>
  <c r="C526" i="21"/>
  <c r="D526" i="21"/>
  <c r="E526" i="21"/>
  <c r="F526" i="21"/>
  <c r="G526" i="21"/>
  <c r="H526" i="21"/>
  <c r="I526" i="21"/>
  <c r="A528" i="21"/>
  <c r="B528" i="21"/>
  <c r="C528" i="21"/>
  <c r="D528" i="21"/>
  <c r="E528" i="21"/>
  <c r="F528" i="21"/>
  <c r="G528" i="21"/>
  <c r="H528" i="21"/>
  <c r="I528" i="21"/>
  <c r="A530" i="21"/>
  <c r="B530" i="21"/>
  <c r="C530" i="21"/>
  <c r="D530" i="21"/>
  <c r="E530" i="21"/>
  <c r="F530" i="21"/>
  <c r="G530" i="21"/>
  <c r="H530" i="21"/>
  <c r="I530" i="21"/>
  <c r="A532" i="21"/>
  <c r="B532" i="21"/>
  <c r="C532" i="21"/>
  <c r="D532" i="21"/>
  <c r="E532" i="21"/>
  <c r="F532" i="21"/>
  <c r="G532" i="21"/>
  <c r="H532" i="21"/>
  <c r="I532" i="21"/>
  <c r="A534" i="21"/>
  <c r="B534" i="21"/>
  <c r="C534" i="21"/>
  <c r="D534" i="21"/>
  <c r="E534" i="21"/>
  <c r="F534" i="21"/>
  <c r="G534" i="21"/>
  <c r="H534" i="21"/>
  <c r="I534" i="21"/>
  <c r="A536" i="21"/>
  <c r="B536" i="21"/>
  <c r="C536" i="21"/>
  <c r="D536" i="21"/>
  <c r="E536" i="21"/>
  <c r="F536" i="21"/>
  <c r="G536" i="21"/>
  <c r="H536" i="21"/>
  <c r="I536" i="21"/>
  <c r="A538" i="21"/>
  <c r="B538" i="21"/>
  <c r="C538" i="21"/>
  <c r="D538" i="21"/>
  <c r="E538" i="21"/>
  <c r="F538" i="21"/>
  <c r="G538" i="21"/>
  <c r="H538" i="21"/>
  <c r="I538" i="21"/>
  <c r="A540" i="21"/>
  <c r="B540" i="21"/>
  <c r="C540" i="21"/>
  <c r="D540" i="21"/>
  <c r="E540" i="21"/>
  <c r="F540" i="21"/>
  <c r="G540" i="21"/>
  <c r="H540" i="21"/>
  <c r="I540" i="21"/>
  <c r="A542" i="21"/>
  <c r="B542" i="21"/>
  <c r="C542" i="21"/>
  <c r="D542" i="21"/>
  <c r="E542" i="21"/>
  <c r="F542" i="21"/>
  <c r="G542" i="21"/>
  <c r="H542" i="21"/>
  <c r="I542" i="21"/>
  <c r="A543" i="21"/>
  <c r="B543" i="21"/>
  <c r="C543" i="21"/>
  <c r="D543" i="21"/>
  <c r="E543" i="21"/>
  <c r="F543" i="21"/>
  <c r="G543" i="21"/>
  <c r="H543" i="21"/>
  <c r="I543" i="21"/>
  <c r="A545" i="21"/>
  <c r="B545" i="21"/>
  <c r="C545" i="21"/>
  <c r="D545" i="21"/>
  <c r="E545" i="21"/>
  <c r="F545" i="21"/>
  <c r="G545" i="21"/>
  <c r="H545" i="21"/>
  <c r="I545" i="21"/>
  <c r="A547" i="21"/>
  <c r="B547" i="21"/>
  <c r="C547" i="21"/>
  <c r="D547" i="21"/>
  <c r="E547" i="21"/>
  <c r="F547" i="21"/>
  <c r="G547" i="21"/>
  <c r="H547" i="21"/>
  <c r="I547" i="21"/>
  <c r="A554" i="21"/>
  <c r="B554" i="21"/>
  <c r="C554" i="21"/>
  <c r="D554" i="21"/>
  <c r="E554" i="21"/>
  <c r="F554" i="21"/>
  <c r="G554" i="21"/>
  <c r="H554" i="21"/>
  <c r="I554" i="21"/>
  <c r="A555" i="21"/>
  <c r="B555" i="21"/>
  <c r="C555" i="21"/>
  <c r="D555" i="21"/>
  <c r="E555" i="21"/>
  <c r="F555" i="21"/>
  <c r="G555" i="21"/>
  <c r="H555" i="21"/>
  <c r="I555" i="21"/>
  <c r="A561" i="21"/>
  <c r="B561" i="21"/>
  <c r="C561" i="21"/>
  <c r="D561" i="21"/>
  <c r="E561" i="21"/>
  <c r="F561" i="21"/>
  <c r="G561" i="21"/>
  <c r="H561" i="21"/>
  <c r="I561" i="21"/>
  <c r="A566" i="21"/>
  <c r="B566" i="21"/>
  <c r="C566" i="21"/>
  <c r="D566" i="21"/>
  <c r="E566" i="21"/>
  <c r="F566" i="21"/>
  <c r="G566" i="21"/>
  <c r="H566" i="21"/>
  <c r="I566" i="21"/>
  <c r="A569" i="21"/>
  <c r="B569" i="21"/>
  <c r="C569" i="21"/>
  <c r="D569" i="21"/>
  <c r="E569" i="21"/>
  <c r="F569" i="21"/>
  <c r="G569" i="21"/>
  <c r="H569" i="21"/>
  <c r="I569" i="21"/>
  <c r="A571" i="21"/>
  <c r="B571" i="21"/>
  <c r="C571" i="21"/>
  <c r="D571" i="21"/>
  <c r="E571" i="21"/>
  <c r="F571" i="21"/>
  <c r="G571" i="21"/>
  <c r="H571" i="21"/>
  <c r="I571" i="21"/>
  <c r="A573" i="21"/>
  <c r="B573" i="21"/>
  <c r="C573" i="21"/>
  <c r="D573" i="21"/>
  <c r="E573" i="21"/>
  <c r="F573" i="21"/>
  <c r="G573" i="21"/>
  <c r="H573" i="21"/>
  <c r="I573" i="21"/>
  <c r="A577" i="21"/>
  <c r="B577" i="21"/>
  <c r="C577" i="21"/>
  <c r="D577" i="21"/>
  <c r="E577" i="21"/>
  <c r="F577" i="21"/>
  <c r="G577" i="21"/>
  <c r="H577" i="21"/>
  <c r="I577" i="21"/>
  <c r="A579" i="21"/>
  <c r="B579" i="21"/>
  <c r="C579" i="21"/>
  <c r="D579" i="21"/>
  <c r="E579" i="21"/>
  <c r="F579" i="21"/>
  <c r="G579" i="21"/>
  <c r="H579" i="21"/>
  <c r="I579" i="21"/>
  <c r="A580" i="21"/>
  <c r="B580" i="21"/>
  <c r="C580" i="21"/>
  <c r="D580" i="21"/>
  <c r="E580" i="21"/>
  <c r="F580" i="21"/>
  <c r="G580" i="21"/>
  <c r="H580" i="21"/>
  <c r="I580" i="21"/>
  <c r="A585" i="21"/>
  <c r="B585" i="21"/>
  <c r="C585" i="21"/>
  <c r="D585" i="21"/>
  <c r="E585" i="21"/>
  <c r="F585" i="21"/>
  <c r="G585" i="21"/>
  <c r="H585" i="21"/>
  <c r="I585" i="21"/>
  <c r="A587" i="21"/>
  <c r="B587" i="21"/>
  <c r="C587" i="21"/>
  <c r="D587" i="21"/>
  <c r="E587" i="21"/>
  <c r="F587" i="21"/>
  <c r="G587" i="21"/>
  <c r="H587" i="21"/>
  <c r="I587" i="21"/>
  <c r="A588" i="21"/>
  <c r="B588" i="21"/>
  <c r="C588" i="21"/>
  <c r="D588" i="21"/>
  <c r="E588" i="21"/>
  <c r="F588" i="21"/>
  <c r="G588" i="21"/>
  <c r="H588" i="21"/>
  <c r="I588" i="21"/>
  <c r="A589" i="21"/>
  <c r="B589" i="21"/>
  <c r="C589" i="21"/>
  <c r="D589" i="21"/>
  <c r="E589" i="21"/>
  <c r="F589" i="21"/>
  <c r="G589" i="21"/>
  <c r="H589" i="21"/>
  <c r="I589" i="21"/>
  <c r="A593" i="21"/>
  <c r="B593" i="21"/>
  <c r="C593" i="21"/>
  <c r="D593" i="21"/>
  <c r="E593" i="21"/>
  <c r="F593" i="21"/>
  <c r="G593" i="21"/>
  <c r="H593" i="21"/>
  <c r="I593" i="21"/>
  <c r="A594" i="21"/>
  <c r="B594" i="21"/>
  <c r="C594" i="21"/>
  <c r="D594" i="21"/>
  <c r="E594" i="21"/>
  <c r="F594" i="21"/>
  <c r="G594" i="21"/>
  <c r="H594" i="21"/>
  <c r="I594" i="21"/>
  <c r="A596" i="21"/>
  <c r="B596" i="21"/>
  <c r="C596" i="21"/>
  <c r="D596" i="21"/>
  <c r="E596" i="21"/>
  <c r="F596" i="21"/>
  <c r="G596" i="21"/>
  <c r="H596" i="21"/>
  <c r="I596" i="21"/>
  <c r="A597" i="21"/>
  <c r="B597" i="21"/>
  <c r="C597" i="21"/>
  <c r="D597" i="21"/>
  <c r="E597" i="21"/>
  <c r="F597" i="21"/>
  <c r="G597" i="21"/>
  <c r="H597" i="21"/>
  <c r="I597" i="21"/>
  <c r="A599" i="21"/>
  <c r="B599" i="21"/>
  <c r="C599" i="21"/>
  <c r="D599" i="21"/>
  <c r="E599" i="21"/>
  <c r="F599" i="21"/>
  <c r="G599" i="21"/>
  <c r="H599" i="21"/>
  <c r="I599" i="21"/>
  <c r="A600" i="21"/>
  <c r="B600" i="21"/>
  <c r="C600" i="21"/>
  <c r="D600" i="21"/>
  <c r="E600" i="21"/>
  <c r="F600" i="21"/>
  <c r="G600" i="21"/>
  <c r="H600" i="21"/>
  <c r="I600" i="21"/>
  <c r="A602" i="21"/>
  <c r="B602" i="21"/>
  <c r="C602" i="21"/>
  <c r="D602" i="21"/>
  <c r="E602" i="21"/>
  <c r="F602" i="21"/>
  <c r="G602" i="21"/>
  <c r="H602" i="21"/>
  <c r="I602" i="21"/>
  <c r="A603" i="21"/>
  <c r="B603" i="21"/>
  <c r="C603" i="21"/>
  <c r="D603" i="21"/>
  <c r="E603" i="21"/>
  <c r="F603" i="21"/>
  <c r="G603" i="21"/>
  <c r="H603" i="21"/>
  <c r="I603" i="21"/>
  <c r="A604" i="21"/>
  <c r="B604" i="21"/>
  <c r="C604" i="21"/>
  <c r="D604" i="21"/>
  <c r="E604" i="21"/>
  <c r="F604" i="21"/>
  <c r="G604" i="21"/>
  <c r="H604" i="21"/>
  <c r="I604" i="21"/>
  <c r="A16" i="21"/>
  <c r="B16" i="21"/>
  <c r="C16" i="21"/>
  <c r="D16" i="21"/>
  <c r="E16" i="21"/>
  <c r="F16" i="21"/>
  <c r="G16" i="21"/>
  <c r="H16" i="21"/>
  <c r="I16" i="21"/>
  <c r="A28" i="21"/>
  <c r="B28" i="21"/>
  <c r="C28" i="21"/>
  <c r="D28" i="21"/>
  <c r="E28" i="21"/>
  <c r="F28" i="21"/>
  <c r="G28" i="21"/>
  <c r="H28" i="21"/>
  <c r="I28" i="21"/>
  <c r="A107" i="21"/>
  <c r="B107" i="21"/>
  <c r="C107" i="21"/>
  <c r="D107" i="21"/>
  <c r="E107" i="21"/>
  <c r="F107" i="21"/>
  <c r="G107" i="21"/>
  <c r="H107" i="21"/>
  <c r="I107" i="21"/>
  <c r="A118" i="21"/>
  <c r="B118" i="21"/>
  <c r="C118" i="21"/>
  <c r="D118" i="21"/>
  <c r="E118" i="21"/>
  <c r="F118" i="21"/>
  <c r="G118" i="21"/>
  <c r="H118" i="21"/>
  <c r="I118" i="21"/>
  <c r="A135" i="21"/>
  <c r="B135" i="21"/>
  <c r="C135" i="21"/>
  <c r="D135" i="21"/>
  <c r="E135" i="21"/>
  <c r="F135" i="21"/>
  <c r="G135" i="21"/>
  <c r="H135" i="21"/>
  <c r="I135" i="21"/>
  <c r="A138" i="21"/>
  <c r="B138" i="21"/>
  <c r="C138" i="21"/>
  <c r="D138" i="21"/>
  <c r="E138" i="21"/>
  <c r="F138" i="21"/>
  <c r="G138" i="21"/>
  <c r="H138" i="21"/>
  <c r="I138" i="21"/>
  <c r="A140" i="21"/>
  <c r="B140" i="21"/>
  <c r="C140" i="21"/>
  <c r="D140" i="21"/>
  <c r="E140" i="21"/>
  <c r="F140" i="21"/>
  <c r="G140" i="21"/>
  <c r="H140" i="21"/>
  <c r="I140" i="21"/>
  <c r="A131" i="21"/>
  <c r="B131" i="21"/>
  <c r="C131" i="21"/>
  <c r="D131" i="21"/>
  <c r="E131" i="21"/>
  <c r="F131" i="21"/>
  <c r="G131" i="21"/>
  <c r="H131" i="21"/>
  <c r="I131" i="21"/>
  <c r="A132" i="21"/>
  <c r="B132" i="21"/>
  <c r="C132" i="21"/>
  <c r="D132" i="21"/>
  <c r="E132" i="21"/>
  <c r="F132" i="21"/>
  <c r="G132" i="21"/>
  <c r="H132" i="21"/>
  <c r="I132" i="21"/>
  <c r="A149" i="21"/>
  <c r="B149" i="21"/>
  <c r="C149" i="21"/>
  <c r="D149" i="21"/>
  <c r="E149" i="21"/>
  <c r="F149" i="21"/>
  <c r="G149" i="21"/>
  <c r="H149" i="21"/>
  <c r="I149" i="21"/>
  <c r="A156" i="21"/>
  <c r="B156" i="21"/>
  <c r="C156" i="21"/>
  <c r="D156" i="21"/>
  <c r="E156" i="21"/>
  <c r="F156" i="21"/>
  <c r="G156" i="21"/>
  <c r="H156" i="21"/>
  <c r="I156" i="21"/>
  <c r="A260" i="21"/>
  <c r="B260" i="21"/>
  <c r="C260" i="21"/>
  <c r="D260" i="21"/>
  <c r="E260" i="21"/>
  <c r="F260" i="21"/>
  <c r="G260" i="21"/>
  <c r="H260" i="21"/>
  <c r="I260" i="21"/>
  <c r="A268" i="21"/>
  <c r="B268" i="21"/>
  <c r="C268" i="21"/>
  <c r="D268" i="21"/>
  <c r="E268" i="21"/>
  <c r="F268" i="21"/>
  <c r="G268" i="21"/>
  <c r="H268" i="21"/>
  <c r="I268" i="21"/>
  <c r="A273" i="21"/>
  <c r="B273" i="21"/>
  <c r="C273" i="21"/>
  <c r="D273" i="21"/>
  <c r="E273" i="21"/>
  <c r="F273" i="21"/>
  <c r="G273" i="21"/>
  <c r="H273" i="21"/>
  <c r="I273" i="21"/>
  <c r="A285" i="21"/>
  <c r="B285" i="21"/>
  <c r="C285" i="21"/>
  <c r="D285" i="21"/>
  <c r="E285" i="21"/>
  <c r="F285" i="21"/>
  <c r="G285" i="21"/>
  <c r="H285" i="21"/>
  <c r="I285" i="21"/>
  <c r="A292" i="21"/>
  <c r="B292" i="21"/>
  <c r="C292" i="21"/>
  <c r="D292" i="21"/>
  <c r="E292" i="21"/>
  <c r="F292" i="21"/>
  <c r="G292" i="21"/>
  <c r="H292" i="21"/>
  <c r="I292" i="21"/>
  <c r="A304" i="21"/>
  <c r="B304" i="21"/>
  <c r="C304" i="21"/>
  <c r="D304" i="21"/>
  <c r="E304" i="21"/>
  <c r="F304" i="21"/>
  <c r="G304" i="21"/>
  <c r="H304" i="21"/>
  <c r="I304" i="21"/>
  <c r="A315" i="21"/>
  <c r="B315" i="21"/>
  <c r="C315" i="21"/>
  <c r="D315" i="21"/>
  <c r="E315" i="21"/>
  <c r="F315" i="21"/>
  <c r="G315" i="21"/>
  <c r="H315" i="21"/>
  <c r="I315" i="21"/>
  <c r="A320" i="21"/>
  <c r="B320" i="21"/>
  <c r="C320" i="21"/>
  <c r="D320" i="21"/>
  <c r="E320" i="21"/>
  <c r="F320" i="21"/>
  <c r="G320" i="21"/>
  <c r="H320" i="21"/>
  <c r="I320" i="21"/>
  <c r="A325" i="21"/>
  <c r="B325" i="21"/>
  <c r="C325" i="21"/>
  <c r="D325" i="21"/>
  <c r="E325" i="21"/>
  <c r="F325" i="21"/>
  <c r="G325" i="21"/>
  <c r="H325" i="21"/>
  <c r="I325" i="21"/>
  <c r="A401" i="21"/>
  <c r="B401" i="21"/>
  <c r="C401" i="21"/>
  <c r="D401" i="21"/>
  <c r="E401" i="21"/>
  <c r="F401" i="21"/>
  <c r="G401" i="21"/>
  <c r="H401" i="21"/>
  <c r="I401" i="21"/>
  <c r="A403" i="21"/>
  <c r="B403" i="21"/>
  <c r="C403" i="21"/>
  <c r="D403" i="21"/>
  <c r="E403" i="21"/>
  <c r="F403" i="21"/>
  <c r="G403" i="21"/>
  <c r="H403" i="21"/>
  <c r="I403" i="21"/>
  <c r="A412" i="21"/>
  <c r="B412" i="21"/>
  <c r="C412" i="21"/>
  <c r="D412" i="21"/>
  <c r="E412" i="21"/>
  <c r="F412" i="21"/>
  <c r="G412" i="21"/>
  <c r="H412" i="21"/>
  <c r="I412" i="21"/>
  <c r="A437" i="21"/>
  <c r="B437" i="21"/>
  <c r="C437" i="21"/>
  <c r="D437" i="21"/>
  <c r="E437" i="21"/>
  <c r="F437" i="21"/>
  <c r="G437" i="21"/>
  <c r="H437" i="21"/>
  <c r="I437" i="21"/>
  <c r="A470" i="21"/>
  <c r="B470" i="21"/>
  <c r="C470" i="21"/>
  <c r="D470" i="21"/>
  <c r="E470" i="21"/>
  <c r="F470" i="21"/>
  <c r="G470" i="21"/>
  <c r="H470" i="21"/>
  <c r="I470" i="21"/>
  <c r="A475" i="21"/>
  <c r="B475" i="21"/>
  <c r="C475" i="21"/>
  <c r="D475" i="21"/>
  <c r="E475" i="21"/>
  <c r="F475" i="21"/>
  <c r="G475" i="21"/>
  <c r="H475" i="21"/>
  <c r="I475" i="21"/>
  <c r="A476" i="21"/>
  <c r="B476" i="21"/>
  <c r="C476" i="21"/>
  <c r="E476" i="21"/>
  <c r="F476" i="21"/>
  <c r="G476" i="21"/>
  <c r="H476" i="21"/>
  <c r="I476" i="21"/>
  <c r="A485" i="21"/>
  <c r="B485" i="21"/>
  <c r="C485" i="21"/>
  <c r="D485" i="21"/>
  <c r="E485" i="21"/>
  <c r="F485" i="21"/>
  <c r="G485" i="21"/>
  <c r="H485" i="21"/>
  <c r="I485" i="21"/>
  <c r="A556" i="21"/>
  <c r="B556" i="21"/>
  <c r="C556" i="21"/>
  <c r="D556" i="21"/>
  <c r="E556" i="21"/>
  <c r="F556" i="21"/>
  <c r="G556" i="21"/>
  <c r="H556" i="21"/>
  <c r="I556" i="21"/>
  <c r="A562" i="21"/>
  <c r="B562" i="21"/>
  <c r="C562" i="21"/>
  <c r="D562" i="21"/>
  <c r="E562" i="21"/>
  <c r="F562" i="21"/>
  <c r="G562" i="21"/>
  <c r="H562" i="21"/>
  <c r="I562" i="21"/>
  <c r="A567" i="21"/>
  <c r="B567" i="21"/>
  <c r="C567" i="21"/>
  <c r="D567" i="21"/>
  <c r="E567" i="21"/>
  <c r="F567" i="21"/>
  <c r="G567" i="21"/>
  <c r="H567" i="21"/>
  <c r="I567" i="21"/>
  <c r="B4" i="21"/>
  <c r="C4" i="21"/>
  <c r="D4" i="21"/>
  <c r="E4" i="21"/>
  <c r="F4" i="21"/>
  <c r="G4" i="21"/>
  <c r="H4" i="21"/>
  <c r="I4" i="21"/>
  <c r="A4" i="21"/>
  <c r="A5" i="17" l="1"/>
  <c r="B5" i="17"/>
  <c r="C5" i="17"/>
  <c r="D5" i="17"/>
  <c r="E5" i="17"/>
  <c r="F5" i="17"/>
  <c r="G5" i="17"/>
  <c r="H5" i="17"/>
  <c r="A6" i="17"/>
  <c r="B6" i="17"/>
  <c r="C6" i="17"/>
  <c r="D6" i="17"/>
  <c r="E6" i="17"/>
  <c r="F6" i="17"/>
  <c r="G6" i="17"/>
  <c r="H6" i="17"/>
  <c r="A7" i="17"/>
  <c r="B7" i="17"/>
  <c r="C7" i="17"/>
  <c r="D7" i="17"/>
  <c r="E7" i="17"/>
  <c r="F7" i="17"/>
  <c r="G7" i="17"/>
  <c r="H7" i="17"/>
  <c r="A8" i="17"/>
  <c r="B8" i="17"/>
  <c r="C8" i="17"/>
  <c r="D8" i="17"/>
  <c r="E8" i="17"/>
  <c r="F8" i="17"/>
  <c r="G8" i="17"/>
  <c r="H8" i="17"/>
  <c r="A9" i="17"/>
  <c r="B9" i="17"/>
  <c r="C9" i="17"/>
  <c r="D9" i="17"/>
  <c r="E9" i="17"/>
  <c r="F9" i="17"/>
  <c r="G9" i="17"/>
  <c r="H9" i="17"/>
  <c r="A10" i="17"/>
  <c r="B10" i="17"/>
  <c r="C10" i="17"/>
  <c r="D10" i="17"/>
  <c r="E10" i="17"/>
  <c r="F10" i="17"/>
  <c r="G10" i="17"/>
  <c r="H10" i="17"/>
  <c r="A11" i="17"/>
  <c r="B11" i="17"/>
  <c r="C11" i="17"/>
  <c r="D11" i="17"/>
  <c r="E11" i="17"/>
  <c r="F11" i="17"/>
  <c r="G11" i="17"/>
  <c r="H11" i="17"/>
  <c r="A13" i="17"/>
  <c r="B13" i="17"/>
  <c r="C13" i="17"/>
  <c r="D13" i="17"/>
  <c r="E13" i="17"/>
  <c r="F13" i="17"/>
  <c r="G13" i="17"/>
  <c r="H13" i="17"/>
  <c r="A15" i="17"/>
  <c r="B15" i="17"/>
  <c r="C15" i="17"/>
  <c r="D15" i="17"/>
  <c r="E15" i="17"/>
  <c r="F15" i="17"/>
  <c r="G15" i="17"/>
  <c r="H15" i="17"/>
  <c r="A16" i="17"/>
  <c r="B16" i="17"/>
  <c r="C16" i="17"/>
  <c r="D16" i="17"/>
  <c r="E16" i="17"/>
  <c r="F16" i="17"/>
  <c r="G16" i="17"/>
  <c r="H16" i="17"/>
  <c r="A17" i="17"/>
  <c r="B17" i="17"/>
  <c r="C17" i="17"/>
  <c r="D17" i="17"/>
  <c r="E17" i="17"/>
  <c r="F17" i="17"/>
  <c r="G17" i="17"/>
  <c r="H17" i="17"/>
  <c r="A18" i="17"/>
  <c r="B18" i="17"/>
  <c r="C18" i="17"/>
  <c r="D18" i="17"/>
  <c r="E18" i="17"/>
  <c r="F18" i="17"/>
  <c r="G18" i="17"/>
  <c r="H18" i="17"/>
  <c r="A19" i="17"/>
  <c r="B19" i="17"/>
  <c r="C19" i="17"/>
  <c r="D19" i="17"/>
  <c r="E19" i="17"/>
  <c r="F19" i="17"/>
  <c r="G19" i="17"/>
  <c r="H19" i="17"/>
  <c r="A20" i="17"/>
  <c r="B20" i="17"/>
  <c r="C20" i="17"/>
  <c r="D20" i="17"/>
  <c r="E20" i="17"/>
  <c r="F20" i="17"/>
  <c r="G20" i="17"/>
  <c r="H20" i="17"/>
  <c r="A21" i="17"/>
  <c r="B21" i="17"/>
  <c r="C21" i="17"/>
  <c r="D21" i="17"/>
  <c r="E21" i="17"/>
  <c r="F21" i="17"/>
  <c r="G21" i="17"/>
  <c r="H21" i="17"/>
  <c r="A22" i="17"/>
  <c r="B22" i="17"/>
  <c r="C22" i="17"/>
  <c r="D22" i="17"/>
  <c r="E22" i="17"/>
  <c r="F22" i="17"/>
  <c r="G22" i="17"/>
  <c r="H22" i="17"/>
  <c r="A23" i="17"/>
  <c r="B23" i="17"/>
  <c r="C23" i="17"/>
  <c r="D23" i="17"/>
  <c r="E23" i="17"/>
  <c r="F23" i="17"/>
  <c r="G23" i="17"/>
  <c r="H23" i="17"/>
  <c r="A24" i="17"/>
  <c r="B24" i="17"/>
  <c r="C24" i="17"/>
  <c r="D24" i="17"/>
  <c r="E24" i="17"/>
  <c r="F24" i="17"/>
  <c r="G24" i="17"/>
  <c r="H24" i="17"/>
  <c r="A25" i="17"/>
  <c r="B25" i="17"/>
  <c r="C25" i="17"/>
  <c r="D25" i="17"/>
  <c r="E25" i="17"/>
  <c r="F25" i="17"/>
  <c r="G25" i="17"/>
  <c r="H25" i="17"/>
  <c r="A26" i="17"/>
  <c r="B26" i="17"/>
  <c r="C26" i="17"/>
  <c r="D26" i="17"/>
  <c r="E26" i="17"/>
  <c r="F26" i="17"/>
  <c r="G26" i="17"/>
  <c r="H26" i="17"/>
  <c r="A27" i="17"/>
  <c r="B27" i="17"/>
  <c r="C27" i="17"/>
  <c r="D27" i="17"/>
  <c r="E27" i="17"/>
  <c r="F27" i="17"/>
  <c r="G27" i="17"/>
  <c r="H27" i="17"/>
  <c r="A28" i="17"/>
  <c r="B28" i="17"/>
  <c r="C28" i="17"/>
  <c r="D28" i="17"/>
  <c r="E28" i="17"/>
  <c r="F28" i="17"/>
  <c r="G28" i="17"/>
  <c r="H28" i="17"/>
  <c r="A29" i="17"/>
  <c r="B29" i="17"/>
  <c r="C29" i="17"/>
  <c r="D29" i="17"/>
  <c r="E29" i="17"/>
  <c r="F29" i="17"/>
  <c r="G29" i="17"/>
  <c r="H29" i="17"/>
  <c r="A30" i="17"/>
  <c r="B30" i="17"/>
  <c r="C30" i="17"/>
  <c r="D30" i="17"/>
  <c r="E30" i="17"/>
  <c r="F30" i="17"/>
  <c r="G30" i="17"/>
  <c r="H30" i="17"/>
  <c r="A31" i="17"/>
  <c r="B31" i="17"/>
  <c r="C31" i="17"/>
  <c r="D31" i="17"/>
  <c r="E31" i="17"/>
  <c r="F31" i="17"/>
  <c r="G31" i="17"/>
  <c r="H31" i="17"/>
  <c r="A32" i="17"/>
  <c r="B32" i="17"/>
  <c r="C32" i="17"/>
  <c r="D32" i="17"/>
  <c r="E32" i="17"/>
  <c r="F32" i="17"/>
  <c r="G32" i="17"/>
  <c r="H32" i="17"/>
  <c r="A33" i="17"/>
  <c r="B33" i="17"/>
  <c r="C33" i="17"/>
  <c r="D33" i="17"/>
  <c r="E33" i="17"/>
  <c r="F33" i="17"/>
  <c r="G33" i="17"/>
  <c r="H33" i="17"/>
  <c r="A34" i="17"/>
  <c r="B34" i="17"/>
  <c r="C34" i="17"/>
  <c r="D34" i="17"/>
  <c r="E34" i="17"/>
  <c r="F34" i="17"/>
  <c r="G34" i="17"/>
  <c r="H34" i="17"/>
  <c r="A35" i="17"/>
  <c r="B35" i="17"/>
  <c r="C35" i="17"/>
  <c r="D35" i="17"/>
  <c r="E35" i="17"/>
  <c r="F35" i="17"/>
  <c r="G35" i="17"/>
  <c r="H35" i="17"/>
  <c r="A36" i="17"/>
  <c r="B36" i="17"/>
  <c r="C36" i="17"/>
  <c r="D36" i="17"/>
  <c r="E36" i="17"/>
  <c r="F36" i="17"/>
  <c r="G36" i="17"/>
  <c r="H36" i="17"/>
  <c r="A37" i="17"/>
  <c r="B37" i="17"/>
  <c r="C37" i="17"/>
  <c r="D37" i="17"/>
  <c r="E37" i="17"/>
  <c r="F37" i="17"/>
  <c r="G37" i="17"/>
  <c r="H37" i="17"/>
  <c r="A38" i="17"/>
  <c r="B38" i="17"/>
  <c r="C38" i="17"/>
  <c r="D38" i="17"/>
  <c r="E38" i="17"/>
  <c r="F38" i="17"/>
  <c r="G38" i="17"/>
  <c r="H38" i="17"/>
  <c r="A39" i="17"/>
  <c r="B39" i="17"/>
  <c r="C39" i="17"/>
  <c r="D39" i="17"/>
  <c r="E39" i="17"/>
  <c r="F39" i="17"/>
  <c r="G39" i="17"/>
  <c r="H39" i="17"/>
  <c r="A40" i="17"/>
  <c r="B40" i="17"/>
  <c r="C40" i="17"/>
  <c r="D40" i="17"/>
  <c r="E40" i="17"/>
  <c r="F40" i="17"/>
  <c r="G40" i="17"/>
  <c r="H40" i="17"/>
  <c r="A41" i="17"/>
  <c r="B41" i="17"/>
  <c r="C41" i="17"/>
  <c r="D41" i="17"/>
  <c r="E41" i="17"/>
  <c r="F41" i="17"/>
  <c r="G41" i="17"/>
  <c r="H41" i="17"/>
  <c r="A42" i="17"/>
  <c r="B42" i="17"/>
  <c r="C42" i="17"/>
  <c r="D42" i="17"/>
  <c r="E42" i="17"/>
  <c r="F42" i="17"/>
  <c r="G42" i="17"/>
  <c r="H42" i="17"/>
  <c r="A43" i="17"/>
  <c r="B43" i="17"/>
  <c r="C43" i="17"/>
  <c r="D43" i="17"/>
  <c r="E43" i="17"/>
  <c r="F43" i="17"/>
  <c r="G43" i="17"/>
  <c r="H43" i="17"/>
  <c r="A44" i="17"/>
  <c r="B44" i="17"/>
  <c r="C44" i="17"/>
  <c r="D44" i="17"/>
  <c r="E44" i="17"/>
  <c r="F44" i="17"/>
  <c r="G44" i="17"/>
  <c r="H44" i="17"/>
  <c r="A45" i="17"/>
  <c r="B45" i="17"/>
  <c r="C45" i="17"/>
  <c r="D45" i="17"/>
  <c r="E45" i="17"/>
  <c r="F45" i="17"/>
  <c r="G45" i="17"/>
  <c r="H45" i="17"/>
  <c r="A46" i="17"/>
  <c r="B46" i="17"/>
  <c r="C46" i="17"/>
  <c r="D46" i="17"/>
  <c r="E46" i="17"/>
  <c r="F46" i="17"/>
  <c r="G46" i="17"/>
  <c r="H46" i="17"/>
  <c r="A47" i="17"/>
  <c r="B47" i="17"/>
  <c r="C47" i="17"/>
  <c r="D47" i="17"/>
  <c r="E47" i="17"/>
  <c r="F47" i="17"/>
  <c r="G47" i="17"/>
  <c r="H47" i="17"/>
  <c r="A48" i="17"/>
  <c r="B48" i="17"/>
  <c r="C48" i="17"/>
  <c r="D48" i="17"/>
  <c r="E48" i="17"/>
  <c r="F48" i="17"/>
  <c r="G48" i="17"/>
  <c r="H48" i="17"/>
  <c r="A49" i="17"/>
  <c r="B49" i="17"/>
  <c r="C49" i="17"/>
  <c r="D49" i="17"/>
  <c r="E49" i="17"/>
  <c r="F49" i="17"/>
  <c r="G49" i="17"/>
  <c r="H49" i="17"/>
  <c r="A50" i="17"/>
  <c r="B50" i="17"/>
  <c r="C50" i="17"/>
  <c r="D50" i="17"/>
  <c r="E50" i="17"/>
  <c r="F50" i="17"/>
  <c r="G50" i="17"/>
  <c r="H50" i="17"/>
  <c r="A51" i="17"/>
  <c r="B51" i="17"/>
  <c r="C51" i="17"/>
  <c r="D51" i="17"/>
  <c r="E51" i="17"/>
  <c r="F51" i="17"/>
  <c r="G51" i="17"/>
  <c r="H51" i="17"/>
  <c r="A52" i="17"/>
  <c r="B52" i="17"/>
  <c r="C52" i="17"/>
  <c r="D52" i="17"/>
  <c r="E52" i="17"/>
  <c r="F52" i="17"/>
  <c r="G52" i="17"/>
  <c r="H52" i="17"/>
  <c r="A53" i="17"/>
  <c r="B53" i="17"/>
  <c r="C53" i="17"/>
  <c r="D53" i="17"/>
  <c r="E53" i="17"/>
  <c r="F53" i="17"/>
  <c r="G53" i="17"/>
  <c r="H53" i="17"/>
  <c r="A59" i="17"/>
  <c r="B59" i="17"/>
  <c r="C59" i="17"/>
  <c r="D59" i="17"/>
  <c r="E59" i="17"/>
  <c r="F59" i="17"/>
  <c r="G59" i="17"/>
  <c r="H59" i="17"/>
  <c r="A64" i="17"/>
  <c r="B64" i="17"/>
  <c r="C64" i="17"/>
  <c r="D64" i="17"/>
  <c r="E64" i="17"/>
  <c r="F64" i="17"/>
  <c r="G64" i="17"/>
  <c r="H64" i="17"/>
  <c r="A69" i="17"/>
  <c r="B69" i="17"/>
  <c r="C69" i="17"/>
  <c r="D69" i="17"/>
  <c r="E69" i="17"/>
  <c r="F69" i="17"/>
  <c r="G69" i="17"/>
  <c r="H69" i="17"/>
  <c r="A70" i="17"/>
  <c r="B70" i="17"/>
  <c r="C70" i="17"/>
  <c r="D70" i="17"/>
  <c r="E70" i="17"/>
  <c r="F70" i="17"/>
  <c r="G70" i="17"/>
  <c r="H70" i="17"/>
  <c r="A73" i="17"/>
  <c r="B73" i="17"/>
  <c r="C73" i="17"/>
  <c r="D73" i="17"/>
  <c r="E73" i="17"/>
  <c r="F73" i="17"/>
  <c r="G73" i="17"/>
  <c r="H73" i="17"/>
  <c r="A75" i="17"/>
  <c r="B75" i="17"/>
  <c r="C75" i="17"/>
  <c r="D75" i="17"/>
  <c r="E75" i="17"/>
  <c r="F75" i="17"/>
  <c r="G75" i="17"/>
  <c r="H75" i="17"/>
  <c r="A76" i="17"/>
  <c r="B76" i="17"/>
  <c r="C76" i="17"/>
  <c r="D76" i="17"/>
  <c r="E76" i="17"/>
  <c r="F76" i="17"/>
  <c r="G76" i="17"/>
  <c r="H76" i="17"/>
  <c r="A77" i="17"/>
  <c r="B77" i="17"/>
  <c r="C77" i="17"/>
  <c r="D77" i="17"/>
  <c r="E77" i="17"/>
  <c r="F77" i="17"/>
  <c r="G77" i="17"/>
  <c r="H77" i="17"/>
  <c r="A78" i="17"/>
  <c r="B78" i="17"/>
  <c r="C78" i="17"/>
  <c r="D78" i="17"/>
  <c r="E78" i="17"/>
  <c r="F78" i="17"/>
  <c r="G78" i="17"/>
  <c r="H78" i="17"/>
  <c r="A79" i="17"/>
  <c r="B79" i="17"/>
  <c r="C79" i="17"/>
  <c r="D79" i="17"/>
  <c r="E79" i="17"/>
  <c r="F79" i="17"/>
  <c r="G79" i="17"/>
  <c r="H79" i="17"/>
  <c r="A80" i="17"/>
  <c r="B80" i="17"/>
  <c r="C80" i="17"/>
  <c r="D80" i="17"/>
  <c r="E80" i="17"/>
  <c r="F80" i="17"/>
  <c r="G80" i="17"/>
  <c r="H80" i="17"/>
  <c r="A81" i="17"/>
  <c r="B81" i="17"/>
  <c r="C81" i="17"/>
  <c r="D81" i="17"/>
  <c r="E81" i="17"/>
  <c r="F81" i="17"/>
  <c r="G81" i="17"/>
  <c r="H81" i="17"/>
  <c r="A82" i="17"/>
  <c r="B82" i="17"/>
  <c r="C82" i="17"/>
  <c r="D82" i="17"/>
  <c r="E82" i="17"/>
  <c r="F82" i="17"/>
  <c r="G82" i="17"/>
  <c r="H82" i="17"/>
  <c r="A83" i="17"/>
  <c r="B83" i="17"/>
  <c r="C83" i="17"/>
  <c r="D83" i="17"/>
  <c r="E83" i="17"/>
  <c r="F83" i="17"/>
  <c r="G83" i="17"/>
  <c r="H83" i="17"/>
  <c r="A84" i="17"/>
  <c r="B84" i="17"/>
  <c r="C84" i="17"/>
  <c r="D84" i="17"/>
  <c r="E84" i="17"/>
  <c r="F84" i="17"/>
  <c r="G84" i="17"/>
  <c r="H84" i="17"/>
  <c r="A85" i="17"/>
  <c r="B85" i="17"/>
  <c r="C85" i="17"/>
  <c r="D85" i="17"/>
  <c r="E85" i="17"/>
  <c r="F85" i="17"/>
  <c r="G85" i="17"/>
  <c r="H85" i="17"/>
  <c r="A86" i="17"/>
  <c r="B86" i="17"/>
  <c r="C86" i="17"/>
  <c r="D86" i="17"/>
  <c r="E86" i="17"/>
  <c r="F86" i="17"/>
  <c r="G86" i="17"/>
  <c r="H86" i="17"/>
  <c r="A87" i="17"/>
  <c r="B87" i="17"/>
  <c r="C87" i="17"/>
  <c r="D87" i="17"/>
  <c r="E87" i="17"/>
  <c r="F87" i="17"/>
  <c r="G87" i="17"/>
  <c r="H87" i="17"/>
  <c r="A88" i="17"/>
  <c r="B88" i="17"/>
  <c r="C88" i="17"/>
  <c r="D88" i="17"/>
  <c r="E88" i="17"/>
  <c r="F88" i="17"/>
  <c r="G88" i="17"/>
  <c r="H88" i="17"/>
  <c r="A89" i="17"/>
  <c r="B89" i="17"/>
  <c r="C89" i="17"/>
  <c r="D89" i="17"/>
  <c r="E89" i="17"/>
  <c r="F89" i="17"/>
  <c r="G89" i="17"/>
  <c r="H89" i="17"/>
  <c r="A90" i="17"/>
  <c r="B90" i="17"/>
  <c r="C90" i="17"/>
  <c r="D90" i="17"/>
  <c r="E90" i="17"/>
  <c r="F90" i="17"/>
  <c r="G90" i="17"/>
  <c r="H90" i="17"/>
  <c r="A91" i="17"/>
  <c r="B91" i="17"/>
  <c r="C91" i="17"/>
  <c r="D91" i="17"/>
  <c r="E91" i="17"/>
  <c r="F91" i="17"/>
  <c r="G91" i="17"/>
  <c r="H91" i="17"/>
  <c r="A92" i="17"/>
  <c r="B92" i="17"/>
  <c r="C92" i="17"/>
  <c r="D92" i="17"/>
  <c r="E92" i="17"/>
  <c r="F92" i="17"/>
  <c r="G92" i="17"/>
  <c r="H92" i="17"/>
  <c r="A93" i="17"/>
  <c r="B93" i="17"/>
  <c r="C93" i="17"/>
  <c r="D93" i="17"/>
  <c r="E93" i="17"/>
  <c r="F93" i="17"/>
  <c r="G93" i="17"/>
  <c r="H93" i="17"/>
  <c r="A94" i="17"/>
  <c r="B94" i="17"/>
  <c r="C94" i="17"/>
  <c r="D94" i="17"/>
  <c r="E94" i="17"/>
  <c r="F94" i="17"/>
  <c r="G94" i="17"/>
  <c r="H94" i="17"/>
  <c r="A95" i="17"/>
  <c r="B95" i="17"/>
  <c r="C95" i="17"/>
  <c r="D95" i="17"/>
  <c r="E95" i="17"/>
  <c r="F95" i="17"/>
  <c r="G95" i="17"/>
  <c r="H95" i="17"/>
  <c r="A96" i="17"/>
  <c r="B96" i="17"/>
  <c r="C96" i="17"/>
  <c r="D96" i="17"/>
  <c r="E96" i="17"/>
  <c r="F96" i="17"/>
  <c r="G96" i="17"/>
  <c r="H96" i="17"/>
  <c r="A97" i="17"/>
  <c r="B97" i="17"/>
  <c r="C97" i="17"/>
  <c r="D97" i="17"/>
  <c r="E97" i="17"/>
  <c r="F97" i="17"/>
  <c r="G97" i="17"/>
  <c r="H97" i="17"/>
  <c r="A98" i="17"/>
  <c r="B98" i="17"/>
  <c r="C98" i="17"/>
  <c r="D98" i="17"/>
  <c r="E98" i="17"/>
  <c r="F98" i="17"/>
  <c r="G98" i="17"/>
  <c r="H98" i="17"/>
  <c r="A99" i="17"/>
  <c r="B99" i="17"/>
  <c r="C99" i="17"/>
  <c r="D99" i="17"/>
  <c r="E99" i="17"/>
  <c r="F99" i="17"/>
  <c r="G99" i="17"/>
  <c r="H99" i="17"/>
  <c r="A100" i="17"/>
  <c r="B100" i="17"/>
  <c r="C100" i="17"/>
  <c r="D100" i="17"/>
  <c r="E100" i="17"/>
  <c r="F100" i="17"/>
  <c r="G100" i="17"/>
  <c r="H100" i="17"/>
  <c r="A101" i="17"/>
  <c r="B101" i="17"/>
  <c r="C101" i="17"/>
  <c r="D101" i="17"/>
  <c r="E101" i="17"/>
  <c r="F101" i="17"/>
  <c r="G101" i="17"/>
  <c r="H101" i="17"/>
  <c r="A102" i="17"/>
  <c r="B102" i="17"/>
  <c r="C102" i="17"/>
  <c r="D102" i="17"/>
  <c r="E102" i="17"/>
  <c r="F102" i="17"/>
  <c r="G102" i="17"/>
  <c r="H102" i="17"/>
  <c r="A103" i="17"/>
  <c r="B103" i="17"/>
  <c r="C103" i="17"/>
  <c r="D103" i="17"/>
  <c r="E103" i="17"/>
  <c r="F103" i="17"/>
  <c r="G103" i="17"/>
  <c r="H103" i="17"/>
  <c r="A104" i="17"/>
  <c r="B104" i="17"/>
  <c r="C104" i="17"/>
  <c r="D104" i="17"/>
  <c r="E104" i="17"/>
  <c r="F104" i="17"/>
  <c r="G104" i="17"/>
  <c r="H104" i="17"/>
  <c r="A105" i="17"/>
  <c r="B105" i="17"/>
  <c r="C105" i="17"/>
  <c r="D105" i="17"/>
  <c r="E105" i="17"/>
  <c r="F105" i="17"/>
  <c r="G105" i="17"/>
  <c r="H105" i="17"/>
  <c r="A106" i="17"/>
  <c r="B106" i="17"/>
  <c r="C106" i="17"/>
  <c r="D106" i="17"/>
  <c r="E106" i="17"/>
  <c r="F106" i="17"/>
  <c r="G106" i="17"/>
  <c r="H106" i="17"/>
  <c r="A107" i="17"/>
  <c r="B107" i="17"/>
  <c r="C107" i="17"/>
  <c r="D107" i="17"/>
  <c r="E107" i="17"/>
  <c r="F107" i="17"/>
  <c r="G107" i="17"/>
  <c r="H107" i="17"/>
  <c r="A108" i="17"/>
  <c r="B108" i="17"/>
  <c r="C108" i="17"/>
  <c r="D108" i="17"/>
  <c r="E108" i="17"/>
  <c r="F108" i="17"/>
  <c r="G108" i="17"/>
  <c r="H108" i="17"/>
  <c r="A109" i="17"/>
  <c r="B109" i="17"/>
  <c r="C109" i="17"/>
  <c r="D109" i="17"/>
  <c r="E109" i="17"/>
  <c r="F109" i="17"/>
  <c r="G109" i="17"/>
  <c r="H109" i="17"/>
  <c r="A110" i="17"/>
  <c r="B110" i="17"/>
  <c r="C110" i="17"/>
  <c r="D110" i="17"/>
  <c r="E110" i="17"/>
  <c r="F110" i="17"/>
  <c r="G110" i="17"/>
  <c r="H110" i="17"/>
  <c r="A111" i="17"/>
  <c r="B111" i="17"/>
  <c r="C111" i="17"/>
  <c r="D111" i="17"/>
  <c r="E111" i="17"/>
  <c r="F111" i="17"/>
  <c r="G111" i="17"/>
  <c r="H111" i="17"/>
  <c r="A112" i="17"/>
  <c r="B112" i="17"/>
  <c r="C112" i="17"/>
  <c r="D112" i="17"/>
  <c r="E112" i="17"/>
  <c r="F112" i="17"/>
  <c r="G112" i="17"/>
  <c r="H112" i="17"/>
  <c r="A113" i="17"/>
  <c r="B113" i="17"/>
  <c r="C113" i="17"/>
  <c r="D113" i="17"/>
  <c r="E113" i="17"/>
  <c r="F113" i="17"/>
  <c r="G113" i="17"/>
  <c r="H113" i="17"/>
  <c r="A114" i="17"/>
  <c r="B114" i="17"/>
  <c r="C114" i="17"/>
  <c r="D114" i="17"/>
  <c r="E114" i="17"/>
  <c r="F114" i="17"/>
  <c r="G114" i="17"/>
  <c r="H114" i="17"/>
  <c r="A115" i="17"/>
  <c r="B115" i="17"/>
  <c r="C115" i="17"/>
  <c r="D115" i="17"/>
  <c r="E115" i="17"/>
  <c r="F115" i="17"/>
  <c r="G115" i="17"/>
  <c r="H115" i="17"/>
  <c r="A116" i="17"/>
  <c r="B116" i="17"/>
  <c r="C116" i="17"/>
  <c r="D116" i="17"/>
  <c r="E116" i="17"/>
  <c r="F116" i="17"/>
  <c r="G116" i="17"/>
  <c r="H116" i="17"/>
  <c r="A117" i="17"/>
  <c r="B117" i="17"/>
  <c r="C117" i="17"/>
  <c r="D117" i="17"/>
  <c r="E117" i="17"/>
  <c r="F117" i="17"/>
  <c r="G117" i="17"/>
  <c r="H117" i="17"/>
  <c r="A118" i="17"/>
  <c r="B118" i="17"/>
  <c r="C118" i="17"/>
  <c r="D118" i="17"/>
  <c r="E118" i="17"/>
  <c r="F118" i="17"/>
  <c r="G118" i="17"/>
  <c r="H118" i="17"/>
  <c r="A119" i="17"/>
  <c r="B119" i="17"/>
  <c r="C119" i="17"/>
  <c r="D119" i="17"/>
  <c r="E119" i="17"/>
  <c r="F119" i="17"/>
  <c r="G119" i="17"/>
  <c r="H119" i="17"/>
  <c r="A120" i="17"/>
  <c r="B120" i="17"/>
  <c r="C120" i="17"/>
  <c r="D120" i="17"/>
  <c r="E120" i="17"/>
  <c r="F120" i="17"/>
  <c r="G120" i="17"/>
  <c r="H120" i="17"/>
  <c r="A121" i="17"/>
  <c r="B121" i="17"/>
  <c r="C121" i="17"/>
  <c r="D121" i="17"/>
  <c r="E121" i="17"/>
  <c r="F121" i="17"/>
  <c r="G121" i="17"/>
  <c r="H121" i="17"/>
  <c r="A122" i="17"/>
  <c r="B122" i="17"/>
  <c r="C122" i="17"/>
  <c r="D122" i="17"/>
  <c r="E122" i="17"/>
  <c r="F122" i="17"/>
  <c r="G122" i="17"/>
  <c r="H122" i="17"/>
  <c r="A123" i="17"/>
  <c r="B123" i="17"/>
  <c r="C123" i="17"/>
  <c r="D123" i="17"/>
  <c r="E123" i="17"/>
  <c r="F123" i="17"/>
  <c r="G123" i="17"/>
  <c r="H123" i="17"/>
  <c r="A124" i="17"/>
  <c r="B124" i="17"/>
  <c r="C124" i="17"/>
  <c r="D124" i="17"/>
  <c r="E124" i="17"/>
  <c r="F124" i="17"/>
  <c r="G124" i="17"/>
  <c r="H124" i="17"/>
  <c r="A125" i="17"/>
  <c r="B125" i="17"/>
  <c r="C125" i="17"/>
  <c r="D125" i="17"/>
  <c r="E125" i="17"/>
  <c r="F125" i="17"/>
  <c r="G125" i="17"/>
  <c r="H125" i="17"/>
  <c r="A126" i="17"/>
  <c r="B126" i="17"/>
  <c r="C126" i="17"/>
  <c r="D126" i="17"/>
  <c r="E126" i="17"/>
  <c r="F126" i="17"/>
  <c r="G126" i="17"/>
  <c r="H126" i="17"/>
  <c r="A127" i="17"/>
  <c r="B127" i="17"/>
  <c r="C127" i="17"/>
  <c r="D127" i="17"/>
  <c r="E127" i="17"/>
  <c r="F127" i="17"/>
  <c r="G127" i="17"/>
  <c r="H127" i="17"/>
  <c r="A128" i="17"/>
  <c r="B128" i="17"/>
  <c r="C128" i="17"/>
  <c r="D128" i="17"/>
  <c r="E128" i="17"/>
  <c r="F128" i="17"/>
  <c r="G128" i="17"/>
  <c r="H128" i="17"/>
  <c r="A132" i="17"/>
  <c r="B132" i="17"/>
  <c r="C132" i="17"/>
  <c r="D132" i="17"/>
  <c r="E132" i="17"/>
  <c r="F132" i="17"/>
  <c r="G132" i="17"/>
  <c r="H132" i="17"/>
  <c r="A133" i="17"/>
  <c r="B133" i="17"/>
  <c r="C133" i="17"/>
  <c r="D133" i="17"/>
  <c r="E133" i="17"/>
  <c r="F133" i="17"/>
  <c r="G133" i="17"/>
  <c r="H133" i="17"/>
  <c r="A134" i="17"/>
  <c r="B134" i="17"/>
  <c r="C134" i="17"/>
  <c r="D134" i="17"/>
  <c r="E134" i="17"/>
  <c r="F134" i="17"/>
  <c r="G134" i="17"/>
  <c r="H134" i="17"/>
  <c r="A135" i="17"/>
  <c r="B135" i="17"/>
  <c r="C135" i="17"/>
  <c r="D135" i="17"/>
  <c r="E135" i="17"/>
  <c r="F135" i="17"/>
  <c r="G135" i="17"/>
  <c r="H135" i="17"/>
  <c r="A136" i="17"/>
  <c r="B136" i="17"/>
  <c r="C136" i="17"/>
  <c r="D136" i="17"/>
  <c r="E136" i="17"/>
  <c r="F136" i="17"/>
  <c r="G136" i="17"/>
  <c r="H136" i="17"/>
  <c r="A137" i="17"/>
  <c r="B137" i="17"/>
  <c r="C137" i="17"/>
  <c r="D137" i="17"/>
  <c r="E137" i="17"/>
  <c r="F137" i="17"/>
  <c r="G137" i="17"/>
  <c r="H137" i="17"/>
  <c r="A138" i="17"/>
  <c r="B138" i="17"/>
  <c r="C138" i="17"/>
  <c r="D138" i="17"/>
  <c r="E138" i="17"/>
  <c r="F138" i="17"/>
  <c r="G138" i="17"/>
  <c r="H138" i="17"/>
  <c r="A139" i="17"/>
  <c r="B139" i="17"/>
  <c r="C139" i="17"/>
  <c r="D139" i="17"/>
  <c r="E139" i="17"/>
  <c r="F139" i="17"/>
  <c r="G139" i="17"/>
  <c r="H139" i="17"/>
  <c r="A141" i="17"/>
  <c r="B141" i="17"/>
  <c r="C141" i="17"/>
  <c r="D141" i="17"/>
  <c r="E141" i="17"/>
  <c r="F141" i="17"/>
  <c r="G141" i="17"/>
  <c r="H141" i="17"/>
  <c r="A142" i="17"/>
  <c r="B142" i="17"/>
  <c r="C142" i="17"/>
  <c r="D142" i="17"/>
  <c r="E142" i="17"/>
  <c r="F142" i="17"/>
  <c r="G142" i="17"/>
  <c r="H142" i="17"/>
  <c r="A143" i="17"/>
  <c r="B143" i="17"/>
  <c r="C143" i="17"/>
  <c r="D143" i="17"/>
  <c r="E143" i="17"/>
  <c r="F143" i="17"/>
  <c r="G143" i="17"/>
  <c r="H143" i="17"/>
  <c r="A144" i="17"/>
  <c r="B144" i="17"/>
  <c r="C144" i="17"/>
  <c r="D144" i="17"/>
  <c r="E144" i="17"/>
  <c r="F144" i="17"/>
  <c r="G144" i="17"/>
  <c r="H144" i="17"/>
  <c r="A145" i="17"/>
  <c r="B145" i="17"/>
  <c r="C145" i="17"/>
  <c r="D145" i="17"/>
  <c r="E145" i="17"/>
  <c r="F145" i="17"/>
  <c r="G145" i="17"/>
  <c r="H145" i="17"/>
  <c r="A146" i="17"/>
  <c r="B146" i="17"/>
  <c r="C146" i="17"/>
  <c r="D146" i="17"/>
  <c r="E146" i="17"/>
  <c r="F146" i="17"/>
  <c r="G146" i="17"/>
  <c r="H146" i="17"/>
  <c r="A148" i="17"/>
  <c r="B148" i="17"/>
  <c r="C148" i="17"/>
  <c r="D148" i="17"/>
  <c r="E148" i="17"/>
  <c r="F148" i="17"/>
  <c r="G148" i="17"/>
  <c r="H148" i="17"/>
  <c r="A150" i="17"/>
  <c r="B150" i="17"/>
  <c r="C150" i="17"/>
  <c r="D150" i="17"/>
  <c r="E150" i="17"/>
  <c r="F150" i="17"/>
  <c r="G150" i="17"/>
  <c r="H150" i="17"/>
  <c r="A152" i="17"/>
  <c r="B152" i="17"/>
  <c r="C152" i="17"/>
  <c r="D152" i="17"/>
  <c r="E152" i="17"/>
  <c r="F152" i="17"/>
  <c r="G152" i="17"/>
  <c r="H152" i="17"/>
  <c r="A153" i="17"/>
  <c r="B153" i="17"/>
  <c r="C153" i="17"/>
  <c r="D153" i="17"/>
  <c r="E153" i="17"/>
  <c r="F153" i="17"/>
  <c r="G153" i="17"/>
  <c r="H153" i="17"/>
  <c r="A154" i="17"/>
  <c r="B154" i="17"/>
  <c r="C154" i="17"/>
  <c r="D154" i="17"/>
  <c r="E154" i="17"/>
  <c r="F154" i="17"/>
  <c r="G154" i="17"/>
  <c r="H154" i="17"/>
  <c r="A155" i="17"/>
  <c r="B155" i="17"/>
  <c r="C155" i="17"/>
  <c r="D155" i="17"/>
  <c r="E155" i="17"/>
  <c r="F155" i="17"/>
  <c r="G155" i="17"/>
  <c r="H155" i="17"/>
  <c r="A156" i="17"/>
  <c r="B156" i="17"/>
  <c r="C156" i="17"/>
  <c r="D156" i="17"/>
  <c r="E156" i="17"/>
  <c r="F156" i="17"/>
  <c r="G156" i="17"/>
  <c r="H156" i="17"/>
  <c r="A157" i="17"/>
  <c r="B157" i="17"/>
  <c r="C157" i="17"/>
  <c r="D157" i="17"/>
  <c r="E157" i="17"/>
  <c r="F157" i="17"/>
  <c r="G157" i="17"/>
  <c r="H157" i="17"/>
  <c r="A158" i="17"/>
  <c r="B158" i="17"/>
  <c r="C158" i="17"/>
  <c r="D158" i="17"/>
  <c r="E158" i="17"/>
  <c r="F158" i="17"/>
  <c r="G158" i="17"/>
  <c r="H158" i="17"/>
  <c r="A159" i="17"/>
  <c r="B159" i="17"/>
  <c r="C159" i="17"/>
  <c r="D159" i="17"/>
  <c r="E159" i="17"/>
  <c r="F159" i="17"/>
  <c r="G159" i="17"/>
  <c r="H159" i="17"/>
  <c r="A160" i="17"/>
  <c r="B160" i="17"/>
  <c r="C160" i="17"/>
  <c r="D160" i="17"/>
  <c r="E160" i="17"/>
  <c r="F160" i="17"/>
  <c r="G160" i="17"/>
  <c r="H160" i="17"/>
  <c r="A161" i="17"/>
  <c r="B161" i="17"/>
  <c r="C161" i="17"/>
  <c r="D161" i="17"/>
  <c r="E161" i="17"/>
  <c r="F161" i="17"/>
  <c r="G161" i="17"/>
  <c r="H161" i="17"/>
  <c r="A162" i="17"/>
  <c r="B162" i="17"/>
  <c r="C162" i="17"/>
  <c r="D162" i="17"/>
  <c r="E162" i="17"/>
  <c r="F162" i="17"/>
  <c r="G162" i="17"/>
  <c r="H162" i="17"/>
  <c r="A163" i="17"/>
  <c r="B163" i="17"/>
  <c r="C163" i="17"/>
  <c r="D163" i="17"/>
  <c r="E163" i="17"/>
  <c r="F163" i="17"/>
  <c r="G163" i="17"/>
  <c r="H163" i="17"/>
  <c r="A164" i="17"/>
  <c r="B164" i="17"/>
  <c r="C164" i="17"/>
  <c r="D164" i="17"/>
  <c r="E164" i="17"/>
  <c r="F164" i="17"/>
  <c r="G164" i="17"/>
  <c r="H164" i="17"/>
  <c r="A165" i="17"/>
  <c r="B165" i="17"/>
  <c r="C165" i="17"/>
  <c r="D165" i="17"/>
  <c r="E165" i="17"/>
  <c r="F165" i="17"/>
  <c r="G165" i="17"/>
  <c r="H165" i="17"/>
  <c r="A166" i="17"/>
  <c r="B166" i="17"/>
  <c r="C166" i="17"/>
  <c r="D166" i="17"/>
  <c r="E166" i="17"/>
  <c r="F166" i="17"/>
  <c r="G166" i="17"/>
  <c r="H166" i="17"/>
  <c r="A167" i="17"/>
  <c r="B167" i="17"/>
  <c r="C167" i="17"/>
  <c r="D167" i="17"/>
  <c r="E167" i="17"/>
  <c r="F167" i="17"/>
  <c r="G167" i="17"/>
  <c r="H167" i="17"/>
  <c r="A168" i="17"/>
  <c r="B168" i="17"/>
  <c r="C168" i="17"/>
  <c r="D168" i="17"/>
  <c r="E168" i="17"/>
  <c r="F168" i="17"/>
  <c r="G168" i="17"/>
  <c r="H168" i="17"/>
  <c r="A169" i="17"/>
  <c r="B169" i="17"/>
  <c r="C169" i="17"/>
  <c r="D169" i="17"/>
  <c r="E169" i="17"/>
  <c r="F169" i="17"/>
  <c r="G169" i="17"/>
  <c r="H169" i="17"/>
  <c r="A170" i="17"/>
  <c r="B170" i="17"/>
  <c r="C170" i="17"/>
  <c r="D170" i="17"/>
  <c r="E170" i="17"/>
  <c r="F170" i="17"/>
  <c r="G170" i="17"/>
  <c r="H170" i="17"/>
  <c r="A171" i="17"/>
  <c r="B171" i="17"/>
  <c r="C171" i="17"/>
  <c r="D171" i="17"/>
  <c r="E171" i="17"/>
  <c r="F171" i="17"/>
  <c r="G171" i="17"/>
  <c r="H171" i="17"/>
  <c r="A172" i="17"/>
  <c r="B172" i="17"/>
  <c r="C172" i="17"/>
  <c r="D172" i="17"/>
  <c r="E172" i="17"/>
  <c r="F172" i="17"/>
  <c r="G172" i="17"/>
  <c r="H172" i="17"/>
  <c r="A173" i="17"/>
  <c r="B173" i="17"/>
  <c r="C173" i="17"/>
  <c r="D173" i="17"/>
  <c r="E173" i="17"/>
  <c r="F173" i="17"/>
  <c r="G173" i="17"/>
  <c r="H173" i="17"/>
  <c r="A174" i="17"/>
  <c r="B174" i="17"/>
  <c r="C174" i="17"/>
  <c r="D174" i="17"/>
  <c r="E174" i="17"/>
  <c r="F174" i="17"/>
  <c r="G174" i="17"/>
  <c r="H174" i="17"/>
  <c r="A175" i="17"/>
  <c r="B175" i="17"/>
  <c r="C175" i="17"/>
  <c r="D175" i="17"/>
  <c r="E175" i="17"/>
  <c r="F175" i="17"/>
  <c r="G175" i="17"/>
  <c r="H175" i="17"/>
  <c r="A176" i="17"/>
  <c r="B176" i="17"/>
  <c r="C176" i="17"/>
  <c r="D176" i="17"/>
  <c r="E176" i="17"/>
  <c r="F176" i="17"/>
  <c r="G176" i="17"/>
  <c r="H176" i="17"/>
  <c r="A177" i="17"/>
  <c r="B177" i="17"/>
  <c r="C177" i="17"/>
  <c r="D177" i="17"/>
  <c r="E177" i="17"/>
  <c r="F177" i="17"/>
  <c r="G177" i="17"/>
  <c r="H177" i="17"/>
  <c r="A178" i="17"/>
  <c r="B178" i="17"/>
  <c r="C178" i="17"/>
  <c r="D178" i="17"/>
  <c r="E178" i="17"/>
  <c r="F178" i="17"/>
  <c r="G178" i="17"/>
  <c r="H178" i="17"/>
  <c r="A179" i="17"/>
  <c r="B179" i="17"/>
  <c r="C179" i="17"/>
  <c r="D179" i="17"/>
  <c r="E179" i="17"/>
  <c r="F179" i="17"/>
  <c r="G179" i="17"/>
  <c r="H179" i="17"/>
  <c r="A181" i="17"/>
  <c r="B181" i="17"/>
  <c r="C181" i="17"/>
  <c r="D181" i="17"/>
  <c r="E181" i="17"/>
  <c r="F181" i="17"/>
  <c r="G181" i="17"/>
  <c r="H181" i="17"/>
  <c r="A182" i="17"/>
  <c r="B182" i="17"/>
  <c r="C182" i="17"/>
  <c r="D182" i="17"/>
  <c r="E182" i="17"/>
  <c r="F182" i="17"/>
  <c r="G182" i="17"/>
  <c r="H182" i="17"/>
  <c r="A183" i="17"/>
  <c r="B183" i="17"/>
  <c r="C183" i="17"/>
  <c r="D183" i="17"/>
  <c r="E183" i="17"/>
  <c r="F183" i="17"/>
  <c r="G183" i="17"/>
  <c r="H183" i="17"/>
  <c r="A184" i="17"/>
  <c r="B184" i="17"/>
  <c r="C184" i="17"/>
  <c r="D184" i="17"/>
  <c r="E184" i="17"/>
  <c r="F184" i="17"/>
  <c r="G184" i="17"/>
  <c r="H184" i="17"/>
  <c r="A185" i="17"/>
  <c r="B185" i="17"/>
  <c r="C185" i="17"/>
  <c r="D185" i="17"/>
  <c r="E185" i="17"/>
  <c r="F185" i="17"/>
  <c r="G185" i="17"/>
  <c r="H185" i="17"/>
  <c r="A186" i="17"/>
  <c r="B186" i="17"/>
  <c r="C186" i="17"/>
  <c r="D186" i="17"/>
  <c r="E186" i="17"/>
  <c r="F186" i="17"/>
  <c r="G186" i="17"/>
  <c r="H186" i="17"/>
  <c r="A187" i="17"/>
  <c r="B187" i="17"/>
  <c r="C187" i="17"/>
  <c r="D187" i="17"/>
  <c r="E187" i="17"/>
  <c r="F187" i="17"/>
  <c r="G187" i="17"/>
  <c r="H187" i="17"/>
  <c r="A188" i="17"/>
  <c r="B188" i="17"/>
  <c r="C188" i="17"/>
  <c r="D188" i="17"/>
  <c r="E188" i="17"/>
  <c r="F188" i="17"/>
  <c r="G188" i="17"/>
  <c r="H188" i="17"/>
  <c r="A189" i="17"/>
  <c r="B189" i="17"/>
  <c r="C189" i="17"/>
  <c r="D189" i="17"/>
  <c r="E189" i="17"/>
  <c r="F189" i="17"/>
  <c r="G189" i="17"/>
  <c r="H189" i="17"/>
  <c r="A190" i="17"/>
  <c r="B190" i="17"/>
  <c r="C190" i="17"/>
  <c r="D190" i="17"/>
  <c r="E190" i="17"/>
  <c r="F190" i="17"/>
  <c r="G190" i="17"/>
  <c r="H190" i="17"/>
  <c r="A191" i="17"/>
  <c r="B191" i="17"/>
  <c r="C191" i="17"/>
  <c r="D191" i="17"/>
  <c r="E191" i="17"/>
  <c r="F191" i="17"/>
  <c r="G191" i="17"/>
  <c r="H191" i="17"/>
  <c r="A192" i="17"/>
  <c r="B192" i="17"/>
  <c r="C192" i="17"/>
  <c r="D192" i="17"/>
  <c r="E192" i="17"/>
  <c r="F192" i="17"/>
  <c r="G192" i="17"/>
  <c r="H192" i="17"/>
  <c r="A193" i="17"/>
  <c r="B193" i="17"/>
  <c r="C193" i="17"/>
  <c r="D193" i="17"/>
  <c r="E193" i="17"/>
  <c r="F193" i="17"/>
  <c r="G193" i="17"/>
  <c r="H193" i="17"/>
  <c r="A194" i="17"/>
  <c r="B194" i="17"/>
  <c r="C194" i="17"/>
  <c r="D194" i="17"/>
  <c r="E194" i="17"/>
  <c r="F194" i="17"/>
  <c r="G194" i="17"/>
  <c r="H194" i="17"/>
  <c r="A195" i="17"/>
  <c r="B195" i="17"/>
  <c r="C195" i="17"/>
  <c r="D195" i="17"/>
  <c r="E195" i="17"/>
  <c r="F195" i="17"/>
  <c r="G195" i="17"/>
  <c r="H195" i="17"/>
  <c r="A196" i="17"/>
  <c r="B196" i="17"/>
  <c r="C196" i="17"/>
  <c r="D196" i="17"/>
  <c r="E196" i="17"/>
  <c r="F196" i="17"/>
  <c r="G196" i="17"/>
  <c r="H196" i="17"/>
  <c r="A197" i="17"/>
  <c r="B197" i="17"/>
  <c r="C197" i="17"/>
  <c r="D197" i="17"/>
  <c r="E197" i="17"/>
  <c r="F197" i="17"/>
  <c r="G197" i="17"/>
  <c r="H197" i="17"/>
  <c r="A198" i="17"/>
  <c r="B198" i="17"/>
  <c r="C198" i="17"/>
  <c r="D198" i="17"/>
  <c r="E198" i="17"/>
  <c r="F198" i="17"/>
  <c r="G198" i="17"/>
  <c r="H198" i="17"/>
  <c r="A199" i="17"/>
  <c r="B199" i="17"/>
  <c r="C199" i="17"/>
  <c r="D199" i="17"/>
  <c r="E199" i="17"/>
  <c r="F199" i="17"/>
  <c r="G199" i="17"/>
  <c r="H199" i="17"/>
  <c r="A200" i="17"/>
  <c r="B200" i="17"/>
  <c r="C200" i="17"/>
  <c r="D200" i="17"/>
  <c r="E200" i="17"/>
  <c r="F200" i="17"/>
  <c r="G200" i="17"/>
  <c r="H200" i="17"/>
  <c r="A201" i="17"/>
  <c r="B201" i="17"/>
  <c r="C201" i="17"/>
  <c r="D201" i="17"/>
  <c r="E201" i="17"/>
  <c r="F201" i="17"/>
  <c r="G201" i="17"/>
  <c r="H201" i="17"/>
  <c r="A202" i="17"/>
  <c r="B202" i="17"/>
  <c r="C202" i="17"/>
  <c r="D202" i="17"/>
  <c r="E202" i="17"/>
  <c r="F202" i="17"/>
  <c r="G202" i="17"/>
  <c r="H202" i="17"/>
  <c r="A203" i="17"/>
  <c r="B203" i="17"/>
  <c r="C203" i="17"/>
  <c r="D203" i="17"/>
  <c r="E203" i="17"/>
  <c r="F203" i="17"/>
  <c r="G203" i="17"/>
  <c r="H203" i="17"/>
  <c r="A204" i="17"/>
  <c r="B204" i="17"/>
  <c r="C204" i="17"/>
  <c r="D204" i="17"/>
  <c r="E204" i="17"/>
  <c r="F204" i="17"/>
  <c r="G204" i="17"/>
  <c r="H204" i="17"/>
  <c r="A205" i="17"/>
  <c r="B205" i="17"/>
  <c r="C205" i="17"/>
  <c r="D205" i="17"/>
  <c r="E205" i="17"/>
  <c r="F205" i="17"/>
  <c r="G205" i="17"/>
  <c r="H205" i="17"/>
  <c r="A206" i="17"/>
  <c r="B206" i="17"/>
  <c r="C206" i="17"/>
  <c r="D206" i="17"/>
  <c r="E206" i="17"/>
  <c r="F206" i="17"/>
  <c r="G206" i="17"/>
  <c r="H206" i="17"/>
  <c r="A207" i="17"/>
  <c r="B207" i="17"/>
  <c r="C207" i="17"/>
  <c r="D207" i="17"/>
  <c r="E207" i="17"/>
  <c r="F207" i="17"/>
  <c r="G207" i="17"/>
  <c r="H207" i="17"/>
  <c r="A208" i="17"/>
  <c r="B208" i="17"/>
  <c r="C208" i="17"/>
  <c r="D208" i="17"/>
  <c r="E208" i="17"/>
  <c r="F208" i="17"/>
  <c r="G208" i="17"/>
  <c r="H208" i="17"/>
  <c r="A211" i="17"/>
  <c r="B211" i="17"/>
  <c r="C211" i="17"/>
  <c r="D211" i="17"/>
  <c r="E211" i="17"/>
  <c r="F211" i="17"/>
  <c r="G211" i="17"/>
  <c r="H211" i="17"/>
  <c r="A212" i="17"/>
  <c r="B212" i="17"/>
  <c r="C212" i="17"/>
  <c r="D212" i="17"/>
  <c r="E212" i="17"/>
  <c r="F212" i="17"/>
  <c r="G212" i="17"/>
  <c r="H212" i="17"/>
  <c r="A213" i="17"/>
  <c r="B213" i="17"/>
  <c r="C213" i="17"/>
  <c r="D213" i="17"/>
  <c r="E213" i="17"/>
  <c r="F213" i="17"/>
  <c r="G213" i="17"/>
  <c r="H213" i="17"/>
  <c r="A214" i="17"/>
  <c r="B214" i="17"/>
  <c r="C214" i="17"/>
  <c r="D214" i="17"/>
  <c r="E214" i="17"/>
  <c r="F214" i="17"/>
  <c r="G214" i="17"/>
  <c r="H214" i="17"/>
  <c r="A215" i="17"/>
  <c r="B215" i="17"/>
  <c r="C215" i="17"/>
  <c r="D215" i="17"/>
  <c r="E215" i="17"/>
  <c r="F215" i="17"/>
  <c r="G215" i="17"/>
  <c r="H215" i="17"/>
  <c r="A216" i="17"/>
  <c r="B216" i="17"/>
  <c r="C216" i="17"/>
  <c r="D216" i="17"/>
  <c r="E216" i="17"/>
  <c r="F216" i="17"/>
  <c r="G216" i="17"/>
  <c r="H216" i="17"/>
  <c r="A217" i="17"/>
  <c r="B217" i="17"/>
  <c r="C217" i="17"/>
  <c r="D217" i="17"/>
  <c r="E217" i="17"/>
  <c r="F217" i="17"/>
  <c r="G217" i="17"/>
  <c r="H217" i="17"/>
  <c r="A218" i="17"/>
  <c r="B218" i="17"/>
  <c r="C218" i="17"/>
  <c r="D218" i="17"/>
  <c r="E218" i="17"/>
  <c r="F218" i="17"/>
  <c r="G218" i="17"/>
  <c r="H218" i="17"/>
  <c r="A219" i="17"/>
  <c r="B219" i="17"/>
  <c r="C219" i="17"/>
  <c r="D219" i="17"/>
  <c r="E219" i="17"/>
  <c r="F219" i="17"/>
  <c r="G219" i="17"/>
  <c r="H219" i="17"/>
  <c r="A221" i="17"/>
  <c r="B221" i="17"/>
  <c r="C221" i="17"/>
  <c r="D221" i="17"/>
  <c r="E221" i="17"/>
  <c r="F221" i="17"/>
  <c r="G221" i="17"/>
  <c r="H221" i="17"/>
  <c r="A222" i="17"/>
  <c r="B222" i="17"/>
  <c r="C222" i="17"/>
  <c r="D222" i="17"/>
  <c r="E222" i="17"/>
  <c r="F222" i="17"/>
  <c r="G222" i="17"/>
  <c r="H222" i="17"/>
  <c r="A224" i="17"/>
  <c r="B224" i="17"/>
  <c r="C224" i="17"/>
  <c r="D224" i="17"/>
  <c r="E224" i="17"/>
  <c r="F224" i="17"/>
  <c r="G224" i="17"/>
  <c r="H224" i="17"/>
  <c r="A225" i="17"/>
  <c r="B225" i="17"/>
  <c r="C225" i="17"/>
  <c r="D225" i="17"/>
  <c r="E225" i="17"/>
  <c r="F225" i="17"/>
  <c r="G225" i="17"/>
  <c r="H225" i="17"/>
  <c r="A226" i="17"/>
  <c r="B226" i="17"/>
  <c r="C226" i="17"/>
  <c r="D226" i="17"/>
  <c r="E226" i="17"/>
  <c r="F226" i="17"/>
  <c r="G226" i="17"/>
  <c r="H226" i="17"/>
  <c r="A227" i="17"/>
  <c r="B227" i="17"/>
  <c r="C227" i="17"/>
  <c r="D227" i="17"/>
  <c r="E227" i="17"/>
  <c r="F227" i="17"/>
  <c r="G227" i="17"/>
  <c r="H227" i="17"/>
  <c r="A228" i="17"/>
  <c r="B228" i="17"/>
  <c r="C228" i="17"/>
  <c r="D228" i="17"/>
  <c r="E228" i="17"/>
  <c r="F228" i="17"/>
  <c r="G228" i="17"/>
  <c r="H228" i="17"/>
  <c r="A229" i="17"/>
  <c r="B229" i="17"/>
  <c r="C229" i="17"/>
  <c r="D229" i="17"/>
  <c r="E229" i="17"/>
  <c r="F229" i="17"/>
  <c r="G229" i="17"/>
  <c r="H229" i="17"/>
  <c r="A230" i="17"/>
  <c r="B230" i="17"/>
  <c r="C230" i="17"/>
  <c r="D230" i="17"/>
  <c r="E230" i="17"/>
  <c r="F230" i="17"/>
  <c r="G230" i="17"/>
  <c r="H230" i="17"/>
  <c r="A231" i="17"/>
  <c r="B231" i="17"/>
  <c r="C231" i="17"/>
  <c r="D231" i="17"/>
  <c r="E231" i="17"/>
  <c r="F231" i="17"/>
  <c r="G231" i="17"/>
  <c r="H231" i="17"/>
  <c r="A232" i="17"/>
  <c r="B232" i="17"/>
  <c r="C232" i="17"/>
  <c r="D232" i="17"/>
  <c r="E232" i="17"/>
  <c r="F232" i="17"/>
  <c r="G232" i="17"/>
  <c r="H232" i="17"/>
  <c r="A233" i="17"/>
  <c r="B233" i="17"/>
  <c r="C233" i="17"/>
  <c r="D233" i="17"/>
  <c r="E233" i="17"/>
  <c r="F233" i="17"/>
  <c r="G233" i="17"/>
  <c r="H233" i="17"/>
  <c r="A234" i="17"/>
  <c r="B234" i="17"/>
  <c r="C234" i="17"/>
  <c r="D234" i="17"/>
  <c r="E234" i="17"/>
  <c r="F234" i="17"/>
  <c r="G234" i="17"/>
  <c r="H234" i="17"/>
  <c r="A235" i="17"/>
  <c r="B235" i="17"/>
  <c r="C235" i="17"/>
  <c r="D235" i="17"/>
  <c r="E235" i="17"/>
  <c r="F235" i="17"/>
  <c r="G235" i="17"/>
  <c r="H235" i="17"/>
  <c r="A238" i="17"/>
  <c r="B238" i="17"/>
  <c r="C238" i="17"/>
  <c r="D238" i="17"/>
  <c r="E238" i="17"/>
  <c r="F238" i="17"/>
  <c r="G238" i="17"/>
  <c r="H238" i="17"/>
  <c r="A239" i="17"/>
  <c r="B239" i="17"/>
  <c r="C239" i="17"/>
  <c r="D239" i="17"/>
  <c r="E239" i="17"/>
  <c r="F239" i="17"/>
  <c r="G239" i="17"/>
  <c r="H239" i="17"/>
  <c r="A240" i="17"/>
  <c r="B240" i="17"/>
  <c r="C240" i="17"/>
  <c r="D240" i="17"/>
  <c r="E240" i="17"/>
  <c r="F240" i="17"/>
  <c r="G240" i="17"/>
  <c r="H240" i="17"/>
  <c r="A241" i="17"/>
  <c r="B241" i="17"/>
  <c r="C241" i="17"/>
  <c r="D241" i="17"/>
  <c r="E241" i="17"/>
  <c r="F241" i="17"/>
  <c r="G241" i="17"/>
  <c r="H241" i="17"/>
  <c r="A242" i="17"/>
  <c r="B242" i="17"/>
  <c r="C242" i="17"/>
  <c r="D242" i="17"/>
  <c r="E242" i="17"/>
  <c r="F242" i="17"/>
  <c r="G242" i="17"/>
  <c r="H242" i="17"/>
  <c r="A243" i="17"/>
  <c r="B243" i="17"/>
  <c r="C243" i="17"/>
  <c r="D243" i="17"/>
  <c r="E243" i="17"/>
  <c r="F243" i="17"/>
  <c r="G243" i="17"/>
  <c r="H243" i="17"/>
  <c r="A244" i="17"/>
  <c r="B244" i="17"/>
  <c r="C244" i="17"/>
  <c r="D244" i="17"/>
  <c r="E244" i="17"/>
  <c r="F244" i="17"/>
  <c r="G244" i="17"/>
  <c r="H244" i="17"/>
  <c r="A245" i="17"/>
  <c r="B245" i="17"/>
  <c r="C245" i="17"/>
  <c r="D245" i="17"/>
  <c r="E245" i="17"/>
  <c r="F245" i="17"/>
  <c r="G245" i="17"/>
  <c r="H245" i="17"/>
  <c r="A246" i="17"/>
  <c r="B246" i="17"/>
  <c r="C246" i="17"/>
  <c r="D246" i="17"/>
  <c r="E246" i="17"/>
  <c r="F246" i="17"/>
  <c r="G246" i="17"/>
  <c r="H246" i="17"/>
  <c r="A247" i="17"/>
  <c r="B247" i="17"/>
  <c r="C247" i="17"/>
  <c r="D247" i="17"/>
  <c r="E247" i="17"/>
  <c r="F247" i="17"/>
  <c r="G247" i="17"/>
  <c r="H247" i="17"/>
  <c r="A248" i="17"/>
  <c r="B248" i="17"/>
  <c r="C248" i="17"/>
  <c r="D248" i="17"/>
  <c r="E248" i="17"/>
  <c r="F248" i="17"/>
  <c r="G248" i="17"/>
  <c r="H248" i="17"/>
  <c r="A249" i="17"/>
  <c r="B249" i="17"/>
  <c r="C249" i="17"/>
  <c r="D249" i="17"/>
  <c r="E249" i="17"/>
  <c r="F249" i="17"/>
  <c r="G249" i="17"/>
  <c r="H249" i="17"/>
  <c r="A250" i="17"/>
  <c r="B250" i="17"/>
  <c r="C250" i="17"/>
  <c r="D250" i="17"/>
  <c r="E250" i="17"/>
  <c r="F250" i="17"/>
  <c r="G250" i="17"/>
  <c r="H250" i="17"/>
  <c r="A251" i="17"/>
  <c r="B251" i="17"/>
  <c r="C251" i="17"/>
  <c r="D251" i="17"/>
  <c r="E251" i="17"/>
  <c r="F251" i="17"/>
  <c r="G251" i="17"/>
  <c r="H251" i="17"/>
  <c r="A252" i="17"/>
  <c r="B252" i="17"/>
  <c r="C252" i="17"/>
  <c r="D252" i="17"/>
  <c r="E252" i="17"/>
  <c r="F252" i="17"/>
  <c r="G252" i="17"/>
  <c r="H252" i="17"/>
  <c r="A253" i="17"/>
  <c r="B253" i="17"/>
  <c r="C253" i="17"/>
  <c r="D253" i="17"/>
  <c r="E253" i="17"/>
  <c r="F253" i="17"/>
  <c r="G253" i="17"/>
  <c r="H253" i="17"/>
  <c r="A254" i="17"/>
  <c r="B254" i="17"/>
  <c r="C254" i="17"/>
  <c r="D254" i="17"/>
  <c r="E254" i="17"/>
  <c r="F254" i="17"/>
  <c r="G254" i="17"/>
  <c r="H254" i="17"/>
  <c r="A255" i="17"/>
  <c r="B255" i="17"/>
  <c r="C255" i="17"/>
  <c r="D255" i="17"/>
  <c r="E255" i="17"/>
  <c r="F255" i="17"/>
  <c r="G255" i="17"/>
  <c r="H255" i="17"/>
  <c r="A256" i="17"/>
  <c r="B256" i="17"/>
  <c r="C256" i="17"/>
  <c r="D256" i="17"/>
  <c r="E256" i="17"/>
  <c r="F256" i="17"/>
  <c r="G256" i="17"/>
  <c r="H256" i="17"/>
  <c r="A257" i="17"/>
  <c r="B257" i="17"/>
  <c r="C257" i="17"/>
  <c r="D257" i="17"/>
  <c r="E257" i="17"/>
  <c r="F257" i="17"/>
  <c r="G257" i="17"/>
  <c r="H257" i="17"/>
  <c r="A258" i="17"/>
  <c r="B258" i="17"/>
  <c r="C258" i="17"/>
  <c r="D258" i="17"/>
  <c r="E258" i="17"/>
  <c r="F258" i="17"/>
  <c r="G258" i="17"/>
  <c r="H258" i="17"/>
  <c r="A259" i="17"/>
  <c r="B259" i="17"/>
  <c r="C259" i="17"/>
  <c r="D259" i="17"/>
  <c r="E259" i="17"/>
  <c r="F259" i="17"/>
  <c r="G259" i="17"/>
  <c r="H259" i="17"/>
  <c r="A260" i="17"/>
  <c r="B260" i="17"/>
  <c r="C260" i="17"/>
  <c r="D260" i="17"/>
  <c r="E260" i="17"/>
  <c r="F260" i="17"/>
  <c r="G260" i="17"/>
  <c r="H260" i="17"/>
  <c r="A261" i="17"/>
  <c r="B261" i="17"/>
  <c r="C261" i="17"/>
  <c r="D261" i="17"/>
  <c r="E261" i="17"/>
  <c r="F261" i="17"/>
  <c r="G261" i="17"/>
  <c r="H261" i="17"/>
  <c r="A262" i="17"/>
  <c r="B262" i="17"/>
  <c r="C262" i="17"/>
  <c r="D262" i="17"/>
  <c r="E262" i="17"/>
  <c r="F262" i="17"/>
  <c r="G262" i="17"/>
  <c r="H262" i="17"/>
  <c r="A263" i="17"/>
  <c r="B263" i="17"/>
  <c r="C263" i="17"/>
  <c r="D263" i="17"/>
  <c r="E263" i="17"/>
  <c r="F263" i="17"/>
  <c r="G263" i="17"/>
  <c r="H263" i="17"/>
  <c r="A264" i="17"/>
  <c r="B264" i="17"/>
  <c r="C264" i="17"/>
  <c r="D264" i="17"/>
  <c r="E264" i="17"/>
  <c r="F264" i="17"/>
  <c r="G264" i="17"/>
  <c r="H264" i="17"/>
  <c r="A265" i="17"/>
  <c r="B265" i="17"/>
  <c r="C265" i="17"/>
  <c r="D265" i="17"/>
  <c r="E265" i="17"/>
  <c r="F265" i="17"/>
  <c r="G265" i="17"/>
  <c r="H265" i="17"/>
  <c r="A266" i="17"/>
  <c r="B266" i="17"/>
  <c r="C266" i="17"/>
  <c r="D266" i="17"/>
  <c r="E266" i="17"/>
  <c r="F266" i="17"/>
  <c r="G266" i="17"/>
  <c r="H266" i="17"/>
  <c r="A267" i="17"/>
  <c r="B267" i="17"/>
  <c r="C267" i="17"/>
  <c r="D267" i="17"/>
  <c r="E267" i="17"/>
  <c r="F267" i="17"/>
  <c r="G267" i="17"/>
  <c r="H267" i="17"/>
  <c r="A268" i="17"/>
  <c r="B268" i="17"/>
  <c r="C268" i="17"/>
  <c r="D268" i="17"/>
  <c r="E268" i="17"/>
  <c r="F268" i="17"/>
  <c r="G268" i="17"/>
  <c r="H268" i="17"/>
  <c r="A269" i="17"/>
  <c r="B269" i="17"/>
  <c r="C269" i="17"/>
  <c r="D269" i="17"/>
  <c r="E269" i="17"/>
  <c r="F269" i="17"/>
  <c r="G269" i="17"/>
  <c r="H269" i="17"/>
  <c r="A270" i="17"/>
  <c r="B270" i="17"/>
  <c r="C270" i="17"/>
  <c r="D270" i="17"/>
  <c r="E270" i="17"/>
  <c r="F270" i="17"/>
  <c r="G270" i="17"/>
  <c r="H270" i="17"/>
  <c r="A271" i="17"/>
  <c r="B271" i="17"/>
  <c r="C271" i="17"/>
  <c r="D271" i="17"/>
  <c r="E271" i="17"/>
  <c r="F271" i="17"/>
  <c r="G271" i="17"/>
  <c r="H271" i="17"/>
  <c r="A272" i="17"/>
  <c r="B272" i="17"/>
  <c r="C272" i="17"/>
  <c r="D272" i="17"/>
  <c r="E272" i="17"/>
  <c r="F272" i="17"/>
  <c r="G272" i="17"/>
  <c r="H272" i="17"/>
  <c r="A273" i="17"/>
  <c r="B273" i="17"/>
  <c r="C273" i="17"/>
  <c r="D273" i="17"/>
  <c r="E273" i="17"/>
  <c r="F273" i="17"/>
  <c r="G273" i="17"/>
  <c r="H273" i="17"/>
  <c r="A274" i="17"/>
  <c r="B274" i="17"/>
  <c r="C274" i="17"/>
  <c r="D274" i="17"/>
  <c r="E274" i="17"/>
  <c r="F274" i="17"/>
  <c r="G274" i="17"/>
  <c r="H274" i="17"/>
  <c r="A275" i="17"/>
  <c r="B275" i="17"/>
  <c r="C275" i="17"/>
  <c r="D275" i="17"/>
  <c r="E275" i="17"/>
  <c r="F275" i="17"/>
  <c r="G275" i="17"/>
  <c r="H275" i="17"/>
  <c r="A276" i="17"/>
  <c r="B276" i="17"/>
  <c r="C276" i="17"/>
  <c r="D276" i="17"/>
  <c r="E276" i="17"/>
  <c r="F276" i="17"/>
  <c r="G276" i="17"/>
  <c r="H276" i="17"/>
  <c r="A277" i="17"/>
  <c r="B277" i="17"/>
  <c r="C277" i="17"/>
  <c r="D277" i="17"/>
  <c r="E277" i="17"/>
  <c r="F277" i="17"/>
  <c r="G277" i="17"/>
  <c r="H277" i="17"/>
  <c r="A278" i="17"/>
  <c r="B278" i="17"/>
  <c r="C278" i="17"/>
  <c r="D278" i="17"/>
  <c r="E278" i="17"/>
  <c r="F278" i="17"/>
  <c r="G278" i="17"/>
  <c r="H278" i="17"/>
  <c r="A279" i="17"/>
  <c r="B279" i="17"/>
  <c r="C279" i="17"/>
  <c r="D279" i="17"/>
  <c r="E279" i="17"/>
  <c r="F279" i="17"/>
  <c r="G279" i="17"/>
  <c r="H279" i="17"/>
  <c r="A280" i="17"/>
  <c r="B280" i="17"/>
  <c r="C280" i="17"/>
  <c r="D280" i="17"/>
  <c r="E280" i="17"/>
  <c r="F280" i="17"/>
  <c r="G280" i="17"/>
  <c r="H280" i="17"/>
  <c r="A281" i="17"/>
  <c r="B281" i="17"/>
  <c r="C281" i="17"/>
  <c r="D281" i="17"/>
  <c r="E281" i="17"/>
  <c r="F281" i="17"/>
  <c r="G281" i="17"/>
  <c r="H281" i="17"/>
  <c r="A282" i="17"/>
  <c r="B282" i="17"/>
  <c r="C282" i="17"/>
  <c r="D282" i="17"/>
  <c r="E282" i="17"/>
  <c r="F282" i="17"/>
  <c r="G282" i="17"/>
  <c r="H282" i="17"/>
  <c r="A283" i="17"/>
  <c r="B283" i="17"/>
  <c r="C283" i="17"/>
  <c r="D283" i="17"/>
  <c r="E283" i="17"/>
  <c r="F283" i="17"/>
  <c r="G283" i="17"/>
  <c r="H283" i="17"/>
  <c r="A284" i="17"/>
  <c r="B284" i="17"/>
  <c r="C284" i="17"/>
  <c r="D284" i="17"/>
  <c r="E284" i="17"/>
  <c r="F284" i="17"/>
  <c r="G284" i="17"/>
  <c r="H284" i="17"/>
  <c r="A285" i="17"/>
  <c r="B285" i="17"/>
  <c r="C285" i="17"/>
  <c r="D285" i="17"/>
  <c r="E285" i="17"/>
  <c r="F285" i="17"/>
  <c r="G285" i="17"/>
  <c r="H285" i="17"/>
  <c r="A286" i="17"/>
  <c r="B286" i="17"/>
  <c r="C286" i="17"/>
  <c r="D286" i="17"/>
  <c r="E286" i="17"/>
  <c r="F286" i="17"/>
  <c r="G286" i="17"/>
  <c r="H286" i="17"/>
  <c r="A287" i="17"/>
  <c r="B287" i="17"/>
  <c r="C287" i="17"/>
  <c r="D287" i="17"/>
  <c r="E287" i="17"/>
  <c r="F287" i="17"/>
  <c r="G287" i="17"/>
  <c r="H287" i="17"/>
  <c r="A288" i="17"/>
  <c r="B288" i="17"/>
  <c r="C288" i="17"/>
  <c r="D288" i="17"/>
  <c r="E288" i="17"/>
  <c r="F288" i="17"/>
  <c r="G288" i="17"/>
  <c r="H288" i="17"/>
  <c r="A289" i="17"/>
  <c r="B289" i="17"/>
  <c r="C289" i="17"/>
  <c r="D289" i="17"/>
  <c r="E289" i="17"/>
  <c r="F289" i="17"/>
  <c r="G289" i="17"/>
  <c r="H289" i="17"/>
  <c r="A4" i="17"/>
  <c r="B4" i="17"/>
  <c r="C4" i="17"/>
  <c r="D4" i="17"/>
  <c r="E4" i="17"/>
  <c r="F4" i="17"/>
  <c r="G4" i="17"/>
  <c r="H4" i="17"/>
  <c r="A14" i="17"/>
  <c r="B14" i="17"/>
  <c r="C14" i="17"/>
  <c r="D14" i="17"/>
  <c r="E14" i="17"/>
  <c r="F14" i="17"/>
  <c r="G14" i="17"/>
  <c r="H14" i="17"/>
  <c r="A54" i="17"/>
  <c r="B54" i="17"/>
  <c r="C54" i="17"/>
  <c r="D54" i="17"/>
  <c r="E54" i="17"/>
  <c r="F54" i="17"/>
  <c r="G54" i="17"/>
  <c r="H54" i="17"/>
  <c r="A55" i="17"/>
  <c r="B55" i="17"/>
  <c r="C55" i="17"/>
  <c r="D55" i="17"/>
  <c r="E55" i="17"/>
  <c r="F55" i="17"/>
  <c r="G55" i="17"/>
  <c r="H55" i="17"/>
  <c r="A56" i="17"/>
  <c r="B56" i="17"/>
  <c r="C56" i="17"/>
  <c r="D56" i="17"/>
  <c r="E56" i="17"/>
  <c r="F56" i="17"/>
  <c r="G56" i="17"/>
  <c r="H56" i="17"/>
  <c r="A57" i="17"/>
  <c r="B57" i="17"/>
  <c r="C57" i="17"/>
  <c r="D57" i="17"/>
  <c r="E57" i="17"/>
  <c r="F57" i="17"/>
  <c r="G57" i="17"/>
  <c r="H57" i="17"/>
  <c r="A58" i="17"/>
  <c r="B58" i="17"/>
  <c r="C58" i="17"/>
  <c r="D58" i="17"/>
  <c r="E58" i="17"/>
  <c r="F58" i="17"/>
  <c r="G58" i="17"/>
  <c r="H58" i="17"/>
  <c r="A60" i="17"/>
  <c r="B60" i="17"/>
  <c r="C60" i="17"/>
  <c r="D60" i="17"/>
  <c r="E60" i="17"/>
  <c r="F60" i="17"/>
  <c r="G60" i="17"/>
  <c r="H60" i="17"/>
  <c r="A61" i="17"/>
  <c r="B61" i="17"/>
  <c r="C61" i="17"/>
  <c r="D61" i="17"/>
  <c r="E61" i="17"/>
  <c r="F61" i="17"/>
  <c r="G61" i="17"/>
  <c r="H61" i="17"/>
  <c r="A62" i="17"/>
  <c r="B62" i="17"/>
  <c r="C62" i="17"/>
  <c r="D62" i="17"/>
  <c r="E62" i="17"/>
  <c r="F62" i="17"/>
  <c r="G62" i="17"/>
  <c r="H62" i="17"/>
  <c r="A63" i="17"/>
  <c r="B63" i="17"/>
  <c r="C63" i="17"/>
  <c r="D63" i="17"/>
  <c r="E63" i="17"/>
  <c r="F63" i="17"/>
  <c r="G63" i="17"/>
  <c r="H63" i="17"/>
  <c r="A65" i="17"/>
  <c r="B65" i="17"/>
  <c r="C65" i="17"/>
  <c r="D65" i="17"/>
  <c r="E65" i="17"/>
  <c r="F65" i="17"/>
  <c r="G65" i="17"/>
  <c r="H65" i="17"/>
  <c r="A66" i="17"/>
  <c r="B66" i="17"/>
  <c r="C66" i="17"/>
  <c r="D66" i="17"/>
  <c r="E66" i="17"/>
  <c r="F66" i="17"/>
  <c r="G66" i="17"/>
  <c r="H66" i="17"/>
  <c r="A67" i="17"/>
  <c r="B67" i="17"/>
  <c r="C67" i="17"/>
  <c r="D67" i="17"/>
  <c r="E67" i="17"/>
  <c r="F67" i="17"/>
  <c r="G67" i="17"/>
  <c r="H67" i="17"/>
  <c r="A68" i="17"/>
  <c r="B68" i="17"/>
  <c r="C68" i="17"/>
  <c r="D68" i="17"/>
  <c r="E68" i="17"/>
  <c r="F68" i="17"/>
  <c r="G68" i="17"/>
  <c r="H68" i="17"/>
  <c r="A71" i="17"/>
  <c r="B71" i="17"/>
  <c r="C71" i="17"/>
  <c r="D71" i="17"/>
  <c r="E71" i="17"/>
  <c r="F71" i="17"/>
  <c r="G71" i="17"/>
  <c r="H71" i="17"/>
  <c r="A72" i="17"/>
  <c r="B72" i="17"/>
  <c r="C72" i="17"/>
  <c r="D72" i="17"/>
  <c r="E72" i="17"/>
  <c r="F72" i="17"/>
  <c r="G72" i="17"/>
  <c r="H72" i="17"/>
  <c r="A74" i="17"/>
  <c r="B74" i="17"/>
  <c r="C74" i="17"/>
  <c r="D74" i="17"/>
  <c r="E74" i="17"/>
  <c r="F74" i="17"/>
  <c r="G74" i="17"/>
  <c r="H74" i="17"/>
  <c r="A129" i="17"/>
  <c r="B129" i="17"/>
  <c r="C129" i="17"/>
  <c r="D129" i="17"/>
  <c r="E129" i="17"/>
  <c r="F129" i="17"/>
  <c r="G129" i="17"/>
  <c r="H129" i="17"/>
  <c r="A130" i="17"/>
  <c r="B130" i="17"/>
  <c r="C130" i="17"/>
  <c r="D130" i="17"/>
  <c r="E130" i="17"/>
  <c r="F130" i="17"/>
  <c r="G130" i="17"/>
  <c r="H130" i="17"/>
  <c r="A131" i="17"/>
  <c r="B131" i="17"/>
  <c r="C131" i="17"/>
  <c r="D131" i="17"/>
  <c r="E131" i="17"/>
  <c r="F131" i="17"/>
  <c r="G131" i="17"/>
  <c r="H131" i="17"/>
  <c r="A140" i="17"/>
  <c r="B140" i="17"/>
  <c r="C140" i="17"/>
  <c r="D140" i="17"/>
  <c r="E140" i="17"/>
  <c r="F140" i="17"/>
  <c r="G140" i="17"/>
  <c r="H140" i="17"/>
  <c r="A147" i="17"/>
  <c r="B147" i="17"/>
  <c r="C147" i="17"/>
  <c r="D147" i="17"/>
  <c r="E147" i="17"/>
  <c r="F147" i="17"/>
  <c r="G147" i="17"/>
  <c r="H147" i="17"/>
  <c r="A149" i="17"/>
  <c r="B149" i="17"/>
  <c r="C149" i="17"/>
  <c r="D149" i="17"/>
  <c r="E149" i="17"/>
  <c r="F149" i="17"/>
  <c r="G149" i="17"/>
  <c r="H149" i="17"/>
  <c r="A151" i="17"/>
  <c r="B151" i="17"/>
  <c r="C151" i="17"/>
  <c r="D151" i="17"/>
  <c r="E151" i="17"/>
  <c r="F151" i="17"/>
  <c r="G151" i="17"/>
  <c r="H151" i="17"/>
  <c r="A180" i="17"/>
  <c r="B180" i="17"/>
  <c r="C180" i="17"/>
  <c r="D180" i="17"/>
  <c r="E180" i="17"/>
  <c r="F180" i="17"/>
  <c r="G180" i="17"/>
  <c r="H180" i="17"/>
  <c r="A209" i="17"/>
  <c r="B209" i="17"/>
  <c r="C209" i="17"/>
  <c r="D209" i="17"/>
  <c r="E209" i="17"/>
  <c r="F209" i="17"/>
  <c r="G209" i="17"/>
  <c r="H209" i="17"/>
  <c r="A210" i="17"/>
  <c r="B210" i="17"/>
  <c r="C210" i="17"/>
  <c r="D210" i="17"/>
  <c r="E210" i="17"/>
  <c r="F210" i="17"/>
  <c r="G210" i="17"/>
  <c r="H210" i="17"/>
  <c r="A220" i="17"/>
  <c r="B220" i="17"/>
  <c r="C220" i="17"/>
  <c r="D220" i="17"/>
  <c r="E220" i="17"/>
  <c r="F220" i="17"/>
  <c r="G220" i="17"/>
  <c r="H220" i="17"/>
  <c r="A223" i="17"/>
  <c r="B223" i="17"/>
  <c r="C223" i="17"/>
  <c r="D223" i="17"/>
  <c r="E223" i="17"/>
  <c r="F223" i="17"/>
  <c r="G223" i="17"/>
  <c r="H223" i="17"/>
  <c r="A236" i="17"/>
  <c r="B236" i="17"/>
  <c r="C236" i="17"/>
  <c r="D236" i="17"/>
  <c r="E236" i="17"/>
  <c r="F236" i="17"/>
  <c r="G236" i="17"/>
  <c r="H236" i="17"/>
  <c r="A237" i="17"/>
  <c r="B237" i="17"/>
  <c r="C237" i="17"/>
  <c r="D237" i="17"/>
  <c r="E237" i="17"/>
  <c r="F237" i="17"/>
  <c r="G237" i="17"/>
  <c r="H237" i="17"/>
  <c r="A290" i="17"/>
  <c r="B290" i="17"/>
  <c r="C290" i="17"/>
  <c r="D290" i="17"/>
  <c r="E290" i="17"/>
  <c r="F290" i="17"/>
  <c r="G290" i="17"/>
  <c r="H290" i="17"/>
  <c r="A291" i="17"/>
  <c r="B291" i="17"/>
  <c r="C291" i="17"/>
  <c r="D291" i="17"/>
  <c r="E291" i="17"/>
  <c r="F291" i="17"/>
  <c r="G291" i="17"/>
  <c r="H291" i="17"/>
  <c r="A12" i="17"/>
  <c r="B12" i="17"/>
  <c r="C12" i="17"/>
  <c r="D12" i="17"/>
  <c r="E12" i="17"/>
  <c r="F12" i="17"/>
  <c r="G12" i="17"/>
  <c r="H12" i="17"/>
  <c r="A6" i="15"/>
  <c r="B6" i="15"/>
  <c r="C6" i="15"/>
  <c r="D6" i="15"/>
  <c r="E6" i="15"/>
  <c r="F6" i="15"/>
  <c r="G6" i="15"/>
  <c r="H6" i="15"/>
  <c r="I6" i="15"/>
  <c r="A12" i="15"/>
  <c r="B12" i="15"/>
  <c r="C12" i="15"/>
  <c r="D12" i="15"/>
  <c r="E12" i="15"/>
  <c r="F12" i="15"/>
  <c r="G12" i="15"/>
  <c r="H12" i="15"/>
  <c r="I12" i="15"/>
  <c r="A13" i="15"/>
  <c r="B13" i="15"/>
  <c r="C13" i="15"/>
  <c r="D13" i="15"/>
  <c r="E13" i="15"/>
  <c r="F13" i="15"/>
  <c r="G13" i="15"/>
  <c r="H13" i="15"/>
  <c r="I13" i="15"/>
  <c r="A28" i="15"/>
  <c r="B28" i="15"/>
  <c r="C28" i="15"/>
  <c r="D28" i="15"/>
  <c r="E28" i="15"/>
  <c r="F28" i="15"/>
  <c r="G28" i="15"/>
  <c r="H28" i="15"/>
  <c r="I28" i="15"/>
  <c r="A53" i="15"/>
  <c r="B53" i="15"/>
  <c r="C53" i="15"/>
  <c r="D53" i="15"/>
  <c r="E53" i="15"/>
  <c r="F53" i="15"/>
  <c r="G53" i="15"/>
  <c r="H53" i="15"/>
  <c r="I53" i="15"/>
  <c r="A60" i="15"/>
  <c r="B60" i="15"/>
  <c r="C60" i="15"/>
  <c r="D60" i="15"/>
  <c r="E60" i="15"/>
  <c r="F60" i="15"/>
  <c r="G60" i="15"/>
  <c r="H60" i="15"/>
  <c r="I60" i="15"/>
  <c r="A101" i="15"/>
  <c r="B101" i="15"/>
  <c r="C101" i="15"/>
  <c r="D101" i="15"/>
  <c r="E101" i="15"/>
  <c r="F101" i="15"/>
  <c r="G101" i="15"/>
  <c r="H101" i="15"/>
  <c r="I101" i="15"/>
  <c r="A106" i="15"/>
  <c r="B106" i="15"/>
  <c r="C106" i="15"/>
  <c r="D106" i="15"/>
  <c r="E106" i="15"/>
  <c r="F106" i="15"/>
  <c r="G106" i="15"/>
  <c r="H106" i="15"/>
  <c r="I106" i="15"/>
  <c r="A113" i="15"/>
  <c r="B113" i="15"/>
  <c r="C113" i="15"/>
  <c r="D113" i="15"/>
  <c r="E113" i="15"/>
  <c r="F113" i="15"/>
  <c r="G113" i="15"/>
  <c r="H113" i="15"/>
  <c r="I113" i="15"/>
  <c r="A123" i="15"/>
  <c r="B123" i="15"/>
  <c r="C123" i="15"/>
  <c r="D123" i="15"/>
  <c r="E123" i="15"/>
  <c r="F123" i="15"/>
  <c r="G123" i="15"/>
  <c r="H123" i="15"/>
  <c r="I123" i="15"/>
  <c r="A129" i="15"/>
  <c r="B129" i="15"/>
  <c r="C129" i="15"/>
  <c r="D129" i="15"/>
  <c r="E129" i="15"/>
  <c r="F129" i="15"/>
  <c r="G129" i="15"/>
  <c r="H129" i="15"/>
  <c r="I129" i="15"/>
  <c r="A133" i="15"/>
  <c r="B133" i="15"/>
  <c r="C133" i="15"/>
  <c r="D133" i="15"/>
  <c r="E133" i="15"/>
  <c r="F133" i="15"/>
  <c r="G133" i="15"/>
  <c r="H133" i="15"/>
  <c r="I133" i="15"/>
  <c r="A137" i="15"/>
  <c r="B137" i="15"/>
  <c r="C137" i="15"/>
  <c r="D137" i="15"/>
  <c r="E137" i="15"/>
  <c r="F137" i="15"/>
  <c r="G137" i="15"/>
  <c r="H137" i="15"/>
  <c r="I137" i="15"/>
  <c r="A159" i="15"/>
  <c r="B159" i="15"/>
  <c r="C159" i="15"/>
  <c r="D159" i="15"/>
  <c r="E159" i="15"/>
  <c r="F159" i="15"/>
  <c r="G159" i="15"/>
  <c r="H159" i="15"/>
  <c r="I159" i="15"/>
  <c r="A162" i="15"/>
  <c r="B162" i="15"/>
  <c r="C162" i="15"/>
  <c r="D162" i="15"/>
  <c r="E162" i="15"/>
  <c r="F162" i="15"/>
  <c r="G162" i="15"/>
  <c r="H162" i="15"/>
  <c r="I162" i="15"/>
  <c r="A165" i="15"/>
  <c r="B165" i="15"/>
  <c r="C165" i="15"/>
  <c r="D165" i="15"/>
  <c r="E165" i="15"/>
  <c r="F165" i="15"/>
  <c r="G165" i="15"/>
  <c r="H165" i="15"/>
  <c r="I165" i="15"/>
  <c r="A169" i="15"/>
  <c r="B169" i="15"/>
  <c r="C169" i="15"/>
  <c r="D169" i="15"/>
  <c r="E169" i="15"/>
  <c r="F169" i="15"/>
  <c r="G169" i="15"/>
  <c r="H169" i="15"/>
  <c r="I169" i="15"/>
  <c r="A184" i="15"/>
  <c r="B184" i="15"/>
  <c r="C184" i="15"/>
  <c r="D184" i="15"/>
  <c r="E184" i="15"/>
  <c r="F184" i="15"/>
  <c r="G184" i="15"/>
  <c r="H184" i="15"/>
  <c r="I184" i="15"/>
  <c r="A191" i="15"/>
  <c r="B191" i="15"/>
  <c r="C191" i="15"/>
  <c r="D191" i="15"/>
  <c r="E191" i="15"/>
  <c r="F191" i="15"/>
  <c r="G191" i="15"/>
  <c r="H191" i="15"/>
  <c r="I191" i="15"/>
  <c r="A193" i="15"/>
  <c r="B193" i="15"/>
  <c r="C193" i="15"/>
  <c r="D193" i="15"/>
  <c r="E193" i="15"/>
  <c r="F193" i="15"/>
  <c r="G193" i="15"/>
  <c r="H193" i="15"/>
  <c r="I193" i="15"/>
  <c r="A201" i="15"/>
  <c r="B201" i="15"/>
  <c r="C201" i="15"/>
  <c r="D201" i="15"/>
  <c r="E201" i="15"/>
  <c r="F201" i="15"/>
  <c r="G201" i="15"/>
  <c r="H201" i="15"/>
  <c r="I201" i="15"/>
  <c r="A207" i="15"/>
  <c r="B207" i="15"/>
  <c r="C207" i="15"/>
  <c r="D207" i="15"/>
  <c r="E207" i="15"/>
  <c r="F207" i="15"/>
  <c r="G207" i="15"/>
  <c r="H207" i="15"/>
  <c r="I207" i="15"/>
  <c r="A234" i="15"/>
  <c r="B234" i="15"/>
  <c r="C234" i="15"/>
  <c r="D234" i="15"/>
  <c r="E234" i="15"/>
  <c r="F234" i="15"/>
  <c r="G234" i="15"/>
  <c r="H234" i="15"/>
  <c r="I234" i="15"/>
  <c r="A235" i="15"/>
  <c r="B235" i="15"/>
  <c r="C235" i="15"/>
  <c r="D235" i="15"/>
  <c r="E235" i="15"/>
  <c r="F235" i="15"/>
  <c r="G235" i="15"/>
  <c r="H235" i="15"/>
  <c r="I235" i="15"/>
  <c r="A237" i="15"/>
  <c r="B237" i="15"/>
  <c r="C237" i="15"/>
  <c r="D237" i="15"/>
  <c r="E237" i="15"/>
  <c r="F237" i="15"/>
  <c r="G237" i="15"/>
  <c r="H237" i="15"/>
  <c r="I237" i="15"/>
  <c r="A238" i="15"/>
  <c r="B238" i="15"/>
  <c r="C238" i="15"/>
  <c r="D238" i="15"/>
  <c r="E238" i="15"/>
  <c r="F238" i="15"/>
  <c r="G238" i="15"/>
  <c r="H238" i="15"/>
  <c r="I238" i="15"/>
  <c r="A241" i="15"/>
  <c r="B241" i="15"/>
  <c r="C241" i="15"/>
  <c r="D241" i="15"/>
  <c r="E241" i="15"/>
  <c r="F241" i="15"/>
  <c r="G241" i="15"/>
  <c r="H241" i="15"/>
  <c r="I241" i="15"/>
  <c r="A242" i="15"/>
  <c r="B242" i="15"/>
  <c r="C242" i="15"/>
  <c r="D242" i="15"/>
  <c r="E242" i="15"/>
  <c r="F242" i="15"/>
  <c r="G242" i="15"/>
  <c r="H242" i="15"/>
  <c r="I242" i="15"/>
  <c r="A244" i="15"/>
  <c r="B244" i="15"/>
  <c r="C244" i="15"/>
  <c r="D244" i="15"/>
  <c r="E244" i="15"/>
  <c r="F244" i="15"/>
  <c r="G244" i="15"/>
  <c r="H244" i="15"/>
  <c r="I244" i="15"/>
  <c r="A248" i="15"/>
  <c r="B248" i="15"/>
  <c r="C248" i="15"/>
  <c r="D248" i="15"/>
  <c r="E248" i="15"/>
  <c r="F248" i="15"/>
  <c r="G248" i="15"/>
  <c r="H248" i="15"/>
  <c r="I248" i="15"/>
  <c r="A252" i="15"/>
  <c r="B252" i="15"/>
  <c r="C252" i="15"/>
  <c r="D252" i="15"/>
  <c r="E252" i="15"/>
  <c r="F252" i="15"/>
  <c r="G252" i="15"/>
  <c r="H252" i="15"/>
  <c r="I252" i="15"/>
  <c r="A254" i="15"/>
  <c r="B254" i="15"/>
  <c r="C254" i="15"/>
  <c r="D254" i="15"/>
  <c r="E254" i="15"/>
  <c r="F254" i="15"/>
  <c r="G254" i="15"/>
  <c r="H254" i="15"/>
  <c r="I254" i="15"/>
  <c r="A56" i="15"/>
  <c r="B56" i="15"/>
  <c r="C56" i="15"/>
  <c r="D56" i="15"/>
  <c r="E56" i="15"/>
  <c r="F56" i="15"/>
  <c r="G56" i="15"/>
  <c r="H56" i="15"/>
  <c r="I56" i="15"/>
  <c r="A541" i="15"/>
  <c r="B541" i="15"/>
  <c r="C541" i="15"/>
  <c r="D541" i="15"/>
  <c r="E541" i="15"/>
  <c r="F541" i="15"/>
  <c r="G541" i="15"/>
  <c r="H541" i="15"/>
  <c r="I541" i="15"/>
  <c r="A542" i="15"/>
  <c r="B542" i="15"/>
  <c r="C542" i="15"/>
  <c r="D542" i="15"/>
  <c r="E542" i="15"/>
  <c r="F542" i="15"/>
  <c r="G542" i="15"/>
  <c r="H542" i="15"/>
  <c r="I542" i="15"/>
  <c r="A543" i="15"/>
  <c r="B543" i="15"/>
  <c r="C543" i="15"/>
  <c r="D543" i="15"/>
  <c r="E543" i="15"/>
  <c r="F543" i="15"/>
  <c r="G543" i="15"/>
  <c r="H543" i="15"/>
  <c r="I543" i="15"/>
  <c r="A544" i="15"/>
  <c r="B544" i="15"/>
  <c r="C544" i="15"/>
  <c r="D544" i="15"/>
  <c r="E544" i="15"/>
  <c r="F544" i="15"/>
  <c r="G544" i="15"/>
  <c r="H544" i="15"/>
  <c r="I544" i="15"/>
  <c r="A545" i="15"/>
  <c r="B545" i="15"/>
  <c r="C545" i="15"/>
  <c r="D545" i="15"/>
  <c r="E545" i="15"/>
  <c r="F545" i="15"/>
  <c r="G545" i="15"/>
  <c r="H545" i="15"/>
  <c r="I545" i="15"/>
  <c r="J336" i="15"/>
  <c r="B14" i="15"/>
  <c r="C14" i="15"/>
  <c r="D14" i="15"/>
  <c r="E14" i="15"/>
  <c r="F14" i="15"/>
  <c r="G14" i="15"/>
  <c r="H14" i="15"/>
  <c r="I14" i="15"/>
  <c r="B15" i="15"/>
  <c r="C15" i="15"/>
  <c r="D15" i="15"/>
  <c r="E15" i="15"/>
  <c r="F15" i="15"/>
  <c r="G15" i="15"/>
  <c r="H15" i="15"/>
  <c r="I15" i="15"/>
  <c r="B21" i="15"/>
  <c r="C21" i="15"/>
  <c r="D21" i="15"/>
  <c r="E21" i="15"/>
  <c r="F21" i="15"/>
  <c r="G21" i="15"/>
  <c r="H21" i="15"/>
  <c r="I21" i="15"/>
  <c r="B24" i="15"/>
  <c r="C24" i="15"/>
  <c r="D24" i="15"/>
  <c r="E24" i="15"/>
  <c r="F24" i="15"/>
  <c r="G24" i="15"/>
  <c r="H24" i="15"/>
  <c r="I24" i="15"/>
  <c r="B44" i="15"/>
  <c r="C44" i="15"/>
  <c r="D44" i="15"/>
  <c r="E44" i="15"/>
  <c r="F44" i="15"/>
  <c r="G44" i="15"/>
  <c r="H44" i="15"/>
  <c r="I44" i="15"/>
  <c r="B52" i="15"/>
  <c r="C52" i="15"/>
  <c r="D52" i="15"/>
  <c r="E52" i="15"/>
  <c r="F52" i="15"/>
  <c r="G52" i="15"/>
  <c r="H52" i="15"/>
  <c r="I52" i="15"/>
  <c r="B58" i="15"/>
  <c r="C58" i="15"/>
  <c r="D58" i="15"/>
  <c r="E58" i="15"/>
  <c r="F58" i="15"/>
  <c r="G58" i="15"/>
  <c r="H58" i="15"/>
  <c r="I58" i="15"/>
  <c r="B59" i="15"/>
  <c r="C59" i="15"/>
  <c r="D59" i="15"/>
  <c r="E59" i="15"/>
  <c r="F59" i="15"/>
  <c r="G59" i="15"/>
  <c r="H59" i="15"/>
  <c r="I59" i="15"/>
  <c r="B63" i="15"/>
  <c r="C63" i="15"/>
  <c r="D63" i="15"/>
  <c r="E63" i="15"/>
  <c r="F63" i="15"/>
  <c r="G63" i="15"/>
  <c r="H63" i="15"/>
  <c r="I63" i="15"/>
  <c r="B64" i="15"/>
  <c r="C64" i="15"/>
  <c r="D64" i="15"/>
  <c r="E64" i="15"/>
  <c r="F64" i="15"/>
  <c r="G64" i="15"/>
  <c r="H64" i="15"/>
  <c r="I64" i="15"/>
  <c r="B68" i="15"/>
  <c r="C68" i="15"/>
  <c r="D68" i="15"/>
  <c r="E68" i="15"/>
  <c r="F68" i="15"/>
  <c r="G68" i="15"/>
  <c r="H68" i="15"/>
  <c r="I68" i="15"/>
  <c r="B100" i="15"/>
  <c r="C100" i="15"/>
  <c r="D100" i="15"/>
  <c r="E100" i="15"/>
  <c r="F100" i="15"/>
  <c r="G100" i="15"/>
  <c r="H100" i="15"/>
  <c r="I100" i="15"/>
  <c r="B105" i="15"/>
  <c r="C105" i="15"/>
  <c r="D105" i="15"/>
  <c r="E105" i="15"/>
  <c r="F105" i="15"/>
  <c r="G105" i="15"/>
  <c r="H105" i="15"/>
  <c r="I105" i="15"/>
  <c r="B111" i="15"/>
  <c r="C111" i="15"/>
  <c r="D111" i="15"/>
  <c r="E111" i="15"/>
  <c r="F111" i="15"/>
  <c r="G111" i="15"/>
  <c r="H111" i="15"/>
  <c r="I111" i="15"/>
  <c r="B112" i="15"/>
  <c r="C112" i="15"/>
  <c r="D112" i="15"/>
  <c r="E112" i="15"/>
  <c r="F112" i="15"/>
  <c r="G112" i="15"/>
  <c r="H112" i="15"/>
  <c r="I112" i="15"/>
  <c r="B116" i="15"/>
  <c r="C116" i="15"/>
  <c r="D116" i="15"/>
  <c r="E116" i="15"/>
  <c r="F116" i="15"/>
  <c r="G116" i="15"/>
  <c r="H116" i="15"/>
  <c r="I116" i="15"/>
  <c r="B118" i="15"/>
  <c r="C118" i="15"/>
  <c r="D118" i="15"/>
  <c r="E118" i="15"/>
  <c r="F118" i="15"/>
  <c r="G118" i="15"/>
  <c r="H118" i="15"/>
  <c r="I118" i="15"/>
  <c r="B119" i="15"/>
  <c r="C119" i="15"/>
  <c r="D119" i="15"/>
  <c r="E119" i="15"/>
  <c r="F119" i="15"/>
  <c r="G119" i="15"/>
  <c r="H119" i="15"/>
  <c r="I119" i="15"/>
  <c r="B122" i="15"/>
  <c r="C122" i="15"/>
  <c r="D122" i="15"/>
  <c r="E122" i="15"/>
  <c r="F122" i="15"/>
  <c r="G122" i="15"/>
  <c r="H122" i="15"/>
  <c r="I122" i="15"/>
  <c r="B125" i="15"/>
  <c r="C125" i="15"/>
  <c r="D125" i="15"/>
  <c r="E125" i="15"/>
  <c r="F125" i="15"/>
  <c r="G125" i="15"/>
  <c r="H125" i="15"/>
  <c r="I125" i="15"/>
  <c r="B128" i="15"/>
  <c r="C128" i="15"/>
  <c r="D128" i="15"/>
  <c r="E128" i="15"/>
  <c r="F128" i="15"/>
  <c r="G128" i="15"/>
  <c r="H128" i="15"/>
  <c r="I128" i="15"/>
  <c r="B132" i="15"/>
  <c r="C132" i="15"/>
  <c r="D132" i="15"/>
  <c r="E132" i="15"/>
  <c r="F132" i="15"/>
  <c r="G132" i="15"/>
  <c r="H132" i="15"/>
  <c r="I132" i="15"/>
  <c r="B136" i="15"/>
  <c r="C136" i="15"/>
  <c r="D136" i="15"/>
  <c r="E136" i="15"/>
  <c r="F136" i="15"/>
  <c r="G136" i="15"/>
  <c r="H136" i="15"/>
  <c r="I136" i="15"/>
  <c r="B140" i="15"/>
  <c r="C140" i="15"/>
  <c r="D140" i="15"/>
  <c r="E140" i="15"/>
  <c r="F140" i="15"/>
  <c r="G140" i="15"/>
  <c r="H140" i="15"/>
  <c r="I140" i="15"/>
  <c r="B142" i="15"/>
  <c r="C142" i="15"/>
  <c r="D142" i="15"/>
  <c r="E142" i="15"/>
  <c r="F142" i="15"/>
  <c r="G142" i="15"/>
  <c r="H142" i="15"/>
  <c r="I142" i="15"/>
  <c r="B143" i="15"/>
  <c r="C143" i="15"/>
  <c r="D143" i="15"/>
  <c r="E143" i="15"/>
  <c r="F143" i="15"/>
  <c r="G143" i="15"/>
  <c r="H143" i="15"/>
  <c r="I143" i="15"/>
  <c r="B144" i="15"/>
  <c r="C144" i="15"/>
  <c r="D144" i="15"/>
  <c r="E144" i="15"/>
  <c r="F144" i="15"/>
  <c r="G144" i="15"/>
  <c r="H144" i="15"/>
  <c r="I144" i="15"/>
  <c r="B145" i="15"/>
  <c r="C145" i="15"/>
  <c r="D145" i="15"/>
  <c r="E145" i="15"/>
  <c r="F145" i="15"/>
  <c r="G145" i="15"/>
  <c r="H145" i="15"/>
  <c r="I145" i="15"/>
  <c r="B147" i="15"/>
  <c r="C147" i="15"/>
  <c r="D147" i="15"/>
  <c r="E147" i="15"/>
  <c r="F147" i="15"/>
  <c r="G147" i="15"/>
  <c r="H147" i="15"/>
  <c r="I147" i="15"/>
  <c r="B148" i="15"/>
  <c r="C148" i="15"/>
  <c r="D148" i="15"/>
  <c r="E148" i="15"/>
  <c r="F148" i="15"/>
  <c r="G148" i="15"/>
  <c r="H148" i="15"/>
  <c r="I148" i="15"/>
  <c r="B149" i="15"/>
  <c r="C149" i="15"/>
  <c r="D149" i="15"/>
  <c r="E149" i="15"/>
  <c r="F149" i="15"/>
  <c r="G149" i="15"/>
  <c r="H149" i="15"/>
  <c r="I149" i="15"/>
  <c r="B150" i="15"/>
  <c r="C150" i="15"/>
  <c r="D150" i="15"/>
  <c r="E150" i="15"/>
  <c r="F150" i="15"/>
  <c r="G150" i="15"/>
  <c r="H150" i="15"/>
  <c r="I150" i="15"/>
  <c r="B152" i="15"/>
  <c r="C152" i="15"/>
  <c r="D152" i="15"/>
  <c r="E152" i="15"/>
  <c r="F152" i="15"/>
  <c r="G152" i="15"/>
  <c r="H152" i="15"/>
  <c r="I152" i="15"/>
  <c r="B153" i="15"/>
  <c r="C153" i="15"/>
  <c r="D153" i="15"/>
  <c r="E153" i="15"/>
  <c r="F153" i="15"/>
  <c r="G153" i="15"/>
  <c r="H153" i="15"/>
  <c r="I153" i="15"/>
  <c r="B154" i="15"/>
  <c r="C154" i="15"/>
  <c r="D154" i="15"/>
  <c r="E154" i="15"/>
  <c r="F154" i="15"/>
  <c r="G154" i="15"/>
  <c r="H154" i="15"/>
  <c r="I154" i="15"/>
  <c r="B174" i="15"/>
  <c r="C174" i="15"/>
  <c r="D174" i="15"/>
  <c r="E174" i="15"/>
  <c r="F174" i="15"/>
  <c r="G174" i="15"/>
  <c r="H174" i="15"/>
  <c r="I174" i="15"/>
  <c r="B175" i="15"/>
  <c r="C175" i="15"/>
  <c r="D175" i="15"/>
  <c r="E175" i="15"/>
  <c r="F175" i="15"/>
  <c r="G175" i="15"/>
  <c r="H175" i="15"/>
  <c r="I175" i="15"/>
  <c r="B178" i="15"/>
  <c r="C178" i="15"/>
  <c r="D178" i="15"/>
  <c r="E178" i="15"/>
  <c r="F178" i="15"/>
  <c r="G178" i="15"/>
  <c r="H178" i="15"/>
  <c r="I178" i="15"/>
  <c r="B180" i="15"/>
  <c r="C180" i="15"/>
  <c r="D180" i="15"/>
  <c r="E180" i="15"/>
  <c r="F180" i="15"/>
  <c r="G180" i="15"/>
  <c r="H180" i="15"/>
  <c r="I180" i="15"/>
  <c r="B181" i="15"/>
  <c r="C181" i="15"/>
  <c r="D181" i="15"/>
  <c r="E181" i="15"/>
  <c r="F181" i="15"/>
  <c r="G181" i="15"/>
  <c r="H181" i="15"/>
  <c r="I181" i="15"/>
  <c r="B182" i="15"/>
  <c r="C182" i="15"/>
  <c r="D182" i="15"/>
  <c r="E182" i="15"/>
  <c r="F182" i="15"/>
  <c r="G182" i="15"/>
  <c r="H182" i="15"/>
  <c r="I182" i="15"/>
  <c r="B183" i="15"/>
  <c r="C183" i="15"/>
  <c r="D183" i="15"/>
  <c r="E183" i="15"/>
  <c r="F183" i="15"/>
  <c r="G183" i="15"/>
  <c r="H183" i="15"/>
  <c r="I183" i="15"/>
  <c r="B187" i="15"/>
  <c r="C187" i="15"/>
  <c r="D187" i="15"/>
  <c r="E187" i="15"/>
  <c r="F187" i="15"/>
  <c r="G187" i="15"/>
  <c r="H187" i="15"/>
  <c r="I187" i="15"/>
  <c r="B188" i="15"/>
  <c r="C188" i="15"/>
  <c r="D188" i="15"/>
  <c r="E188" i="15"/>
  <c r="F188" i="15"/>
  <c r="G188" i="15"/>
  <c r="H188" i="15"/>
  <c r="I188" i="15"/>
  <c r="B189" i="15"/>
  <c r="C189" i="15"/>
  <c r="D189" i="15"/>
  <c r="E189" i="15"/>
  <c r="F189" i="15"/>
  <c r="G189" i="15"/>
  <c r="H189" i="15"/>
  <c r="I189" i="15"/>
  <c r="B190" i="15"/>
  <c r="C190" i="15"/>
  <c r="D190" i="15"/>
  <c r="E190" i="15"/>
  <c r="F190" i="15"/>
  <c r="G190" i="15"/>
  <c r="H190" i="15"/>
  <c r="I190" i="15"/>
  <c r="B192" i="15"/>
  <c r="C192" i="15"/>
  <c r="D192" i="15"/>
  <c r="E192" i="15"/>
  <c r="F192" i="15"/>
  <c r="G192" i="15"/>
  <c r="H192" i="15"/>
  <c r="I192" i="15"/>
  <c r="B194" i="15"/>
  <c r="C194" i="15"/>
  <c r="D194" i="15"/>
  <c r="E194" i="15"/>
  <c r="F194" i="15"/>
  <c r="G194" i="15"/>
  <c r="H194" i="15"/>
  <c r="I194" i="15"/>
  <c r="B195" i="15"/>
  <c r="C195" i="15"/>
  <c r="D195" i="15"/>
  <c r="E195" i="15"/>
  <c r="F195" i="15"/>
  <c r="G195" i="15"/>
  <c r="H195" i="15"/>
  <c r="I195" i="15"/>
  <c r="B196" i="15"/>
  <c r="C196" i="15"/>
  <c r="D196" i="15"/>
  <c r="E196" i="15"/>
  <c r="F196" i="15"/>
  <c r="G196" i="15"/>
  <c r="H196" i="15"/>
  <c r="I196" i="15"/>
  <c r="B200" i="15"/>
  <c r="C200" i="15"/>
  <c r="D200" i="15"/>
  <c r="E200" i="15"/>
  <c r="F200" i="15"/>
  <c r="G200" i="15"/>
  <c r="H200" i="15"/>
  <c r="I200" i="15"/>
  <c r="B203" i="15"/>
  <c r="C203" i="15"/>
  <c r="D203" i="15"/>
  <c r="E203" i="15"/>
  <c r="F203" i="15"/>
  <c r="G203" i="15"/>
  <c r="H203" i="15"/>
  <c r="I203" i="15"/>
  <c r="B205" i="15"/>
  <c r="C205" i="15"/>
  <c r="D205" i="15"/>
  <c r="E205" i="15"/>
  <c r="F205" i="15"/>
  <c r="G205" i="15"/>
  <c r="H205" i="15"/>
  <c r="I205" i="15"/>
  <c r="B236" i="15"/>
  <c r="C236" i="15"/>
  <c r="D236" i="15"/>
  <c r="E236" i="15"/>
  <c r="F236" i="15"/>
  <c r="G236" i="15"/>
  <c r="H236" i="15"/>
  <c r="I236" i="15"/>
  <c r="B239" i="15"/>
  <c r="C239" i="15"/>
  <c r="D239" i="15"/>
  <c r="E239" i="15"/>
  <c r="F239" i="15"/>
  <c r="G239" i="15"/>
  <c r="H239" i="15"/>
  <c r="I239" i="15"/>
  <c r="B240" i="15"/>
  <c r="C240" i="15"/>
  <c r="D240" i="15"/>
  <c r="E240" i="15"/>
  <c r="F240" i="15"/>
  <c r="G240" i="15"/>
  <c r="H240" i="15"/>
  <c r="I240" i="15"/>
  <c r="B243" i="15"/>
  <c r="C243" i="15"/>
  <c r="D243" i="15"/>
  <c r="E243" i="15"/>
  <c r="F243" i="15"/>
  <c r="G243" i="15"/>
  <c r="H243" i="15"/>
  <c r="I243" i="15"/>
  <c r="B247" i="15"/>
  <c r="C247" i="15"/>
  <c r="D247" i="15"/>
  <c r="E247" i="15"/>
  <c r="F247" i="15"/>
  <c r="G247" i="15"/>
  <c r="H247" i="15"/>
  <c r="I247" i="15"/>
  <c r="B250" i="15"/>
  <c r="C250" i="15"/>
  <c r="D250" i="15"/>
  <c r="E250" i="15"/>
  <c r="F250" i="15"/>
  <c r="G250" i="15"/>
  <c r="H250" i="15"/>
  <c r="I250" i="15"/>
  <c r="B4" i="15"/>
  <c r="C4" i="15"/>
  <c r="D4" i="15"/>
  <c r="E4" i="15"/>
  <c r="F4" i="15"/>
  <c r="G4" i="15"/>
  <c r="H4" i="15"/>
  <c r="I4" i="15"/>
  <c r="B5" i="15"/>
  <c r="C5" i="15"/>
  <c r="D5" i="15"/>
  <c r="E5" i="15"/>
  <c r="F5" i="15"/>
  <c r="G5" i="15"/>
  <c r="H5" i="15"/>
  <c r="I5" i="15"/>
  <c r="B9" i="15"/>
  <c r="C9" i="15"/>
  <c r="D9" i="15"/>
  <c r="E9" i="15"/>
  <c r="F9" i="15"/>
  <c r="G9" i="15"/>
  <c r="H9" i="15"/>
  <c r="I9" i="15"/>
  <c r="B25" i="15"/>
  <c r="C25" i="15"/>
  <c r="D25" i="15"/>
  <c r="E25" i="15"/>
  <c r="F25" i="15"/>
  <c r="G25" i="15"/>
  <c r="H25" i="15"/>
  <c r="I25" i="15"/>
  <c r="B65" i="15"/>
  <c r="C65" i="15"/>
  <c r="D65" i="15"/>
  <c r="E65" i="15"/>
  <c r="F65" i="15"/>
  <c r="G65" i="15"/>
  <c r="H65" i="15"/>
  <c r="I65" i="15"/>
  <c r="B120" i="15"/>
  <c r="C120" i="15"/>
  <c r="D120" i="15"/>
  <c r="E120" i="15"/>
  <c r="F120" i="15"/>
  <c r="G120" i="15"/>
  <c r="H120" i="15"/>
  <c r="I120" i="15"/>
  <c r="B141" i="15"/>
  <c r="C141" i="15"/>
  <c r="D141" i="15"/>
  <c r="E141" i="15"/>
  <c r="F141" i="15"/>
  <c r="G141" i="15"/>
  <c r="H141" i="15"/>
  <c r="I141" i="15"/>
  <c r="B146" i="15"/>
  <c r="C146" i="15"/>
  <c r="D146" i="15"/>
  <c r="E146" i="15"/>
  <c r="F146" i="15"/>
  <c r="G146" i="15"/>
  <c r="H146" i="15"/>
  <c r="I146" i="15"/>
  <c r="B151" i="15"/>
  <c r="C151" i="15"/>
  <c r="D151" i="15"/>
  <c r="E151" i="15"/>
  <c r="F151" i="15"/>
  <c r="G151" i="15"/>
  <c r="H151" i="15"/>
  <c r="I151" i="15"/>
  <c r="B155" i="15"/>
  <c r="C155" i="15"/>
  <c r="D155" i="15"/>
  <c r="E155" i="15"/>
  <c r="F155" i="15"/>
  <c r="G155" i="15"/>
  <c r="H155" i="15"/>
  <c r="I155" i="15"/>
  <c r="B156" i="15"/>
  <c r="C156" i="15"/>
  <c r="D156" i="15"/>
  <c r="E156" i="15"/>
  <c r="F156" i="15"/>
  <c r="G156" i="15"/>
  <c r="H156" i="15"/>
  <c r="I156" i="15"/>
  <c r="B157" i="15"/>
  <c r="C157" i="15"/>
  <c r="D157" i="15"/>
  <c r="E157" i="15"/>
  <c r="F157" i="15"/>
  <c r="G157" i="15"/>
  <c r="H157" i="15"/>
  <c r="I157" i="15"/>
  <c r="B158" i="15"/>
  <c r="C158" i="15"/>
  <c r="D158" i="15"/>
  <c r="E158" i="15"/>
  <c r="F158" i="15"/>
  <c r="G158" i="15"/>
  <c r="H158" i="15"/>
  <c r="I158" i="15"/>
  <c r="B168" i="15"/>
  <c r="C168" i="15"/>
  <c r="D168" i="15"/>
  <c r="E168" i="15"/>
  <c r="F168" i="15"/>
  <c r="G168" i="15"/>
  <c r="H168" i="15"/>
  <c r="I168" i="15"/>
  <c r="B172" i="15"/>
  <c r="C172" i="15"/>
  <c r="D172" i="15"/>
  <c r="E172" i="15"/>
  <c r="F172" i="15"/>
  <c r="G172" i="15"/>
  <c r="H172" i="15"/>
  <c r="I172" i="15"/>
  <c r="B179" i="15"/>
  <c r="C179" i="15"/>
  <c r="D179" i="15"/>
  <c r="E179" i="15"/>
  <c r="F179" i="15"/>
  <c r="G179" i="15"/>
  <c r="H179" i="15"/>
  <c r="I179" i="15"/>
  <c r="B197" i="15"/>
  <c r="C197" i="15"/>
  <c r="D197" i="15"/>
  <c r="E197" i="15"/>
  <c r="F197" i="15"/>
  <c r="G197" i="15"/>
  <c r="H197" i="15"/>
  <c r="I197" i="15"/>
  <c r="B7" i="15"/>
  <c r="C7" i="15"/>
  <c r="D7" i="15"/>
  <c r="E7" i="15"/>
  <c r="F7" i="15"/>
  <c r="G7" i="15"/>
  <c r="H7" i="15"/>
  <c r="I7" i="15"/>
  <c r="B8" i="15"/>
  <c r="C8" i="15"/>
  <c r="D8" i="15"/>
  <c r="E8" i="15"/>
  <c r="F8" i="15"/>
  <c r="G8" i="15"/>
  <c r="H8" i="15"/>
  <c r="I8" i="15"/>
  <c r="B10" i="15"/>
  <c r="C10" i="15"/>
  <c r="D10" i="15"/>
  <c r="E10" i="15"/>
  <c r="F10" i="15"/>
  <c r="G10" i="15"/>
  <c r="H10" i="15"/>
  <c r="I10" i="15"/>
  <c r="B16" i="15"/>
  <c r="C16" i="15"/>
  <c r="D16" i="15"/>
  <c r="E16" i="15"/>
  <c r="F16" i="15"/>
  <c r="G16" i="15"/>
  <c r="H16" i="15"/>
  <c r="I16" i="15"/>
  <c r="B17" i="15"/>
  <c r="C17" i="15"/>
  <c r="D17" i="15"/>
  <c r="E17" i="15"/>
  <c r="F17" i="15"/>
  <c r="G17" i="15"/>
  <c r="H17" i="15"/>
  <c r="I17" i="15"/>
  <c r="B18" i="15"/>
  <c r="C18" i="15"/>
  <c r="D18" i="15"/>
  <c r="E18" i="15"/>
  <c r="F18" i="15"/>
  <c r="G18" i="15"/>
  <c r="H18" i="15"/>
  <c r="I18" i="15"/>
  <c r="B19" i="15"/>
  <c r="C19" i="15"/>
  <c r="D19" i="15"/>
  <c r="E19" i="15"/>
  <c r="F19" i="15"/>
  <c r="G19" i="15"/>
  <c r="H19" i="15"/>
  <c r="I19" i="15"/>
  <c r="B20" i="15"/>
  <c r="C20" i="15"/>
  <c r="D20" i="15"/>
  <c r="E20" i="15"/>
  <c r="F20" i="15"/>
  <c r="G20" i="15"/>
  <c r="H20" i="15"/>
  <c r="I20" i="15"/>
  <c r="B22" i="15"/>
  <c r="C22" i="15"/>
  <c r="D22" i="15"/>
  <c r="E22" i="15"/>
  <c r="F22" i="15"/>
  <c r="G22" i="15"/>
  <c r="H22" i="15"/>
  <c r="I22" i="15"/>
  <c r="B23" i="15"/>
  <c r="C23" i="15"/>
  <c r="D23" i="15"/>
  <c r="E23" i="15"/>
  <c r="F23" i="15"/>
  <c r="G23" i="15"/>
  <c r="H23" i="15"/>
  <c r="I23" i="15"/>
  <c r="B26" i="15"/>
  <c r="C26" i="15"/>
  <c r="D26" i="15"/>
  <c r="E26" i="15"/>
  <c r="F26" i="15"/>
  <c r="G26" i="15"/>
  <c r="H26" i="15"/>
  <c r="I26" i="15"/>
  <c r="B27" i="15"/>
  <c r="C27" i="15"/>
  <c r="D27" i="15"/>
  <c r="E27" i="15"/>
  <c r="F27" i="15"/>
  <c r="G27" i="15"/>
  <c r="H27" i="15"/>
  <c r="I27" i="15"/>
  <c r="B29" i="15"/>
  <c r="C29" i="15"/>
  <c r="D29" i="15"/>
  <c r="E29" i="15"/>
  <c r="F29" i="15"/>
  <c r="G29" i="15"/>
  <c r="H29" i="15"/>
  <c r="I29" i="15"/>
  <c r="B30" i="15"/>
  <c r="C30" i="15"/>
  <c r="D30" i="15"/>
  <c r="E30" i="15"/>
  <c r="F30" i="15"/>
  <c r="G30" i="15"/>
  <c r="H30" i="15"/>
  <c r="I30" i="15"/>
  <c r="B31" i="15"/>
  <c r="C31" i="15"/>
  <c r="D31" i="15"/>
  <c r="E31" i="15"/>
  <c r="F31" i="15"/>
  <c r="G31" i="15"/>
  <c r="H31" i="15"/>
  <c r="I31" i="15"/>
  <c r="B32" i="15"/>
  <c r="C32" i="15"/>
  <c r="D32" i="15"/>
  <c r="E32" i="15"/>
  <c r="F32" i="15"/>
  <c r="G32" i="15"/>
  <c r="H32" i="15"/>
  <c r="I32" i="15"/>
  <c r="B33" i="15"/>
  <c r="C33" i="15"/>
  <c r="D33" i="15"/>
  <c r="E33" i="15"/>
  <c r="F33" i="15"/>
  <c r="G33" i="15"/>
  <c r="H33" i="15"/>
  <c r="I33" i="15"/>
  <c r="B34" i="15"/>
  <c r="C34" i="15"/>
  <c r="D34" i="15"/>
  <c r="E34" i="15"/>
  <c r="F34" i="15"/>
  <c r="G34" i="15"/>
  <c r="H34" i="15"/>
  <c r="I34" i="15"/>
  <c r="B35" i="15"/>
  <c r="C35" i="15"/>
  <c r="D35" i="15"/>
  <c r="E35" i="15"/>
  <c r="F35" i="15"/>
  <c r="G35" i="15"/>
  <c r="H35" i="15"/>
  <c r="I35" i="15"/>
  <c r="B36" i="15"/>
  <c r="C36" i="15"/>
  <c r="D36" i="15"/>
  <c r="E36" i="15"/>
  <c r="F36" i="15"/>
  <c r="G36" i="15"/>
  <c r="H36" i="15"/>
  <c r="I36" i="15"/>
  <c r="B37" i="15"/>
  <c r="C37" i="15"/>
  <c r="D37" i="15"/>
  <c r="E37" i="15"/>
  <c r="F37" i="15"/>
  <c r="G37" i="15"/>
  <c r="H37" i="15"/>
  <c r="I37" i="15"/>
  <c r="B38" i="15"/>
  <c r="C38" i="15"/>
  <c r="D38" i="15"/>
  <c r="E38" i="15"/>
  <c r="F38" i="15"/>
  <c r="G38" i="15"/>
  <c r="H38" i="15"/>
  <c r="I38" i="15"/>
  <c r="B39" i="15"/>
  <c r="C39" i="15"/>
  <c r="D39" i="15"/>
  <c r="E39" i="15"/>
  <c r="F39" i="15"/>
  <c r="G39" i="15"/>
  <c r="H39" i="15"/>
  <c r="I39" i="15"/>
  <c r="B40" i="15"/>
  <c r="C40" i="15"/>
  <c r="D40" i="15"/>
  <c r="E40" i="15"/>
  <c r="F40" i="15"/>
  <c r="G40" i="15"/>
  <c r="H40" i="15"/>
  <c r="I40" i="15"/>
  <c r="B41" i="15"/>
  <c r="C41" i="15"/>
  <c r="D41" i="15"/>
  <c r="E41" i="15"/>
  <c r="F41" i="15"/>
  <c r="G41" i="15"/>
  <c r="H41" i="15"/>
  <c r="I41" i="15"/>
  <c r="B42" i="15"/>
  <c r="C42" i="15"/>
  <c r="D42" i="15"/>
  <c r="E42" i="15"/>
  <c r="F42" i="15"/>
  <c r="G42" i="15"/>
  <c r="H42" i="15"/>
  <c r="I42" i="15"/>
  <c r="B43" i="15"/>
  <c r="C43" i="15"/>
  <c r="D43" i="15"/>
  <c r="E43" i="15"/>
  <c r="F43" i="15"/>
  <c r="G43" i="15"/>
  <c r="H43" i="15"/>
  <c r="I43" i="15"/>
  <c r="B45" i="15"/>
  <c r="C45" i="15"/>
  <c r="D45" i="15"/>
  <c r="E45" i="15"/>
  <c r="F45" i="15"/>
  <c r="G45" i="15"/>
  <c r="H45" i="15"/>
  <c r="I45" i="15"/>
  <c r="B46" i="15"/>
  <c r="C46" i="15"/>
  <c r="D46" i="15"/>
  <c r="E46" i="15"/>
  <c r="F46" i="15"/>
  <c r="G46" i="15"/>
  <c r="H46" i="15"/>
  <c r="I46" i="15"/>
  <c r="B47" i="15"/>
  <c r="C47" i="15"/>
  <c r="D47" i="15"/>
  <c r="E47" i="15"/>
  <c r="F47" i="15"/>
  <c r="G47" i="15"/>
  <c r="H47" i="15"/>
  <c r="I47" i="15"/>
  <c r="B48" i="15"/>
  <c r="C48" i="15"/>
  <c r="D48" i="15"/>
  <c r="E48" i="15"/>
  <c r="F48" i="15"/>
  <c r="G48" i="15"/>
  <c r="H48" i="15"/>
  <c r="I48" i="15"/>
  <c r="B49" i="15"/>
  <c r="C49" i="15"/>
  <c r="D49" i="15"/>
  <c r="E49" i="15"/>
  <c r="F49" i="15"/>
  <c r="G49" i="15"/>
  <c r="H49" i="15"/>
  <c r="I49" i="15"/>
  <c r="B50" i="15"/>
  <c r="C50" i="15"/>
  <c r="D50" i="15"/>
  <c r="E50" i="15"/>
  <c r="F50" i="15"/>
  <c r="G50" i="15"/>
  <c r="H50" i="15"/>
  <c r="I50" i="15"/>
  <c r="B51" i="15"/>
  <c r="C51" i="15"/>
  <c r="D51" i="15"/>
  <c r="E51" i="15"/>
  <c r="F51" i="15"/>
  <c r="G51" i="15"/>
  <c r="H51" i="15"/>
  <c r="I51" i="15"/>
  <c r="B54" i="15"/>
  <c r="C54" i="15"/>
  <c r="D54" i="15"/>
  <c r="E54" i="15"/>
  <c r="F54" i="15"/>
  <c r="G54" i="15"/>
  <c r="H54" i="15"/>
  <c r="I54" i="15"/>
  <c r="B55" i="15"/>
  <c r="C55" i="15"/>
  <c r="D55" i="15"/>
  <c r="E55" i="15"/>
  <c r="F55" i="15"/>
  <c r="G55" i="15"/>
  <c r="H55" i="15"/>
  <c r="I55" i="15"/>
  <c r="B57" i="15"/>
  <c r="C57" i="15"/>
  <c r="D57" i="15"/>
  <c r="E57" i="15"/>
  <c r="F57" i="15"/>
  <c r="G57" i="15"/>
  <c r="H57" i="15"/>
  <c r="I57" i="15"/>
  <c r="B61" i="15"/>
  <c r="C61" i="15"/>
  <c r="D61" i="15"/>
  <c r="E61" i="15"/>
  <c r="F61" i="15"/>
  <c r="G61" i="15"/>
  <c r="H61" i="15"/>
  <c r="I61" i="15"/>
  <c r="B66" i="15"/>
  <c r="C66" i="15"/>
  <c r="D66" i="15"/>
  <c r="E66" i="15"/>
  <c r="F66" i="15"/>
  <c r="G66" i="15"/>
  <c r="H66" i="15"/>
  <c r="I66" i="15"/>
  <c r="B67" i="15"/>
  <c r="C67" i="15"/>
  <c r="D67" i="15"/>
  <c r="E67" i="15"/>
  <c r="F67" i="15"/>
  <c r="G67" i="15"/>
  <c r="H67" i="15"/>
  <c r="I67" i="15"/>
  <c r="B69" i="15"/>
  <c r="C69" i="15"/>
  <c r="D69" i="15"/>
  <c r="E69" i="15"/>
  <c r="F69" i="15"/>
  <c r="G69" i="15"/>
  <c r="H69" i="15"/>
  <c r="I69" i="15"/>
  <c r="B70" i="15"/>
  <c r="C70" i="15"/>
  <c r="D70" i="15"/>
  <c r="E70" i="15"/>
  <c r="F70" i="15"/>
  <c r="G70" i="15"/>
  <c r="H70" i="15"/>
  <c r="I70" i="15"/>
  <c r="B71" i="15"/>
  <c r="C71" i="15"/>
  <c r="D71" i="15"/>
  <c r="E71" i="15"/>
  <c r="F71" i="15"/>
  <c r="G71" i="15"/>
  <c r="H71" i="15"/>
  <c r="I71" i="15"/>
  <c r="B72" i="15"/>
  <c r="C72" i="15"/>
  <c r="D72" i="15"/>
  <c r="E72" i="15"/>
  <c r="F72" i="15"/>
  <c r="G72" i="15"/>
  <c r="H72" i="15"/>
  <c r="I72" i="15"/>
  <c r="B73" i="15"/>
  <c r="C73" i="15"/>
  <c r="D73" i="15"/>
  <c r="E73" i="15"/>
  <c r="F73" i="15"/>
  <c r="G73" i="15"/>
  <c r="H73" i="15"/>
  <c r="I73" i="15"/>
  <c r="B74" i="15"/>
  <c r="C74" i="15"/>
  <c r="D74" i="15"/>
  <c r="E74" i="15"/>
  <c r="F74" i="15"/>
  <c r="G74" i="15"/>
  <c r="H74" i="15"/>
  <c r="I74" i="15"/>
  <c r="B75" i="15"/>
  <c r="C75" i="15"/>
  <c r="D75" i="15"/>
  <c r="E75" i="15"/>
  <c r="F75" i="15"/>
  <c r="G75" i="15"/>
  <c r="H75" i="15"/>
  <c r="I75" i="15"/>
  <c r="B76" i="15"/>
  <c r="C76" i="15"/>
  <c r="D76" i="15"/>
  <c r="E76" i="15"/>
  <c r="F76" i="15"/>
  <c r="G76" i="15"/>
  <c r="H76" i="15"/>
  <c r="I76" i="15"/>
  <c r="B77" i="15"/>
  <c r="C77" i="15"/>
  <c r="D77" i="15"/>
  <c r="E77" i="15"/>
  <c r="F77" i="15"/>
  <c r="G77" i="15"/>
  <c r="H77" i="15"/>
  <c r="I77" i="15"/>
  <c r="B78" i="15"/>
  <c r="C78" i="15"/>
  <c r="D78" i="15"/>
  <c r="E78" i="15"/>
  <c r="F78" i="15"/>
  <c r="G78" i="15"/>
  <c r="H78" i="15"/>
  <c r="I78" i="15"/>
  <c r="B79" i="15"/>
  <c r="C79" i="15"/>
  <c r="D79" i="15"/>
  <c r="E79" i="15"/>
  <c r="F79" i="15"/>
  <c r="G79" i="15"/>
  <c r="H79" i="15"/>
  <c r="I79" i="15"/>
  <c r="B80" i="15"/>
  <c r="C80" i="15"/>
  <c r="D80" i="15"/>
  <c r="E80" i="15"/>
  <c r="F80" i="15"/>
  <c r="G80" i="15"/>
  <c r="H80" i="15"/>
  <c r="I80" i="15"/>
  <c r="B81" i="15"/>
  <c r="C81" i="15"/>
  <c r="D81" i="15"/>
  <c r="E81" i="15"/>
  <c r="F81" i="15"/>
  <c r="G81" i="15"/>
  <c r="H81" i="15"/>
  <c r="I81" i="15"/>
  <c r="B82" i="15"/>
  <c r="C82" i="15"/>
  <c r="D82" i="15"/>
  <c r="E82" i="15"/>
  <c r="F82" i="15"/>
  <c r="G82" i="15"/>
  <c r="H82" i="15"/>
  <c r="I82" i="15"/>
  <c r="B83" i="15"/>
  <c r="C83" i="15"/>
  <c r="D83" i="15"/>
  <c r="E83" i="15"/>
  <c r="F83" i="15"/>
  <c r="G83" i="15"/>
  <c r="H83" i="15"/>
  <c r="I83" i="15"/>
  <c r="B84" i="15"/>
  <c r="C84" i="15"/>
  <c r="D84" i="15"/>
  <c r="E84" i="15"/>
  <c r="F84" i="15"/>
  <c r="G84" i="15"/>
  <c r="H84" i="15"/>
  <c r="I84" i="15"/>
  <c r="B85" i="15"/>
  <c r="C85" i="15"/>
  <c r="D85" i="15"/>
  <c r="E85" i="15"/>
  <c r="F85" i="15"/>
  <c r="G85" i="15"/>
  <c r="H85" i="15"/>
  <c r="I85" i="15"/>
  <c r="B86" i="15"/>
  <c r="C86" i="15"/>
  <c r="D86" i="15"/>
  <c r="E86" i="15"/>
  <c r="F86" i="15"/>
  <c r="G86" i="15"/>
  <c r="H86" i="15"/>
  <c r="I86" i="15"/>
  <c r="B87" i="15"/>
  <c r="C87" i="15"/>
  <c r="D87" i="15"/>
  <c r="E87" i="15"/>
  <c r="F87" i="15"/>
  <c r="G87" i="15"/>
  <c r="H87" i="15"/>
  <c r="I87" i="15"/>
  <c r="B88" i="15"/>
  <c r="C88" i="15"/>
  <c r="D88" i="15"/>
  <c r="E88" i="15"/>
  <c r="F88" i="15"/>
  <c r="G88" i="15"/>
  <c r="H88" i="15"/>
  <c r="I88" i="15"/>
  <c r="B89" i="15"/>
  <c r="C89" i="15"/>
  <c r="D89" i="15"/>
  <c r="E89" i="15"/>
  <c r="F89" i="15"/>
  <c r="G89" i="15"/>
  <c r="H89" i="15"/>
  <c r="I89" i="15"/>
  <c r="B90" i="15"/>
  <c r="C90" i="15"/>
  <c r="D90" i="15"/>
  <c r="E90" i="15"/>
  <c r="F90" i="15"/>
  <c r="G90" i="15"/>
  <c r="H90" i="15"/>
  <c r="I90" i="15"/>
  <c r="B91" i="15"/>
  <c r="C91" i="15"/>
  <c r="D91" i="15"/>
  <c r="E91" i="15"/>
  <c r="F91" i="15"/>
  <c r="G91" i="15"/>
  <c r="H91" i="15"/>
  <c r="I91" i="15"/>
  <c r="B92" i="15"/>
  <c r="C92" i="15"/>
  <c r="D92" i="15"/>
  <c r="E92" i="15"/>
  <c r="F92" i="15"/>
  <c r="G92" i="15"/>
  <c r="H92" i="15"/>
  <c r="I92" i="15"/>
  <c r="B93" i="15"/>
  <c r="C93" i="15"/>
  <c r="D93" i="15"/>
  <c r="E93" i="15"/>
  <c r="F93" i="15"/>
  <c r="G93" i="15"/>
  <c r="H93" i="15"/>
  <c r="I93" i="15"/>
  <c r="B94" i="15"/>
  <c r="C94" i="15"/>
  <c r="D94" i="15"/>
  <c r="E94" i="15"/>
  <c r="F94" i="15"/>
  <c r="G94" i="15"/>
  <c r="H94" i="15"/>
  <c r="I94" i="15"/>
  <c r="B95" i="15"/>
  <c r="C95" i="15"/>
  <c r="D95" i="15"/>
  <c r="E95" i="15"/>
  <c r="F95" i="15"/>
  <c r="G95" i="15"/>
  <c r="H95" i="15"/>
  <c r="I95" i="15"/>
  <c r="B96" i="15"/>
  <c r="C96" i="15"/>
  <c r="D96" i="15"/>
  <c r="E96" i="15"/>
  <c r="F96" i="15"/>
  <c r="G96" i="15"/>
  <c r="H96" i="15"/>
  <c r="I96" i="15"/>
  <c r="B97" i="15"/>
  <c r="C97" i="15"/>
  <c r="D97" i="15"/>
  <c r="E97" i="15"/>
  <c r="F97" i="15"/>
  <c r="G97" i="15"/>
  <c r="H97" i="15"/>
  <c r="I97" i="15"/>
  <c r="B98" i="15"/>
  <c r="C98" i="15"/>
  <c r="D98" i="15"/>
  <c r="E98" i="15"/>
  <c r="F98" i="15"/>
  <c r="G98" i="15"/>
  <c r="H98" i="15"/>
  <c r="I98" i="15"/>
  <c r="B99" i="15"/>
  <c r="C99" i="15"/>
  <c r="D99" i="15"/>
  <c r="E99" i="15"/>
  <c r="F99" i="15"/>
  <c r="G99" i="15"/>
  <c r="H99" i="15"/>
  <c r="I99" i="15"/>
  <c r="B102" i="15"/>
  <c r="C102" i="15"/>
  <c r="D102" i="15"/>
  <c r="E102" i="15"/>
  <c r="F102" i="15"/>
  <c r="G102" i="15"/>
  <c r="H102" i="15"/>
  <c r="I102" i="15"/>
  <c r="B103" i="15"/>
  <c r="C103" i="15"/>
  <c r="D103" i="15"/>
  <c r="E103" i="15"/>
  <c r="F103" i="15"/>
  <c r="G103" i="15"/>
  <c r="H103" i="15"/>
  <c r="I103" i="15"/>
  <c r="B104" i="15"/>
  <c r="C104" i="15"/>
  <c r="D104" i="15"/>
  <c r="E104" i="15"/>
  <c r="F104" i="15"/>
  <c r="G104" i="15"/>
  <c r="H104" i="15"/>
  <c r="I104" i="15"/>
  <c r="B107" i="15"/>
  <c r="C107" i="15"/>
  <c r="D107" i="15"/>
  <c r="E107" i="15"/>
  <c r="F107" i="15"/>
  <c r="G107" i="15"/>
  <c r="H107" i="15"/>
  <c r="I107" i="15"/>
  <c r="B109" i="15"/>
  <c r="C109" i="15"/>
  <c r="D109" i="15"/>
  <c r="E109" i="15"/>
  <c r="F109" i="15"/>
  <c r="G109" i="15"/>
  <c r="H109" i="15"/>
  <c r="I109" i="15"/>
  <c r="B110" i="15"/>
  <c r="C110" i="15"/>
  <c r="D110" i="15"/>
  <c r="E110" i="15"/>
  <c r="F110" i="15"/>
  <c r="G110" i="15"/>
  <c r="H110" i="15"/>
  <c r="I110" i="15"/>
  <c r="B114" i="15"/>
  <c r="C114" i="15"/>
  <c r="D114" i="15"/>
  <c r="E114" i="15"/>
  <c r="F114" i="15"/>
  <c r="G114" i="15"/>
  <c r="H114" i="15"/>
  <c r="I114" i="15"/>
  <c r="B117" i="15"/>
  <c r="C117" i="15"/>
  <c r="D117" i="15"/>
  <c r="E117" i="15"/>
  <c r="F117" i="15"/>
  <c r="G117" i="15"/>
  <c r="H117" i="15"/>
  <c r="I117" i="15"/>
  <c r="B121" i="15"/>
  <c r="C121" i="15"/>
  <c r="D121" i="15"/>
  <c r="E121" i="15"/>
  <c r="F121" i="15"/>
  <c r="G121" i="15"/>
  <c r="H121" i="15"/>
  <c r="I121" i="15"/>
  <c r="B126" i="15"/>
  <c r="C126" i="15"/>
  <c r="D126" i="15"/>
  <c r="E126" i="15"/>
  <c r="F126" i="15"/>
  <c r="G126" i="15"/>
  <c r="H126" i="15"/>
  <c r="I126" i="15"/>
  <c r="B127" i="15"/>
  <c r="C127" i="15"/>
  <c r="D127" i="15"/>
  <c r="E127" i="15"/>
  <c r="F127" i="15"/>
  <c r="G127" i="15"/>
  <c r="H127" i="15"/>
  <c r="I127" i="15"/>
  <c r="B130" i="15"/>
  <c r="C130" i="15"/>
  <c r="D130" i="15"/>
  <c r="E130" i="15"/>
  <c r="F130" i="15"/>
  <c r="G130" i="15"/>
  <c r="H130" i="15"/>
  <c r="I130" i="15"/>
  <c r="B134" i="15"/>
  <c r="C134" i="15"/>
  <c r="D134" i="15"/>
  <c r="E134" i="15"/>
  <c r="F134" i="15"/>
  <c r="G134" i="15"/>
  <c r="H134" i="15"/>
  <c r="I134" i="15"/>
  <c r="B138" i="15"/>
  <c r="C138" i="15"/>
  <c r="D138" i="15"/>
  <c r="E138" i="15"/>
  <c r="F138" i="15"/>
  <c r="G138" i="15"/>
  <c r="H138" i="15"/>
  <c r="I138" i="15"/>
  <c r="B160" i="15"/>
  <c r="C160" i="15"/>
  <c r="D160" i="15"/>
  <c r="E160" i="15"/>
  <c r="F160" i="15"/>
  <c r="G160" i="15"/>
  <c r="H160" i="15"/>
  <c r="I160" i="15"/>
  <c r="B161" i="15"/>
  <c r="C161" i="15"/>
  <c r="D161" i="15"/>
  <c r="E161" i="15"/>
  <c r="F161" i="15"/>
  <c r="G161" i="15"/>
  <c r="H161" i="15"/>
  <c r="I161" i="15"/>
  <c r="B163" i="15"/>
  <c r="C163" i="15"/>
  <c r="D163" i="15"/>
  <c r="E163" i="15"/>
  <c r="F163" i="15"/>
  <c r="G163" i="15"/>
  <c r="H163" i="15"/>
  <c r="I163" i="15"/>
  <c r="B164" i="15"/>
  <c r="C164" i="15"/>
  <c r="D164" i="15"/>
  <c r="E164" i="15"/>
  <c r="F164" i="15"/>
  <c r="G164" i="15"/>
  <c r="H164" i="15"/>
  <c r="I164" i="15"/>
  <c r="B166" i="15"/>
  <c r="C166" i="15"/>
  <c r="D166" i="15"/>
  <c r="E166" i="15"/>
  <c r="F166" i="15"/>
  <c r="G166" i="15"/>
  <c r="H166" i="15"/>
  <c r="I166" i="15"/>
  <c r="B167" i="15"/>
  <c r="C167" i="15"/>
  <c r="D167" i="15"/>
  <c r="E167" i="15"/>
  <c r="F167" i="15"/>
  <c r="G167" i="15"/>
  <c r="H167" i="15"/>
  <c r="I167" i="15"/>
  <c r="B170" i="15"/>
  <c r="C170" i="15"/>
  <c r="D170" i="15"/>
  <c r="E170" i="15"/>
  <c r="F170" i="15"/>
  <c r="G170" i="15"/>
  <c r="H170" i="15"/>
  <c r="I170" i="15"/>
  <c r="B176" i="15"/>
  <c r="C176" i="15"/>
  <c r="D176" i="15"/>
  <c r="E176" i="15"/>
  <c r="F176" i="15"/>
  <c r="G176" i="15"/>
  <c r="H176" i="15"/>
  <c r="I176" i="15"/>
  <c r="B185" i="15"/>
  <c r="C185" i="15"/>
  <c r="D185" i="15"/>
  <c r="E185" i="15"/>
  <c r="F185" i="15"/>
  <c r="G185" i="15"/>
  <c r="H185" i="15"/>
  <c r="I185" i="15"/>
  <c r="B198" i="15"/>
  <c r="C198" i="15"/>
  <c r="D198" i="15"/>
  <c r="E198" i="15"/>
  <c r="F198" i="15"/>
  <c r="G198" i="15"/>
  <c r="H198" i="15"/>
  <c r="I198" i="15"/>
  <c r="B204" i="15"/>
  <c r="C204" i="15"/>
  <c r="D204" i="15"/>
  <c r="E204" i="15"/>
  <c r="F204" i="15"/>
  <c r="G204" i="15"/>
  <c r="H204" i="15"/>
  <c r="I204" i="15"/>
  <c r="B206" i="15"/>
  <c r="C206" i="15"/>
  <c r="D206" i="15"/>
  <c r="E206" i="15"/>
  <c r="F206" i="15"/>
  <c r="G206" i="15"/>
  <c r="H206" i="15"/>
  <c r="I206" i="15"/>
  <c r="B208" i="15"/>
  <c r="C208" i="15"/>
  <c r="D208" i="15"/>
  <c r="E208" i="15"/>
  <c r="F208" i="15"/>
  <c r="G208" i="15"/>
  <c r="H208" i="15"/>
  <c r="I208" i="15"/>
  <c r="B209" i="15"/>
  <c r="C209" i="15"/>
  <c r="D209" i="15"/>
  <c r="E209" i="15"/>
  <c r="F209" i="15"/>
  <c r="G209" i="15"/>
  <c r="H209" i="15"/>
  <c r="I209" i="15"/>
  <c r="B210" i="15"/>
  <c r="C210" i="15"/>
  <c r="D210" i="15"/>
  <c r="E210" i="15"/>
  <c r="F210" i="15"/>
  <c r="G210" i="15"/>
  <c r="H210" i="15"/>
  <c r="I210" i="15"/>
  <c r="B211" i="15"/>
  <c r="C211" i="15"/>
  <c r="D211" i="15"/>
  <c r="E211" i="15"/>
  <c r="F211" i="15"/>
  <c r="G211" i="15"/>
  <c r="H211" i="15"/>
  <c r="I211" i="15"/>
  <c r="B212" i="15"/>
  <c r="C212" i="15"/>
  <c r="D212" i="15"/>
  <c r="E212" i="15"/>
  <c r="F212" i="15"/>
  <c r="G212" i="15"/>
  <c r="H212" i="15"/>
  <c r="I212" i="15"/>
  <c r="B213" i="15"/>
  <c r="C213" i="15"/>
  <c r="D213" i="15"/>
  <c r="E213" i="15"/>
  <c r="F213" i="15"/>
  <c r="G213" i="15"/>
  <c r="H213" i="15"/>
  <c r="I213" i="15"/>
  <c r="B214" i="15"/>
  <c r="C214" i="15"/>
  <c r="D214" i="15"/>
  <c r="E214" i="15"/>
  <c r="F214" i="15"/>
  <c r="G214" i="15"/>
  <c r="H214" i="15"/>
  <c r="I214" i="15"/>
  <c r="B215" i="15"/>
  <c r="C215" i="15"/>
  <c r="D215" i="15"/>
  <c r="E215" i="15"/>
  <c r="F215" i="15"/>
  <c r="G215" i="15"/>
  <c r="H215" i="15"/>
  <c r="I215" i="15"/>
  <c r="B216" i="15"/>
  <c r="C216" i="15"/>
  <c r="D216" i="15"/>
  <c r="E216" i="15"/>
  <c r="F216" i="15"/>
  <c r="G216" i="15"/>
  <c r="H216" i="15"/>
  <c r="I216" i="15"/>
  <c r="B217" i="15"/>
  <c r="C217" i="15"/>
  <c r="D217" i="15"/>
  <c r="E217" i="15"/>
  <c r="F217" i="15"/>
  <c r="G217" i="15"/>
  <c r="H217" i="15"/>
  <c r="I217" i="15"/>
  <c r="B218" i="15"/>
  <c r="C218" i="15"/>
  <c r="D218" i="15"/>
  <c r="E218" i="15"/>
  <c r="F218" i="15"/>
  <c r="G218" i="15"/>
  <c r="H218" i="15"/>
  <c r="I218" i="15"/>
  <c r="B219" i="15"/>
  <c r="C219" i="15"/>
  <c r="D219" i="15"/>
  <c r="E219" i="15"/>
  <c r="F219" i="15"/>
  <c r="G219" i="15"/>
  <c r="H219" i="15"/>
  <c r="I219" i="15"/>
  <c r="B220" i="15"/>
  <c r="C220" i="15"/>
  <c r="D220" i="15"/>
  <c r="E220" i="15"/>
  <c r="F220" i="15"/>
  <c r="G220" i="15"/>
  <c r="H220" i="15"/>
  <c r="I220" i="15"/>
  <c r="B221" i="15"/>
  <c r="C221" i="15"/>
  <c r="D221" i="15"/>
  <c r="E221" i="15"/>
  <c r="F221" i="15"/>
  <c r="G221" i="15"/>
  <c r="H221" i="15"/>
  <c r="I221" i="15"/>
  <c r="B222" i="15"/>
  <c r="C222" i="15"/>
  <c r="D222" i="15"/>
  <c r="E222" i="15"/>
  <c r="F222" i="15"/>
  <c r="G222" i="15"/>
  <c r="H222" i="15"/>
  <c r="I222" i="15"/>
  <c r="B223" i="15"/>
  <c r="C223" i="15"/>
  <c r="D223" i="15"/>
  <c r="E223" i="15"/>
  <c r="F223" i="15"/>
  <c r="G223" i="15"/>
  <c r="H223" i="15"/>
  <c r="I223" i="15"/>
  <c r="B224" i="15"/>
  <c r="C224" i="15"/>
  <c r="D224" i="15"/>
  <c r="E224" i="15"/>
  <c r="F224" i="15"/>
  <c r="G224" i="15"/>
  <c r="H224" i="15"/>
  <c r="I224" i="15"/>
  <c r="B225" i="15"/>
  <c r="C225" i="15"/>
  <c r="D225" i="15"/>
  <c r="E225" i="15"/>
  <c r="F225" i="15"/>
  <c r="G225" i="15"/>
  <c r="H225" i="15"/>
  <c r="I225" i="15"/>
  <c r="B226" i="15"/>
  <c r="C226" i="15"/>
  <c r="D226" i="15"/>
  <c r="E226" i="15"/>
  <c r="F226" i="15"/>
  <c r="G226" i="15"/>
  <c r="H226" i="15"/>
  <c r="I226" i="15"/>
  <c r="B227" i="15"/>
  <c r="C227" i="15"/>
  <c r="D227" i="15"/>
  <c r="E227" i="15"/>
  <c r="F227" i="15"/>
  <c r="G227" i="15"/>
  <c r="H227" i="15"/>
  <c r="I227" i="15"/>
  <c r="B228" i="15"/>
  <c r="C228" i="15"/>
  <c r="D228" i="15"/>
  <c r="E228" i="15"/>
  <c r="F228" i="15"/>
  <c r="G228" i="15"/>
  <c r="H228" i="15"/>
  <c r="I228" i="15"/>
  <c r="B229" i="15"/>
  <c r="C229" i="15"/>
  <c r="D229" i="15"/>
  <c r="E229" i="15"/>
  <c r="F229" i="15"/>
  <c r="G229" i="15"/>
  <c r="H229" i="15"/>
  <c r="I229" i="15"/>
  <c r="B230" i="15"/>
  <c r="C230" i="15"/>
  <c r="D230" i="15"/>
  <c r="E230" i="15"/>
  <c r="F230" i="15"/>
  <c r="G230" i="15"/>
  <c r="H230" i="15"/>
  <c r="I230" i="15"/>
  <c r="B231" i="15"/>
  <c r="C231" i="15"/>
  <c r="D231" i="15"/>
  <c r="E231" i="15"/>
  <c r="F231" i="15"/>
  <c r="G231" i="15"/>
  <c r="H231" i="15"/>
  <c r="I231" i="15"/>
  <c r="B232" i="15"/>
  <c r="C232" i="15"/>
  <c r="D232" i="15"/>
  <c r="E232" i="15"/>
  <c r="F232" i="15"/>
  <c r="G232" i="15"/>
  <c r="H232" i="15"/>
  <c r="I232" i="15"/>
  <c r="B233" i="15"/>
  <c r="C233" i="15"/>
  <c r="D233" i="15"/>
  <c r="E233" i="15"/>
  <c r="F233" i="15"/>
  <c r="G233" i="15"/>
  <c r="H233" i="15"/>
  <c r="I233" i="15"/>
  <c r="B245" i="15"/>
  <c r="C245" i="15"/>
  <c r="D245" i="15"/>
  <c r="E245" i="15"/>
  <c r="F245" i="15"/>
  <c r="G245" i="15"/>
  <c r="H245" i="15"/>
  <c r="I245" i="15"/>
  <c r="B246" i="15"/>
  <c r="C246" i="15"/>
  <c r="D246" i="15"/>
  <c r="E246" i="15"/>
  <c r="F246" i="15"/>
  <c r="G246" i="15"/>
  <c r="H246" i="15"/>
  <c r="I246" i="15"/>
  <c r="B249" i="15"/>
  <c r="C249" i="15"/>
  <c r="D249" i="15"/>
  <c r="E249" i="15"/>
  <c r="F249" i="15"/>
  <c r="G249" i="15"/>
  <c r="H249" i="15"/>
  <c r="I249" i="15"/>
  <c r="B251" i="15"/>
  <c r="C251" i="15"/>
  <c r="D251" i="15"/>
  <c r="E251" i="15"/>
  <c r="F251" i="15"/>
  <c r="G251" i="15"/>
  <c r="H251" i="15"/>
  <c r="I251" i="15"/>
  <c r="B253" i="15"/>
  <c r="C253" i="15"/>
  <c r="D253" i="15"/>
  <c r="E253" i="15"/>
  <c r="F253" i="15"/>
  <c r="G253" i="15"/>
  <c r="H253" i="15"/>
  <c r="I253" i="15"/>
  <c r="B255" i="15"/>
  <c r="C255" i="15"/>
  <c r="D255" i="15"/>
  <c r="E255" i="15"/>
  <c r="F255" i="15"/>
  <c r="G255" i="15"/>
  <c r="H255" i="15"/>
  <c r="I255" i="15"/>
  <c r="B256" i="15"/>
  <c r="C256" i="15"/>
  <c r="D256" i="15"/>
  <c r="E256" i="15"/>
  <c r="F256" i="15"/>
  <c r="G256" i="15"/>
  <c r="H256" i="15"/>
  <c r="I256" i="15"/>
  <c r="B257" i="15"/>
  <c r="C257" i="15"/>
  <c r="D257" i="15"/>
  <c r="E257" i="15"/>
  <c r="F257" i="15"/>
  <c r="G257" i="15"/>
  <c r="H257" i="15"/>
  <c r="I257" i="15"/>
  <c r="B11" i="15"/>
  <c r="C11" i="15"/>
  <c r="D11" i="15"/>
  <c r="E11" i="15"/>
  <c r="F11" i="15"/>
  <c r="G11" i="15"/>
  <c r="H11" i="15"/>
  <c r="I11" i="15"/>
  <c r="B62" i="15"/>
  <c r="C62" i="15"/>
  <c r="D62" i="15"/>
  <c r="E62" i="15"/>
  <c r="F62" i="15"/>
  <c r="G62" i="15"/>
  <c r="H62" i="15"/>
  <c r="I62" i="15"/>
  <c r="B108" i="15"/>
  <c r="C108" i="15"/>
  <c r="D108" i="15"/>
  <c r="E108" i="15"/>
  <c r="F108" i="15"/>
  <c r="G108" i="15"/>
  <c r="H108" i="15"/>
  <c r="I108" i="15"/>
  <c r="B115" i="15"/>
  <c r="C115" i="15"/>
  <c r="D115" i="15"/>
  <c r="E115" i="15"/>
  <c r="F115" i="15"/>
  <c r="G115" i="15"/>
  <c r="H115" i="15"/>
  <c r="I115" i="15"/>
  <c r="B124" i="15"/>
  <c r="C124" i="15"/>
  <c r="D124" i="15"/>
  <c r="E124" i="15"/>
  <c r="F124" i="15"/>
  <c r="G124" i="15"/>
  <c r="H124" i="15"/>
  <c r="I124" i="15"/>
  <c r="B131" i="15"/>
  <c r="C131" i="15"/>
  <c r="D131" i="15"/>
  <c r="E131" i="15"/>
  <c r="F131" i="15"/>
  <c r="G131" i="15"/>
  <c r="H131" i="15"/>
  <c r="I131" i="15"/>
  <c r="B135" i="15"/>
  <c r="C135" i="15"/>
  <c r="D135" i="15"/>
  <c r="E135" i="15"/>
  <c r="F135" i="15"/>
  <c r="G135" i="15"/>
  <c r="H135" i="15"/>
  <c r="I135" i="15"/>
  <c r="B139" i="15"/>
  <c r="C139" i="15"/>
  <c r="D139" i="15"/>
  <c r="E139" i="15"/>
  <c r="F139" i="15"/>
  <c r="G139" i="15"/>
  <c r="H139" i="15"/>
  <c r="I139" i="15"/>
  <c r="B171" i="15"/>
  <c r="C171" i="15"/>
  <c r="D171" i="15"/>
  <c r="E171" i="15"/>
  <c r="F171" i="15"/>
  <c r="G171" i="15"/>
  <c r="H171" i="15"/>
  <c r="I171" i="15"/>
  <c r="B173" i="15"/>
  <c r="C173" i="15"/>
  <c r="D173" i="15"/>
  <c r="E173" i="15"/>
  <c r="F173" i="15"/>
  <c r="G173" i="15"/>
  <c r="H173" i="15"/>
  <c r="I173" i="15"/>
  <c r="B177" i="15"/>
  <c r="C177" i="15"/>
  <c r="D177" i="15"/>
  <c r="E177" i="15"/>
  <c r="F177" i="15"/>
  <c r="G177" i="15"/>
  <c r="H177" i="15"/>
  <c r="I177" i="15"/>
  <c r="B186" i="15"/>
  <c r="C186" i="15"/>
  <c r="D186" i="15"/>
  <c r="E186" i="15"/>
  <c r="F186" i="15"/>
  <c r="G186" i="15"/>
  <c r="H186" i="15"/>
  <c r="I186" i="15"/>
  <c r="B199" i="15"/>
  <c r="C199" i="15"/>
  <c r="D199" i="15"/>
  <c r="E199" i="15"/>
  <c r="F199" i="15"/>
  <c r="G199" i="15"/>
  <c r="H199" i="15"/>
  <c r="I199" i="15"/>
  <c r="B202" i="15"/>
  <c r="C202" i="15"/>
  <c r="D202" i="15"/>
  <c r="E202" i="15"/>
  <c r="F202" i="15"/>
  <c r="G202" i="15"/>
  <c r="H202" i="15"/>
  <c r="I202" i="15"/>
  <c r="A15" i="15"/>
  <c r="A21" i="15"/>
  <c r="A24" i="15"/>
  <c r="A44" i="15"/>
  <c r="A52" i="15"/>
  <c r="A58" i="15"/>
  <c r="A59" i="15"/>
  <c r="A63" i="15"/>
  <c r="A64" i="15"/>
  <c r="A68" i="15"/>
  <c r="A100" i="15"/>
  <c r="A105" i="15"/>
  <c r="A111" i="15"/>
  <c r="A112" i="15"/>
  <c r="A116" i="15"/>
  <c r="A118" i="15"/>
  <c r="A119" i="15"/>
  <c r="A122" i="15"/>
  <c r="A125" i="15"/>
  <c r="A128" i="15"/>
  <c r="A132" i="15"/>
  <c r="A136" i="15"/>
  <c r="A140" i="15"/>
  <c r="A142" i="15"/>
  <c r="A143" i="15"/>
  <c r="A144" i="15"/>
  <c r="A145" i="15"/>
  <c r="A147" i="15"/>
  <c r="A148" i="15"/>
  <c r="A149" i="15"/>
  <c r="A150" i="15"/>
  <c r="A152" i="15"/>
  <c r="A153" i="15"/>
  <c r="A154" i="15"/>
  <c r="A174" i="15"/>
  <c r="A175" i="15"/>
  <c r="A178" i="15"/>
  <c r="A180" i="15"/>
  <c r="A181" i="15"/>
  <c r="A182" i="15"/>
  <c r="A183" i="15"/>
  <c r="A187" i="15"/>
  <c r="A188" i="15"/>
  <c r="A189" i="15"/>
  <c r="A190" i="15"/>
  <c r="A192" i="15"/>
  <c r="A194" i="15"/>
  <c r="A195" i="15"/>
  <c r="A196" i="15"/>
  <c r="A200" i="15"/>
  <c r="A203" i="15"/>
  <c r="A205" i="15"/>
  <c r="A236" i="15"/>
  <c r="A239" i="15"/>
  <c r="A240" i="15"/>
  <c r="A243" i="15"/>
  <c r="A247" i="15"/>
  <c r="A250" i="15"/>
  <c r="A4" i="15"/>
  <c r="A5" i="15"/>
  <c r="A9" i="15"/>
  <c r="A25" i="15"/>
  <c r="A65" i="15"/>
  <c r="A120" i="15"/>
  <c r="A141" i="15"/>
  <c r="A146" i="15"/>
  <c r="A151" i="15"/>
  <c r="A155" i="15"/>
  <c r="A156" i="15"/>
  <c r="A157" i="15"/>
  <c r="A158" i="15"/>
  <c r="A168" i="15"/>
  <c r="A172" i="15"/>
  <c r="A179" i="15"/>
  <c r="A197" i="15"/>
  <c r="A7" i="15"/>
  <c r="A8" i="15"/>
  <c r="A10" i="15"/>
  <c r="A16" i="15"/>
  <c r="A17" i="15"/>
  <c r="A18" i="15"/>
  <c r="A19" i="15"/>
  <c r="A20" i="15"/>
  <c r="A22" i="15"/>
  <c r="A23" i="15"/>
  <c r="A26" i="15"/>
  <c r="A27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5" i="15"/>
  <c r="A46" i="15"/>
  <c r="A47" i="15"/>
  <c r="A48" i="15"/>
  <c r="A49" i="15"/>
  <c r="A50" i="15"/>
  <c r="A51" i="15"/>
  <c r="A54" i="15"/>
  <c r="A55" i="15"/>
  <c r="A57" i="15"/>
  <c r="A61" i="15"/>
  <c r="A66" i="15"/>
  <c r="A67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2" i="15"/>
  <c r="A103" i="15"/>
  <c r="A104" i="15"/>
  <c r="A107" i="15"/>
  <c r="A109" i="15"/>
  <c r="A110" i="15"/>
  <c r="A114" i="15"/>
  <c r="A117" i="15"/>
  <c r="A121" i="15"/>
  <c r="A126" i="15"/>
  <c r="A127" i="15"/>
  <c r="A130" i="15"/>
  <c r="A134" i="15"/>
  <c r="A138" i="15"/>
  <c r="A160" i="15"/>
  <c r="A161" i="15"/>
  <c r="A163" i="15"/>
  <c r="A164" i="15"/>
  <c r="A166" i="15"/>
  <c r="A167" i="15"/>
  <c r="A170" i="15"/>
  <c r="A176" i="15"/>
  <c r="A185" i="15"/>
  <c r="A198" i="15"/>
  <c r="A204" i="15"/>
  <c r="A206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45" i="15"/>
  <c r="A246" i="15"/>
  <c r="A249" i="15"/>
  <c r="A251" i="15"/>
  <c r="A253" i="15"/>
  <c r="A255" i="15"/>
  <c r="A256" i="15"/>
  <c r="A257" i="15"/>
  <c r="A11" i="15"/>
  <c r="A62" i="15"/>
  <c r="A108" i="15"/>
  <c r="A115" i="15"/>
  <c r="A124" i="15"/>
  <c r="A131" i="15"/>
  <c r="A135" i="15"/>
  <c r="A139" i="15"/>
  <c r="A171" i="15"/>
  <c r="A173" i="15"/>
  <c r="A177" i="15"/>
  <c r="A186" i="15"/>
  <c r="A199" i="15"/>
  <c r="A202" i="15"/>
  <c r="A14" i="15"/>
  <c r="A12" i="13"/>
  <c r="B12" i="13"/>
  <c r="C12" i="13"/>
  <c r="D12" i="13"/>
  <c r="E12" i="13"/>
  <c r="F12" i="13"/>
  <c r="G12" i="13"/>
  <c r="H12" i="13"/>
  <c r="I12" i="13"/>
  <c r="A13" i="13"/>
  <c r="B13" i="13"/>
  <c r="C13" i="13"/>
  <c r="D13" i="13"/>
  <c r="E13" i="13"/>
  <c r="F13" i="13"/>
  <c r="G13" i="13"/>
  <c r="H13" i="13"/>
  <c r="I13" i="13"/>
  <c r="A14" i="13"/>
  <c r="B14" i="13"/>
  <c r="C14" i="13"/>
  <c r="D14" i="13"/>
  <c r="E14" i="13"/>
  <c r="F14" i="13"/>
  <c r="G14" i="13"/>
  <c r="H14" i="13"/>
  <c r="I14" i="13"/>
  <c r="A23" i="13"/>
  <c r="B23" i="13"/>
  <c r="C23" i="13"/>
  <c r="D23" i="13"/>
  <c r="E23" i="13"/>
  <c r="F23" i="13"/>
  <c r="G23" i="13"/>
  <c r="H23" i="13"/>
  <c r="I23" i="13"/>
  <c r="A27" i="13"/>
  <c r="B27" i="13"/>
  <c r="C27" i="13"/>
  <c r="D27" i="13"/>
  <c r="E27" i="13"/>
  <c r="F27" i="13"/>
  <c r="G27" i="13"/>
  <c r="H27" i="13"/>
  <c r="I27" i="13"/>
  <c r="A31" i="13"/>
  <c r="B31" i="13"/>
  <c r="C31" i="13"/>
  <c r="D31" i="13"/>
  <c r="E31" i="13"/>
  <c r="F31" i="13"/>
  <c r="G31" i="13"/>
  <c r="H31" i="13"/>
  <c r="I31" i="13"/>
  <c r="A34" i="13"/>
  <c r="B34" i="13"/>
  <c r="C34" i="13"/>
  <c r="D34" i="13"/>
  <c r="E34" i="13"/>
  <c r="F34" i="13"/>
  <c r="G34" i="13"/>
  <c r="H34" i="13"/>
  <c r="I34" i="13"/>
  <c r="A36" i="13"/>
  <c r="B36" i="13"/>
  <c r="C36" i="13"/>
  <c r="D36" i="13"/>
  <c r="E36" i="13"/>
  <c r="F36" i="13"/>
  <c r="G36" i="13"/>
  <c r="H36" i="13"/>
  <c r="I36" i="13"/>
  <c r="A21" i="13"/>
  <c r="B21" i="13"/>
  <c r="C21" i="13"/>
  <c r="D21" i="13"/>
  <c r="E21" i="13"/>
  <c r="F21" i="13"/>
  <c r="G21" i="13"/>
  <c r="H21" i="13"/>
  <c r="I21" i="13"/>
  <c r="A24" i="13"/>
  <c r="B24" i="13"/>
  <c r="C24" i="13"/>
  <c r="D24" i="13"/>
  <c r="E24" i="13"/>
  <c r="F24" i="13"/>
  <c r="G24" i="13"/>
  <c r="H24" i="13"/>
  <c r="I24" i="13"/>
  <c r="A25" i="13"/>
  <c r="B25" i="13"/>
  <c r="C25" i="13"/>
  <c r="D25" i="13"/>
  <c r="E25" i="13"/>
  <c r="F25" i="13"/>
  <c r="G25" i="13"/>
  <c r="H25" i="13"/>
  <c r="I25" i="13"/>
  <c r="A28" i="13"/>
  <c r="B28" i="13"/>
  <c r="C28" i="13"/>
  <c r="D28" i="13"/>
  <c r="E28" i="13"/>
  <c r="F28" i="13"/>
  <c r="G28" i="13"/>
  <c r="H28" i="13"/>
  <c r="I28" i="13"/>
  <c r="A37" i="13"/>
  <c r="B37" i="13"/>
  <c r="C37" i="13"/>
  <c r="D37" i="13"/>
  <c r="E37" i="13"/>
  <c r="F37" i="13"/>
  <c r="G37" i="13"/>
  <c r="H37" i="13"/>
  <c r="I37" i="13"/>
  <c r="A19" i="13"/>
  <c r="B19" i="13"/>
  <c r="C19" i="13"/>
  <c r="D19" i="13"/>
  <c r="E19" i="13"/>
  <c r="F19" i="13"/>
  <c r="G19" i="13"/>
  <c r="H19" i="13"/>
  <c r="I19" i="13"/>
  <c r="A20" i="13"/>
  <c r="B20" i="13"/>
  <c r="C20" i="13"/>
  <c r="D20" i="13"/>
  <c r="E20" i="13"/>
  <c r="F20" i="13"/>
  <c r="G20" i="13"/>
  <c r="H20" i="13"/>
  <c r="I20" i="13"/>
  <c r="A35" i="13"/>
  <c r="B35" i="13"/>
  <c r="C35" i="13"/>
  <c r="D35" i="13"/>
  <c r="E35" i="13"/>
  <c r="F35" i="13"/>
  <c r="G35" i="13"/>
  <c r="H35" i="13"/>
  <c r="I35" i="13"/>
  <c r="A33" i="13"/>
  <c r="B33" i="13"/>
  <c r="C33" i="13"/>
  <c r="D33" i="13"/>
  <c r="E33" i="13"/>
  <c r="F33" i="13"/>
  <c r="G33" i="13"/>
  <c r="H33" i="13"/>
  <c r="I33" i="13"/>
  <c r="A15" i="13"/>
  <c r="B15" i="13"/>
  <c r="C15" i="13"/>
  <c r="D15" i="13"/>
  <c r="E15" i="13"/>
  <c r="F15" i="13"/>
  <c r="G15" i="13"/>
  <c r="H15" i="13"/>
  <c r="I15" i="13"/>
  <c r="A16" i="13"/>
  <c r="B16" i="13"/>
  <c r="C16" i="13"/>
  <c r="D16" i="13"/>
  <c r="E16" i="13"/>
  <c r="F16" i="13"/>
  <c r="G16" i="13"/>
  <c r="H16" i="13"/>
  <c r="I16" i="13"/>
  <c r="A17" i="13"/>
  <c r="B17" i="13"/>
  <c r="C17" i="13"/>
  <c r="D17" i="13"/>
  <c r="E17" i="13"/>
  <c r="F17" i="13"/>
  <c r="G17" i="13"/>
  <c r="H17" i="13"/>
  <c r="I17" i="13"/>
  <c r="A18" i="13"/>
  <c r="B18" i="13"/>
  <c r="C18" i="13"/>
  <c r="D18" i="13"/>
  <c r="E18" i="13"/>
  <c r="F18" i="13"/>
  <c r="G18" i="13"/>
  <c r="H18" i="13"/>
  <c r="I18" i="13"/>
  <c r="A4" i="13"/>
  <c r="B4" i="13"/>
  <c r="C4" i="13"/>
  <c r="D4" i="13"/>
  <c r="E4" i="13"/>
  <c r="F4" i="13"/>
  <c r="G4" i="13"/>
  <c r="H4" i="13"/>
  <c r="I4" i="13"/>
  <c r="A6" i="13"/>
  <c r="B6" i="13"/>
  <c r="C6" i="13"/>
  <c r="D6" i="13"/>
  <c r="E6" i="13"/>
  <c r="F6" i="13"/>
  <c r="G6" i="13"/>
  <c r="H6" i="13"/>
  <c r="I6" i="13"/>
  <c r="A7" i="13"/>
  <c r="B7" i="13"/>
  <c r="C7" i="13"/>
  <c r="D7" i="13"/>
  <c r="E7" i="13"/>
  <c r="F7" i="13"/>
  <c r="G7" i="13"/>
  <c r="H7" i="13"/>
  <c r="I7" i="13"/>
  <c r="A8" i="13"/>
  <c r="B8" i="13"/>
  <c r="C8" i="13"/>
  <c r="D8" i="13"/>
  <c r="E8" i="13"/>
  <c r="F8" i="13"/>
  <c r="G8" i="13"/>
  <c r="H8" i="13"/>
  <c r="I8" i="13"/>
  <c r="A9" i="13"/>
  <c r="B9" i="13"/>
  <c r="C9" i="13"/>
  <c r="D9" i="13"/>
  <c r="E9" i="13"/>
  <c r="F9" i="13"/>
  <c r="G9" i="13"/>
  <c r="H9" i="13"/>
  <c r="I9" i="13"/>
  <c r="A10" i="13"/>
  <c r="B10" i="13"/>
  <c r="C10" i="13"/>
  <c r="D10" i="13"/>
  <c r="E10" i="13"/>
  <c r="F10" i="13"/>
  <c r="G10" i="13"/>
  <c r="H10" i="13"/>
  <c r="I10" i="13"/>
  <c r="A26" i="13"/>
  <c r="B26" i="13"/>
  <c r="C26" i="13"/>
  <c r="D26" i="13"/>
  <c r="E26" i="13"/>
  <c r="F26" i="13"/>
  <c r="G26" i="13"/>
  <c r="H26" i="13"/>
  <c r="I26" i="13"/>
  <c r="A30" i="13"/>
  <c r="B30" i="13"/>
  <c r="C30" i="13"/>
  <c r="D30" i="13"/>
  <c r="E30" i="13"/>
  <c r="F30" i="13"/>
  <c r="G30" i="13"/>
  <c r="H30" i="13"/>
  <c r="I30" i="13"/>
  <c r="A32" i="13"/>
  <c r="B32" i="13"/>
  <c r="C32" i="13"/>
  <c r="D32" i="13"/>
  <c r="E32" i="13"/>
  <c r="F32" i="13"/>
  <c r="G32" i="13"/>
  <c r="H32" i="13"/>
  <c r="I32" i="13"/>
  <c r="A11" i="13"/>
  <c r="B11" i="13"/>
  <c r="C11" i="13"/>
  <c r="D11" i="13"/>
  <c r="E11" i="13"/>
  <c r="F11" i="13"/>
  <c r="G11" i="13"/>
  <c r="H11" i="13"/>
  <c r="I11" i="13"/>
  <c r="A22" i="13"/>
  <c r="B22" i="13"/>
  <c r="C22" i="13"/>
  <c r="D22" i="13"/>
  <c r="E22" i="13"/>
  <c r="F22" i="13"/>
  <c r="G22" i="13"/>
  <c r="H22" i="13"/>
  <c r="I22" i="13"/>
  <c r="A29" i="13"/>
  <c r="B29" i="13"/>
  <c r="C29" i="13"/>
  <c r="D29" i="13"/>
  <c r="E29" i="13"/>
  <c r="F29" i="13"/>
  <c r="G29" i="13"/>
  <c r="H29" i="13"/>
  <c r="I29" i="13"/>
  <c r="A5" i="13"/>
  <c r="B5" i="13"/>
  <c r="C5" i="13"/>
  <c r="D5" i="13"/>
  <c r="E5" i="13"/>
  <c r="F5" i="13"/>
  <c r="G5" i="13"/>
  <c r="H5" i="13"/>
  <c r="I5" i="13"/>
  <c r="A396" i="19"/>
  <c r="B396" i="19"/>
  <c r="C396" i="19"/>
  <c r="D396" i="19"/>
  <c r="E396" i="19"/>
  <c r="F396" i="19"/>
  <c r="G396" i="19"/>
  <c r="I396" i="19"/>
  <c r="A398" i="19"/>
  <c r="B398" i="19"/>
  <c r="C398" i="19"/>
  <c r="D398" i="19"/>
  <c r="E398" i="19"/>
  <c r="F398" i="19"/>
  <c r="G398" i="19"/>
  <c r="I398" i="19"/>
  <c r="A399" i="19"/>
  <c r="B399" i="19"/>
  <c r="C399" i="19"/>
  <c r="D399" i="19"/>
  <c r="E399" i="19"/>
  <c r="F399" i="19"/>
  <c r="G399" i="19"/>
  <c r="I399" i="19"/>
  <c r="A401" i="19"/>
  <c r="B401" i="19"/>
  <c r="C401" i="19"/>
  <c r="D401" i="19"/>
  <c r="E401" i="19"/>
  <c r="F401" i="19"/>
  <c r="G401" i="19"/>
  <c r="I401" i="19"/>
  <c r="A403" i="19"/>
  <c r="B403" i="19"/>
  <c r="C403" i="19"/>
  <c r="D403" i="19"/>
  <c r="E403" i="19"/>
  <c r="F403" i="19"/>
  <c r="G403" i="19"/>
  <c r="I403" i="19"/>
  <c r="A404" i="19"/>
  <c r="B404" i="19"/>
  <c r="C404" i="19"/>
  <c r="D404" i="19"/>
  <c r="E404" i="19"/>
  <c r="F404" i="19"/>
  <c r="G404" i="19"/>
  <c r="I404" i="19"/>
  <c r="A405" i="19"/>
  <c r="B405" i="19"/>
  <c r="C405" i="19"/>
  <c r="D405" i="19"/>
  <c r="E405" i="19"/>
  <c r="F405" i="19"/>
  <c r="G405" i="19"/>
  <c r="I405" i="19"/>
  <c r="A407" i="19"/>
  <c r="B407" i="19"/>
  <c r="C407" i="19"/>
  <c r="D407" i="19"/>
  <c r="E407" i="19"/>
  <c r="F407" i="19"/>
  <c r="G407" i="19"/>
  <c r="I407" i="19"/>
  <c r="A408" i="19"/>
  <c r="B408" i="19"/>
  <c r="C408" i="19"/>
  <c r="D408" i="19"/>
  <c r="E408" i="19"/>
  <c r="F408" i="19"/>
  <c r="G408" i="19"/>
  <c r="I408" i="19"/>
  <c r="A409" i="19"/>
  <c r="B409" i="19"/>
  <c r="C409" i="19"/>
  <c r="D409" i="19"/>
  <c r="E409" i="19"/>
  <c r="F409" i="19"/>
  <c r="G409" i="19"/>
  <c r="I409" i="19"/>
  <c r="A361" i="19"/>
  <c r="B361" i="19"/>
  <c r="C361" i="19"/>
  <c r="D361" i="19"/>
  <c r="E361" i="19"/>
  <c r="F361" i="19"/>
  <c r="G361" i="19"/>
  <c r="I361" i="19"/>
  <c r="A362" i="19"/>
  <c r="B362" i="19"/>
  <c r="C362" i="19"/>
  <c r="D362" i="19"/>
  <c r="E362" i="19"/>
  <c r="F362" i="19"/>
  <c r="G362" i="19"/>
  <c r="I362" i="19"/>
  <c r="A364" i="19"/>
  <c r="B364" i="19"/>
  <c r="C364" i="19"/>
  <c r="D364" i="19"/>
  <c r="E364" i="19"/>
  <c r="F364" i="19"/>
  <c r="G364" i="19"/>
  <c r="I364" i="19"/>
  <c r="A366" i="19"/>
  <c r="B366" i="19"/>
  <c r="C366" i="19"/>
  <c r="D366" i="19"/>
  <c r="E366" i="19"/>
  <c r="F366" i="19"/>
  <c r="G366" i="19"/>
  <c r="I366" i="19"/>
  <c r="A368" i="19"/>
  <c r="B368" i="19"/>
  <c r="C368" i="19"/>
  <c r="D368" i="19"/>
  <c r="E368" i="19"/>
  <c r="F368" i="19"/>
  <c r="G368" i="19"/>
  <c r="I368" i="19"/>
  <c r="A373" i="19"/>
  <c r="B373" i="19"/>
  <c r="C373" i="19"/>
  <c r="D373" i="19"/>
  <c r="E373" i="19"/>
  <c r="F373" i="19"/>
  <c r="G373" i="19"/>
  <c r="I373" i="19"/>
  <c r="A374" i="19"/>
  <c r="B374" i="19"/>
  <c r="C374" i="19"/>
  <c r="D374" i="19"/>
  <c r="E374" i="19"/>
  <c r="F374" i="19"/>
  <c r="G374" i="19"/>
  <c r="I374" i="19"/>
  <c r="A377" i="19"/>
  <c r="B377" i="19"/>
  <c r="C377" i="19"/>
  <c r="D377" i="19"/>
  <c r="E377" i="19"/>
  <c r="F377" i="19"/>
  <c r="G377" i="19"/>
  <c r="I377" i="19"/>
  <c r="A379" i="19"/>
  <c r="B379" i="19"/>
  <c r="C379" i="19"/>
  <c r="D379" i="19"/>
  <c r="E379" i="19"/>
  <c r="F379" i="19"/>
  <c r="G379" i="19"/>
  <c r="I379" i="19"/>
  <c r="A380" i="19"/>
  <c r="B380" i="19"/>
  <c r="C380" i="19"/>
  <c r="D380" i="19"/>
  <c r="E380" i="19"/>
  <c r="F380" i="19"/>
  <c r="G380" i="19"/>
  <c r="I380" i="19"/>
  <c r="A382" i="19"/>
  <c r="B382" i="19"/>
  <c r="C382" i="19"/>
  <c r="D382" i="19"/>
  <c r="E382" i="19"/>
  <c r="F382" i="19"/>
  <c r="G382" i="19"/>
  <c r="I382" i="19"/>
  <c r="A384" i="19"/>
  <c r="B384" i="19"/>
  <c r="C384" i="19"/>
  <c r="D384" i="19"/>
  <c r="E384" i="19"/>
  <c r="F384" i="19"/>
  <c r="G384" i="19"/>
  <c r="I384" i="19"/>
  <c r="A387" i="19"/>
  <c r="B387" i="19"/>
  <c r="C387" i="19"/>
  <c r="D387" i="19"/>
  <c r="E387" i="19"/>
  <c r="F387" i="19"/>
  <c r="G387" i="19"/>
  <c r="I387" i="19"/>
  <c r="A388" i="19"/>
  <c r="B388" i="19"/>
  <c r="C388" i="19"/>
  <c r="D388" i="19"/>
  <c r="E388" i="19"/>
  <c r="F388" i="19"/>
  <c r="G388" i="19"/>
  <c r="I388" i="19"/>
  <c r="A390" i="19"/>
  <c r="B390" i="19"/>
  <c r="C390" i="19"/>
  <c r="D390" i="19"/>
  <c r="E390" i="19"/>
  <c r="F390" i="19"/>
  <c r="G390" i="19"/>
  <c r="I390" i="19"/>
  <c r="A393" i="19"/>
  <c r="B393" i="19"/>
  <c r="C393" i="19"/>
  <c r="D393" i="19"/>
  <c r="E393" i="19"/>
  <c r="F393" i="19"/>
  <c r="G393" i="19"/>
  <c r="I393" i="19"/>
  <c r="A394" i="19"/>
  <c r="B394" i="19"/>
  <c r="C394" i="19"/>
  <c r="D394" i="19"/>
  <c r="E394" i="19"/>
  <c r="F394" i="19"/>
  <c r="G394" i="19"/>
  <c r="I394" i="19"/>
  <c r="A395" i="19"/>
  <c r="B395" i="19"/>
  <c r="C395" i="19"/>
  <c r="D395" i="19"/>
  <c r="E395" i="19"/>
  <c r="F395" i="19"/>
  <c r="G395" i="19"/>
  <c r="I395" i="19"/>
  <c r="A6" i="19"/>
  <c r="B6" i="19"/>
  <c r="C6" i="19"/>
  <c r="D6" i="19"/>
  <c r="E6" i="19"/>
  <c r="F6" i="19"/>
  <c r="G6" i="19"/>
  <c r="I6" i="19"/>
  <c r="A8" i="19"/>
  <c r="B8" i="19"/>
  <c r="C8" i="19"/>
  <c r="D8" i="19"/>
  <c r="E8" i="19"/>
  <c r="F8" i="19"/>
  <c r="G8" i="19"/>
  <c r="I8" i="19"/>
  <c r="A9" i="19"/>
  <c r="B9" i="19"/>
  <c r="C9" i="19"/>
  <c r="D9" i="19"/>
  <c r="E9" i="19"/>
  <c r="F9" i="19"/>
  <c r="G9" i="19"/>
  <c r="I9" i="19"/>
  <c r="A12" i="19"/>
  <c r="B12" i="19"/>
  <c r="C12" i="19"/>
  <c r="D12" i="19"/>
  <c r="E12" i="19"/>
  <c r="F12" i="19"/>
  <c r="G12" i="19"/>
  <c r="I12" i="19"/>
  <c r="A15" i="19"/>
  <c r="B15" i="19"/>
  <c r="C15" i="19"/>
  <c r="D15" i="19"/>
  <c r="E15" i="19"/>
  <c r="F15" i="19"/>
  <c r="G15" i="19"/>
  <c r="I15" i="19"/>
  <c r="A18" i="19"/>
  <c r="B18" i="19"/>
  <c r="C18" i="19"/>
  <c r="D18" i="19"/>
  <c r="E18" i="19"/>
  <c r="F18" i="19"/>
  <c r="G18" i="19"/>
  <c r="I18" i="19"/>
  <c r="A20" i="19"/>
  <c r="B20" i="19"/>
  <c r="C20" i="19"/>
  <c r="D20" i="19"/>
  <c r="E20" i="19"/>
  <c r="F20" i="19"/>
  <c r="G20" i="19"/>
  <c r="I20" i="19"/>
  <c r="A22" i="19"/>
  <c r="B22" i="19"/>
  <c r="C22" i="19"/>
  <c r="D22" i="19"/>
  <c r="E22" i="19"/>
  <c r="F22" i="19"/>
  <c r="G22" i="19"/>
  <c r="I22" i="19"/>
  <c r="A24" i="19"/>
  <c r="B24" i="19"/>
  <c r="C24" i="19"/>
  <c r="D24" i="19"/>
  <c r="E24" i="19"/>
  <c r="F24" i="19"/>
  <c r="G24" i="19"/>
  <c r="I24" i="19"/>
  <c r="A26" i="19"/>
  <c r="B26" i="19"/>
  <c r="C26" i="19"/>
  <c r="D26" i="19"/>
  <c r="E26" i="19"/>
  <c r="F26" i="19"/>
  <c r="G26" i="19"/>
  <c r="I26" i="19"/>
  <c r="A29" i="19"/>
  <c r="B29" i="19"/>
  <c r="C29" i="19"/>
  <c r="D29" i="19"/>
  <c r="E29" i="19"/>
  <c r="F29" i="19"/>
  <c r="G29" i="19"/>
  <c r="I29" i="19"/>
  <c r="A31" i="19"/>
  <c r="B31" i="19"/>
  <c r="C31" i="19"/>
  <c r="D31" i="19"/>
  <c r="E31" i="19"/>
  <c r="F31" i="19"/>
  <c r="G31" i="19"/>
  <c r="I31" i="19"/>
  <c r="A33" i="19"/>
  <c r="B33" i="19"/>
  <c r="C33" i="19"/>
  <c r="D33" i="19"/>
  <c r="E33" i="19"/>
  <c r="F33" i="19"/>
  <c r="G33" i="19"/>
  <c r="I33" i="19"/>
  <c r="A34" i="19"/>
  <c r="B34" i="19"/>
  <c r="C34" i="19"/>
  <c r="D34" i="19"/>
  <c r="E34" i="19"/>
  <c r="F34" i="19"/>
  <c r="G34" i="19"/>
  <c r="I34" i="19"/>
  <c r="A37" i="19"/>
  <c r="B37" i="19"/>
  <c r="C37" i="19"/>
  <c r="D37" i="19"/>
  <c r="E37" i="19"/>
  <c r="F37" i="19"/>
  <c r="G37" i="19"/>
  <c r="I37" i="19"/>
  <c r="A39" i="19"/>
  <c r="B39" i="19"/>
  <c r="C39" i="19"/>
  <c r="D39" i="19"/>
  <c r="E39" i="19"/>
  <c r="F39" i="19"/>
  <c r="G39" i="19"/>
  <c r="I39" i="19"/>
  <c r="A40" i="19"/>
  <c r="B40" i="19"/>
  <c r="C40" i="19"/>
  <c r="D40" i="19"/>
  <c r="E40" i="19"/>
  <c r="F40" i="19"/>
  <c r="G40" i="19"/>
  <c r="I40" i="19"/>
  <c r="A42" i="19"/>
  <c r="B42" i="19"/>
  <c r="C42" i="19"/>
  <c r="D42" i="19"/>
  <c r="E42" i="19"/>
  <c r="F42" i="19"/>
  <c r="G42" i="19"/>
  <c r="I42" i="19"/>
  <c r="A44" i="19"/>
  <c r="B44" i="19"/>
  <c r="C44" i="19"/>
  <c r="D44" i="19"/>
  <c r="E44" i="19"/>
  <c r="F44" i="19"/>
  <c r="G44" i="19"/>
  <c r="I44" i="19"/>
  <c r="A46" i="19"/>
  <c r="B46" i="19"/>
  <c r="C46" i="19"/>
  <c r="D46" i="19"/>
  <c r="E46" i="19"/>
  <c r="F46" i="19"/>
  <c r="G46" i="19"/>
  <c r="I46" i="19"/>
  <c r="A48" i="19"/>
  <c r="B48" i="19"/>
  <c r="C48" i="19"/>
  <c r="D48" i="19"/>
  <c r="E48" i="19"/>
  <c r="F48" i="19"/>
  <c r="G48" i="19"/>
  <c r="I48" i="19"/>
  <c r="A50" i="19"/>
  <c r="B50" i="19"/>
  <c r="C50" i="19"/>
  <c r="D50" i="19"/>
  <c r="E50" i="19"/>
  <c r="F50" i="19"/>
  <c r="G50" i="19"/>
  <c r="I50" i="19"/>
  <c r="A52" i="19"/>
  <c r="B52" i="19"/>
  <c r="C52" i="19"/>
  <c r="D52" i="19"/>
  <c r="E52" i="19"/>
  <c r="F52" i="19"/>
  <c r="G52" i="19"/>
  <c r="I52" i="19"/>
  <c r="A54" i="19"/>
  <c r="B54" i="19"/>
  <c r="C54" i="19"/>
  <c r="D54" i="19"/>
  <c r="E54" i="19"/>
  <c r="F54" i="19"/>
  <c r="G54" i="19"/>
  <c r="I54" i="19"/>
  <c r="A56" i="19"/>
  <c r="B56" i="19"/>
  <c r="C56" i="19"/>
  <c r="D56" i="19"/>
  <c r="E56" i="19"/>
  <c r="F56" i="19"/>
  <c r="G56" i="19"/>
  <c r="I56" i="19"/>
  <c r="A58" i="19"/>
  <c r="B58" i="19"/>
  <c r="C58" i="19"/>
  <c r="D58" i="19"/>
  <c r="E58" i="19"/>
  <c r="F58" i="19"/>
  <c r="G58" i="19"/>
  <c r="I58" i="19"/>
  <c r="A60" i="19"/>
  <c r="B60" i="19"/>
  <c r="C60" i="19"/>
  <c r="D60" i="19"/>
  <c r="E60" i="19"/>
  <c r="F60" i="19"/>
  <c r="G60" i="19"/>
  <c r="I60" i="19"/>
  <c r="A61" i="19"/>
  <c r="B61" i="19"/>
  <c r="C61" i="19"/>
  <c r="D61" i="19"/>
  <c r="E61" i="19"/>
  <c r="F61" i="19"/>
  <c r="G61" i="19"/>
  <c r="I61" i="19"/>
  <c r="A62" i="19"/>
  <c r="B62" i="19"/>
  <c r="C62" i="19"/>
  <c r="D62" i="19"/>
  <c r="E62" i="19"/>
  <c r="F62" i="19"/>
  <c r="G62" i="19"/>
  <c r="I62" i="19"/>
  <c r="A63" i="19"/>
  <c r="B63" i="19"/>
  <c r="C63" i="19"/>
  <c r="D63" i="19"/>
  <c r="E63" i="19"/>
  <c r="F63" i="19"/>
  <c r="G63" i="19"/>
  <c r="I63" i="19"/>
  <c r="A65" i="19"/>
  <c r="B65" i="19"/>
  <c r="C65" i="19"/>
  <c r="D65" i="19"/>
  <c r="E65" i="19"/>
  <c r="F65" i="19"/>
  <c r="G65" i="19"/>
  <c r="I65" i="19"/>
  <c r="A67" i="19"/>
  <c r="B67" i="19"/>
  <c r="C67" i="19"/>
  <c r="D67" i="19"/>
  <c r="E67" i="19"/>
  <c r="F67" i="19"/>
  <c r="G67" i="19"/>
  <c r="I67" i="19"/>
  <c r="A69" i="19"/>
  <c r="B69" i="19"/>
  <c r="C69" i="19"/>
  <c r="D69" i="19"/>
  <c r="E69" i="19"/>
  <c r="F69" i="19"/>
  <c r="G69" i="19"/>
  <c r="I69" i="19"/>
  <c r="A70" i="19"/>
  <c r="B70" i="19"/>
  <c r="C70" i="19"/>
  <c r="D70" i="19"/>
  <c r="E70" i="19"/>
  <c r="F70" i="19"/>
  <c r="G70" i="19"/>
  <c r="I70" i="19"/>
  <c r="A72" i="19"/>
  <c r="B72" i="19"/>
  <c r="C72" i="19"/>
  <c r="D72" i="19"/>
  <c r="E72" i="19"/>
  <c r="F72" i="19"/>
  <c r="G72" i="19"/>
  <c r="I72" i="19"/>
  <c r="A74" i="19"/>
  <c r="B74" i="19"/>
  <c r="C74" i="19"/>
  <c r="D74" i="19"/>
  <c r="E74" i="19"/>
  <c r="F74" i="19"/>
  <c r="G74" i="19"/>
  <c r="I74" i="19"/>
  <c r="A76" i="19"/>
  <c r="B76" i="19"/>
  <c r="C76" i="19"/>
  <c r="D76" i="19"/>
  <c r="E76" i="19"/>
  <c r="F76" i="19"/>
  <c r="G76" i="19"/>
  <c r="I76" i="19"/>
  <c r="A77" i="19"/>
  <c r="B77" i="19"/>
  <c r="C77" i="19"/>
  <c r="D77" i="19"/>
  <c r="E77" i="19"/>
  <c r="F77" i="19"/>
  <c r="G77" i="19"/>
  <c r="I77" i="19"/>
  <c r="A79" i="19"/>
  <c r="B79" i="19"/>
  <c r="C79" i="19"/>
  <c r="D79" i="19"/>
  <c r="E79" i="19"/>
  <c r="F79" i="19"/>
  <c r="G79" i="19"/>
  <c r="I79" i="19"/>
  <c r="A93" i="19"/>
  <c r="B93" i="19"/>
  <c r="C93" i="19"/>
  <c r="D93" i="19"/>
  <c r="E93" i="19"/>
  <c r="F93" i="19"/>
  <c r="G93" i="19"/>
  <c r="I93" i="19"/>
  <c r="A94" i="19"/>
  <c r="B94" i="19"/>
  <c r="C94" i="19"/>
  <c r="D94" i="19"/>
  <c r="E94" i="19"/>
  <c r="F94" i="19"/>
  <c r="G94" i="19"/>
  <c r="I94" i="19"/>
  <c r="A95" i="19"/>
  <c r="B95" i="19"/>
  <c r="C95" i="19"/>
  <c r="D95" i="19"/>
  <c r="E95" i="19"/>
  <c r="F95" i="19"/>
  <c r="G95" i="19"/>
  <c r="I95" i="19"/>
  <c r="A96" i="19"/>
  <c r="B96" i="19"/>
  <c r="C96" i="19"/>
  <c r="D96" i="19"/>
  <c r="E96" i="19"/>
  <c r="F96" i="19"/>
  <c r="G96" i="19"/>
  <c r="I96" i="19"/>
  <c r="A97" i="19"/>
  <c r="B97" i="19"/>
  <c r="C97" i="19"/>
  <c r="D97" i="19"/>
  <c r="E97" i="19"/>
  <c r="F97" i="19"/>
  <c r="G97" i="19"/>
  <c r="I97" i="19"/>
  <c r="A98" i="19"/>
  <c r="B98" i="19"/>
  <c r="C98" i="19"/>
  <c r="D98" i="19"/>
  <c r="E98" i="19"/>
  <c r="F98" i="19"/>
  <c r="G98" i="19"/>
  <c r="I98" i="19"/>
  <c r="A99" i="19"/>
  <c r="B99" i="19"/>
  <c r="C99" i="19"/>
  <c r="D99" i="19"/>
  <c r="E99" i="19"/>
  <c r="F99" i="19"/>
  <c r="G99" i="19"/>
  <c r="I99" i="19"/>
  <c r="A100" i="19"/>
  <c r="B100" i="19"/>
  <c r="C100" i="19"/>
  <c r="D100" i="19"/>
  <c r="E100" i="19"/>
  <c r="F100" i="19"/>
  <c r="G100" i="19"/>
  <c r="I100" i="19"/>
  <c r="A101" i="19"/>
  <c r="B101" i="19"/>
  <c r="C101" i="19"/>
  <c r="D101" i="19"/>
  <c r="E101" i="19"/>
  <c r="F101" i="19"/>
  <c r="G101" i="19"/>
  <c r="I101" i="19"/>
  <c r="A103" i="19"/>
  <c r="B103" i="19"/>
  <c r="C103" i="19"/>
  <c r="D103" i="19"/>
  <c r="E103" i="19"/>
  <c r="F103" i="19"/>
  <c r="G103" i="19"/>
  <c r="I103" i="19"/>
  <c r="A105" i="19"/>
  <c r="B105" i="19"/>
  <c r="C105" i="19"/>
  <c r="D105" i="19"/>
  <c r="E105" i="19"/>
  <c r="F105" i="19"/>
  <c r="G105" i="19"/>
  <c r="I105" i="19"/>
  <c r="A108" i="19"/>
  <c r="B108" i="19"/>
  <c r="C108" i="19"/>
  <c r="D108" i="19"/>
  <c r="E108" i="19"/>
  <c r="F108" i="19"/>
  <c r="G108" i="19"/>
  <c r="I108" i="19"/>
  <c r="A110" i="19"/>
  <c r="B110" i="19"/>
  <c r="C110" i="19"/>
  <c r="D110" i="19"/>
  <c r="E110" i="19"/>
  <c r="F110" i="19"/>
  <c r="G110" i="19"/>
  <c r="I110" i="19"/>
  <c r="A111" i="19"/>
  <c r="B111" i="19"/>
  <c r="C111" i="19"/>
  <c r="D111" i="19"/>
  <c r="E111" i="19"/>
  <c r="F111" i="19"/>
  <c r="G111" i="19"/>
  <c r="I111" i="19"/>
  <c r="A112" i="19"/>
  <c r="B112" i="19"/>
  <c r="C112" i="19"/>
  <c r="D112" i="19"/>
  <c r="E112" i="19"/>
  <c r="F112" i="19"/>
  <c r="G112" i="19"/>
  <c r="I112" i="19"/>
  <c r="A115" i="19"/>
  <c r="B115" i="19"/>
  <c r="C115" i="19"/>
  <c r="D115" i="19"/>
  <c r="E115" i="19"/>
  <c r="F115" i="19"/>
  <c r="G115" i="19"/>
  <c r="I115" i="19"/>
  <c r="A116" i="19"/>
  <c r="B116" i="19"/>
  <c r="C116" i="19"/>
  <c r="D116" i="19"/>
  <c r="E116" i="19"/>
  <c r="F116" i="19"/>
  <c r="G116" i="19"/>
  <c r="I116" i="19"/>
  <c r="A117" i="19"/>
  <c r="B117" i="19"/>
  <c r="C117" i="19"/>
  <c r="D117" i="19"/>
  <c r="E117" i="19"/>
  <c r="F117" i="19"/>
  <c r="G117" i="19"/>
  <c r="I117" i="19"/>
  <c r="A118" i="19"/>
  <c r="B118" i="19"/>
  <c r="C118" i="19"/>
  <c r="D118" i="19"/>
  <c r="E118" i="19"/>
  <c r="F118" i="19"/>
  <c r="G118" i="19"/>
  <c r="I118" i="19"/>
  <c r="A119" i="19"/>
  <c r="B119" i="19"/>
  <c r="C119" i="19"/>
  <c r="D119" i="19"/>
  <c r="E119" i="19"/>
  <c r="F119" i="19"/>
  <c r="G119" i="19"/>
  <c r="I119" i="19"/>
  <c r="A121" i="19"/>
  <c r="B121" i="19"/>
  <c r="C121" i="19"/>
  <c r="D121" i="19"/>
  <c r="E121" i="19"/>
  <c r="F121" i="19"/>
  <c r="G121" i="19"/>
  <c r="I121" i="19"/>
  <c r="A122" i="19"/>
  <c r="B122" i="19"/>
  <c r="C122" i="19"/>
  <c r="D122" i="19"/>
  <c r="E122" i="19"/>
  <c r="F122" i="19"/>
  <c r="G122" i="19"/>
  <c r="I122" i="19"/>
  <c r="A123" i="19"/>
  <c r="B123" i="19"/>
  <c r="C123" i="19"/>
  <c r="D123" i="19"/>
  <c r="E123" i="19"/>
  <c r="F123" i="19"/>
  <c r="G123" i="19"/>
  <c r="I123" i="19"/>
  <c r="A124" i="19"/>
  <c r="B124" i="19"/>
  <c r="C124" i="19"/>
  <c r="D124" i="19"/>
  <c r="E124" i="19"/>
  <c r="F124" i="19"/>
  <c r="G124" i="19"/>
  <c r="I124" i="19"/>
  <c r="A125" i="19"/>
  <c r="B125" i="19"/>
  <c r="C125" i="19"/>
  <c r="D125" i="19"/>
  <c r="E125" i="19"/>
  <c r="F125" i="19"/>
  <c r="G125" i="19"/>
  <c r="I125" i="19"/>
  <c r="A127" i="19"/>
  <c r="B127" i="19"/>
  <c r="C127" i="19"/>
  <c r="D127" i="19"/>
  <c r="E127" i="19"/>
  <c r="F127" i="19"/>
  <c r="G127" i="19"/>
  <c r="I127" i="19"/>
  <c r="A129" i="19"/>
  <c r="B129" i="19"/>
  <c r="C129" i="19"/>
  <c r="D129" i="19"/>
  <c r="E129" i="19"/>
  <c r="F129" i="19"/>
  <c r="G129" i="19"/>
  <c r="I129" i="19"/>
  <c r="A131" i="19"/>
  <c r="B131" i="19"/>
  <c r="C131" i="19"/>
  <c r="D131" i="19"/>
  <c r="E131" i="19"/>
  <c r="F131" i="19"/>
  <c r="G131" i="19"/>
  <c r="I131" i="19"/>
  <c r="A133" i="19"/>
  <c r="B133" i="19"/>
  <c r="C133" i="19"/>
  <c r="D133" i="19"/>
  <c r="E133" i="19"/>
  <c r="F133" i="19"/>
  <c r="G133" i="19"/>
  <c r="I133" i="19"/>
  <c r="A135" i="19"/>
  <c r="B135" i="19"/>
  <c r="C135" i="19"/>
  <c r="D135" i="19"/>
  <c r="E135" i="19"/>
  <c r="F135" i="19"/>
  <c r="G135" i="19"/>
  <c r="I135" i="19"/>
  <c r="A137" i="19"/>
  <c r="B137" i="19"/>
  <c r="C137" i="19"/>
  <c r="D137" i="19"/>
  <c r="E137" i="19"/>
  <c r="F137" i="19"/>
  <c r="G137" i="19"/>
  <c r="I137" i="19"/>
  <c r="A139" i="19"/>
  <c r="B139" i="19"/>
  <c r="C139" i="19"/>
  <c r="D139" i="19"/>
  <c r="E139" i="19"/>
  <c r="F139" i="19"/>
  <c r="G139" i="19"/>
  <c r="I139" i="19"/>
  <c r="A141" i="19"/>
  <c r="B141" i="19"/>
  <c r="C141" i="19"/>
  <c r="D141" i="19"/>
  <c r="E141" i="19"/>
  <c r="F141" i="19"/>
  <c r="G141" i="19"/>
  <c r="I141" i="19"/>
  <c r="A143" i="19"/>
  <c r="B143" i="19"/>
  <c r="C143" i="19"/>
  <c r="D143" i="19"/>
  <c r="E143" i="19"/>
  <c r="F143" i="19"/>
  <c r="G143" i="19"/>
  <c r="I143" i="19"/>
  <c r="A145" i="19"/>
  <c r="B145" i="19"/>
  <c r="C145" i="19"/>
  <c r="D145" i="19"/>
  <c r="E145" i="19"/>
  <c r="F145" i="19"/>
  <c r="G145" i="19"/>
  <c r="I145" i="19"/>
  <c r="A147" i="19"/>
  <c r="B147" i="19"/>
  <c r="C147" i="19"/>
  <c r="D147" i="19"/>
  <c r="E147" i="19"/>
  <c r="F147" i="19"/>
  <c r="G147" i="19"/>
  <c r="I147" i="19"/>
  <c r="A149" i="19"/>
  <c r="B149" i="19"/>
  <c r="C149" i="19"/>
  <c r="D149" i="19"/>
  <c r="E149" i="19"/>
  <c r="F149" i="19"/>
  <c r="G149" i="19"/>
  <c r="I149" i="19"/>
  <c r="A151" i="19"/>
  <c r="B151" i="19"/>
  <c r="C151" i="19"/>
  <c r="D151" i="19"/>
  <c r="E151" i="19"/>
  <c r="F151" i="19"/>
  <c r="G151" i="19"/>
  <c r="I151" i="19"/>
  <c r="A153" i="19"/>
  <c r="B153" i="19"/>
  <c r="C153" i="19"/>
  <c r="D153" i="19"/>
  <c r="E153" i="19"/>
  <c r="F153" i="19"/>
  <c r="G153" i="19"/>
  <c r="I153" i="19"/>
  <c r="A155" i="19"/>
  <c r="B155" i="19"/>
  <c r="C155" i="19"/>
  <c r="D155" i="19"/>
  <c r="E155" i="19"/>
  <c r="F155" i="19"/>
  <c r="G155" i="19"/>
  <c r="I155" i="19"/>
  <c r="A157" i="19"/>
  <c r="B157" i="19"/>
  <c r="C157" i="19"/>
  <c r="D157" i="19"/>
  <c r="E157" i="19"/>
  <c r="F157" i="19"/>
  <c r="G157" i="19"/>
  <c r="I157" i="19"/>
  <c r="A159" i="19"/>
  <c r="B159" i="19"/>
  <c r="C159" i="19"/>
  <c r="D159" i="19"/>
  <c r="E159" i="19"/>
  <c r="F159" i="19"/>
  <c r="G159" i="19"/>
  <c r="I159" i="19"/>
  <c r="A161" i="19"/>
  <c r="B161" i="19"/>
  <c r="C161" i="19"/>
  <c r="D161" i="19"/>
  <c r="E161" i="19"/>
  <c r="F161" i="19"/>
  <c r="G161" i="19"/>
  <c r="I161" i="19"/>
  <c r="A163" i="19"/>
  <c r="B163" i="19"/>
  <c r="C163" i="19"/>
  <c r="D163" i="19"/>
  <c r="E163" i="19"/>
  <c r="F163" i="19"/>
  <c r="G163" i="19"/>
  <c r="I163" i="19"/>
  <c r="A165" i="19"/>
  <c r="B165" i="19"/>
  <c r="C165" i="19"/>
  <c r="D165" i="19"/>
  <c r="E165" i="19"/>
  <c r="F165" i="19"/>
  <c r="G165" i="19"/>
  <c r="I165" i="19"/>
  <c r="A167" i="19"/>
  <c r="B167" i="19"/>
  <c r="C167" i="19"/>
  <c r="D167" i="19"/>
  <c r="E167" i="19"/>
  <c r="F167" i="19"/>
  <c r="G167" i="19"/>
  <c r="I167" i="19"/>
  <c r="A169" i="19"/>
  <c r="B169" i="19"/>
  <c r="C169" i="19"/>
  <c r="D169" i="19"/>
  <c r="E169" i="19"/>
  <c r="F169" i="19"/>
  <c r="G169" i="19"/>
  <c r="I169" i="19"/>
  <c r="A171" i="19"/>
  <c r="B171" i="19"/>
  <c r="C171" i="19"/>
  <c r="D171" i="19"/>
  <c r="E171" i="19"/>
  <c r="F171" i="19"/>
  <c r="G171" i="19"/>
  <c r="I171" i="19"/>
  <c r="A173" i="19"/>
  <c r="B173" i="19"/>
  <c r="C173" i="19"/>
  <c r="D173" i="19"/>
  <c r="E173" i="19"/>
  <c r="F173" i="19"/>
  <c r="G173" i="19"/>
  <c r="I173" i="19"/>
  <c r="A175" i="19"/>
  <c r="B175" i="19"/>
  <c r="C175" i="19"/>
  <c r="D175" i="19"/>
  <c r="E175" i="19"/>
  <c r="F175" i="19"/>
  <c r="G175" i="19"/>
  <c r="I175" i="19"/>
  <c r="A177" i="19"/>
  <c r="B177" i="19"/>
  <c r="C177" i="19"/>
  <c r="D177" i="19"/>
  <c r="E177" i="19"/>
  <c r="F177" i="19"/>
  <c r="G177" i="19"/>
  <c r="I177" i="19"/>
  <c r="A179" i="19"/>
  <c r="B179" i="19"/>
  <c r="C179" i="19"/>
  <c r="D179" i="19"/>
  <c r="E179" i="19"/>
  <c r="F179" i="19"/>
  <c r="G179" i="19"/>
  <c r="I179" i="19"/>
  <c r="A181" i="19"/>
  <c r="B181" i="19"/>
  <c r="C181" i="19"/>
  <c r="D181" i="19"/>
  <c r="E181" i="19"/>
  <c r="F181" i="19"/>
  <c r="G181" i="19"/>
  <c r="I181" i="19"/>
  <c r="A183" i="19"/>
  <c r="B183" i="19"/>
  <c r="C183" i="19"/>
  <c r="D183" i="19"/>
  <c r="E183" i="19"/>
  <c r="F183" i="19"/>
  <c r="G183" i="19"/>
  <c r="I183" i="19"/>
  <c r="A185" i="19"/>
  <c r="B185" i="19"/>
  <c r="C185" i="19"/>
  <c r="D185" i="19"/>
  <c r="E185" i="19"/>
  <c r="F185" i="19"/>
  <c r="G185" i="19"/>
  <c r="I185" i="19"/>
  <c r="A186" i="19"/>
  <c r="B186" i="19"/>
  <c r="C186" i="19"/>
  <c r="D186" i="19"/>
  <c r="E186" i="19"/>
  <c r="F186" i="19"/>
  <c r="G186" i="19"/>
  <c r="I186" i="19"/>
  <c r="A187" i="19"/>
  <c r="B187" i="19"/>
  <c r="C187" i="19"/>
  <c r="D187" i="19"/>
  <c r="E187" i="19"/>
  <c r="F187" i="19"/>
  <c r="G187" i="19"/>
  <c r="I187" i="19"/>
  <c r="A188" i="19"/>
  <c r="B188" i="19"/>
  <c r="C188" i="19"/>
  <c r="D188" i="19"/>
  <c r="E188" i="19"/>
  <c r="F188" i="19"/>
  <c r="G188" i="19"/>
  <c r="I188" i="19"/>
  <c r="A189" i="19"/>
  <c r="B189" i="19"/>
  <c r="C189" i="19"/>
  <c r="D189" i="19"/>
  <c r="E189" i="19"/>
  <c r="F189" i="19"/>
  <c r="G189" i="19"/>
  <c r="I189" i="19"/>
  <c r="A192" i="19"/>
  <c r="B192" i="19"/>
  <c r="C192" i="19"/>
  <c r="D192" i="19"/>
  <c r="E192" i="19"/>
  <c r="F192" i="19"/>
  <c r="G192" i="19"/>
  <c r="I192" i="19"/>
  <c r="A193" i="19"/>
  <c r="B193" i="19"/>
  <c r="C193" i="19"/>
  <c r="D193" i="19"/>
  <c r="E193" i="19"/>
  <c r="F193" i="19"/>
  <c r="G193" i="19"/>
  <c r="I193" i="19"/>
  <c r="A195" i="19"/>
  <c r="B195" i="19"/>
  <c r="C195" i="19"/>
  <c r="D195" i="19"/>
  <c r="E195" i="19"/>
  <c r="F195" i="19"/>
  <c r="G195" i="19"/>
  <c r="I195" i="19"/>
  <c r="A197" i="19"/>
  <c r="B197" i="19"/>
  <c r="C197" i="19"/>
  <c r="D197" i="19"/>
  <c r="E197" i="19"/>
  <c r="F197" i="19"/>
  <c r="G197" i="19"/>
  <c r="I197" i="19"/>
  <c r="A199" i="19"/>
  <c r="B199" i="19"/>
  <c r="C199" i="19"/>
  <c r="D199" i="19"/>
  <c r="E199" i="19"/>
  <c r="F199" i="19"/>
  <c r="G199" i="19"/>
  <c r="I199" i="19"/>
  <c r="A201" i="19"/>
  <c r="B201" i="19"/>
  <c r="C201" i="19"/>
  <c r="D201" i="19"/>
  <c r="E201" i="19"/>
  <c r="F201" i="19"/>
  <c r="G201" i="19"/>
  <c r="I201" i="19"/>
  <c r="A203" i="19"/>
  <c r="B203" i="19"/>
  <c r="C203" i="19"/>
  <c r="D203" i="19"/>
  <c r="E203" i="19"/>
  <c r="F203" i="19"/>
  <c r="G203" i="19"/>
  <c r="I203" i="19"/>
  <c r="A205" i="19"/>
  <c r="B205" i="19"/>
  <c r="C205" i="19"/>
  <c r="D205" i="19"/>
  <c r="E205" i="19"/>
  <c r="F205" i="19"/>
  <c r="G205" i="19"/>
  <c r="I205" i="19"/>
  <c r="A207" i="19"/>
  <c r="B207" i="19"/>
  <c r="C207" i="19"/>
  <c r="D207" i="19"/>
  <c r="E207" i="19"/>
  <c r="F207" i="19"/>
  <c r="G207" i="19"/>
  <c r="I207" i="19"/>
  <c r="A209" i="19"/>
  <c r="B209" i="19"/>
  <c r="C209" i="19"/>
  <c r="D209" i="19"/>
  <c r="E209" i="19"/>
  <c r="F209" i="19"/>
  <c r="G209" i="19"/>
  <c r="I209" i="19"/>
  <c r="A210" i="19"/>
  <c r="B210" i="19"/>
  <c r="C210" i="19"/>
  <c r="D210" i="19"/>
  <c r="E210" i="19"/>
  <c r="F210" i="19"/>
  <c r="G210" i="19"/>
  <c r="I210" i="19"/>
  <c r="A212" i="19"/>
  <c r="B212" i="19"/>
  <c r="C212" i="19"/>
  <c r="D212" i="19"/>
  <c r="E212" i="19"/>
  <c r="F212" i="19"/>
  <c r="G212" i="19"/>
  <c r="I212" i="19"/>
  <c r="A215" i="19"/>
  <c r="B215" i="19"/>
  <c r="C215" i="19"/>
  <c r="D215" i="19"/>
  <c r="E215" i="19"/>
  <c r="F215" i="19"/>
  <c r="G215" i="19"/>
  <c r="I215" i="19"/>
  <c r="A217" i="19"/>
  <c r="B217" i="19"/>
  <c r="C217" i="19"/>
  <c r="D217" i="19"/>
  <c r="E217" i="19"/>
  <c r="F217" i="19"/>
  <c r="G217" i="19"/>
  <c r="I217" i="19"/>
  <c r="A218" i="19"/>
  <c r="B218" i="19"/>
  <c r="C218" i="19"/>
  <c r="D218" i="19"/>
  <c r="E218" i="19"/>
  <c r="F218" i="19"/>
  <c r="G218" i="19"/>
  <c r="I218" i="19"/>
  <c r="A219" i="19"/>
  <c r="B219" i="19"/>
  <c r="C219" i="19"/>
  <c r="D219" i="19"/>
  <c r="E219" i="19"/>
  <c r="F219" i="19"/>
  <c r="G219" i="19"/>
  <c r="I219" i="19"/>
  <c r="A220" i="19"/>
  <c r="B220" i="19"/>
  <c r="C220" i="19"/>
  <c r="D220" i="19"/>
  <c r="E220" i="19"/>
  <c r="F220" i="19"/>
  <c r="G220" i="19"/>
  <c r="I220" i="19"/>
  <c r="A221" i="19"/>
  <c r="B221" i="19"/>
  <c r="C221" i="19"/>
  <c r="D221" i="19"/>
  <c r="E221" i="19"/>
  <c r="F221" i="19"/>
  <c r="G221" i="19"/>
  <c r="I221" i="19"/>
  <c r="A224" i="19"/>
  <c r="B224" i="19"/>
  <c r="C224" i="19"/>
  <c r="D224" i="19"/>
  <c r="E224" i="19"/>
  <c r="F224" i="19"/>
  <c r="G224" i="19"/>
  <c r="I224" i="19"/>
  <c r="A225" i="19"/>
  <c r="B225" i="19"/>
  <c r="C225" i="19"/>
  <c r="D225" i="19"/>
  <c r="E225" i="19"/>
  <c r="F225" i="19"/>
  <c r="G225" i="19"/>
  <c r="I225" i="19"/>
  <c r="A228" i="19"/>
  <c r="B228" i="19"/>
  <c r="C228" i="19"/>
  <c r="D228" i="19"/>
  <c r="E228" i="19"/>
  <c r="F228" i="19"/>
  <c r="G228" i="19"/>
  <c r="I228" i="19"/>
  <c r="A230" i="19"/>
  <c r="B230" i="19"/>
  <c r="C230" i="19"/>
  <c r="D230" i="19"/>
  <c r="E230" i="19"/>
  <c r="F230" i="19"/>
  <c r="G230" i="19"/>
  <c r="I230" i="19"/>
  <c r="A232" i="19"/>
  <c r="B232" i="19"/>
  <c r="C232" i="19"/>
  <c r="D232" i="19"/>
  <c r="E232" i="19"/>
  <c r="F232" i="19"/>
  <c r="G232" i="19"/>
  <c r="I232" i="19"/>
  <c r="A234" i="19"/>
  <c r="B234" i="19"/>
  <c r="C234" i="19"/>
  <c r="D234" i="19"/>
  <c r="E234" i="19"/>
  <c r="F234" i="19"/>
  <c r="G234" i="19"/>
  <c r="I234" i="19"/>
  <c r="A257" i="19"/>
  <c r="B257" i="19"/>
  <c r="C257" i="19"/>
  <c r="D257" i="19"/>
  <c r="E257" i="19"/>
  <c r="F257" i="19"/>
  <c r="G257" i="19"/>
  <c r="I257" i="19"/>
  <c r="A258" i="19"/>
  <c r="B258" i="19"/>
  <c r="C258" i="19"/>
  <c r="D258" i="19"/>
  <c r="E258" i="19"/>
  <c r="F258" i="19"/>
  <c r="G258" i="19"/>
  <c r="I258" i="19"/>
  <c r="A259" i="19"/>
  <c r="B259" i="19"/>
  <c r="C259" i="19"/>
  <c r="D259" i="19"/>
  <c r="E259" i="19"/>
  <c r="F259" i="19"/>
  <c r="G259" i="19"/>
  <c r="I259" i="19"/>
  <c r="A262" i="19"/>
  <c r="B262" i="19"/>
  <c r="C262" i="19"/>
  <c r="D262" i="19"/>
  <c r="E262" i="19"/>
  <c r="F262" i="19"/>
  <c r="G262" i="19"/>
  <c r="I262" i="19"/>
  <c r="A263" i="19"/>
  <c r="B263" i="19"/>
  <c r="C263" i="19"/>
  <c r="D263" i="19"/>
  <c r="E263" i="19"/>
  <c r="F263" i="19"/>
  <c r="G263" i="19"/>
  <c r="I263" i="19"/>
  <c r="A264" i="19"/>
  <c r="B264" i="19"/>
  <c r="C264" i="19"/>
  <c r="D264" i="19"/>
  <c r="E264" i="19"/>
  <c r="F264" i="19"/>
  <c r="G264" i="19"/>
  <c r="I264" i="19"/>
  <c r="A267" i="19"/>
  <c r="B267" i="19"/>
  <c r="C267" i="19"/>
  <c r="D267" i="19"/>
  <c r="E267" i="19"/>
  <c r="F267" i="19"/>
  <c r="G267" i="19"/>
  <c r="I267" i="19"/>
  <c r="A268" i="19"/>
  <c r="B268" i="19"/>
  <c r="C268" i="19"/>
  <c r="D268" i="19"/>
  <c r="E268" i="19"/>
  <c r="F268" i="19"/>
  <c r="G268" i="19"/>
  <c r="I268" i="19"/>
  <c r="A269" i="19"/>
  <c r="B269" i="19"/>
  <c r="C269" i="19"/>
  <c r="D269" i="19"/>
  <c r="E269" i="19"/>
  <c r="F269" i="19"/>
  <c r="G269" i="19"/>
  <c r="I269" i="19"/>
  <c r="A271" i="19"/>
  <c r="B271" i="19"/>
  <c r="C271" i="19"/>
  <c r="D271" i="19"/>
  <c r="E271" i="19"/>
  <c r="F271" i="19"/>
  <c r="G271" i="19"/>
  <c r="I271" i="19"/>
  <c r="A272" i="19"/>
  <c r="B272" i="19"/>
  <c r="C272" i="19"/>
  <c r="D272" i="19"/>
  <c r="E272" i="19"/>
  <c r="F272" i="19"/>
  <c r="G272" i="19"/>
  <c r="I272" i="19"/>
  <c r="A273" i="19"/>
  <c r="B273" i="19"/>
  <c r="C273" i="19"/>
  <c r="D273" i="19"/>
  <c r="E273" i="19"/>
  <c r="F273" i="19"/>
  <c r="G273" i="19"/>
  <c r="I273" i="19"/>
  <c r="A275" i="19"/>
  <c r="B275" i="19"/>
  <c r="C275" i="19"/>
  <c r="D275" i="19"/>
  <c r="E275" i="19"/>
  <c r="F275" i="19"/>
  <c r="G275" i="19"/>
  <c r="I275" i="19"/>
  <c r="A277" i="19"/>
  <c r="B277" i="19"/>
  <c r="C277" i="19"/>
  <c r="D277" i="19"/>
  <c r="E277" i="19"/>
  <c r="F277" i="19"/>
  <c r="G277" i="19"/>
  <c r="I277" i="19"/>
  <c r="A278" i="19"/>
  <c r="B278" i="19"/>
  <c r="C278" i="19"/>
  <c r="D278" i="19"/>
  <c r="E278" i="19"/>
  <c r="F278" i="19"/>
  <c r="G278" i="19"/>
  <c r="I278" i="19"/>
  <c r="A279" i="19"/>
  <c r="B279" i="19"/>
  <c r="C279" i="19"/>
  <c r="D279" i="19"/>
  <c r="E279" i="19"/>
  <c r="F279" i="19"/>
  <c r="G279" i="19"/>
  <c r="I279" i="19"/>
  <c r="A280" i="19"/>
  <c r="B280" i="19"/>
  <c r="C280" i="19"/>
  <c r="D280" i="19"/>
  <c r="E280" i="19"/>
  <c r="F280" i="19"/>
  <c r="G280" i="19"/>
  <c r="I280" i="19"/>
  <c r="A289" i="19"/>
  <c r="B289" i="19"/>
  <c r="C289" i="19"/>
  <c r="D289" i="19"/>
  <c r="E289" i="19"/>
  <c r="F289" i="19"/>
  <c r="G289" i="19"/>
  <c r="I289" i="19"/>
  <c r="A287" i="19"/>
  <c r="B287" i="19"/>
  <c r="C287" i="19"/>
  <c r="D287" i="19"/>
  <c r="E287" i="19"/>
  <c r="F287" i="19"/>
  <c r="G287" i="19"/>
  <c r="I287" i="19"/>
  <c r="A296" i="19"/>
  <c r="B296" i="19"/>
  <c r="C296" i="19"/>
  <c r="D296" i="19"/>
  <c r="E296" i="19"/>
  <c r="F296" i="19"/>
  <c r="G296" i="19"/>
  <c r="I296" i="19"/>
  <c r="A297" i="19"/>
  <c r="B297" i="19"/>
  <c r="C297" i="19"/>
  <c r="D297" i="19"/>
  <c r="E297" i="19"/>
  <c r="F297" i="19"/>
  <c r="G297" i="19"/>
  <c r="I297" i="19"/>
  <c r="A300" i="19"/>
  <c r="B300" i="19"/>
  <c r="C300" i="19"/>
  <c r="D300" i="19"/>
  <c r="E300" i="19"/>
  <c r="F300" i="19"/>
  <c r="G300" i="19"/>
  <c r="I300" i="19"/>
  <c r="A302" i="19"/>
  <c r="B302" i="19"/>
  <c r="C302" i="19"/>
  <c r="D302" i="19"/>
  <c r="E302" i="19"/>
  <c r="F302" i="19"/>
  <c r="G302" i="19"/>
  <c r="I302" i="19"/>
  <c r="A305" i="19"/>
  <c r="B305" i="19"/>
  <c r="C305" i="19"/>
  <c r="D305" i="19"/>
  <c r="E305" i="19"/>
  <c r="F305" i="19"/>
  <c r="G305" i="19"/>
  <c r="I305" i="19"/>
  <c r="A306" i="19"/>
  <c r="B306" i="19"/>
  <c r="C306" i="19"/>
  <c r="D306" i="19"/>
  <c r="E306" i="19"/>
  <c r="F306" i="19"/>
  <c r="G306" i="19"/>
  <c r="I306" i="19"/>
  <c r="A307" i="19"/>
  <c r="B307" i="19"/>
  <c r="C307" i="19"/>
  <c r="D307" i="19"/>
  <c r="E307" i="19"/>
  <c r="F307" i="19"/>
  <c r="G307" i="19"/>
  <c r="I307" i="19"/>
  <c r="A309" i="19"/>
  <c r="B309" i="19"/>
  <c r="C309" i="19"/>
  <c r="D309" i="19"/>
  <c r="E309" i="19"/>
  <c r="F309" i="19"/>
  <c r="G309" i="19"/>
  <c r="I309" i="19"/>
  <c r="A311" i="19"/>
  <c r="B311" i="19"/>
  <c r="C311" i="19"/>
  <c r="D311" i="19"/>
  <c r="E311" i="19"/>
  <c r="F311" i="19"/>
  <c r="G311" i="19"/>
  <c r="I311" i="19"/>
  <c r="A312" i="19"/>
  <c r="B312" i="19"/>
  <c r="C312" i="19"/>
  <c r="D312" i="19"/>
  <c r="E312" i="19"/>
  <c r="F312" i="19"/>
  <c r="G312" i="19"/>
  <c r="I312" i="19"/>
  <c r="A315" i="19"/>
  <c r="B315" i="19"/>
  <c r="C315" i="19"/>
  <c r="D315" i="19"/>
  <c r="E315" i="19"/>
  <c r="F315" i="19"/>
  <c r="G315" i="19"/>
  <c r="I315" i="19"/>
  <c r="A316" i="19"/>
  <c r="B316" i="19"/>
  <c r="C316" i="19"/>
  <c r="D316" i="19"/>
  <c r="E316" i="19"/>
  <c r="F316" i="19"/>
  <c r="G316" i="19"/>
  <c r="I316" i="19"/>
  <c r="A319" i="19"/>
  <c r="B319" i="19"/>
  <c r="C319" i="19"/>
  <c r="D319" i="19"/>
  <c r="E319" i="19"/>
  <c r="F319" i="19"/>
  <c r="G319" i="19"/>
  <c r="I319" i="19"/>
  <c r="A321" i="19"/>
  <c r="B321" i="19"/>
  <c r="C321" i="19"/>
  <c r="D321" i="19"/>
  <c r="E321" i="19"/>
  <c r="F321" i="19"/>
  <c r="G321" i="19"/>
  <c r="I321" i="19"/>
  <c r="A323" i="19"/>
  <c r="B323" i="19"/>
  <c r="C323" i="19"/>
  <c r="D323" i="19"/>
  <c r="E323" i="19"/>
  <c r="F323" i="19"/>
  <c r="G323" i="19"/>
  <c r="I323" i="19"/>
  <c r="A325" i="19"/>
  <c r="B325" i="19"/>
  <c r="C325" i="19"/>
  <c r="D325" i="19"/>
  <c r="E325" i="19"/>
  <c r="F325" i="19"/>
  <c r="G325" i="19"/>
  <c r="I325" i="19"/>
  <c r="A327" i="19"/>
  <c r="B327" i="19"/>
  <c r="C327" i="19"/>
  <c r="D327" i="19"/>
  <c r="E327" i="19"/>
  <c r="F327" i="19"/>
  <c r="G327" i="19"/>
  <c r="I327" i="19"/>
  <c r="A329" i="19"/>
  <c r="B329" i="19"/>
  <c r="C329" i="19"/>
  <c r="D329" i="19"/>
  <c r="E329" i="19"/>
  <c r="F329" i="19"/>
  <c r="G329" i="19"/>
  <c r="I329" i="19"/>
  <c r="A331" i="19"/>
  <c r="B331" i="19"/>
  <c r="C331" i="19"/>
  <c r="D331" i="19"/>
  <c r="E331" i="19"/>
  <c r="F331" i="19"/>
  <c r="G331" i="19"/>
  <c r="I331" i="19"/>
  <c r="A333" i="19"/>
  <c r="B333" i="19"/>
  <c r="C333" i="19"/>
  <c r="D333" i="19"/>
  <c r="E333" i="19"/>
  <c r="F333" i="19"/>
  <c r="G333" i="19"/>
  <c r="I333" i="19"/>
  <c r="A335" i="19"/>
  <c r="B335" i="19"/>
  <c r="C335" i="19"/>
  <c r="D335" i="19"/>
  <c r="E335" i="19"/>
  <c r="F335" i="19"/>
  <c r="G335" i="19"/>
  <c r="I335" i="19"/>
  <c r="A337" i="19"/>
  <c r="B337" i="19"/>
  <c r="C337" i="19"/>
  <c r="D337" i="19"/>
  <c r="E337" i="19"/>
  <c r="F337" i="19"/>
  <c r="G337" i="19"/>
  <c r="I337" i="19"/>
  <c r="A339" i="19"/>
  <c r="B339" i="19"/>
  <c r="C339" i="19"/>
  <c r="D339" i="19"/>
  <c r="E339" i="19"/>
  <c r="F339" i="19"/>
  <c r="G339" i="19"/>
  <c r="I339" i="19"/>
  <c r="A341" i="19"/>
  <c r="B341" i="19"/>
  <c r="C341" i="19"/>
  <c r="D341" i="19"/>
  <c r="E341" i="19"/>
  <c r="F341" i="19"/>
  <c r="G341" i="19"/>
  <c r="I341" i="19"/>
  <c r="A343" i="19"/>
  <c r="B343" i="19"/>
  <c r="C343" i="19"/>
  <c r="D343" i="19"/>
  <c r="E343" i="19"/>
  <c r="F343" i="19"/>
  <c r="G343" i="19"/>
  <c r="I343" i="19"/>
  <c r="A345" i="19"/>
  <c r="B345" i="19"/>
  <c r="C345" i="19"/>
  <c r="D345" i="19"/>
  <c r="E345" i="19"/>
  <c r="F345" i="19"/>
  <c r="G345" i="19"/>
  <c r="I345" i="19"/>
  <c r="A347" i="19"/>
  <c r="B347" i="19"/>
  <c r="C347" i="19"/>
  <c r="D347" i="19"/>
  <c r="E347" i="19"/>
  <c r="F347" i="19"/>
  <c r="G347" i="19"/>
  <c r="I347" i="19"/>
  <c r="A349" i="19"/>
  <c r="B349" i="19"/>
  <c r="C349" i="19"/>
  <c r="D349" i="19"/>
  <c r="E349" i="19"/>
  <c r="F349" i="19"/>
  <c r="G349" i="19"/>
  <c r="I349" i="19"/>
  <c r="A351" i="19"/>
  <c r="B351" i="19"/>
  <c r="C351" i="19"/>
  <c r="D351" i="19"/>
  <c r="E351" i="19"/>
  <c r="F351" i="19"/>
  <c r="G351" i="19"/>
  <c r="I351" i="19"/>
  <c r="A353" i="19"/>
  <c r="B353" i="19"/>
  <c r="C353" i="19"/>
  <c r="D353" i="19"/>
  <c r="E353" i="19"/>
  <c r="F353" i="19"/>
  <c r="G353" i="19"/>
  <c r="I353" i="19"/>
  <c r="A355" i="19"/>
  <c r="B355" i="19"/>
  <c r="C355" i="19"/>
  <c r="D355" i="19"/>
  <c r="E355" i="19"/>
  <c r="F355" i="19"/>
  <c r="G355" i="19"/>
  <c r="I355" i="19"/>
  <c r="A357" i="19"/>
  <c r="B357" i="19"/>
  <c r="C357" i="19"/>
  <c r="D357" i="19"/>
  <c r="E357" i="19"/>
  <c r="F357" i="19"/>
  <c r="G357" i="19"/>
  <c r="I357" i="19"/>
  <c r="A359" i="19"/>
  <c r="B359" i="19"/>
  <c r="C359" i="19"/>
  <c r="D359" i="19"/>
  <c r="E359" i="19"/>
  <c r="F359" i="19"/>
  <c r="G359" i="19"/>
  <c r="I359" i="19"/>
  <c r="B4" i="19"/>
  <c r="C4" i="19"/>
  <c r="D4" i="19"/>
  <c r="E4" i="19"/>
  <c r="F4" i="19"/>
  <c r="G4" i="19"/>
  <c r="I4" i="19"/>
  <c r="A4" i="19"/>
  <c r="B2" i="19"/>
  <c r="C2" i="19"/>
  <c r="D2" i="19"/>
  <c r="E2" i="19"/>
  <c r="F2" i="19"/>
  <c r="G2" i="19"/>
  <c r="H2" i="19"/>
  <c r="I2" i="19"/>
  <c r="B3" i="19"/>
  <c r="C3" i="19"/>
  <c r="D3" i="19"/>
  <c r="E3" i="19"/>
  <c r="F3" i="19"/>
  <c r="G3" i="19"/>
  <c r="H3" i="19"/>
  <c r="I3" i="19"/>
  <c r="B5" i="19"/>
  <c r="C5" i="19"/>
  <c r="D5" i="19"/>
  <c r="E5" i="19"/>
  <c r="F5" i="19"/>
  <c r="G5" i="19"/>
  <c r="H5" i="19"/>
  <c r="I5" i="19"/>
  <c r="B7" i="19"/>
  <c r="C7" i="19"/>
  <c r="D7" i="19"/>
  <c r="E7" i="19"/>
  <c r="F7" i="19"/>
  <c r="G7" i="19"/>
  <c r="H7" i="19"/>
  <c r="I7" i="19"/>
  <c r="B10" i="19"/>
  <c r="C10" i="19"/>
  <c r="D10" i="19"/>
  <c r="E10" i="19"/>
  <c r="F10" i="19"/>
  <c r="G10" i="19"/>
  <c r="H10" i="19"/>
  <c r="I10" i="19"/>
  <c r="B11" i="19"/>
  <c r="C11" i="19"/>
  <c r="D11" i="19"/>
  <c r="E11" i="19"/>
  <c r="F11" i="19"/>
  <c r="G11" i="19"/>
  <c r="H11" i="19"/>
  <c r="I11" i="19"/>
  <c r="B13" i="19"/>
  <c r="C13" i="19"/>
  <c r="D13" i="19"/>
  <c r="E13" i="19"/>
  <c r="F13" i="19"/>
  <c r="G13" i="19"/>
  <c r="H13" i="19"/>
  <c r="I13" i="19"/>
  <c r="B14" i="19"/>
  <c r="C14" i="19"/>
  <c r="D14" i="19"/>
  <c r="E14" i="19"/>
  <c r="F14" i="19"/>
  <c r="G14" i="19"/>
  <c r="H14" i="19"/>
  <c r="I14" i="19"/>
  <c r="B16" i="19"/>
  <c r="C16" i="19"/>
  <c r="D16" i="19"/>
  <c r="E16" i="19"/>
  <c r="F16" i="19"/>
  <c r="G16" i="19"/>
  <c r="H16" i="19"/>
  <c r="I16" i="19"/>
  <c r="B17" i="19"/>
  <c r="C17" i="19"/>
  <c r="D17" i="19"/>
  <c r="E17" i="19"/>
  <c r="F17" i="19"/>
  <c r="G17" i="19"/>
  <c r="H17" i="19"/>
  <c r="I17" i="19"/>
  <c r="B19" i="19"/>
  <c r="C19" i="19"/>
  <c r="D19" i="19"/>
  <c r="E19" i="19"/>
  <c r="F19" i="19"/>
  <c r="G19" i="19"/>
  <c r="H19" i="19"/>
  <c r="I19" i="19"/>
  <c r="B21" i="19"/>
  <c r="C21" i="19"/>
  <c r="D21" i="19"/>
  <c r="E21" i="19"/>
  <c r="F21" i="19"/>
  <c r="G21" i="19"/>
  <c r="H21" i="19"/>
  <c r="I21" i="19"/>
  <c r="B23" i="19"/>
  <c r="C23" i="19"/>
  <c r="D23" i="19"/>
  <c r="E23" i="19"/>
  <c r="F23" i="19"/>
  <c r="G23" i="19"/>
  <c r="H23" i="19"/>
  <c r="I23" i="19"/>
  <c r="B25" i="19"/>
  <c r="C25" i="19"/>
  <c r="D25" i="19"/>
  <c r="E25" i="19"/>
  <c r="F25" i="19"/>
  <c r="G25" i="19"/>
  <c r="H25" i="19"/>
  <c r="I25" i="19"/>
  <c r="B27" i="19"/>
  <c r="C27" i="19"/>
  <c r="D27" i="19"/>
  <c r="E27" i="19"/>
  <c r="F27" i="19"/>
  <c r="G27" i="19"/>
  <c r="H27" i="19"/>
  <c r="I27" i="19"/>
  <c r="B28" i="19"/>
  <c r="C28" i="19"/>
  <c r="D28" i="19"/>
  <c r="E28" i="19"/>
  <c r="F28" i="19"/>
  <c r="G28" i="19"/>
  <c r="H28" i="19"/>
  <c r="I28" i="19"/>
  <c r="B32" i="19"/>
  <c r="C32" i="19"/>
  <c r="D32" i="19"/>
  <c r="E32" i="19"/>
  <c r="F32" i="19"/>
  <c r="G32" i="19"/>
  <c r="H32" i="19"/>
  <c r="I32" i="19"/>
  <c r="B35" i="19"/>
  <c r="C35" i="19"/>
  <c r="D35" i="19"/>
  <c r="E35" i="19"/>
  <c r="F35" i="19"/>
  <c r="G35" i="19"/>
  <c r="H35" i="19"/>
  <c r="I35" i="19"/>
  <c r="B36" i="19"/>
  <c r="C36" i="19"/>
  <c r="D36" i="19"/>
  <c r="E36" i="19"/>
  <c r="F36" i="19"/>
  <c r="G36" i="19"/>
  <c r="H36" i="19"/>
  <c r="I36" i="19"/>
  <c r="B38" i="19"/>
  <c r="C38" i="19"/>
  <c r="D38" i="19"/>
  <c r="E38" i="19"/>
  <c r="F38" i="19"/>
  <c r="G38" i="19"/>
  <c r="H38" i="19"/>
  <c r="I38" i="19"/>
  <c r="B41" i="19"/>
  <c r="C41" i="19"/>
  <c r="D41" i="19"/>
  <c r="E41" i="19"/>
  <c r="F41" i="19"/>
  <c r="G41" i="19"/>
  <c r="H41" i="19"/>
  <c r="I41" i="19"/>
  <c r="B43" i="19"/>
  <c r="C43" i="19"/>
  <c r="D43" i="19"/>
  <c r="E43" i="19"/>
  <c r="F43" i="19"/>
  <c r="G43" i="19"/>
  <c r="H43" i="19"/>
  <c r="I43" i="19"/>
  <c r="B45" i="19"/>
  <c r="C45" i="19"/>
  <c r="D45" i="19"/>
  <c r="E45" i="19"/>
  <c r="F45" i="19"/>
  <c r="G45" i="19"/>
  <c r="H45" i="19"/>
  <c r="I45" i="19"/>
  <c r="B47" i="19"/>
  <c r="C47" i="19"/>
  <c r="D47" i="19"/>
  <c r="E47" i="19"/>
  <c r="F47" i="19"/>
  <c r="G47" i="19"/>
  <c r="H47" i="19"/>
  <c r="I47" i="19"/>
  <c r="B49" i="19"/>
  <c r="C49" i="19"/>
  <c r="D49" i="19"/>
  <c r="E49" i="19"/>
  <c r="F49" i="19"/>
  <c r="G49" i="19"/>
  <c r="H49" i="19"/>
  <c r="I49" i="19"/>
  <c r="B51" i="19"/>
  <c r="C51" i="19"/>
  <c r="D51" i="19"/>
  <c r="E51" i="19"/>
  <c r="F51" i="19"/>
  <c r="G51" i="19"/>
  <c r="H51" i="19"/>
  <c r="I51" i="19"/>
  <c r="B53" i="19"/>
  <c r="C53" i="19"/>
  <c r="D53" i="19"/>
  <c r="E53" i="19"/>
  <c r="F53" i="19"/>
  <c r="G53" i="19"/>
  <c r="H53" i="19"/>
  <c r="I53" i="19"/>
  <c r="B55" i="19"/>
  <c r="C55" i="19"/>
  <c r="D55" i="19"/>
  <c r="E55" i="19"/>
  <c r="F55" i="19"/>
  <c r="G55" i="19"/>
  <c r="H55" i="19"/>
  <c r="I55" i="19"/>
  <c r="B57" i="19"/>
  <c r="C57" i="19"/>
  <c r="D57" i="19"/>
  <c r="E57" i="19"/>
  <c r="F57" i="19"/>
  <c r="G57" i="19"/>
  <c r="H57" i="19"/>
  <c r="I57" i="19"/>
  <c r="B59" i="19"/>
  <c r="C59" i="19"/>
  <c r="D59" i="19"/>
  <c r="E59" i="19"/>
  <c r="F59" i="19"/>
  <c r="G59" i="19"/>
  <c r="H59" i="19"/>
  <c r="I59" i="19"/>
  <c r="B64" i="19"/>
  <c r="C64" i="19"/>
  <c r="D64" i="19"/>
  <c r="E64" i="19"/>
  <c r="F64" i="19"/>
  <c r="G64" i="19"/>
  <c r="H64" i="19"/>
  <c r="I64" i="19"/>
  <c r="B66" i="19"/>
  <c r="C66" i="19"/>
  <c r="D66" i="19"/>
  <c r="E66" i="19"/>
  <c r="F66" i="19"/>
  <c r="G66" i="19"/>
  <c r="H66" i="19"/>
  <c r="I66" i="19"/>
  <c r="B68" i="19"/>
  <c r="C68" i="19"/>
  <c r="D68" i="19"/>
  <c r="E68" i="19"/>
  <c r="F68" i="19"/>
  <c r="G68" i="19"/>
  <c r="H68" i="19"/>
  <c r="I68" i="19"/>
  <c r="B71" i="19"/>
  <c r="C71" i="19"/>
  <c r="D71" i="19"/>
  <c r="E71" i="19"/>
  <c r="F71" i="19"/>
  <c r="G71" i="19"/>
  <c r="H71" i="19"/>
  <c r="I71" i="19"/>
  <c r="B73" i="19"/>
  <c r="C73" i="19"/>
  <c r="D73" i="19"/>
  <c r="E73" i="19"/>
  <c r="F73" i="19"/>
  <c r="G73" i="19"/>
  <c r="H73" i="19"/>
  <c r="I73" i="19"/>
  <c r="B75" i="19"/>
  <c r="C75" i="19"/>
  <c r="D75" i="19"/>
  <c r="E75" i="19"/>
  <c r="F75" i="19"/>
  <c r="G75" i="19"/>
  <c r="H75" i="19"/>
  <c r="I75" i="19"/>
  <c r="B78" i="19"/>
  <c r="C78" i="19"/>
  <c r="D78" i="19"/>
  <c r="E78" i="19"/>
  <c r="F78" i="19"/>
  <c r="G78" i="19"/>
  <c r="H78" i="19"/>
  <c r="I78" i="19"/>
  <c r="B80" i="19"/>
  <c r="C80" i="19"/>
  <c r="D80" i="19"/>
  <c r="E80" i="19"/>
  <c r="F80" i="19"/>
  <c r="G80" i="19"/>
  <c r="H80" i="19"/>
  <c r="I80" i="19"/>
  <c r="B81" i="19"/>
  <c r="C81" i="19"/>
  <c r="D81" i="19"/>
  <c r="E81" i="19"/>
  <c r="F81" i="19"/>
  <c r="G81" i="19"/>
  <c r="H81" i="19"/>
  <c r="I81" i="19"/>
  <c r="B82" i="19"/>
  <c r="C82" i="19"/>
  <c r="D82" i="19"/>
  <c r="E82" i="19"/>
  <c r="F82" i="19"/>
  <c r="G82" i="19"/>
  <c r="H82" i="19"/>
  <c r="I82" i="19"/>
  <c r="B83" i="19"/>
  <c r="C83" i="19"/>
  <c r="D83" i="19"/>
  <c r="E83" i="19"/>
  <c r="F83" i="19"/>
  <c r="G83" i="19"/>
  <c r="H83" i="19"/>
  <c r="I83" i="19"/>
  <c r="B84" i="19"/>
  <c r="C84" i="19"/>
  <c r="D84" i="19"/>
  <c r="E84" i="19"/>
  <c r="F84" i="19"/>
  <c r="G84" i="19"/>
  <c r="H84" i="19"/>
  <c r="I84" i="19"/>
  <c r="B85" i="19"/>
  <c r="C85" i="19"/>
  <c r="D85" i="19"/>
  <c r="E85" i="19"/>
  <c r="F85" i="19"/>
  <c r="G85" i="19"/>
  <c r="H85" i="19"/>
  <c r="I85" i="19"/>
  <c r="B86" i="19"/>
  <c r="C86" i="19"/>
  <c r="D86" i="19"/>
  <c r="E86" i="19"/>
  <c r="F86" i="19"/>
  <c r="G86" i="19"/>
  <c r="H86" i="19"/>
  <c r="I86" i="19"/>
  <c r="B87" i="19"/>
  <c r="C87" i="19"/>
  <c r="D87" i="19"/>
  <c r="E87" i="19"/>
  <c r="F87" i="19"/>
  <c r="G87" i="19"/>
  <c r="H87" i="19"/>
  <c r="I87" i="19"/>
  <c r="B88" i="19"/>
  <c r="C88" i="19"/>
  <c r="D88" i="19"/>
  <c r="E88" i="19"/>
  <c r="F88" i="19"/>
  <c r="G88" i="19"/>
  <c r="H88" i="19"/>
  <c r="I88" i="19"/>
  <c r="B89" i="19"/>
  <c r="C89" i="19"/>
  <c r="D89" i="19"/>
  <c r="E89" i="19"/>
  <c r="F89" i="19"/>
  <c r="G89" i="19"/>
  <c r="H89" i="19"/>
  <c r="I89" i="19"/>
  <c r="B90" i="19"/>
  <c r="C90" i="19"/>
  <c r="D90" i="19"/>
  <c r="E90" i="19"/>
  <c r="F90" i="19"/>
  <c r="G90" i="19"/>
  <c r="H90" i="19"/>
  <c r="I90" i="19"/>
  <c r="B91" i="19"/>
  <c r="C91" i="19"/>
  <c r="D91" i="19"/>
  <c r="E91" i="19"/>
  <c r="F91" i="19"/>
  <c r="G91" i="19"/>
  <c r="H91" i="19"/>
  <c r="I91" i="19"/>
  <c r="B92" i="19"/>
  <c r="C92" i="19"/>
  <c r="D92" i="19"/>
  <c r="E92" i="19"/>
  <c r="F92" i="19"/>
  <c r="G92" i="19"/>
  <c r="H92" i="19"/>
  <c r="I92" i="19"/>
  <c r="B104" i="19"/>
  <c r="C104" i="19"/>
  <c r="D104" i="19"/>
  <c r="E104" i="19"/>
  <c r="F104" i="19"/>
  <c r="G104" i="19"/>
  <c r="H104" i="19"/>
  <c r="I104" i="19"/>
  <c r="B106" i="19"/>
  <c r="C106" i="19"/>
  <c r="D106" i="19"/>
  <c r="E106" i="19"/>
  <c r="F106" i="19"/>
  <c r="G106" i="19"/>
  <c r="H106" i="19"/>
  <c r="I106" i="19"/>
  <c r="B107" i="19"/>
  <c r="C107" i="19"/>
  <c r="D107" i="19"/>
  <c r="E107" i="19"/>
  <c r="F107" i="19"/>
  <c r="G107" i="19"/>
  <c r="H107" i="19"/>
  <c r="I107" i="19"/>
  <c r="B109" i="19"/>
  <c r="C109" i="19"/>
  <c r="D109" i="19"/>
  <c r="E109" i="19"/>
  <c r="F109" i="19"/>
  <c r="G109" i="19"/>
  <c r="H109" i="19"/>
  <c r="I109" i="19"/>
  <c r="B113" i="19"/>
  <c r="C113" i="19"/>
  <c r="D113" i="19"/>
  <c r="E113" i="19"/>
  <c r="F113" i="19"/>
  <c r="G113" i="19"/>
  <c r="H113" i="19"/>
  <c r="I113" i="19"/>
  <c r="B114" i="19"/>
  <c r="C114" i="19"/>
  <c r="D114" i="19"/>
  <c r="E114" i="19"/>
  <c r="F114" i="19"/>
  <c r="G114" i="19"/>
  <c r="H114" i="19"/>
  <c r="I114" i="19"/>
  <c r="B120" i="19"/>
  <c r="C120" i="19"/>
  <c r="D120" i="19"/>
  <c r="E120" i="19"/>
  <c r="F120" i="19"/>
  <c r="G120" i="19"/>
  <c r="H120" i="19"/>
  <c r="I120" i="19"/>
  <c r="B126" i="19"/>
  <c r="C126" i="19"/>
  <c r="D126" i="19"/>
  <c r="E126" i="19"/>
  <c r="F126" i="19"/>
  <c r="G126" i="19"/>
  <c r="H126" i="19"/>
  <c r="I126" i="19"/>
  <c r="B128" i="19"/>
  <c r="C128" i="19"/>
  <c r="D128" i="19"/>
  <c r="E128" i="19"/>
  <c r="F128" i="19"/>
  <c r="G128" i="19"/>
  <c r="H128" i="19"/>
  <c r="I128" i="19"/>
  <c r="B130" i="19"/>
  <c r="C130" i="19"/>
  <c r="D130" i="19"/>
  <c r="E130" i="19"/>
  <c r="F130" i="19"/>
  <c r="G130" i="19"/>
  <c r="H130" i="19"/>
  <c r="I130" i="19"/>
  <c r="B132" i="19"/>
  <c r="C132" i="19"/>
  <c r="D132" i="19"/>
  <c r="E132" i="19"/>
  <c r="F132" i="19"/>
  <c r="G132" i="19"/>
  <c r="H132" i="19"/>
  <c r="I132" i="19"/>
  <c r="B134" i="19"/>
  <c r="C134" i="19"/>
  <c r="D134" i="19"/>
  <c r="E134" i="19"/>
  <c r="F134" i="19"/>
  <c r="G134" i="19"/>
  <c r="H134" i="19"/>
  <c r="I134" i="19"/>
  <c r="B136" i="19"/>
  <c r="C136" i="19"/>
  <c r="D136" i="19"/>
  <c r="E136" i="19"/>
  <c r="F136" i="19"/>
  <c r="G136" i="19"/>
  <c r="H136" i="19"/>
  <c r="I136" i="19"/>
  <c r="B138" i="19"/>
  <c r="C138" i="19"/>
  <c r="D138" i="19"/>
  <c r="E138" i="19"/>
  <c r="F138" i="19"/>
  <c r="G138" i="19"/>
  <c r="H138" i="19"/>
  <c r="I138" i="19"/>
  <c r="B140" i="19"/>
  <c r="C140" i="19"/>
  <c r="D140" i="19"/>
  <c r="E140" i="19"/>
  <c r="F140" i="19"/>
  <c r="G140" i="19"/>
  <c r="H140" i="19"/>
  <c r="I140" i="19"/>
  <c r="B142" i="19"/>
  <c r="C142" i="19"/>
  <c r="D142" i="19"/>
  <c r="E142" i="19"/>
  <c r="F142" i="19"/>
  <c r="G142" i="19"/>
  <c r="H142" i="19"/>
  <c r="I142" i="19"/>
  <c r="B144" i="19"/>
  <c r="C144" i="19"/>
  <c r="D144" i="19"/>
  <c r="E144" i="19"/>
  <c r="F144" i="19"/>
  <c r="G144" i="19"/>
  <c r="H144" i="19"/>
  <c r="I144" i="19"/>
  <c r="B146" i="19"/>
  <c r="C146" i="19"/>
  <c r="D146" i="19"/>
  <c r="E146" i="19"/>
  <c r="F146" i="19"/>
  <c r="G146" i="19"/>
  <c r="H146" i="19"/>
  <c r="I146" i="19"/>
  <c r="B148" i="19"/>
  <c r="C148" i="19"/>
  <c r="D148" i="19"/>
  <c r="E148" i="19"/>
  <c r="F148" i="19"/>
  <c r="G148" i="19"/>
  <c r="H148" i="19"/>
  <c r="I148" i="19"/>
  <c r="B150" i="19"/>
  <c r="C150" i="19"/>
  <c r="D150" i="19"/>
  <c r="E150" i="19"/>
  <c r="F150" i="19"/>
  <c r="G150" i="19"/>
  <c r="H150" i="19"/>
  <c r="I150" i="19"/>
  <c r="B152" i="19"/>
  <c r="C152" i="19"/>
  <c r="D152" i="19"/>
  <c r="E152" i="19"/>
  <c r="F152" i="19"/>
  <c r="G152" i="19"/>
  <c r="H152" i="19"/>
  <c r="I152" i="19"/>
  <c r="B154" i="19"/>
  <c r="C154" i="19"/>
  <c r="D154" i="19"/>
  <c r="E154" i="19"/>
  <c r="F154" i="19"/>
  <c r="G154" i="19"/>
  <c r="H154" i="19"/>
  <c r="I154" i="19"/>
  <c r="B156" i="19"/>
  <c r="C156" i="19"/>
  <c r="D156" i="19"/>
  <c r="E156" i="19"/>
  <c r="F156" i="19"/>
  <c r="G156" i="19"/>
  <c r="H156" i="19"/>
  <c r="I156" i="19"/>
  <c r="B158" i="19"/>
  <c r="C158" i="19"/>
  <c r="D158" i="19"/>
  <c r="E158" i="19"/>
  <c r="F158" i="19"/>
  <c r="G158" i="19"/>
  <c r="H158" i="19"/>
  <c r="I158" i="19"/>
  <c r="B160" i="19"/>
  <c r="C160" i="19"/>
  <c r="D160" i="19"/>
  <c r="E160" i="19"/>
  <c r="F160" i="19"/>
  <c r="G160" i="19"/>
  <c r="H160" i="19"/>
  <c r="I160" i="19"/>
  <c r="B162" i="19"/>
  <c r="C162" i="19"/>
  <c r="D162" i="19"/>
  <c r="E162" i="19"/>
  <c r="F162" i="19"/>
  <c r="G162" i="19"/>
  <c r="H162" i="19"/>
  <c r="I162" i="19"/>
  <c r="B164" i="19"/>
  <c r="C164" i="19"/>
  <c r="D164" i="19"/>
  <c r="E164" i="19"/>
  <c r="F164" i="19"/>
  <c r="G164" i="19"/>
  <c r="H164" i="19"/>
  <c r="I164" i="19"/>
  <c r="B166" i="19"/>
  <c r="C166" i="19"/>
  <c r="D166" i="19"/>
  <c r="E166" i="19"/>
  <c r="F166" i="19"/>
  <c r="G166" i="19"/>
  <c r="H166" i="19"/>
  <c r="I166" i="19"/>
  <c r="B168" i="19"/>
  <c r="C168" i="19"/>
  <c r="D168" i="19"/>
  <c r="E168" i="19"/>
  <c r="F168" i="19"/>
  <c r="G168" i="19"/>
  <c r="H168" i="19"/>
  <c r="I168" i="19"/>
  <c r="B170" i="19"/>
  <c r="C170" i="19"/>
  <c r="D170" i="19"/>
  <c r="E170" i="19"/>
  <c r="F170" i="19"/>
  <c r="G170" i="19"/>
  <c r="H170" i="19"/>
  <c r="I170" i="19"/>
  <c r="B172" i="19"/>
  <c r="C172" i="19"/>
  <c r="D172" i="19"/>
  <c r="E172" i="19"/>
  <c r="F172" i="19"/>
  <c r="G172" i="19"/>
  <c r="H172" i="19"/>
  <c r="I172" i="19"/>
  <c r="B174" i="19"/>
  <c r="C174" i="19"/>
  <c r="D174" i="19"/>
  <c r="E174" i="19"/>
  <c r="F174" i="19"/>
  <c r="G174" i="19"/>
  <c r="H174" i="19"/>
  <c r="I174" i="19"/>
  <c r="B176" i="19"/>
  <c r="C176" i="19"/>
  <c r="D176" i="19"/>
  <c r="E176" i="19"/>
  <c r="F176" i="19"/>
  <c r="G176" i="19"/>
  <c r="H176" i="19"/>
  <c r="I176" i="19"/>
  <c r="B178" i="19"/>
  <c r="C178" i="19"/>
  <c r="D178" i="19"/>
  <c r="E178" i="19"/>
  <c r="F178" i="19"/>
  <c r="G178" i="19"/>
  <c r="H178" i="19"/>
  <c r="I178" i="19"/>
  <c r="B180" i="19"/>
  <c r="C180" i="19"/>
  <c r="D180" i="19"/>
  <c r="E180" i="19"/>
  <c r="F180" i="19"/>
  <c r="G180" i="19"/>
  <c r="H180" i="19"/>
  <c r="I180" i="19"/>
  <c r="B182" i="19"/>
  <c r="C182" i="19"/>
  <c r="D182" i="19"/>
  <c r="E182" i="19"/>
  <c r="F182" i="19"/>
  <c r="G182" i="19"/>
  <c r="H182" i="19"/>
  <c r="I182" i="19"/>
  <c r="B184" i="19"/>
  <c r="C184" i="19"/>
  <c r="D184" i="19"/>
  <c r="E184" i="19"/>
  <c r="F184" i="19"/>
  <c r="G184" i="19"/>
  <c r="H184" i="19"/>
  <c r="I184" i="19"/>
  <c r="B190" i="19"/>
  <c r="C190" i="19"/>
  <c r="D190" i="19"/>
  <c r="E190" i="19"/>
  <c r="F190" i="19"/>
  <c r="G190" i="19"/>
  <c r="H190" i="19"/>
  <c r="I190" i="19"/>
  <c r="B191" i="19"/>
  <c r="C191" i="19"/>
  <c r="D191" i="19"/>
  <c r="E191" i="19"/>
  <c r="F191" i="19"/>
  <c r="G191" i="19"/>
  <c r="H191" i="19"/>
  <c r="I191" i="19"/>
  <c r="B194" i="19"/>
  <c r="C194" i="19"/>
  <c r="D194" i="19"/>
  <c r="E194" i="19"/>
  <c r="F194" i="19"/>
  <c r="G194" i="19"/>
  <c r="H194" i="19"/>
  <c r="I194" i="19"/>
  <c r="B196" i="19"/>
  <c r="C196" i="19"/>
  <c r="D196" i="19"/>
  <c r="E196" i="19"/>
  <c r="F196" i="19"/>
  <c r="G196" i="19"/>
  <c r="H196" i="19"/>
  <c r="I196" i="19"/>
  <c r="B200" i="19"/>
  <c r="C200" i="19"/>
  <c r="D200" i="19"/>
  <c r="E200" i="19"/>
  <c r="F200" i="19"/>
  <c r="G200" i="19"/>
  <c r="H200" i="19"/>
  <c r="I200" i="19"/>
  <c r="B198" i="19"/>
  <c r="C198" i="19"/>
  <c r="D198" i="19"/>
  <c r="E198" i="19"/>
  <c r="F198" i="19"/>
  <c r="G198" i="19"/>
  <c r="H198" i="19"/>
  <c r="I198" i="19"/>
  <c r="B202" i="19"/>
  <c r="C202" i="19"/>
  <c r="D202" i="19"/>
  <c r="E202" i="19"/>
  <c r="F202" i="19"/>
  <c r="G202" i="19"/>
  <c r="H202" i="19"/>
  <c r="I202" i="19"/>
  <c r="B214" i="19"/>
  <c r="C214" i="19"/>
  <c r="D214" i="19"/>
  <c r="E214" i="19"/>
  <c r="F214" i="19"/>
  <c r="G214" i="19"/>
  <c r="H214" i="19"/>
  <c r="I214" i="19"/>
  <c r="B204" i="19"/>
  <c r="C204" i="19"/>
  <c r="D204" i="19"/>
  <c r="E204" i="19"/>
  <c r="F204" i="19"/>
  <c r="G204" i="19"/>
  <c r="H204" i="19"/>
  <c r="I204" i="19"/>
  <c r="B206" i="19"/>
  <c r="C206" i="19"/>
  <c r="D206" i="19"/>
  <c r="E206" i="19"/>
  <c r="F206" i="19"/>
  <c r="G206" i="19"/>
  <c r="H206" i="19"/>
  <c r="I206" i="19"/>
  <c r="B208" i="19"/>
  <c r="C208" i="19"/>
  <c r="D208" i="19"/>
  <c r="E208" i="19"/>
  <c r="F208" i="19"/>
  <c r="G208" i="19"/>
  <c r="H208" i="19"/>
  <c r="I208" i="19"/>
  <c r="B211" i="19"/>
  <c r="C211" i="19"/>
  <c r="D211" i="19"/>
  <c r="E211" i="19"/>
  <c r="F211" i="19"/>
  <c r="G211" i="19"/>
  <c r="H211" i="19"/>
  <c r="I211" i="19"/>
  <c r="B213" i="19"/>
  <c r="C213" i="19"/>
  <c r="D213" i="19"/>
  <c r="E213" i="19"/>
  <c r="F213" i="19"/>
  <c r="G213" i="19"/>
  <c r="H213" i="19"/>
  <c r="I213" i="19"/>
  <c r="B216" i="19"/>
  <c r="C216" i="19"/>
  <c r="D216" i="19"/>
  <c r="E216" i="19"/>
  <c r="F216" i="19"/>
  <c r="G216" i="19"/>
  <c r="H216" i="19"/>
  <c r="I216" i="19"/>
  <c r="B222" i="19"/>
  <c r="C222" i="19"/>
  <c r="D222" i="19"/>
  <c r="E222" i="19"/>
  <c r="F222" i="19"/>
  <c r="G222" i="19"/>
  <c r="H222" i="19"/>
  <c r="I222" i="19"/>
  <c r="B223" i="19"/>
  <c r="C223" i="19"/>
  <c r="D223" i="19"/>
  <c r="E223" i="19"/>
  <c r="F223" i="19"/>
  <c r="G223" i="19"/>
  <c r="H223" i="19"/>
  <c r="I223" i="19"/>
  <c r="B226" i="19"/>
  <c r="C226" i="19"/>
  <c r="D226" i="19"/>
  <c r="E226" i="19"/>
  <c r="F226" i="19"/>
  <c r="G226" i="19"/>
  <c r="H226" i="19"/>
  <c r="I226" i="19"/>
  <c r="B229" i="19"/>
  <c r="C229" i="19"/>
  <c r="D229" i="19"/>
  <c r="E229" i="19"/>
  <c r="F229" i="19"/>
  <c r="G229" i="19"/>
  <c r="H229" i="19"/>
  <c r="I229" i="19"/>
  <c r="B231" i="19"/>
  <c r="C231" i="19"/>
  <c r="D231" i="19"/>
  <c r="E231" i="19"/>
  <c r="F231" i="19"/>
  <c r="G231" i="19"/>
  <c r="H231" i="19"/>
  <c r="I231" i="19"/>
  <c r="B233" i="19"/>
  <c r="C233" i="19"/>
  <c r="D233" i="19"/>
  <c r="E233" i="19"/>
  <c r="F233" i="19"/>
  <c r="G233" i="19"/>
  <c r="H233" i="19"/>
  <c r="I233" i="19"/>
  <c r="B235" i="19"/>
  <c r="C235" i="19"/>
  <c r="D235" i="19"/>
  <c r="E235" i="19"/>
  <c r="F235" i="19"/>
  <c r="G235" i="19"/>
  <c r="H235" i="19"/>
  <c r="I235" i="19"/>
  <c r="B236" i="19"/>
  <c r="C236" i="19"/>
  <c r="D236" i="19"/>
  <c r="E236" i="19"/>
  <c r="F236" i="19"/>
  <c r="G236" i="19"/>
  <c r="H236" i="19"/>
  <c r="I236" i="19"/>
  <c r="B237" i="19"/>
  <c r="C237" i="19"/>
  <c r="D237" i="19"/>
  <c r="E237" i="19"/>
  <c r="F237" i="19"/>
  <c r="G237" i="19"/>
  <c r="H237" i="19"/>
  <c r="I237" i="19"/>
  <c r="B238" i="19"/>
  <c r="C238" i="19"/>
  <c r="D238" i="19"/>
  <c r="E238" i="19"/>
  <c r="F238" i="19"/>
  <c r="G238" i="19"/>
  <c r="H238" i="19"/>
  <c r="I238" i="19"/>
  <c r="B239" i="19"/>
  <c r="C239" i="19"/>
  <c r="D239" i="19"/>
  <c r="E239" i="19"/>
  <c r="F239" i="19"/>
  <c r="G239" i="19"/>
  <c r="H239" i="19"/>
  <c r="I239" i="19"/>
  <c r="B240" i="19"/>
  <c r="C240" i="19"/>
  <c r="D240" i="19"/>
  <c r="E240" i="19"/>
  <c r="F240" i="19"/>
  <c r="G240" i="19"/>
  <c r="H240" i="19"/>
  <c r="I240" i="19"/>
  <c r="B241" i="19"/>
  <c r="C241" i="19"/>
  <c r="D241" i="19"/>
  <c r="E241" i="19"/>
  <c r="F241" i="19"/>
  <c r="G241" i="19"/>
  <c r="H241" i="19"/>
  <c r="I241" i="19"/>
  <c r="B242" i="19"/>
  <c r="C242" i="19"/>
  <c r="D242" i="19"/>
  <c r="E242" i="19"/>
  <c r="F242" i="19"/>
  <c r="G242" i="19"/>
  <c r="H242" i="19"/>
  <c r="I242" i="19"/>
  <c r="B243" i="19"/>
  <c r="C243" i="19"/>
  <c r="D243" i="19"/>
  <c r="E243" i="19"/>
  <c r="F243" i="19"/>
  <c r="G243" i="19"/>
  <c r="H243" i="19"/>
  <c r="I243" i="19"/>
  <c r="B244" i="19"/>
  <c r="C244" i="19"/>
  <c r="D244" i="19"/>
  <c r="E244" i="19"/>
  <c r="F244" i="19"/>
  <c r="G244" i="19"/>
  <c r="H244" i="19"/>
  <c r="I244" i="19"/>
  <c r="B245" i="19"/>
  <c r="C245" i="19"/>
  <c r="D245" i="19"/>
  <c r="E245" i="19"/>
  <c r="F245" i="19"/>
  <c r="G245" i="19"/>
  <c r="H245" i="19"/>
  <c r="I245" i="19"/>
  <c r="B246" i="19"/>
  <c r="C246" i="19"/>
  <c r="D246" i="19"/>
  <c r="E246" i="19"/>
  <c r="F246" i="19"/>
  <c r="G246" i="19"/>
  <c r="H246" i="19"/>
  <c r="I246" i="19"/>
  <c r="B247" i="19"/>
  <c r="C247" i="19"/>
  <c r="D247" i="19"/>
  <c r="E247" i="19"/>
  <c r="F247" i="19"/>
  <c r="G247" i="19"/>
  <c r="H247" i="19"/>
  <c r="I247" i="19"/>
  <c r="B248" i="19"/>
  <c r="C248" i="19"/>
  <c r="D248" i="19"/>
  <c r="E248" i="19"/>
  <c r="F248" i="19"/>
  <c r="G248" i="19"/>
  <c r="H248" i="19"/>
  <c r="I248" i="19"/>
  <c r="B249" i="19"/>
  <c r="C249" i="19"/>
  <c r="D249" i="19"/>
  <c r="E249" i="19"/>
  <c r="F249" i="19"/>
  <c r="G249" i="19"/>
  <c r="H249" i="19"/>
  <c r="I249" i="19"/>
  <c r="B250" i="19"/>
  <c r="C250" i="19"/>
  <c r="D250" i="19"/>
  <c r="E250" i="19"/>
  <c r="F250" i="19"/>
  <c r="G250" i="19"/>
  <c r="H250" i="19"/>
  <c r="I250" i="19"/>
  <c r="B251" i="19"/>
  <c r="C251" i="19"/>
  <c r="D251" i="19"/>
  <c r="E251" i="19"/>
  <c r="F251" i="19"/>
  <c r="G251" i="19"/>
  <c r="H251" i="19"/>
  <c r="I251" i="19"/>
  <c r="B252" i="19"/>
  <c r="C252" i="19"/>
  <c r="D252" i="19"/>
  <c r="E252" i="19"/>
  <c r="F252" i="19"/>
  <c r="G252" i="19"/>
  <c r="H252" i="19"/>
  <c r="I252" i="19"/>
  <c r="B253" i="19"/>
  <c r="C253" i="19"/>
  <c r="D253" i="19"/>
  <c r="E253" i="19"/>
  <c r="F253" i="19"/>
  <c r="G253" i="19"/>
  <c r="H253" i="19"/>
  <c r="I253" i="19"/>
  <c r="B254" i="19"/>
  <c r="C254" i="19"/>
  <c r="D254" i="19"/>
  <c r="E254" i="19"/>
  <c r="F254" i="19"/>
  <c r="G254" i="19"/>
  <c r="H254" i="19"/>
  <c r="I254" i="19"/>
  <c r="B255" i="19"/>
  <c r="C255" i="19"/>
  <c r="D255" i="19"/>
  <c r="E255" i="19"/>
  <c r="F255" i="19"/>
  <c r="G255" i="19"/>
  <c r="H255" i="19"/>
  <c r="I255" i="19"/>
  <c r="B256" i="19"/>
  <c r="C256" i="19"/>
  <c r="D256" i="19"/>
  <c r="E256" i="19"/>
  <c r="F256" i="19"/>
  <c r="G256" i="19"/>
  <c r="H256" i="19"/>
  <c r="I256" i="19"/>
  <c r="B260" i="19"/>
  <c r="C260" i="19"/>
  <c r="D260" i="19"/>
  <c r="E260" i="19"/>
  <c r="F260" i="19"/>
  <c r="G260" i="19"/>
  <c r="H260" i="19"/>
  <c r="I260" i="19"/>
  <c r="B261" i="19"/>
  <c r="C261" i="19"/>
  <c r="D261" i="19"/>
  <c r="E261" i="19"/>
  <c r="F261" i="19"/>
  <c r="G261" i="19"/>
  <c r="H261" i="19"/>
  <c r="I261" i="19"/>
  <c r="B265" i="19"/>
  <c r="C265" i="19"/>
  <c r="D265" i="19"/>
  <c r="E265" i="19"/>
  <c r="F265" i="19"/>
  <c r="G265" i="19"/>
  <c r="H265" i="19"/>
  <c r="I265" i="19"/>
  <c r="B266" i="19"/>
  <c r="C266" i="19"/>
  <c r="D266" i="19"/>
  <c r="E266" i="19"/>
  <c r="F266" i="19"/>
  <c r="G266" i="19"/>
  <c r="H266" i="19"/>
  <c r="I266" i="19"/>
  <c r="B270" i="19"/>
  <c r="C270" i="19"/>
  <c r="D270" i="19"/>
  <c r="E270" i="19"/>
  <c r="F270" i="19"/>
  <c r="G270" i="19"/>
  <c r="H270" i="19"/>
  <c r="I270" i="19"/>
  <c r="B274" i="19"/>
  <c r="C274" i="19"/>
  <c r="D274" i="19"/>
  <c r="E274" i="19"/>
  <c r="F274" i="19"/>
  <c r="G274" i="19"/>
  <c r="H274" i="19"/>
  <c r="I274" i="19"/>
  <c r="B276" i="19"/>
  <c r="C276" i="19"/>
  <c r="D276" i="19"/>
  <c r="E276" i="19"/>
  <c r="F276" i="19"/>
  <c r="G276" i="19"/>
  <c r="H276" i="19"/>
  <c r="I276" i="19"/>
  <c r="B281" i="19"/>
  <c r="C281" i="19"/>
  <c r="D281" i="19"/>
  <c r="E281" i="19"/>
  <c r="F281" i="19"/>
  <c r="G281" i="19"/>
  <c r="H281" i="19"/>
  <c r="I281" i="19"/>
  <c r="B282" i="19"/>
  <c r="C282" i="19"/>
  <c r="D282" i="19"/>
  <c r="E282" i="19"/>
  <c r="F282" i="19"/>
  <c r="G282" i="19"/>
  <c r="H282" i="19"/>
  <c r="I282" i="19"/>
  <c r="B283" i="19"/>
  <c r="C283" i="19"/>
  <c r="D283" i="19"/>
  <c r="E283" i="19"/>
  <c r="F283" i="19"/>
  <c r="G283" i="19"/>
  <c r="H283" i="19"/>
  <c r="I283" i="19"/>
  <c r="B284" i="19"/>
  <c r="C284" i="19"/>
  <c r="D284" i="19"/>
  <c r="E284" i="19"/>
  <c r="F284" i="19"/>
  <c r="G284" i="19"/>
  <c r="H284" i="19"/>
  <c r="I284" i="19"/>
  <c r="B285" i="19"/>
  <c r="C285" i="19"/>
  <c r="D285" i="19"/>
  <c r="E285" i="19"/>
  <c r="F285" i="19"/>
  <c r="G285" i="19"/>
  <c r="H285" i="19"/>
  <c r="I285" i="19"/>
  <c r="B286" i="19"/>
  <c r="C286" i="19"/>
  <c r="D286" i="19"/>
  <c r="E286" i="19"/>
  <c r="F286" i="19"/>
  <c r="G286" i="19"/>
  <c r="H286" i="19"/>
  <c r="I286" i="19"/>
  <c r="B288" i="19"/>
  <c r="C288" i="19"/>
  <c r="D288" i="19"/>
  <c r="E288" i="19"/>
  <c r="F288" i="19"/>
  <c r="G288" i="19"/>
  <c r="H288" i="19"/>
  <c r="I288" i="19"/>
  <c r="B290" i="19"/>
  <c r="C290" i="19"/>
  <c r="D290" i="19"/>
  <c r="E290" i="19"/>
  <c r="F290" i="19"/>
  <c r="G290" i="19"/>
  <c r="H290" i="19"/>
  <c r="I290" i="19"/>
  <c r="B291" i="19"/>
  <c r="C291" i="19"/>
  <c r="D291" i="19"/>
  <c r="E291" i="19"/>
  <c r="F291" i="19"/>
  <c r="G291" i="19"/>
  <c r="H291" i="19"/>
  <c r="I291" i="19"/>
  <c r="B292" i="19"/>
  <c r="C292" i="19"/>
  <c r="D292" i="19"/>
  <c r="E292" i="19"/>
  <c r="F292" i="19"/>
  <c r="G292" i="19"/>
  <c r="H292" i="19"/>
  <c r="I292" i="19"/>
  <c r="B293" i="19"/>
  <c r="C293" i="19"/>
  <c r="D293" i="19"/>
  <c r="E293" i="19"/>
  <c r="F293" i="19"/>
  <c r="G293" i="19"/>
  <c r="H293" i="19"/>
  <c r="I293" i="19"/>
  <c r="B294" i="19"/>
  <c r="C294" i="19"/>
  <c r="D294" i="19"/>
  <c r="E294" i="19"/>
  <c r="F294" i="19"/>
  <c r="G294" i="19"/>
  <c r="H294" i="19"/>
  <c r="I294" i="19"/>
  <c r="B295" i="19"/>
  <c r="C295" i="19"/>
  <c r="D295" i="19"/>
  <c r="E295" i="19"/>
  <c r="F295" i="19"/>
  <c r="G295" i="19"/>
  <c r="H295" i="19"/>
  <c r="I295" i="19"/>
  <c r="B298" i="19"/>
  <c r="C298" i="19"/>
  <c r="D298" i="19"/>
  <c r="E298" i="19"/>
  <c r="F298" i="19"/>
  <c r="G298" i="19"/>
  <c r="H298" i="19"/>
  <c r="I298" i="19"/>
  <c r="B299" i="19"/>
  <c r="C299" i="19"/>
  <c r="D299" i="19"/>
  <c r="E299" i="19"/>
  <c r="F299" i="19"/>
  <c r="G299" i="19"/>
  <c r="H299" i="19"/>
  <c r="I299" i="19"/>
  <c r="B301" i="19"/>
  <c r="C301" i="19"/>
  <c r="D301" i="19"/>
  <c r="E301" i="19"/>
  <c r="F301" i="19"/>
  <c r="G301" i="19"/>
  <c r="H301" i="19"/>
  <c r="I301" i="19"/>
  <c r="B303" i="19"/>
  <c r="C303" i="19"/>
  <c r="D303" i="19"/>
  <c r="E303" i="19"/>
  <c r="F303" i="19"/>
  <c r="G303" i="19"/>
  <c r="H303" i="19"/>
  <c r="I303" i="19"/>
  <c r="B304" i="19"/>
  <c r="C304" i="19"/>
  <c r="D304" i="19"/>
  <c r="E304" i="19"/>
  <c r="F304" i="19"/>
  <c r="G304" i="19"/>
  <c r="H304" i="19"/>
  <c r="I304" i="19"/>
  <c r="B308" i="19"/>
  <c r="C308" i="19"/>
  <c r="D308" i="19"/>
  <c r="E308" i="19"/>
  <c r="F308" i="19"/>
  <c r="G308" i="19"/>
  <c r="H308" i="19"/>
  <c r="I308" i="19"/>
  <c r="B310" i="19"/>
  <c r="C310" i="19"/>
  <c r="D310" i="19"/>
  <c r="E310" i="19"/>
  <c r="F310" i="19"/>
  <c r="G310" i="19"/>
  <c r="H310" i="19"/>
  <c r="I310" i="19"/>
  <c r="B313" i="19"/>
  <c r="C313" i="19"/>
  <c r="D313" i="19"/>
  <c r="E313" i="19"/>
  <c r="F313" i="19"/>
  <c r="G313" i="19"/>
  <c r="H313" i="19"/>
  <c r="I313" i="19"/>
  <c r="B317" i="19"/>
  <c r="C317" i="19"/>
  <c r="D317" i="19"/>
  <c r="E317" i="19"/>
  <c r="F317" i="19"/>
  <c r="G317" i="19"/>
  <c r="H317" i="19"/>
  <c r="I317" i="19"/>
  <c r="B318" i="19"/>
  <c r="C318" i="19"/>
  <c r="D318" i="19"/>
  <c r="E318" i="19"/>
  <c r="F318" i="19"/>
  <c r="G318" i="19"/>
  <c r="H318" i="19"/>
  <c r="I318" i="19"/>
  <c r="B320" i="19"/>
  <c r="C320" i="19"/>
  <c r="D320" i="19"/>
  <c r="E320" i="19"/>
  <c r="F320" i="19"/>
  <c r="G320" i="19"/>
  <c r="H320" i="19"/>
  <c r="I320" i="19"/>
  <c r="B322" i="19"/>
  <c r="C322" i="19"/>
  <c r="D322" i="19"/>
  <c r="E322" i="19"/>
  <c r="F322" i="19"/>
  <c r="G322" i="19"/>
  <c r="H322" i="19"/>
  <c r="I322" i="19"/>
  <c r="B324" i="19"/>
  <c r="C324" i="19"/>
  <c r="D324" i="19"/>
  <c r="E324" i="19"/>
  <c r="F324" i="19"/>
  <c r="G324" i="19"/>
  <c r="H324" i="19"/>
  <c r="I324" i="19"/>
  <c r="B326" i="19"/>
  <c r="C326" i="19"/>
  <c r="D326" i="19"/>
  <c r="E326" i="19"/>
  <c r="F326" i="19"/>
  <c r="G326" i="19"/>
  <c r="H326" i="19"/>
  <c r="I326" i="19"/>
  <c r="B328" i="19"/>
  <c r="C328" i="19"/>
  <c r="D328" i="19"/>
  <c r="E328" i="19"/>
  <c r="F328" i="19"/>
  <c r="G328" i="19"/>
  <c r="H328" i="19"/>
  <c r="I328" i="19"/>
  <c r="B330" i="19"/>
  <c r="C330" i="19"/>
  <c r="D330" i="19"/>
  <c r="E330" i="19"/>
  <c r="F330" i="19"/>
  <c r="G330" i="19"/>
  <c r="H330" i="19"/>
  <c r="I330" i="19"/>
  <c r="B332" i="19"/>
  <c r="C332" i="19"/>
  <c r="D332" i="19"/>
  <c r="E332" i="19"/>
  <c r="F332" i="19"/>
  <c r="G332" i="19"/>
  <c r="H332" i="19"/>
  <c r="I332" i="19"/>
  <c r="B334" i="19"/>
  <c r="C334" i="19"/>
  <c r="D334" i="19"/>
  <c r="E334" i="19"/>
  <c r="F334" i="19"/>
  <c r="G334" i="19"/>
  <c r="H334" i="19"/>
  <c r="I334" i="19"/>
  <c r="B336" i="19"/>
  <c r="C336" i="19"/>
  <c r="D336" i="19"/>
  <c r="E336" i="19"/>
  <c r="F336" i="19"/>
  <c r="G336" i="19"/>
  <c r="H336" i="19"/>
  <c r="I336" i="19"/>
  <c r="B338" i="19"/>
  <c r="C338" i="19"/>
  <c r="D338" i="19"/>
  <c r="E338" i="19"/>
  <c r="F338" i="19"/>
  <c r="G338" i="19"/>
  <c r="H338" i="19"/>
  <c r="I338" i="19"/>
  <c r="B340" i="19"/>
  <c r="C340" i="19"/>
  <c r="D340" i="19"/>
  <c r="E340" i="19"/>
  <c r="F340" i="19"/>
  <c r="G340" i="19"/>
  <c r="H340" i="19"/>
  <c r="I340" i="19"/>
  <c r="B342" i="19"/>
  <c r="C342" i="19"/>
  <c r="D342" i="19"/>
  <c r="E342" i="19"/>
  <c r="F342" i="19"/>
  <c r="G342" i="19"/>
  <c r="H342" i="19"/>
  <c r="I342" i="19"/>
  <c r="B344" i="19"/>
  <c r="C344" i="19"/>
  <c r="D344" i="19"/>
  <c r="E344" i="19"/>
  <c r="F344" i="19"/>
  <c r="G344" i="19"/>
  <c r="H344" i="19"/>
  <c r="I344" i="19"/>
  <c r="B346" i="19"/>
  <c r="C346" i="19"/>
  <c r="D346" i="19"/>
  <c r="E346" i="19"/>
  <c r="F346" i="19"/>
  <c r="G346" i="19"/>
  <c r="H346" i="19"/>
  <c r="I346" i="19"/>
  <c r="B348" i="19"/>
  <c r="C348" i="19"/>
  <c r="D348" i="19"/>
  <c r="E348" i="19"/>
  <c r="F348" i="19"/>
  <c r="G348" i="19"/>
  <c r="H348" i="19"/>
  <c r="I348" i="19"/>
  <c r="B350" i="19"/>
  <c r="C350" i="19"/>
  <c r="D350" i="19"/>
  <c r="E350" i="19"/>
  <c r="F350" i="19"/>
  <c r="G350" i="19"/>
  <c r="H350" i="19"/>
  <c r="I350" i="19"/>
  <c r="B352" i="19"/>
  <c r="C352" i="19"/>
  <c r="D352" i="19"/>
  <c r="E352" i="19"/>
  <c r="F352" i="19"/>
  <c r="G352" i="19"/>
  <c r="H352" i="19"/>
  <c r="I352" i="19"/>
  <c r="B354" i="19"/>
  <c r="C354" i="19"/>
  <c r="D354" i="19"/>
  <c r="E354" i="19"/>
  <c r="F354" i="19"/>
  <c r="G354" i="19"/>
  <c r="H354" i="19"/>
  <c r="I354" i="19"/>
  <c r="B356" i="19"/>
  <c r="C356" i="19"/>
  <c r="D356" i="19"/>
  <c r="E356" i="19"/>
  <c r="F356" i="19"/>
  <c r="G356" i="19"/>
  <c r="H356" i="19"/>
  <c r="I356" i="19"/>
  <c r="B358" i="19"/>
  <c r="C358" i="19"/>
  <c r="D358" i="19"/>
  <c r="E358" i="19"/>
  <c r="F358" i="19"/>
  <c r="G358" i="19"/>
  <c r="H358" i="19"/>
  <c r="I358" i="19"/>
  <c r="B360" i="19"/>
  <c r="C360" i="19"/>
  <c r="D360" i="19"/>
  <c r="E360" i="19"/>
  <c r="F360" i="19"/>
  <c r="G360" i="19"/>
  <c r="H360" i="19"/>
  <c r="I360" i="19"/>
  <c r="B363" i="19"/>
  <c r="C363" i="19"/>
  <c r="D363" i="19"/>
  <c r="E363" i="19"/>
  <c r="F363" i="19"/>
  <c r="G363" i="19"/>
  <c r="H363" i="19"/>
  <c r="I363" i="19"/>
  <c r="B365" i="19"/>
  <c r="C365" i="19"/>
  <c r="D365" i="19"/>
  <c r="E365" i="19"/>
  <c r="F365" i="19"/>
  <c r="G365" i="19"/>
  <c r="H365" i="19"/>
  <c r="I365" i="19"/>
  <c r="B367" i="19"/>
  <c r="C367" i="19"/>
  <c r="D367" i="19"/>
  <c r="E367" i="19"/>
  <c r="F367" i="19"/>
  <c r="G367" i="19"/>
  <c r="H367" i="19"/>
  <c r="I367" i="19"/>
  <c r="B369" i="19"/>
  <c r="C369" i="19"/>
  <c r="D369" i="19"/>
  <c r="E369" i="19"/>
  <c r="F369" i="19"/>
  <c r="G369" i="19"/>
  <c r="H369" i="19"/>
  <c r="I369" i="19"/>
  <c r="B370" i="19"/>
  <c r="C370" i="19"/>
  <c r="D370" i="19"/>
  <c r="E370" i="19"/>
  <c r="F370" i="19"/>
  <c r="G370" i="19"/>
  <c r="H370" i="19"/>
  <c r="I370" i="19"/>
  <c r="B371" i="19"/>
  <c r="C371" i="19"/>
  <c r="D371" i="19"/>
  <c r="E371" i="19"/>
  <c r="F371" i="19"/>
  <c r="G371" i="19"/>
  <c r="H371" i="19"/>
  <c r="I371" i="19"/>
  <c r="B372" i="19"/>
  <c r="C372" i="19"/>
  <c r="D372" i="19"/>
  <c r="E372" i="19"/>
  <c r="F372" i="19"/>
  <c r="G372" i="19"/>
  <c r="H372" i="19"/>
  <c r="I372" i="19"/>
  <c r="B375" i="19"/>
  <c r="C375" i="19"/>
  <c r="D375" i="19"/>
  <c r="E375" i="19"/>
  <c r="F375" i="19"/>
  <c r="G375" i="19"/>
  <c r="H375" i="19"/>
  <c r="I375" i="19"/>
  <c r="B376" i="19"/>
  <c r="C376" i="19"/>
  <c r="D376" i="19"/>
  <c r="E376" i="19"/>
  <c r="F376" i="19"/>
  <c r="G376" i="19"/>
  <c r="H376" i="19"/>
  <c r="I376" i="19"/>
  <c r="B378" i="19"/>
  <c r="C378" i="19"/>
  <c r="D378" i="19"/>
  <c r="E378" i="19"/>
  <c r="F378" i="19"/>
  <c r="G378" i="19"/>
  <c r="H378" i="19"/>
  <c r="I378" i="19"/>
  <c r="B381" i="19"/>
  <c r="C381" i="19"/>
  <c r="D381" i="19"/>
  <c r="E381" i="19"/>
  <c r="F381" i="19"/>
  <c r="G381" i="19"/>
  <c r="H381" i="19"/>
  <c r="I381" i="19"/>
  <c r="B383" i="19"/>
  <c r="C383" i="19"/>
  <c r="D383" i="19"/>
  <c r="E383" i="19"/>
  <c r="F383" i="19"/>
  <c r="G383" i="19"/>
  <c r="H383" i="19"/>
  <c r="I383" i="19"/>
  <c r="B385" i="19"/>
  <c r="C385" i="19"/>
  <c r="D385" i="19"/>
  <c r="E385" i="19"/>
  <c r="F385" i="19"/>
  <c r="G385" i="19"/>
  <c r="H385" i="19"/>
  <c r="I385" i="19"/>
  <c r="B386" i="19"/>
  <c r="C386" i="19"/>
  <c r="D386" i="19"/>
  <c r="E386" i="19"/>
  <c r="F386" i="19"/>
  <c r="G386" i="19"/>
  <c r="H386" i="19"/>
  <c r="I386" i="19"/>
  <c r="B391" i="19"/>
  <c r="C391" i="19"/>
  <c r="D391" i="19"/>
  <c r="E391" i="19"/>
  <c r="F391" i="19"/>
  <c r="G391" i="19"/>
  <c r="H391" i="19"/>
  <c r="I391" i="19"/>
  <c r="B392" i="19"/>
  <c r="C392" i="19"/>
  <c r="D392" i="19"/>
  <c r="E392" i="19"/>
  <c r="F392" i="19"/>
  <c r="G392" i="19"/>
  <c r="H392" i="19"/>
  <c r="I392" i="19"/>
  <c r="B397" i="19"/>
  <c r="C397" i="19"/>
  <c r="D397" i="19"/>
  <c r="E397" i="19"/>
  <c r="F397" i="19"/>
  <c r="G397" i="19"/>
  <c r="H397" i="19"/>
  <c r="I397" i="19"/>
  <c r="B400" i="19"/>
  <c r="C400" i="19"/>
  <c r="D400" i="19"/>
  <c r="E400" i="19"/>
  <c r="F400" i="19"/>
  <c r="G400" i="19"/>
  <c r="H400" i="19"/>
  <c r="I400" i="19"/>
  <c r="B402" i="19"/>
  <c r="C402" i="19"/>
  <c r="D402" i="19"/>
  <c r="E402" i="19"/>
  <c r="F402" i="19"/>
  <c r="G402" i="19"/>
  <c r="H402" i="19"/>
  <c r="I402" i="19"/>
  <c r="B406" i="19"/>
  <c r="C406" i="19"/>
  <c r="D406" i="19"/>
  <c r="E406" i="19"/>
  <c r="F406" i="19"/>
  <c r="G406" i="19"/>
  <c r="H406" i="19"/>
  <c r="I406" i="19"/>
  <c r="B389" i="19"/>
  <c r="C389" i="19"/>
  <c r="D389" i="19"/>
  <c r="E389" i="19"/>
  <c r="F389" i="19"/>
  <c r="G389" i="19"/>
  <c r="H389" i="19"/>
  <c r="I389" i="19"/>
  <c r="B227" i="19"/>
  <c r="C227" i="19"/>
  <c r="D227" i="19"/>
  <c r="E227" i="19"/>
  <c r="F227" i="19"/>
  <c r="G227" i="19"/>
  <c r="H227" i="19"/>
  <c r="I227" i="19"/>
  <c r="B314" i="19"/>
  <c r="C314" i="19"/>
  <c r="D314" i="19"/>
  <c r="E314" i="19"/>
  <c r="F314" i="19"/>
  <c r="G314" i="19"/>
  <c r="H314" i="19"/>
  <c r="I314" i="19"/>
  <c r="B30" i="19"/>
  <c r="C30" i="19"/>
  <c r="D30" i="19"/>
  <c r="E30" i="19"/>
  <c r="F30" i="19"/>
  <c r="G30" i="19"/>
  <c r="H30" i="19"/>
  <c r="I30" i="19"/>
  <c r="B102" i="19"/>
  <c r="C102" i="19"/>
  <c r="D102" i="19"/>
  <c r="E102" i="19"/>
  <c r="F102" i="19"/>
  <c r="G102" i="19"/>
  <c r="H102" i="19"/>
  <c r="I102" i="19"/>
  <c r="A3" i="19"/>
  <c r="A5" i="19"/>
  <c r="A7" i="19"/>
  <c r="A10" i="19"/>
  <c r="A11" i="19"/>
  <c r="A13" i="19"/>
  <c r="A14" i="19"/>
  <c r="A16" i="19"/>
  <c r="A17" i="19"/>
  <c r="A19" i="19"/>
  <c r="A21" i="19"/>
  <c r="A23" i="19"/>
  <c r="A25" i="19"/>
  <c r="A27" i="19"/>
  <c r="A28" i="19"/>
  <c r="A32" i="19"/>
  <c r="A35" i="19"/>
  <c r="A36" i="19"/>
  <c r="A38" i="19"/>
  <c r="A41" i="19"/>
  <c r="A43" i="19"/>
  <c r="A45" i="19"/>
  <c r="A47" i="19"/>
  <c r="A49" i="19"/>
  <c r="A51" i="19"/>
  <c r="A53" i="19"/>
  <c r="A55" i="19"/>
  <c r="A57" i="19"/>
  <c r="A59" i="19"/>
  <c r="A64" i="19"/>
  <c r="A66" i="19"/>
  <c r="A68" i="19"/>
  <c r="A71" i="19"/>
  <c r="A73" i="19"/>
  <c r="A75" i="19"/>
  <c r="A78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104" i="19"/>
  <c r="A106" i="19"/>
  <c r="A107" i="19"/>
  <c r="A109" i="19"/>
  <c r="A113" i="19"/>
  <c r="A114" i="19"/>
  <c r="A120" i="19"/>
  <c r="A126" i="19"/>
  <c r="A128" i="19"/>
  <c r="A130" i="19"/>
  <c r="A132" i="19"/>
  <c r="A134" i="19"/>
  <c r="A136" i="19"/>
  <c r="A138" i="19"/>
  <c r="A140" i="19"/>
  <c r="A142" i="19"/>
  <c r="A144" i="19"/>
  <c r="A146" i="19"/>
  <c r="A148" i="19"/>
  <c r="A150" i="19"/>
  <c r="A152" i="19"/>
  <c r="A154" i="19"/>
  <c r="A156" i="19"/>
  <c r="A158" i="19"/>
  <c r="A160" i="19"/>
  <c r="A162" i="19"/>
  <c r="A164" i="19"/>
  <c r="A166" i="19"/>
  <c r="A168" i="19"/>
  <c r="A170" i="19"/>
  <c r="A172" i="19"/>
  <c r="A174" i="19"/>
  <c r="A176" i="19"/>
  <c r="A178" i="19"/>
  <c r="A180" i="19"/>
  <c r="A182" i="19"/>
  <c r="A184" i="19"/>
  <c r="A190" i="19"/>
  <c r="A191" i="19"/>
  <c r="A194" i="19"/>
  <c r="A196" i="19"/>
  <c r="A200" i="19"/>
  <c r="A198" i="19"/>
  <c r="A202" i="19"/>
  <c r="A214" i="19"/>
  <c r="A204" i="19"/>
  <c r="A206" i="19"/>
  <c r="A208" i="19"/>
  <c r="A211" i="19"/>
  <c r="A213" i="19"/>
  <c r="A216" i="19"/>
  <c r="A222" i="19"/>
  <c r="A223" i="19"/>
  <c r="A226" i="19"/>
  <c r="A229" i="19"/>
  <c r="A231" i="19"/>
  <c r="A233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60" i="19"/>
  <c r="A261" i="19"/>
  <c r="A265" i="19"/>
  <c r="A266" i="19"/>
  <c r="A270" i="19"/>
  <c r="A274" i="19"/>
  <c r="A276" i="19"/>
  <c r="A281" i="19"/>
  <c r="A282" i="19"/>
  <c r="A283" i="19"/>
  <c r="A284" i="19"/>
  <c r="A285" i="19"/>
  <c r="A286" i="19"/>
  <c r="A288" i="19"/>
  <c r="A290" i="19"/>
  <c r="A291" i="19"/>
  <c r="A292" i="19"/>
  <c r="A293" i="19"/>
  <c r="A294" i="19"/>
  <c r="A295" i="19"/>
  <c r="A298" i="19"/>
  <c r="A299" i="19"/>
  <c r="A301" i="19"/>
  <c r="A303" i="19"/>
  <c r="A304" i="19"/>
  <c r="A308" i="19"/>
  <c r="A310" i="19"/>
  <c r="A313" i="19"/>
  <c r="A317" i="19"/>
  <c r="A318" i="19"/>
  <c r="A320" i="19"/>
  <c r="A322" i="19"/>
  <c r="A324" i="19"/>
  <c r="A326" i="19"/>
  <c r="A328" i="19"/>
  <c r="A330" i="19"/>
  <c r="A332" i="19"/>
  <c r="A334" i="19"/>
  <c r="A336" i="19"/>
  <c r="A338" i="19"/>
  <c r="A340" i="19"/>
  <c r="A342" i="19"/>
  <c r="A344" i="19"/>
  <c r="A346" i="19"/>
  <c r="A348" i="19"/>
  <c r="A350" i="19"/>
  <c r="A352" i="19"/>
  <c r="A354" i="19"/>
  <c r="A356" i="19"/>
  <c r="A358" i="19"/>
  <c r="A360" i="19"/>
  <c r="A363" i="19"/>
  <c r="A365" i="19"/>
  <c r="A367" i="19"/>
  <c r="A369" i="19"/>
  <c r="A370" i="19"/>
  <c r="A371" i="19"/>
  <c r="A372" i="19"/>
  <c r="A375" i="19"/>
  <c r="A376" i="19"/>
  <c r="A378" i="19"/>
  <c r="A381" i="19"/>
  <c r="A383" i="19"/>
  <c r="A385" i="19"/>
  <c r="A386" i="19"/>
  <c r="A391" i="19"/>
  <c r="A392" i="19"/>
  <c r="A397" i="19"/>
  <c r="A400" i="19"/>
  <c r="A402" i="19"/>
  <c r="A406" i="19"/>
  <c r="A389" i="19"/>
  <c r="A227" i="19"/>
  <c r="A314" i="19"/>
  <c r="A30" i="19"/>
  <c r="A102" i="19"/>
  <c r="A2" i="19"/>
  <c r="H208" i="12"/>
  <c r="H207" i="12"/>
  <c r="H206" i="12"/>
  <c r="H205" i="12"/>
  <c r="G241" i="3" l="1"/>
  <c r="G242" i="3"/>
  <c r="G239" i="3"/>
  <c r="G240" i="3"/>
  <c r="H137" i="12"/>
  <c r="H204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H161" i="12"/>
  <c r="H98" i="12"/>
  <c r="H95" i="12"/>
  <c r="H37" i="12"/>
  <c r="H19" i="12"/>
  <c r="H107" i="12"/>
  <c r="M295" i="18"/>
  <c r="G238" i="3"/>
  <c r="G237" i="3"/>
  <c r="H39" i="12"/>
  <c r="G236" i="3"/>
  <c r="H38" i="12"/>
  <c r="G235" i="3"/>
  <c r="G234" i="3"/>
  <c r="H6" i="12"/>
  <c r="G233" i="3"/>
  <c r="G232" i="3"/>
  <c r="G231" i="3"/>
  <c r="G230" i="3"/>
  <c r="G229" i="3"/>
  <c r="G228" i="3"/>
  <c r="G227" i="3"/>
  <c r="G226" i="3"/>
  <c r="G225" i="3"/>
  <c r="G224" i="3"/>
  <c r="G223" i="3"/>
  <c r="G222" i="3"/>
  <c r="H17" i="12"/>
  <c r="H16" i="12"/>
  <c r="H15" i="12"/>
  <c r="H14" i="12"/>
  <c r="H13" i="12"/>
  <c r="G221" i="3"/>
  <c r="G220" i="3"/>
  <c r="G219" i="3"/>
  <c r="G218" i="3"/>
  <c r="G217" i="3"/>
  <c r="H197" i="12"/>
  <c r="G216" i="3"/>
  <c r="H97" i="12"/>
  <c r="G215" i="3"/>
  <c r="H94" i="12"/>
  <c r="G214" i="3"/>
  <c r="H40" i="12"/>
  <c r="G211" i="3"/>
  <c r="H54" i="12"/>
  <c r="H33" i="12" l="1"/>
  <c r="H32" i="12"/>
  <c r="H31" i="12"/>
  <c r="H30" i="12"/>
  <c r="H29" i="12"/>
  <c r="H28" i="12"/>
  <c r="H27" i="12"/>
  <c r="H26" i="12"/>
  <c r="H25" i="12"/>
  <c r="H24" i="12"/>
  <c r="H23" i="12"/>
  <c r="H22" i="12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H90" i="12"/>
  <c r="H89" i="12"/>
  <c r="H88" i="12"/>
  <c r="H87" i="12"/>
  <c r="H86" i="12"/>
  <c r="H85" i="12"/>
  <c r="H84" i="12"/>
  <c r="H83" i="12"/>
  <c r="H82" i="12"/>
  <c r="H81" i="12"/>
  <c r="H80" i="12"/>
  <c r="H79" i="12"/>
  <c r="H78" i="12"/>
  <c r="H77" i="12"/>
  <c r="H76" i="12"/>
  <c r="H75" i="12"/>
  <c r="H74" i="12"/>
  <c r="H73" i="12"/>
  <c r="H72" i="12"/>
  <c r="H71" i="12"/>
  <c r="H70" i="12"/>
  <c r="H69" i="12"/>
  <c r="H68" i="12"/>
  <c r="H67" i="12"/>
  <c r="H66" i="12"/>
  <c r="H65" i="12"/>
  <c r="H64" i="12"/>
  <c r="H63" i="12"/>
  <c r="H62" i="12"/>
  <c r="H61" i="12"/>
  <c r="M296" i="18"/>
  <c r="F197" i="18"/>
  <c r="G197" i="18"/>
  <c r="H197" i="18"/>
  <c r="I197" i="18"/>
  <c r="J197" i="18"/>
  <c r="K197" i="18"/>
  <c r="M197" i="18"/>
  <c r="F78" i="18"/>
  <c r="G78" i="18"/>
  <c r="H78" i="18"/>
  <c r="I78" i="18"/>
  <c r="J78" i="18"/>
  <c r="K78" i="18"/>
  <c r="M78" i="18"/>
  <c r="F7" i="18"/>
  <c r="G7" i="18"/>
  <c r="H7" i="18"/>
  <c r="I7" i="18"/>
  <c r="J7" i="18"/>
  <c r="K7" i="18"/>
  <c r="L7" i="18"/>
  <c r="M7" i="18"/>
  <c r="F15" i="18"/>
  <c r="G15" i="18"/>
  <c r="H15" i="18"/>
  <c r="I15" i="18"/>
  <c r="J15" i="18"/>
  <c r="K15" i="18"/>
  <c r="M15" i="18"/>
  <c r="F16" i="18"/>
  <c r="G16" i="18"/>
  <c r="H16" i="18"/>
  <c r="I16" i="18"/>
  <c r="J16" i="18"/>
  <c r="K16" i="18"/>
  <c r="M16" i="18"/>
  <c r="F29" i="18"/>
  <c r="G29" i="18"/>
  <c r="H29" i="18"/>
  <c r="I29" i="18"/>
  <c r="J29" i="18"/>
  <c r="K29" i="18"/>
  <c r="L29" i="18"/>
  <c r="M29" i="18"/>
  <c r="F74" i="18"/>
  <c r="G74" i="18"/>
  <c r="H74" i="18"/>
  <c r="I74" i="18"/>
  <c r="J74" i="18"/>
  <c r="K74" i="18"/>
  <c r="M74" i="18"/>
  <c r="F75" i="18"/>
  <c r="G75" i="18"/>
  <c r="H75" i="18"/>
  <c r="I75" i="18"/>
  <c r="J75" i="18"/>
  <c r="K75" i="18"/>
  <c r="M75" i="18"/>
  <c r="F76" i="18"/>
  <c r="G76" i="18"/>
  <c r="H76" i="18"/>
  <c r="I76" i="18"/>
  <c r="J76" i="18"/>
  <c r="K76" i="18"/>
  <c r="M76" i="18"/>
  <c r="F77" i="18"/>
  <c r="G77" i="18"/>
  <c r="H77" i="18"/>
  <c r="I77" i="18"/>
  <c r="J77" i="18"/>
  <c r="K77" i="18"/>
  <c r="M77" i="18"/>
  <c r="F85" i="18"/>
  <c r="G85" i="18"/>
  <c r="H85" i="18"/>
  <c r="I85" i="18"/>
  <c r="J85" i="18"/>
  <c r="K85" i="18"/>
  <c r="M85" i="18"/>
  <c r="F142" i="18"/>
  <c r="G142" i="18"/>
  <c r="H142" i="18"/>
  <c r="I142" i="18"/>
  <c r="J142" i="18"/>
  <c r="K142" i="18"/>
  <c r="L142" i="18"/>
  <c r="M142" i="18"/>
  <c r="F147" i="18"/>
  <c r="G147" i="18"/>
  <c r="H147" i="18"/>
  <c r="I147" i="18"/>
  <c r="J147" i="18"/>
  <c r="K147" i="18"/>
  <c r="M147" i="18"/>
  <c r="F152" i="18"/>
  <c r="G152" i="18"/>
  <c r="H152" i="18"/>
  <c r="I152" i="18"/>
  <c r="J152" i="18"/>
  <c r="K152" i="18"/>
  <c r="M152" i="18"/>
  <c r="F170" i="18"/>
  <c r="G170" i="18"/>
  <c r="H170" i="18"/>
  <c r="I170" i="18"/>
  <c r="J170" i="18"/>
  <c r="K170" i="18"/>
  <c r="M170" i="18"/>
  <c r="F174" i="18"/>
  <c r="G174" i="18"/>
  <c r="H174" i="18"/>
  <c r="I174" i="18"/>
  <c r="J174" i="18"/>
  <c r="K174" i="18"/>
  <c r="M174" i="18"/>
  <c r="F178" i="18"/>
  <c r="G178" i="18"/>
  <c r="H178" i="18"/>
  <c r="I178" i="18"/>
  <c r="J178" i="18"/>
  <c r="K178" i="18"/>
  <c r="M178" i="18"/>
  <c r="F181" i="18"/>
  <c r="G181" i="18"/>
  <c r="H181" i="18"/>
  <c r="I181" i="18"/>
  <c r="J181" i="18"/>
  <c r="K181" i="18"/>
  <c r="M181" i="18"/>
  <c r="F203" i="18"/>
  <c r="G203" i="18"/>
  <c r="H203" i="18"/>
  <c r="I203" i="18"/>
  <c r="J203" i="18"/>
  <c r="K203" i="18"/>
  <c r="M203" i="18"/>
  <c r="F204" i="18"/>
  <c r="G204" i="18"/>
  <c r="H204" i="18"/>
  <c r="I204" i="18"/>
  <c r="J204" i="18"/>
  <c r="K204" i="18"/>
  <c r="M204" i="18"/>
  <c r="F208" i="18"/>
  <c r="G208" i="18"/>
  <c r="H208" i="18"/>
  <c r="I208" i="18"/>
  <c r="J208" i="18"/>
  <c r="K208" i="18"/>
  <c r="M208" i="18"/>
  <c r="F209" i="18"/>
  <c r="G209" i="18"/>
  <c r="H209" i="18"/>
  <c r="I209" i="18"/>
  <c r="J209" i="18"/>
  <c r="K209" i="18"/>
  <c r="M209" i="18"/>
  <c r="F213" i="18"/>
  <c r="G213" i="18"/>
  <c r="H213" i="18"/>
  <c r="I213" i="18"/>
  <c r="J213" i="18"/>
  <c r="K213" i="18"/>
  <c r="M213" i="18"/>
  <c r="F214" i="18"/>
  <c r="G214" i="18"/>
  <c r="H214" i="18"/>
  <c r="I214" i="18"/>
  <c r="J214" i="18"/>
  <c r="K214" i="18"/>
  <c r="M214" i="18"/>
  <c r="F220" i="18"/>
  <c r="G220" i="18"/>
  <c r="H220" i="18"/>
  <c r="I220" i="18"/>
  <c r="J220" i="18"/>
  <c r="K220" i="18"/>
  <c r="M220" i="18"/>
  <c r="F235" i="18"/>
  <c r="G235" i="18"/>
  <c r="H235" i="18"/>
  <c r="I235" i="18"/>
  <c r="J235" i="18"/>
  <c r="K235" i="18"/>
  <c r="M235" i="18"/>
  <c r="F239" i="18"/>
  <c r="G239" i="18"/>
  <c r="H239" i="18"/>
  <c r="I239" i="18"/>
  <c r="J239" i="18"/>
  <c r="K239" i="18"/>
  <c r="M239" i="18"/>
  <c r="F248" i="18"/>
  <c r="G248" i="18"/>
  <c r="H248" i="18"/>
  <c r="I248" i="18"/>
  <c r="J248" i="18"/>
  <c r="K248" i="18"/>
  <c r="M248" i="18"/>
  <c r="F261" i="18"/>
  <c r="G261" i="18"/>
  <c r="H261" i="18"/>
  <c r="I261" i="18"/>
  <c r="J261" i="18"/>
  <c r="K261" i="18"/>
  <c r="M261" i="18"/>
  <c r="F262" i="18"/>
  <c r="G262" i="18"/>
  <c r="H262" i="18"/>
  <c r="I262" i="18"/>
  <c r="J262" i="18"/>
  <c r="K262" i="18"/>
  <c r="M262" i="18"/>
  <c r="F269" i="18"/>
  <c r="G269" i="18"/>
  <c r="H269" i="18"/>
  <c r="I269" i="18"/>
  <c r="J269" i="18"/>
  <c r="K269" i="18"/>
  <c r="M269" i="18"/>
  <c r="F296" i="18"/>
  <c r="G296" i="18"/>
  <c r="H296" i="18"/>
  <c r="I296" i="18"/>
  <c r="J296" i="18"/>
  <c r="K296" i="18"/>
  <c r="F297" i="18"/>
  <c r="G297" i="18"/>
  <c r="H297" i="18"/>
  <c r="I297" i="18"/>
  <c r="J297" i="18"/>
  <c r="K297" i="18"/>
  <c r="M297" i="18"/>
  <c r="F299" i="18"/>
  <c r="G299" i="18"/>
  <c r="H299" i="18"/>
  <c r="I299" i="18"/>
  <c r="J299" i="18"/>
  <c r="K299" i="18"/>
  <c r="M299" i="18"/>
  <c r="F300" i="18"/>
  <c r="G300" i="18"/>
  <c r="H300" i="18"/>
  <c r="I300" i="18"/>
  <c r="J300" i="18"/>
  <c r="K300" i="18"/>
  <c r="M300" i="18"/>
  <c r="F304" i="18"/>
  <c r="G304" i="18"/>
  <c r="H304" i="18"/>
  <c r="I304" i="18"/>
  <c r="J304" i="18"/>
  <c r="K304" i="18"/>
  <c r="M304" i="18"/>
  <c r="F306" i="18"/>
  <c r="G306" i="18"/>
  <c r="H306" i="18"/>
  <c r="I306" i="18"/>
  <c r="J306" i="18"/>
  <c r="K306" i="18"/>
  <c r="M306" i="18"/>
  <c r="F313" i="18"/>
  <c r="G313" i="18"/>
  <c r="H313" i="18"/>
  <c r="I313" i="18"/>
  <c r="J313" i="18"/>
  <c r="K313" i="18"/>
  <c r="M313" i="18"/>
  <c r="F321" i="18"/>
  <c r="G321" i="18"/>
  <c r="H321" i="18"/>
  <c r="I321" i="18"/>
  <c r="J321" i="18"/>
  <c r="K321" i="18"/>
  <c r="M321" i="18"/>
  <c r="F324" i="18"/>
  <c r="G324" i="18"/>
  <c r="H324" i="18"/>
  <c r="I324" i="18"/>
  <c r="J324" i="18"/>
  <c r="K324" i="18"/>
  <c r="M324" i="18"/>
  <c r="F327" i="18"/>
  <c r="G327" i="18"/>
  <c r="H327" i="18"/>
  <c r="I327" i="18"/>
  <c r="J327" i="18"/>
  <c r="K327" i="18"/>
  <c r="M327" i="18"/>
  <c r="F64" i="18"/>
  <c r="G64" i="18"/>
  <c r="H64" i="18"/>
  <c r="I64" i="18"/>
  <c r="J64" i="18"/>
  <c r="K64" i="18"/>
  <c r="M64" i="18"/>
  <c r="F65" i="18"/>
  <c r="G65" i="18"/>
  <c r="H65" i="18"/>
  <c r="I65" i="18"/>
  <c r="J65" i="18"/>
  <c r="K65" i="18"/>
  <c r="M65" i="18"/>
  <c r="F91" i="18"/>
  <c r="G91" i="18"/>
  <c r="H91" i="18"/>
  <c r="I91" i="18"/>
  <c r="J91" i="18"/>
  <c r="K91" i="18"/>
  <c r="M91" i="18"/>
  <c r="F92" i="18"/>
  <c r="G92" i="18"/>
  <c r="H92" i="18"/>
  <c r="I92" i="18"/>
  <c r="J92" i="18"/>
  <c r="K92" i="18"/>
  <c r="M92" i="18"/>
  <c r="F145" i="18"/>
  <c r="G145" i="18"/>
  <c r="H145" i="18"/>
  <c r="I145" i="18"/>
  <c r="J145" i="18"/>
  <c r="K145" i="18"/>
  <c r="M145" i="18"/>
  <c r="F184" i="18"/>
  <c r="G184" i="18"/>
  <c r="H184" i="18"/>
  <c r="I184" i="18"/>
  <c r="J184" i="18"/>
  <c r="K184" i="18"/>
  <c r="M184" i="18"/>
  <c r="F196" i="18"/>
  <c r="G196" i="18"/>
  <c r="H196" i="18"/>
  <c r="I196" i="18"/>
  <c r="J196" i="18"/>
  <c r="K196" i="18"/>
  <c r="M196" i="18"/>
  <c r="F198" i="18"/>
  <c r="G198" i="18"/>
  <c r="H198" i="18"/>
  <c r="I198" i="18"/>
  <c r="J198" i="18"/>
  <c r="K198" i="18"/>
  <c r="M198" i="18"/>
  <c r="F199" i="18"/>
  <c r="G199" i="18"/>
  <c r="H199" i="18"/>
  <c r="I199" i="18"/>
  <c r="J199" i="18"/>
  <c r="K199" i="18"/>
  <c r="M199" i="18"/>
  <c r="F200" i="18"/>
  <c r="G200" i="18"/>
  <c r="H200" i="18"/>
  <c r="I200" i="18"/>
  <c r="J200" i="18"/>
  <c r="K200" i="18"/>
  <c r="M200" i="18"/>
  <c r="F216" i="18"/>
  <c r="G216" i="18"/>
  <c r="H216" i="18"/>
  <c r="I216" i="18"/>
  <c r="J216" i="18"/>
  <c r="K216" i="18"/>
  <c r="M216" i="18"/>
  <c r="F221" i="18"/>
  <c r="G221" i="18"/>
  <c r="H221" i="18"/>
  <c r="I221" i="18"/>
  <c r="J221" i="18"/>
  <c r="K221" i="18"/>
  <c r="M221" i="18"/>
  <c r="F231" i="18"/>
  <c r="G231" i="18"/>
  <c r="H231" i="18"/>
  <c r="I231" i="18"/>
  <c r="J231" i="18"/>
  <c r="K231" i="18"/>
  <c r="M231" i="18"/>
  <c r="F241" i="18"/>
  <c r="G241" i="18"/>
  <c r="H241" i="18"/>
  <c r="I241" i="18"/>
  <c r="J241" i="18"/>
  <c r="K241" i="18"/>
  <c r="M241" i="18"/>
  <c r="F252" i="18"/>
  <c r="G252" i="18"/>
  <c r="H252" i="18"/>
  <c r="I252" i="18"/>
  <c r="J252" i="18"/>
  <c r="K252" i="18"/>
  <c r="M252" i="18"/>
  <c r="F6" i="18"/>
  <c r="G6" i="18"/>
  <c r="H6" i="18"/>
  <c r="I6" i="18"/>
  <c r="J6" i="18"/>
  <c r="K6" i="18"/>
  <c r="M6" i="18"/>
  <c r="F8" i="18"/>
  <c r="G8" i="18"/>
  <c r="H8" i="18"/>
  <c r="I8" i="18"/>
  <c r="J8" i="18"/>
  <c r="K8" i="18"/>
  <c r="M8" i="18"/>
  <c r="F10" i="18"/>
  <c r="G10" i="18"/>
  <c r="H10" i="18"/>
  <c r="I10" i="18"/>
  <c r="J10" i="18"/>
  <c r="K10" i="18"/>
  <c r="M10" i="18"/>
  <c r="F12" i="18"/>
  <c r="G12" i="18"/>
  <c r="H12" i="18"/>
  <c r="I12" i="18"/>
  <c r="J12" i="18"/>
  <c r="K12" i="18"/>
  <c r="M12" i="18"/>
  <c r="F14" i="18"/>
  <c r="G14" i="18"/>
  <c r="H14" i="18"/>
  <c r="I14" i="18"/>
  <c r="J14" i="18"/>
  <c r="K14" i="18"/>
  <c r="M14" i="18"/>
  <c r="F19" i="18"/>
  <c r="G19" i="18"/>
  <c r="H19" i="18"/>
  <c r="I19" i="18"/>
  <c r="J19" i="18"/>
  <c r="K19" i="18"/>
  <c r="M19" i="18"/>
  <c r="F20" i="18"/>
  <c r="G20" i="18"/>
  <c r="H20" i="18"/>
  <c r="I20" i="18"/>
  <c r="J20" i="18"/>
  <c r="K20" i="18"/>
  <c r="M20" i="18"/>
  <c r="F21" i="18"/>
  <c r="G21" i="18"/>
  <c r="H21" i="18"/>
  <c r="I21" i="18"/>
  <c r="J21" i="18"/>
  <c r="K21" i="18"/>
  <c r="M21" i="18"/>
  <c r="F22" i="18"/>
  <c r="G22" i="18"/>
  <c r="H22" i="18"/>
  <c r="I22" i="18"/>
  <c r="J22" i="18"/>
  <c r="K22" i="18"/>
  <c r="M22" i="18"/>
  <c r="F23" i="18"/>
  <c r="G23" i="18"/>
  <c r="H23" i="18"/>
  <c r="I23" i="18"/>
  <c r="J23" i="18"/>
  <c r="K23" i="18"/>
  <c r="M23" i="18"/>
  <c r="F25" i="18"/>
  <c r="G25" i="18"/>
  <c r="H25" i="18"/>
  <c r="I25" i="18"/>
  <c r="J25" i="18"/>
  <c r="K25" i="18"/>
  <c r="M25" i="18"/>
  <c r="F26" i="18"/>
  <c r="G26" i="18"/>
  <c r="H26" i="18"/>
  <c r="I26" i="18"/>
  <c r="J26" i="18"/>
  <c r="K26" i="18"/>
  <c r="M26" i="18"/>
  <c r="F28" i="18"/>
  <c r="G28" i="18"/>
  <c r="H28" i="18"/>
  <c r="I28" i="18"/>
  <c r="J28" i="18"/>
  <c r="K28" i="18"/>
  <c r="M28" i="18"/>
  <c r="F30" i="18"/>
  <c r="G30" i="18"/>
  <c r="H30" i="18"/>
  <c r="I30" i="18"/>
  <c r="J30" i="18"/>
  <c r="K30" i="18"/>
  <c r="M30" i="18"/>
  <c r="F31" i="18"/>
  <c r="G31" i="18"/>
  <c r="H31" i="18"/>
  <c r="I31" i="18"/>
  <c r="J31" i="18"/>
  <c r="K31" i="18"/>
  <c r="M31" i="18"/>
  <c r="F32" i="18"/>
  <c r="G32" i="18"/>
  <c r="H32" i="18"/>
  <c r="I32" i="18"/>
  <c r="J32" i="18"/>
  <c r="K32" i="18"/>
  <c r="M32" i="18"/>
  <c r="F33" i="18"/>
  <c r="G33" i="18"/>
  <c r="H33" i="18"/>
  <c r="I33" i="18"/>
  <c r="J33" i="18"/>
  <c r="K33" i="18"/>
  <c r="M33" i="18"/>
  <c r="F34" i="18"/>
  <c r="G34" i="18"/>
  <c r="H34" i="18"/>
  <c r="I34" i="18"/>
  <c r="J34" i="18"/>
  <c r="K34" i="18"/>
  <c r="M34" i="18"/>
  <c r="F35" i="18"/>
  <c r="G35" i="18"/>
  <c r="H35" i="18"/>
  <c r="I35" i="18"/>
  <c r="J35" i="18"/>
  <c r="K35" i="18"/>
  <c r="M35" i="18"/>
  <c r="F36" i="18"/>
  <c r="G36" i="18"/>
  <c r="H36" i="18"/>
  <c r="I36" i="18"/>
  <c r="J36" i="18"/>
  <c r="K36" i="18"/>
  <c r="M36" i="18"/>
  <c r="F37" i="18"/>
  <c r="G37" i="18"/>
  <c r="H37" i="18"/>
  <c r="I37" i="18"/>
  <c r="J37" i="18"/>
  <c r="K37" i="18"/>
  <c r="M37" i="18"/>
  <c r="F38" i="18"/>
  <c r="G38" i="18"/>
  <c r="H38" i="18"/>
  <c r="I38" i="18"/>
  <c r="J38" i="18"/>
  <c r="K38" i="18"/>
  <c r="M38" i="18"/>
  <c r="F39" i="18"/>
  <c r="G39" i="18"/>
  <c r="H39" i="18"/>
  <c r="I39" i="18"/>
  <c r="J39" i="18"/>
  <c r="K39" i="18"/>
  <c r="M39" i="18"/>
  <c r="F40" i="18"/>
  <c r="G40" i="18"/>
  <c r="H40" i="18"/>
  <c r="I40" i="18"/>
  <c r="J40" i="18"/>
  <c r="K40" i="18"/>
  <c r="M40" i="18"/>
  <c r="F41" i="18"/>
  <c r="G41" i="18"/>
  <c r="H41" i="18"/>
  <c r="I41" i="18"/>
  <c r="J41" i="18"/>
  <c r="K41" i="18"/>
  <c r="M41" i="18"/>
  <c r="F42" i="18"/>
  <c r="G42" i="18"/>
  <c r="H42" i="18"/>
  <c r="I42" i="18"/>
  <c r="J42" i="18"/>
  <c r="K42" i="18"/>
  <c r="M42" i="18"/>
  <c r="F43" i="18"/>
  <c r="G43" i="18"/>
  <c r="H43" i="18"/>
  <c r="I43" i="18"/>
  <c r="J43" i="18"/>
  <c r="K43" i="18"/>
  <c r="M43" i="18"/>
  <c r="F44" i="18"/>
  <c r="G44" i="18"/>
  <c r="H44" i="18"/>
  <c r="I44" i="18"/>
  <c r="J44" i="18"/>
  <c r="K44" i="18"/>
  <c r="M44" i="18"/>
  <c r="F45" i="18"/>
  <c r="G45" i="18"/>
  <c r="H45" i="18"/>
  <c r="I45" i="18"/>
  <c r="J45" i="18"/>
  <c r="K45" i="18"/>
  <c r="M45" i="18"/>
  <c r="F46" i="18"/>
  <c r="G46" i="18"/>
  <c r="H46" i="18"/>
  <c r="I46" i="18"/>
  <c r="J46" i="18"/>
  <c r="K46" i="18"/>
  <c r="M46" i="18"/>
  <c r="F47" i="18"/>
  <c r="G47" i="18"/>
  <c r="H47" i="18"/>
  <c r="I47" i="18"/>
  <c r="J47" i="18"/>
  <c r="K47" i="18"/>
  <c r="M47" i="18"/>
  <c r="F49" i="18"/>
  <c r="G49" i="18"/>
  <c r="H49" i="18"/>
  <c r="I49" i="18"/>
  <c r="J49" i="18"/>
  <c r="K49" i="18"/>
  <c r="M49" i="18"/>
  <c r="F50" i="18"/>
  <c r="G50" i="18"/>
  <c r="H50" i="18"/>
  <c r="I50" i="18"/>
  <c r="J50" i="18"/>
  <c r="K50" i="18"/>
  <c r="M50" i="18"/>
  <c r="F51" i="18"/>
  <c r="G51" i="18"/>
  <c r="H51" i="18"/>
  <c r="I51" i="18"/>
  <c r="J51" i="18"/>
  <c r="K51" i="18"/>
  <c r="M51" i="18"/>
  <c r="F52" i="18"/>
  <c r="G52" i="18"/>
  <c r="H52" i="18"/>
  <c r="I52" i="18"/>
  <c r="J52" i="18"/>
  <c r="K52" i="18"/>
  <c r="M52" i="18"/>
  <c r="F53" i="18"/>
  <c r="G53" i="18"/>
  <c r="H53" i="18"/>
  <c r="I53" i="18"/>
  <c r="J53" i="18"/>
  <c r="K53" i="18"/>
  <c r="M53" i="18"/>
  <c r="F54" i="18"/>
  <c r="G54" i="18"/>
  <c r="H54" i="18"/>
  <c r="I54" i="18"/>
  <c r="J54" i="18"/>
  <c r="K54" i="18"/>
  <c r="M54" i="18"/>
  <c r="F55" i="18"/>
  <c r="G55" i="18"/>
  <c r="H55" i="18"/>
  <c r="I55" i="18"/>
  <c r="J55" i="18"/>
  <c r="K55" i="18"/>
  <c r="M55" i="18"/>
  <c r="F66" i="18"/>
  <c r="G66" i="18"/>
  <c r="H66" i="18"/>
  <c r="I66" i="18"/>
  <c r="J66" i="18"/>
  <c r="K66" i="18"/>
  <c r="M66" i="18"/>
  <c r="F67" i="18"/>
  <c r="G67" i="18"/>
  <c r="H67" i="18"/>
  <c r="I67" i="18"/>
  <c r="J67" i="18"/>
  <c r="K67" i="18"/>
  <c r="M67" i="18"/>
  <c r="F68" i="18"/>
  <c r="G68" i="18"/>
  <c r="H68" i="18"/>
  <c r="I68" i="18"/>
  <c r="J68" i="18"/>
  <c r="K68" i="18"/>
  <c r="M68" i="18"/>
  <c r="F69" i="18"/>
  <c r="G69" i="18"/>
  <c r="H69" i="18"/>
  <c r="I69" i="18"/>
  <c r="J69" i="18"/>
  <c r="K69" i="18"/>
  <c r="M69" i="18"/>
  <c r="F70" i="18"/>
  <c r="G70" i="18"/>
  <c r="H70" i="18"/>
  <c r="I70" i="18"/>
  <c r="J70" i="18"/>
  <c r="K70" i="18"/>
  <c r="M70" i="18"/>
  <c r="F79" i="18"/>
  <c r="G79" i="18"/>
  <c r="H79" i="18"/>
  <c r="I79" i="18"/>
  <c r="J79" i="18"/>
  <c r="K79" i="18"/>
  <c r="M79" i="18"/>
  <c r="F81" i="18"/>
  <c r="G81" i="18"/>
  <c r="H81" i="18"/>
  <c r="I81" i="18"/>
  <c r="J81" i="18"/>
  <c r="K81" i="18"/>
  <c r="M81" i="18"/>
  <c r="F84" i="18"/>
  <c r="G84" i="18"/>
  <c r="H84" i="18"/>
  <c r="I84" i="18"/>
  <c r="J84" i="18"/>
  <c r="K84" i="18"/>
  <c r="M84" i="18"/>
  <c r="F87" i="18"/>
  <c r="G87" i="18"/>
  <c r="H87" i="18"/>
  <c r="I87" i="18"/>
  <c r="J87" i="18"/>
  <c r="K87" i="18"/>
  <c r="M87" i="18"/>
  <c r="F88" i="18"/>
  <c r="G88" i="18"/>
  <c r="H88" i="18"/>
  <c r="I88" i="18"/>
  <c r="J88" i="18"/>
  <c r="K88" i="18"/>
  <c r="M88" i="18"/>
  <c r="F93" i="18"/>
  <c r="G93" i="18"/>
  <c r="H93" i="18"/>
  <c r="I93" i="18"/>
  <c r="J93" i="18"/>
  <c r="K93" i="18"/>
  <c r="M93" i="18"/>
  <c r="F94" i="18"/>
  <c r="G94" i="18"/>
  <c r="H94" i="18"/>
  <c r="I94" i="18"/>
  <c r="J94" i="18"/>
  <c r="K94" i="18"/>
  <c r="M94" i="18"/>
  <c r="F95" i="18"/>
  <c r="G95" i="18"/>
  <c r="H95" i="18"/>
  <c r="I95" i="18"/>
  <c r="J95" i="18"/>
  <c r="K95" i="18"/>
  <c r="M95" i="18"/>
  <c r="F97" i="18"/>
  <c r="G97" i="18"/>
  <c r="H97" i="18"/>
  <c r="I97" i="18"/>
  <c r="J97" i="18"/>
  <c r="K97" i="18"/>
  <c r="M97" i="18"/>
  <c r="F98" i="18"/>
  <c r="G98" i="18"/>
  <c r="H98" i="18"/>
  <c r="I98" i="18"/>
  <c r="J98" i="18"/>
  <c r="K98" i="18"/>
  <c r="M98" i="18"/>
  <c r="F99" i="18"/>
  <c r="G99" i="18"/>
  <c r="H99" i="18"/>
  <c r="I99" i="18"/>
  <c r="J99" i="18"/>
  <c r="K99" i="18"/>
  <c r="M99" i="18"/>
  <c r="F100" i="18"/>
  <c r="G100" i="18"/>
  <c r="H100" i="18"/>
  <c r="I100" i="18"/>
  <c r="J100" i="18"/>
  <c r="K100" i="18"/>
  <c r="M100" i="18"/>
  <c r="F101" i="18"/>
  <c r="G101" i="18"/>
  <c r="H101" i="18"/>
  <c r="I101" i="18"/>
  <c r="J101" i="18"/>
  <c r="K101" i="18"/>
  <c r="M101" i="18"/>
  <c r="F102" i="18"/>
  <c r="G102" i="18"/>
  <c r="H102" i="18"/>
  <c r="I102" i="18"/>
  <c r="J102" i="18"/>
  <c r="K102" i="18"/>
  <c r="M102" i="18"/>
  <c r="F103" i="18"/>
  <c r="G103" i="18"/>
  <c r="H103" i="18"/>
  <c r="I103" i="18"/>
  <c r="J103" i="18"/>
  <c r="K103" i="18"/>
  <c r="M103" i="18"/>
  <c r="F104" i="18"/>
  <c r="G104" i="18"/>
  <c r="H104" i="18"/>
  <c r="I104" i="18"/>
  <c r="J104" i="18"/>
  <c r="K104" i="18"/>
  <c r="M104" i="18"/>
  <c r="F105" i="18"/>
  <c r="G105" i="18"/>
  <c r="H105" i="18"/>
  <c r="I105" i="18"/>
  <c r="J105" i="18"/>
  <c r="K105" i="18"/>
  <c r="M105" i="18"/>
  <c r="F106" i="18"/>
  <c r="G106" i="18"/>
  <c r="H106" i="18"/>
  <c r="I106" i="18"/>
  <c r="J106" i="18"/>
  <c r="K106" i="18"/>
  <c r="M106" i="18"/>
  <c r="F107" i="18"/>
  <c r="G107" i="18"/>
  <c r="H107" i="18"/>
  <c r="I107" i="18"/>
  <c r="J107" i="18"/>
  <c r="K107" i="18"/>
  <c r="M107" i="18"/>
  <c r="F108" i="18"/>
  <c r="G108" i="18"/>
  <c r="H108" i="18"/>
  <c r="I108" i="18"/>
  <c r="J108" i="18"/>
  <c r="K108" i="18"/>
  <c r="M108" i="18"/>
  <c r="F109" i="18"/>
  <c r="G109" i="18"/>
  <c r="H109" i="18"/>
  <c r="I109" i="18"/>
  <c r="J109" i="18"/>
  <c r="K109" i="18"/>
  <c r="M109" i="18"/>
  <c r="F110" i="18"/>
  <c r="G110" i="18"/>
  <c r="H110" i="18"/>
  <c r="I110" i="18"/>
  <c r="J110" i="18"/>
  <c r="K110" i="18"/>
  <c r="M110" i="18"/>
  <c r="F111" i="18"/>
  <c r="G111" i="18"/>
  <c r="H111" i="18"/>
  <c r="I111" i="18"/>
  <c r="J111" i="18"/>
  <c r="K111" i="18"/>
  <c r="M111" i="18"/>
  <c r="F112" i="18"/>
  <c r="G112" i="18"/>
  <c r="H112" i="18"/>
  <c r="I112" i="18"/>
  <c r="J112" i="18"/>
  <c r="K112" i="18"/>
  <c r="M112" i="18"/>
  <c r="F113" i="18"/>
  <c r="G113" i="18"/>
  <c r="H113" i="18"/>
  <c r="I113" i="18"/>
  <c r="J113" i="18"/>
  <c r="K113" i="18"/>
  <c r="M113" i="18"/>
  <c r="F114" i="18"/>
  <c r="G114" i="18"/>
  <c r="H114" i="18"/>
  <c r="I114" i="18"/>
  <c r="J114" i="18"/>
  <c r="K114" i="18"/>
  <c r="M114" i="18"/>
  <c r="F115" i="18"/>
  <c r="G115" i="18"/>
  <c r="H115" i="18"/>
  <c r="I115" i="18"/>
  <c r="J115" i="18"/>
  <c r="K115" i="18"/>
  <c r="M115" i="18"/>
  <c r="F116" i="18"/>
  <c r="G116" i="18"/>
  <c r="H116" i="18"/>
  <c r="I116" i="18"/>
  <c r="J116" i="18"/>
  <c r="K116" i="18"/>
  <c r="M116" i="18"/>
  <c r="F117" i="18"/>
  <c r="G117" i="18"/>
  <c r="H117" i="18"/>
  <c r="I117" i="18"/>
  <c r="J117" i="18"/>
  <c r="K117" i="18"/>
  <c r="M117" i="18"/>
  <c r="F118" i="18"/>
  <c r="G118" i="18"/>
  <c r="H118" i="18"/>
  <c r="I118" i="18"/>
  <c r="J118" i="18"/>
  <c r="K118" i="18"/>
  <c r="M118" i="18"/>
  <c r="F119" i="18"/>
  <c r="G119" i="18"/>
  <c r="H119" i="18"/>
  <c r="I119" i="18"/>
  <c r="J119" i="18"/>
  <c r="K119" i="18"/>
  <c r="M119" i="18"/>
  <c r="F120" i="18"/>
  <c r="G120" i="18"/>
  <c r="H120" i="18"/>
  <c r="I120" i="18"/>
  <c r="J120" i="18"/>
  <c r="K120" i="18"/>
  <c r="M120" i="18"/>
  <c r="F121" i="18"/>
  <c r="G121" i="18"/>
  <c r="H121" i="18"/>
  <c r="I121" i="18"/>
  <c r="J121" i="18"/>
  <c r="K121" i="18"/>
  <c r="M121" i="18"/>
  <c r="F122" i="18"/>
  <c r="G122" i="18"/>
  <c r="H122" i="18"/>
  <c r="I122" i="18"/>
  <c r="J122" i="18"/>
  <c r="K122" i="18"/>
  <c r="M122" i="18"/>
  <c r="F123" i="18"/>
  <c r="G123" i="18"/>
  <c r="H123" i="18"/>
  <c r="I123" i="18"/>
  <c r="J123" i="18"/>
  <c r="K123" i="18"/>
  <c r="M123" i="18"/>
  <c r="F124" i="18"/>
  <c r="G124" i="18"/>
  <c r="H124" i="18"/>
  <c r="I124" i="18"/>
  <c r="J124" i="18"/>
  <c r="K124" i="18"/>
  <c r="M124" i="18"/>
  <c r="F125" i="18"/>
  <c r="G125" i="18"/>
  <c r="H125" i="18"/>
  <c r="I125" i="18"/>
  <c r="J125" i="18"/>
  <c r="K125" i="18"/>
  <c r="M125" i="18"/>
  <c r="F126" i="18"/>
  <c r="G126" i="18"/>
  <c r="H126" i="18"/>
  <c r="I126" i="18"/>
  <c r="J126" i="18"/>
  <c r="K126" i="18"/>
  <c r="M126" i="18"/>
  <c r="F127" i="18"/>
  <c r="G127" i="18"/>
  <c r="H127" i="18"/>
  <c r="I127" i="18"/>
  <c r="J127" i="18"/>
  <c r="K127" i="18"/>
  <c r="M127" i="18"/>
  <c r="F128" i="18"/>
  <c r="G128" i="18"/>
  <c r="H128" i="18"/>
  <c r="I128" i="18"/>
  <c r="J128" i="18"/>
  <c r="K128" i="18"/>
  <c r="M128" i="18"/>
  <c r="F129" i="18"/>
  <c r="G129" i="18"/>
  <c r="H129" i="18"/>
  <c r="I129" i="18"/>
  <c r="J129" i="18"/>
  <c r="K129" i="18"/>
  <c r="M129" i="18"/>
  <c r="F130" i="18"/>
  <c r="G130" i="18"/>
  <c r="H130" i="18"/>
  <c r="I130" i="18"/>
  <c r="J130" i="18"/>
  <c r="K130" i="18"/>
  <c r="M130" i="18"/>
  <c r="F131" i="18"/>
  <c r="G131" i="18"/>
  <c r="H131" i="18"/>
  <c r="I131" i="18"/>
  <c r="J131" i="18"/>
  <c r="K131" i="18"/>
  <c r="M131" i="18"/>
  <c r="F132" i="18"/>
  <c r="G132" i="18"/>
  <c r="H132" i="18"/>
  <c r="I132" i="18"/>
  <c r="J132" i="18"/>
  <c r="K132" i="18"/>
  <c r="M132" i="18"/>
  <c r="F133" i="18"/>
  <c r="G133" i="18"/>
  <c r="H133" i="18"/>
  <c r="I133" i="18"/>
  <c r="J133" i="18"/>
  <c r="K133" i="18"/>
  <c r="M133" i="18"/>
  <c r="F135" i="18"/>
  <c r="G135" i="18"/>
  <c r="H135" i="18"/>
  <c r="I135" i="18"/>
  <c r="J135" i="18"/>
  <c r="K135" i="18"/>
  <c r="M135" i="18"/>
  <c r="F136" i="18"/>
  <c r="G136" i="18"/>
  <c r="H136" i="18"/>
  <c r="I136" i="18"/>
  <c r="J136" i="18"/>
  <c r="K136" i="18"/>
  <c r="M136" i="18"/>
  <c r="F137" i="18"/>
  <c r="G137" i="18"/>
  <c r="H137" i="18"/>
  <c r="I137" i="18"/>
  <c r="J137" i="18"/>
  <c r="K137" i="18"/>
  <c r="M137" i="18"/>
  <c r="F138" i="18"/>
  <c r="G138" i="18"/>
  <c r="H138" i="18"/>
  <c r="I138" i="18"/>
  <c r="J138" i="18"/>
  <c r="K138" i="18"/>
  <c r="M138" i="18"/>
  <c r="F140" i="18"/>
  <c r="G140" i="18"/>
  <c r="H140" i="18"/>
  <c r="I140" i="18"/>
  <c r="J140" i="18"/>
  <c r="K140" i="18"/>
  <c r="M140" i="18"/>
  <c r="F143" i="18"/>
  <c r="G143" i="18"/>
  <c r="H143" i="18"/>
  <c r="I143" i="18"/>
  <c r="J143" i="18"/>
  <c r="K143" i="18"/>
  <c r="M143" i="18"/>
  <c r="F144" i="18"/>
  <c r="G144" i="18"/>
  <c r="H144" i="18"/>
  <c r="I144" i="18"/>
  <c r="J144" i="18"/>
  <c r="K144" i="18"/>
  <c r="M144" i="18"/>
  <c r="F150" i="18"/>
  <c r="G150" i="18"/>
  <c r="H150" i="18"/>
  <c r="I150" i="18"/>
  <c r="J150" i="18"/>
  <c r="K150" i="18"/>
  <c r="M150" i="18"/>
  <c r="F154" i="18"/>
  <c r="G154" i="18"/>
  <c r="H154" i="18"/>
  <c r="I154" i="18"/>
  <c r="J154" i="18"/>
  <c r="K154" i="18"/>
  <c r="M154" i="18"/>
  <c r="F155" i="18"/>
  <c r="G155" i="18"/>
  <c r="H155" i="18"/>
  <c r="I155" i="18"/>
  <c r="J155" i="18"/>
  <c r="K155" i="18"/>
  <c r="M155" i="18"/>
  <c r="F158" i="18"/>
  <c r="G158" i="18"/>
  <c r="H158" i="18"/>
  <c r="I158" i="18"/>
  <c r="J158" i="18"/>
  <c r="K158" i="18"/>
  <c r="M158" i="18"/>
  <c r="F160" i="18"/>
  <c r="G160" i="18"/>
  <c r="H160" i="18"/>
  <c r="I160" i="18"/>
  <c r="J160" i="18"/>
  <c r="K160" i="18"/>
  <c r="M160" i="18"/>
  <c r="F163" i="18"/>
  <c r="G163" i="18"/>
  <c r="H163" i="18"/>
  <c r="I163" i="18"/>
  <c r="J163" i="18"/>
  <c r="K163" i="18"/>
  <c r="M163" i="18"/>
  <c r="F164" i="18"/>
  <c r="G164" i="18"/>
  <c r="H164" i="18"/>
  <c r="I164" i="18"/>
  <c r="J164" i="18"/>
  <c r="K164" i="18"/>
  <c r="M164" i="18"/>
  <c r="F165" i="18"/>
  <c r="G165" i="18"/>
  <c r="H165" i="18"/>
  <c r="I165" i="18"/>
  <c r="J165" i="18"/>
  <c r="K165" i="18"/>
  <c r="M165" i="18"/>
  <c r="F166" i="18"/>
  <c r="G166" i="18"/>
  <c r="H166" i="18"/>
  <c r="I166" i="18"/>
  <c r="J166" i="18"/>
  <c r="K166" i="18"/>
  <c r="M166" i="18"/>
  <c r="F169" i="18"/>
  <c r="G169" i="18"/>
  <c r="H169" i="18"/>
  <c r="I169" i="18"/>
  <c r="J169" i="18"/>
  <c r="K169" i="18"/>
  <c r="M169" i="18"/>
  <c r="F171" i="18"/>
  <c r="G171" i="18"/>
  <c r="H171" i="18"/>
  <c r="I171" i="18"/>
  <c r="J171" i="18"/>
  <c r="K171" i="18"/>
  <c r="M171" i="18"/>
  <c r="F173" i="18"/>
  <c r="G173" i="18"/>
  <c r="H173" i="18"/>
  <c r="I173" i="18"/>
  <c r="J173" i="18"/>
  <c r="K173" i="18"/>
  <c r="M173" i="18"/>
  <c r="F176" i="18"/>
  <c r="G176" i="18"/>
  <c r="H176" i="18"/>
  <c r="I176" i="18"/>
  <c r="J176" i="18"/>
  <c r="K176" i="18"/>
  <c r="M176" i="18"/>
  <c r="F180" i="18"/>
  <c r="G180" i="18"/>
  <c r="H180" i="18"/>
  <c r="I180" i="18"/>
  <c r="J180" i="18"/>
  <c r="K180" i="18"/>
  <c r="M180" i="18"/>
  <c r="F201" i="18"/>
  <c r="G201" i="18"/>
  <c r="H201" i="18"/>
  <c r="I201" i="18"/>
  <c r="J201" i="18"/>
  <c r="K201" i="18"/>
  <c r="M201" i="18"/>
  <c r="F202" i="18"/>
  <c r="G202" i="18"/>
  <c r="H202" i="18"/>
  <c r="I202" i="18"/>
  <c r="J202" i="18"/>
  <c r="K202" i="18"/>
  <c r="M202" i="18"/>
  <c r="F205" i="18"/>
  <c r="G205" i="18"/>
  <c r="H205" i="18"/>
  <c r="I205" i="18"/>
  <c r="J205" i="18"/>
  <c r="K205" i="18"/>
  <c r="M205" i="18"/>
  <c r="F206" i="18"/>
  <c r="G206" i="18"/>
  <c r="H206" i="18"/>
  <c r="I206" i="18"/>
  <c r="J206" i="18"/>
  <c r="K206" i="18"/>
  <c r="M206" i="18"/>
  <c r="F207" i="18"/>
  <c r="G207" i="18"/>
  <c r="H207" i="18"/>
  <c r="I207" i="18"/>
  <c r="J207" i="18"/>
  <c r="K207" i="18"/>
  <c r="M207" i="18"/>
  <c r="F210" i="18"/>
  <c r="G210" i="18"/>
  <c r="H210" i="18"/>
  <c r="I210" i="18"/>
  <c r="J210" i="18"/>
  <c r="K210" i="18"/>
  <c r="M210" i="18"/>
  <c r="F211" i="18"/>
  <c r="G211" i="18"/>
  <c r="H211" i="18"/>
  <c r="I211" i="18"/>
  <c r="J211" i="18"/>
  <c r="K211" i="18"/>
  <c r="M211" i="18"/>
  <c r="F212" i="18"/>
  <c r="G212" i="18"/>
  <c r="H212" i="18"/>
  <c r="I212" i="18"/>
  <c r="J212" i="18"/>
  <c r="K212" i="18"/>
  <c r="M212" i="18"/>
  <c r="F215" i="18"/>
  <c r="G215" i="18"/>
  <c r="H215" i="18"/>
  <c r="I215" i="18"/>
  <c r="J215" i="18"/>
  <c r="K215" i="18"/>
  <c r="M215" i="18"/>
  <c r="F217" i="18"/>
  <c r="G217" i="18"/>
  <c r="H217" i="18"/>
  <c r="I217" i="18"/>
  <c r="J217" i="18"/>
  <c r="K217" i="18"/>
  <c r="M217" i="18"/>
  <c r="F218" i="18"/>
  <c r="G218" i="18"/>
  <c r="H218" i="18"/>
  <c r="I218" i="18"/>
  <c r="J218" i="18"/>
  <c r="K218" i="18"/>
  <c r="M218" i="18"/>
  <c r="F225" i="18"/>
  <c r="G225" i="18"/>
  <c r="H225" i="18"/>
  <c r="I225" i="18"/>
  <c r="J225" i="18"/>
  <c r="K225" i="18"/>
  <c r="M225" i="18"/>
  <c r="F226" i="18"/>
  <c r="G226" i="18"/>
  <c r="H226" i="18"/>
  <c r="I226" i="18"/>
  <c r="J226" i="18"/>
  <c r="K226" i="18"/>
  <c r="M226" i="18"/>
  <c r="F228" i="18"/>
  <c r="G228" i="18"/>
  <c r="H228" i="18"/>
  <c r="I228" i="18"/>
  <c r="J228" i="18"/>
  <c r="K228" i="18"/>
  <c r="M228" i="18"/>
  <c r="F238" i="18"/>
  <c r="G238" i="18"/>
  <c r="H238" i="18"/>
  <c r="I238" i="18"/>
  <c r="J238" i="18"/>
  <c r="K238" i="18"/>
  <c r="M238" i="18"/>
  <c r="F236" i="18"/>
  <c r="G236" i="18"/>
  <c r="H236" i="18"/>
  <c r="I236" i="18"/>
  <c r="J236" i="18"/>
  <c r="K236" i="18"/>
  <c r="M236" i="18"/>
  <c r="F247" i="18"/>
  <c r="G247" i="18"/>
  <c r="H247" i="18"/>
  <c r="I247" i="18"/>
  <c r="J247" i="18"/>
  <c r="K247" i="18"/>
  <c r="M247" i="18"/>
  <c r="F253" i="18"/>
  <c r="G253" i="18"/>
  <c r="H253" i="18"/>
  <c r="I253" i="18"/>
  <c r="J253" i="18"/>
  <c r="K253" i="18"/>
  <c r="M253" i="18"/>
  <c r="F257" i="18"/>
  <c r="G257" i="18"/>
  <c r="H257" i="18"/>
  <c r="I257" i="18"/>
  <c r="J257" i="18"/>
  <c r="K257" i="18"/>
  <c r="M257" i="18"/>
  <c r="F258" i="18"/>
  <c r="G258" i="18"/>
  <c r="H258" i="18"/>
  <c r="I258" i="18"/>
  <c r="J258" i="18"/>
  <c r="K258" i="18"/>
  <c r="M258" i="18"/>
  <c r="F264" i="18"/>
  <c r="G264" i="18"/>
  <c r="H264" i="18"/>
  <c r="I264" i="18"/>
  <c r="J264" i="18"/>
  <c r="K264" i="18"/>
  <c r="M264" i="18"/>
  <c r="F266" i="18"/>
  <c r="G266" i="18"/>
  <c r="H266" i="18"/>
  <c r="I266" i="18"/>
  <c r="J266" i="18"/>
  <c r="K266" i="18"/>
  <c r="M266" i="18"/>
  <c r="F267" i="18"/>
  <c r="G267" i="18"/>
  <c r="H267" i="18"/>
  <c r="I267" i="18"/>
  <c r="J267" i="18"/>
  <c r="K267" i="18"/>
  <c r="M267" i="18"/>
  <c r="F268" i="18"/>
  <c r="G268" i="18"/>
  <c r="H268" i="18"/>
  <c r="I268" i="18"/>
  <c r="J268" i="18"/>
  <c r="K268" i="18"/>
  <c r="M268" i="18"/>
  <c r="F270" i="18"/>
  <c r="G270" i="18"/>
  <c r="H270" i="18"/>
  <c r="I270" i="18"/>
  <c r="J270" i="18"/>
  <c r="K270" i="18"/>
  <c r="M270" i="18"/>
  <c r="F271" i="18"/>
  <c r="G271" i="18"/>
  <c r="H271" i="18"/>
  <c r="I271" i="18"/>
  <c r="J271" i="18"/>
  <c r="K271" i="18"/>
  <c r="M271" i="18"/>
  <c r="F272" i="18"/>
  <c r="G272" i="18"/>
  <c r="H272" i="18"/>
  <c r="I272" i="18"/>
  <c r="J272" i="18"/>
  <c r="K272" i="18"/>
  <c r="M272" i="18"/>
  <c r="F273" i="18"/>
  <c r="G273" i="18"/>
  <c r="H273" i="18"/>
  <c r="I273" i="18"/>
  <c r="J273" i="18"/>
  <c r="K273" i="18"/>
  <c r="M273" i="18"/>
  <c r="F274" i="18"/>
  <c r="G274" i="18"/>
  <c r="H274" i="18"/>
  <c r="I274" i="18"/>
  <c r="J274" i="18"/>
  <c r="K274" i="18"/>
  <c r="M274" i="18"/>
  <c r="F275" i="18"/>
  <c r="G275" i="18"/>
  <c r="H275" i="18"/>
  <c r="I275" i="18"/>
  <c r="J275" i="18"/>
  <c r="K275" i="18"/>
  <c r="M275" i="18"/>
  <c r="F276" i="18"/>
  <c r="G276" i="18"/>
  <c r="H276" i="18"/>
  <c r="I276" i="18"/>
  <c r="J276" i="18"/>
  <c r="K276" i="18"/>
  <c r="M276" i="18"/>
  <c r="F277" i="18"/>
  <c r="G277" i="18"/>
  <c r="H277" i="18"/>
  <c r="I277" i="18"/>
  <c r="J277" i="18"/>
  <c r="K277" i="18"/>
  <c r="M277" i="18"/>
  <c r="F278" i="18"/>
  <c r="G278" i="18"/>
  <c r="H278" i="18"/>
  <c r="I278" i="18"/>
  <c r="J278" i="18"/>
  <c r="K278" i="18"/>
  <c r="M278" i="18"/>
  <c r="F279" i="18"/>
  <c r="G279" i="18"/>
  <c r="H279" i="18"/>
  <c r="I279" i="18"/>
  <c r="J279" i="18"/>
  <c r="K279" i="18"/>
  <c r="M279" i="18"/>
  <c r="F280" i="18"/>
  <c r="G280" i="18"/>
  <c r="H280" i="18"/>
  <c r="I280" i="18"/>
  <c r="J280" i="18"/>
  <c r="K280" i="18"/>
  <c r="M280" i="18"/>
  <c r="F281" i="18"/>
  <c r="G281" i="18"/>
  <c r="H281" i="18"/>
  <c r="I281" i="18"/>
  <c r="J281" i="18"/>
  <c r="K281" i="18"/>
  <c r="M281" i="18"/>
  <c r="F282" i="18"/>
  <c r="G282" i="18"/>
  <c r="H282" i="18"/>
  <c r="I282" i="18"/>
  <c r="J282" i="18"/>
  <c r="K282" i="18"/>
  <c r="M282" i="18"/>
  <c r="F283" i="18"/>
  <c r="G283" i="18"/>
  <c r="H283" i="18"/>
  <c r="I283" i="18"/>
  <c r="J283" i="18"/>
  <c r="K283" i="18"/>
  <c r="M283" i="18"/>
  <c r="F284" i="18"/>
  <c r="G284" i="18"/>
  <c r="H284" i="18"/>
  <c r="I284" i="18"/>
  <c r="J284" i="18"/>
  <c r="K284" i="18"/>
  <c r="M284" i="18"/>
  <c r="F285" i="18"/>
  <c r="G285" i="18"/>
  <c r="H285" i="18"/>
  <c r="I285" i="18"/>
  <c r="J285" i="18"/>
  <c r="K285" i="18"/>
  <c r="M285" i="18"/>
  <c r="F286" i="18"/>
  <c r="G286" i="18"/>
  <c r="H286" i="18"/>
  <c r="I286" i="18"/>
  <c r="J286" i="18"/>
  <c r="K286" i="18"/>
  <c r="M286" i="18"/>
  <c r="F287" i="18"/>
  <c r="G287" i="18"/>
  <c r="H287" i="18"/>
  <c r="I287" i="18"/>
  <c r="J287" i="18"/>
  <c r="K287" i="18"/>
  <c r="M287" i="18"/>
  <c r="F288" i="18"/>
  <c r="G288" i="18"/>
  <c r="H288" i="18"/>
  <c r="I288" i="18"/>
  <c r="J288" i="18"/>
  <c r="K288" i="18"/>
  <c r="M288" i="18"/>
  <c r="F289" i="18"/>
  <c r="G289" i="18"/>
  <c r="H289" i="18"/>
  <c r="I289" i="18"/>
  <c r="J289" i="18"/>
  <c r="K289" i="18"/>
  <c r="M289" i="18"/>
  <c r="F290" i="18"/>
  <c r="G290" i="18"/>
  <c r="H290" i="18"/>
  <c r="I290" i="18"/>
  <c r="J290" i="18"/>
  <c r="K290" i="18"/>
  <c r="M290" i="18"/>
  <c r="F291" i="18"/>
  <c r="G291" i="18"/>
  <c r="H291" i="18"/>
  <c r="I291" i="18"/>
  <c r="J291" i="18"/>
  <c r="K291" i="18"/>
  <c r="M291" i="18"/>
  <c r="F292" i="18"/>
  <c r="G292" i="18"/>
  <c r="H292" i="18"/>
  <c r="I292" i="18"/>
  <c r="J292" i="18"/>
  <c r="K292" i="18"/>
  <c r="M292" i="18"/>
  <c r="F293" i="18"/>
  <c r="G293" i="18"/>
  <c r="H293" i="18"/>
  <c r="I293" i="18"/>
  <c r="J293" i="18"/>
  <c r="K293" i="18"/>
  <c r="M293" i="18"/>
  <c r="F294" i="18"/>
  <c r="G294" i="18"/>
  <c r="H294" i="18"/>
  <c r="I294" i="18"/>
  <c r="J294" i="18"/>
  <c r="K294" i="18"/>
  <c r="M294" i="18"/>
  <c r="F295" i="18"/>
  <c r="G295" i="18"/>
  <c r="H295" i="18"/>
  <c r="I295" i="18"/>
  <c r="J295" i="18"/>
  <c r="K295" i="18"/>
  <c r="F303" i="18"/>
  <c r="G303" i="18"/>
  <c r="H303" i="18"/>
  <c r="I303" i="18"/>
  <c r="J303" i="18"/>
  <c r="K303" i="18"/>
  <c r="M303" i="18"/>
  <c r="F305" i="18"/>
  <c r="G305" i="18"/>
  <c r="H305" i="18"/>
  <c r="I305" i="18"/>
  <c r="J305" i="18"/>
  <c r="K305" i="18"/>
  <c r="M305" i="18"/>
  <c r="F307" i="18"/>
  <c r="G307" i="18"/>
  <c r="H307" i="18"/>
  <c r="I307" i="18"/>
  <c r="J307" i="18"/>
  <c r="K307" i="18"/>
  <c r="M307" i="18"/>
  <c r="F309" i="18"/>
  <c r="G309" i="18"/>
  <c r="H309" i="18"/>
  <c r="I309" i="18"/>
  <c r="J309" i="18"/>
  <c r="K309" i="18"/>
  <c r="M309" i="18"/>
  <c r="F310" i="18"/>
  <c r="G310" i="18"/>
  <c r="H310" i="18"/>
  <c r="I310" i="18"/>
  <c r="J310" i="18"/>
  <c r="K310" i="18"/>
  <c r="M310" i="18"/>
  <c r="F311" i="18"/>
  <c r="G311" i="18"/>
  <c r="H311" i="18"/>
  <c r="I311" i="18"/>
  <c r="J311" i="18"/>
  <c r="K311" i="18"/>
  <c r="M311" i="18"/>
  <c r="F314" i="18"/>
  <c r="G314" i="18"/>
  <c r="H314" i="18"/>
  <c r="I314" i="18"/>
  <c r="J314" i="18"/>
  <c r="K314" i="18"/>
  <c r="M314" i="18"/>
  <c r="F315" i="18"/>
  <c r="G315" i="18"/>
  <c r="H315" i="18"/>
  <c r="I315" i="18"/>
  <c r="J315" i="18"/>
  <c r="K315" i="18"/>
  <c r="M315" i="18"/>
  <c r="F316" i="18"/>
  <c r="G316" i="18"/>
  <c r="H316" i="18"/>
  <c r="I316" i="18"/>
  <c r="J316" i="18"/>
  <c r="K316" i="18"/>
  <c r="M316" i="18"/>
  <c r="F318" i="18"/>
  <c r="G318" i="18"/>
  <c r="H318" i="18"/>
  <c r="I318" i="18"/>
  <c r="J318" i="18"/>
  <c r="K318" i="18"/>
  <c r="M318" i="18"/>
  <c r="F319" i="18"/>
  <c r="G319" i="18"/>
  <c r="H319" i="18"/>
  <c r="I319" i="18"/>
  <c r="J319" i="18"/>
  <c r="K319" i="18"/>
  <c r="M319" i="18"/>
  <c r="F320" i="18"/>
  <c r="G320" i="18"/>
  <c r="H320" i="18"/>
  <c r="I320" i="18"/>
  <c r="J320" i="18"/>
  <c r="K320" i="18"/>
  <c r="M320" i="18"/>
  <c r="F322" i="18"/>
  <c r="G322" i="18"/>
  <c r="H322" i="18"/>
  <c r="I322" i="18"/>
  <c r="J322" i="18"/>
  <c r="K322" i="18"/>
  <c r="M322" i="18"/>
  <c r="F323" i="18"/>
  <c r="G323" i="18"/>
  <c r="H323" i="18"/>
  <c r="I323" i="18"/>
  <c r="J323" i="18"/>
  <c r="K323" i="18"/>
  <c r="M323" i="18"/>
  <c r="F325" i="18"/>
  <c r="G325" i="18"/>
  <c r="H325" i="18"/>
  <c r="I325" i="18"/>
  <c r="J325" i="18"/>
  <c r="K325" i="18"/>
  <c r="M325" i="18"/>
  <c r="F326" i="18"/>
  <c r="G326" i="18"/>
  <c r="H326" i="18"/>
  <c r="I326" i="18"/>
  <c r="J326" i="18"/>
  <c r="K326" i="18"/>
  <c r="M326" i="18"/>
  <c r="F328" i="18"/>
  <c r="G328" i="18"/>
  <c r="H328" i="18"/>
  <c r="I328" i="18"/>
  <c r="J328" i="18"/>
  <c r="K328" i="18"/>
  <c r="M328" i="18"/>
  <c r="F329" i="18"/>
  <c r="G329" i="18"/>
  <c r="H329" i="18"/>
  <c r="I329" i="18"/>
  <c r="J329" i="18"/>
  <c r="K329" i="18"/>
  <c r="M329" i="18"/>
  <c r="F11" i="18"/>
  <c r="G11" i="18"/>
  <c r="H11" i="18"/>
  <c r="I11" i="18"/>
  <c r="J11" i="18"/>
  <c r="K11" i="18"/>
  <c r="M11" i="18"/>
  <c r="F71" i="18"/>
  <c r="G71" i="18"/>
  <c r="H71" i="18"/>
  <c r="I71" i="18"/>
  <c r="J71" i="18"/>
  <c r="K71" i="18"/>
  <c r="M71" i="18"/>
  <c r="F72" i="18"/>
  <c r="G72" i="18"/>
  <c r="H72" i="18"/>
  <c r="I72" i="18"/>
  <c r="J72" i="18"/>
  <c r="K72" i="18"/>
  <c r="M72" i="18"/>
  <c r="F73" i="18"/>
  <c r="G73" i="18"/>
  <c r="H73" i="18"/>
  <c r="I73" i="18"/>
  <c r="J73" i="18"/>
  <c r="K73" i="18"/>
  <c r="M73" i="18"/>
  <c r="F80" i="18"/>
  <c r="G80" i="18"/>
  <c r="H80" i="18"/>
  <c r="I80" i="18"/>
  <c r="J80" i="18"/>
  <c r="K80" i="18"/>
  <c r="M80" i="18"/>
  <c r="F141" i="18"/>
  <c r="G141" i="18"/>
  <c r="H141" i="18"/>
  <c r="I141" i="18"/>
  <c r="J141" i="18"/>
  <c r="K141" i="18"/>
  <c r="M141" i="18"/>
  <c r="F146" i="18"/>
  <c r="G146" i="18"/>
  <c r="H146" i="18"/>
  <c r="I146" i="18"/>
  <c r="J146" i="18"/>
  <c r="K146" i="18"/>
  <c r="M146" i="18"/>
  <c r="F151" i="18"/>
  <c r="G151" i="18"/>
  <c r="H151" i="18"/>
  <c r="I151" i="18"/>
  <c r="J151" i="18"/>
  <c r="K151" i="18"/>
  <c r="M151" i="18"/>
  <c r="F157" i="18"/>
  <c r="G157" i="18"/>
  <c r="H157" i="18"/>
  <c r="I157" i="18"/>
  <c r="J157" i="18"/>
  <c r="K157" i="18"/>
  <c r="M157" i="18"/>
  <c r="F162" i="18"/>
  <c r="G162" i="18"/>
  <c r="H162" i="18"/>
  <c r="I162" i="18"/>
  <c r="J162" i="18"/>
  <c r="K162" i="18"/>
  <c r="M162" i="18"/>
  <c r="F177" i="18"/>
  <c r="G177" i="18"/>
  <c r="H177" i="18"/>
  <c r="I177" i="18"/>
  <c r="J177" i="18"/>
  <c r="K177" i="18"/>
  <c r="M177" i="18"/>
  <c r="F219" i="18"/>
  <c r="G219" i="18"/>
  <c r="H219" i="18"/>
  <c r="I219" i="18"/>
  <c r="J219" i="18"/>
  <c r="K219" i="18"/>
  <c r="M219" i="18"/>
  <c r="F222" i="18"/>
  <c r="G222" i="18"/>
  <c r="H222" i="18"/>
  <c r="I222" i="18"/>
  <c r="J222" i="18"/>
  <c r="K222" i="18"/>
  <c r="M222" i="18"/>
  <c r="F227" i="18"/>
  <c r="G227" i="18"/>
  <c r="H227" i="18"/>
  <c r="I227" i="18"/>
  <c r="J227" i="18"/>
  <c r="K227" i="18"/>
  <c r="M227" i="18"/>
  <c r="F254" i="18"/>
  <c r="G254" i="18"/>
  <c r="H254" i="18"/>
  <c r="I254" i="18"/>
  <c r="J254" i="18"/>
  <c r="K254" i="18"/>
  <c r="M254" i="18"/>
  <c r="F259" i="18"/>
  <c r="G259" i="18"/>
  <c r="H259" i="18"/>
  <c r="I259" i="18"/>
  <c r="J259" i="18"/>
  <c r="K259" i="18"/>
  <c r="M259" i="18"/>
  <c r="F260" i="18"/>
  <c r="G260" i="18"/>
  <c r="H260" i="18"/>
  <c r="I260" i="18"/>
  <c r="J260" i="18"/>
  <c r="K260" i="18"/>
  <c r="M260" i="18"/>
  <c r="F317" i="18"/>
  <c r="G317" i="18"/>
  <c r="H317" i="18"/>
  <c r="I317" i="18"/>
  <c r="J317" i="18"/>
  <c r="K317" i="18"/>
  <c r="M317" i="18"/>
  <c r="F5" i="18"/>
  <c r="G5" i="18"/>
  <c r="H5" i="18"/>
  <c r="I5" i="18"/>
  <c r="J5" i="18"/>
  <c r="K5" i="18"/>
  <c r="M5" i="18"/>
  <c r="F9" i="18"/>
  <c r="G9" i="18"/>
  <c r="H9" i="18"/>
  <c r="I9" i="18"/>
  <c r="J9" i="18"/>
  <c r="K9" i="18"/>
  <c r="M9" i="18"/>
  <c r="F13" i="18"/>
  <c r="G13" i="18"/>
  <c r="H13" i="18"/>
  <c r="I13" i="18"/>
  <c r="J13" i="18"/>
  <c r="K13" i="18"/>
  <c r="M13" i="18"/>
  <c r="F17" i="18"/>
  <c r="G17" i="18"/>
  <c r="H17" i="18"/>
  <c r="I17" i="18"/>
  <c r="J17" i="18"/>
  <c r="K17" i="18"/>
  <c r="M17" i="18"/>
  <c r="F18" i="18"/>
  <c r="G18" i="18"/>
  <c r="H18" i="18"/>
  <c r="I18" i="18"/>
  <c r="J18" i="18"/>
  <c r="K18" i="18"/>
  <c r="M18" i="18"/>
  <c r="F24" i="18"/>
  <c r="G24" i="18"/>
  <c r="H24" i="18"/>
  <c r="I24" i="18"/>
  <c r="J24" i="18"/>
  <c r="K24" i="18"/>
  <c r="M24" i="18"/>
  <c r="F27" i="18"/>
  <c r="G27" i="18"/>
  <c r="H27" i="18"/>
  <c r="I27" i="18"/>
  <c r="J27" i="18"/>
  <c r="K27" i="18"/>
  <c r="M27" i="18"/>
  <c r="F48" i="18"/>
  <c r="G48" i="18"/>
  <c r="H48" i="18"/>
  <c r="I48" i="18"/>
  <c r="J48" i="18"/>
  <c r="K48" i="18"/>
  <c r="M48" i="18"/>
  <c r="F56" i="18"/>
  <c r="G56" i="18"/>
  <c r="H56" i="18"/>
  <c r="I56" i="18"/>
  <c r="J56" i="18"/>
  <c r="K56" i="18"/>
  <c r="M56" i="18"/>
  <c r="F57" i="18"/>
  <c r="G57" i="18"/>
  <c r="H57" i="18"/>
  <c r="I57" i="18"/>
  <c r="J57" i="18"/>
  <c r="K57" i="18"/>
  <c r="M57" i="18"/>
  <c r="F58" i="18"/>
  <c r="G58" i="18"/>
  <c r="H58" i="18"/>
  <c r="I58" i="18"/>
  <c r="J58" i="18"/>
  <c r="K58" i="18"/>
  <c r="M58" i="18"/>
  <c r="F59" i="18"/>
  <c r="G59" i="18"/>
  <c r="H59" i="18"/>
  <c r="I59" i="18"/>
  <c r="J59" i="18"/>
  <c r="K59" i="18"/>
  <c r="M59" i="18"/>
  <c r="F60" i="18"/>
  <c r="G60" i="18"/>
  <c r="H60" i="18"/>
  <c r="I60" i="18"/>
  <c r="J60" i="18"/>
  <c r="K60" i="18"/>
  <c r="M60" i="18"/>
  <c r="F61" i="18"/>
  <c r="G61" i="18"/>
  <c r="H61" i="18"/>
  <c r="I61" i="18"/>
  <c r="J61" i="18"/>
  <c r="K61" i="18"/>
  <c r="M61" i="18"/>
  <c r="F62" i="18"/>
  <c r="G62" i="18"/>
  <c r="H62" i="18"/>
  <c r="I62" i="18"/>
  <c r="J62" i="18"/>
  <c r="K62" i="18"/>
  <c r="M62" i="18"/>
  <c r="F63" i="18"/>
  <c r="G63" i="18"/>
  <c r="H63" i="18"/>
  <c r="I63" i="18"/>
  <c r="J63" i="18"/>
  <c r="K63" i="18"/>
  <c r="M63" i="18"/>
  <c r="F82" i="18"/>
  <c r="G82" i="18"/>
  <c r="H82" i="18"/>
  <c r="I82" i="18"/>
  <c r="J82" i="18"/>
  <c r="K82" i="18"/>
  <c r="M82" i="18"/>
  <c r="F83" i="18"/>
  <c r="G83" i="18"/>
  <c r="H83" i="18"/>
  <c r="I83" i="18"/>
  <c r="J83" i="18"/>
  <c r="K83" i="18"/>
  <c r="M83" i="18"/>
  <c r="F86" i="18"/>
  <c r="G86" i="18"/>
  <c r="H86" i="18"/>
  <c r="I86" i="18"/>
  <c r="J86" i="18"/>
  <c r="K86" i="18"/>
  <c r="M86" i="18"/>
  <c r="F89" i="18"/>
  <c r="G89" i="18"/>
  <c r="H89" i="18"/>
  <c r="I89" i="18"/>
  <c r="J89" i="18"/>
  <c r="K89" i="18"/>
  <c r="M89" i="18"/>
  <c r="F90" i="18"/>
  <c r="G90" i="18"/>
  <c r="H90" i="18"/>
  <c r="I90" i="18"/>
  <c r="J90" i="18"/>
  <c r="K90" i="18"/>
  <c r="M90" i="18"/>
  <c r="F96" i="18"/>
  <c r="G96" i="18"/>
  <c r="H96" i="18"/>
  <c r="I96" i="18"/>
  <c r="J96" i="18"/>
  <c r="K96" i="18"/>
  <c r="M96" i="18"/>
  <c r="F134" i="18"/>
  <c r="G134" i="18"/>
  <c r="H134" i="18"/>
  <c r="I134" i="18"/>
  <c r="J134" i="18"/>
  <c r="K134" i="18"/>
  <c r="M134" i="18"/>
  <c r="F139" i="18"/>
  <c r="G139" i="18"/>
  <c r="H139" i="18"/>
  <c r="I139" i="18"/>
  <c r="J139" i="18"/>
  <c r="K139" i="18"/>
  <c r="M139" i="18"/>
  <c r="F148" i="18"/>
  <c r="G148" i="18"/>
  <c r="H148" i="18"/>
  <c r="I148" i="18"/>
  <c r="J148" i="18"/>
  <c r="K148" i="18"/>
  <c r="M148" i="18"/>
  <c r="F149" i="18"/>
  <c r="G149" i="18"/>
  <c r="H149" i="18"/>
  <c r="I149" i="18"/>
  <c r="J149" i="18"/>
  <c r="K149" i="18"/>
  <c r="M149" i="18"/>
  <c r="F153" i="18"/>
  <c r="G153" i="18"/>
  <c r="H153" i="18"/>
  <c r="I153" i="18"/>
  <c r="J153" i="18"/>
  <c r="K153" i="18"/>
  <c r="M153" i="18"/>
  <c r="F156" i="18"/>
  <c r="G156" i="18"/>
  <c r="H156" i="18"/>
  <c r="I156" i="18"/>
  <c r="J156" i="18"/>
  <c r="K156" i="18"/>
  <c r="M156" i="18"/>
  <c r="F159" i="18"/>
  <c r="G159" i="18"/>
  <c r="H159" i="18"/>
  <c r="I159" i="18"/>
  <c r="J159" i="18"/>
  <c r="K159" i="18"/>
  <c r="M159" i="18"/>
  <c r="F161" i="18"/>
  <c r="G161" i="18"/>
  <c r="H161" i="18"/>
  <c r="I161" i="18"/>
  <c r="J161" i="18"/>
  <c r="K161" i="18"/>
  <c r="M161" i="18"/>
  <c r="F167" i="18"/>
  <c r="G167" i="18"/>
  <c r="H167" i="18"/>
  <c r="I167" i="18"/>
  <c r="J167" i="18"/>
  <c r="K167" i="18"/>
  <c r="M167" i="18"/>
  <c r="F168" i="18"/>
  <c r="G168" i="18"/>
  <c r="H168" i="18"/>
  <c r="I168" i="18"/>
  <c r="J168" i="18"/>
  <c r="K168" i="18"/>
  <c r="M168" i="18"/>
  <c r="F172" i="18"/>
  <c r="G172" i="18"/>
  <c r="H172" i="18"/>
  <c r="I172" i="18"/>
  <c r="J172" i="18"/>
  <c r="K172" i="18"/>
  <c r="M172" i="18"/>
  <c r="F175" i="18"/>
  <c r="G175" i="18"/>
  <c r="H175" i="18"/>
  <c r="I175" i="18"/>
  <c r="J175" i="18"/>
  <c r="K175" i="18"/>
  <c r="M175" i="18"/>
  <c r="F179" i="18"/>
  <c r="G179" i="18"/>
  <c r="H179" i="18"/>
  <c r="I179" i="18"/>
  <c r="J179" i="18"/>
  <c r="K179" i="18"/>
  <c r="M179" i="18"/>
  <c r="F182" i="18"/>
  <c r="G182" i="18"/>
  <c r="H182" i="18"/>
  <c r="I182" i="18"/>
  <c r="J182" i="18"/>
  <c r="K182" i="18"/>
  <c r="M182" i="18"/>
  <c r="F183" i="18"/>
  <c r="G183" i="18"/>
  <c r="H183" i="18"/>
  <c r="I183" i="18"/>
  <c r="J183" i="18"/>
  <c r="K183" i="18"/>
  <c r="M183" i="18"/>
  <c r="F185" i="18"/>
  <c r="G185" i="18"/>
  <c r="H185" i="18"/>
  <c r="I185" i="18"/>
  <c r="J185" i="18"/>
  <c r="K185" i="18"/>
  <c r="M185" i="18"/>
  <c r="F186" i="18"/>
  <c r="G186" i="18"/>
  <c r="H186" i="18"/>
  <c r="I186" i="18"/>
  <c r="J186" i="18"/>
  <c r="K186" i="18"/>
  <c r="M186" i="18"/>
  <c r="F187" i="18"/>
  <c r="G187" i="18"/>
  <c r="H187" i="18"/>
  <c r="I187" i="18"/>
  <c r="J187" i="18"/>
  <c r="K187" i="18"/>
  <c r="M187" i="18"/>
  <c r="F188" i="18"/>
  <c r="G188" i="18"/>
  <c r="H188" i="18"/>
  <c r="I188" i="18"/>
  <c r="J188" i="18"/>
  <c r="K188" i="18"/>
  <c r="M188" i="18"/>
  <c r="F189" i="18"/>
  <c r="G189" i="18"/>
  <c r="H189" i="18"/>
  <c r="I189" i="18"/>
  <c r="J189" i="18"/>
  <c r="K189" i="18"/>
  <c r="M189" i="18"/>
  <c r="F190" i="18"/>
  <c r="G190" i="18"/>
  <c r="H190" i="18"/>
  <c r="I190" i="18"/>
  <c r="J190" i="18"/>
  <c r="K190" i="18"/>
  <c r="M190" i="18"/>
  <c r="F191" i="18"/>
  <c r="G191" i="18"/>
  <c r="H191" i="18"/>
  <c r="I191" i="18"/>
  <c r="J191" i="18"/>
  <c r="K191" i="18"/>
  <c r="M191" i="18"/>
  <c r="F192" i="18"/>
  <c r="G192" i="18"/>
  <c r="H192" i="18"/>
  <c r="I192" i="18"/>
  <c r="J192" i="18"/>
  <c r="K192" i="18"/>
  <c r="M192" i="18"/>
  <c r="F193" i="18"/>
  <c r="G193" i="18"/>
  <c r="H193" i="18"/>
  <c r="I193" i="18"/>
  <c r="J193" i="18"/>
  <c r="K193" i="18"/>
  <c r="M193" i="18"/>
  <c r="F194" i="18"/>
  <c r="G194" i="18"/>
  <c r="H194" i="18"/>
  <c r="I194" i="18"/>
  <c r="J194" i="18"/>
  <c r="K194" i="18"/>
  <c r="M194" i="18"/>
  <c r="F195" i="18"/>
  <c r="G195" i="18"/>
  <c r="H195" i="18"/>
  <c r="I195" i="18"/>
  <c r="J195" i="18"/>
  <c r="K195" i="18"/>
  <c r="M195" i="18"/>
  <c r="F223" i="18"/>
  <c r="G223" i="18"/>
  <c r="H223" i="18"/>
  <c r="I223" i="18"/>
  <c r="J223" i="18"/>
  <c r="K223" i="18"/>
  <c r="M223" i="18"/>
  <c r="F224" i="18"/>
  <c r="G224" i="18"/>
  <c r="H224" i="18"/>
  <c r="I224" i="18"/>
  <c r="J224" i="18"/>
  <c r="K224" i="18"/>
  <c r="M224" i="18"/>
  <c r="F229" i="18"/>
  <c r="G229" i="18"/>
  <c r="H229" i="18"/>
  <c r="I229" i="18"/>
  <c r="J229" i="18"/>
  <c r="K229" i="18"/>
  <c r="M229" i="18"/>
  <c r="F230" i="18"/>
  <c r="G230" i="18"/>
  <c r="H230" i="18"/>
  <c r="I230" i="18"/>
  <c r="J230" i="18"/>
  <c r="K230" i="18"/>
  <c r="M230" i="18"/>
  <c r="F232" i="18"/>
  <c r="G232" i="18"/>
  <c r="H232" i="18"/>
  <c r="I232" i="18"/>
  <c r="J232" i="18"/>
  <c r="K232" i="18"/>
  <c r="M232" i="18"/>
  <c r="F233" i="18"/>
  <c r="G233" i="18"/>
  <c r="H233" i="18"/>
  <c r="I233" i="18"/>
  <c r="J233" i="18"/>
  <c r="K233" i="18"/>
  <c r="M233" i="18"/>
  <c r="F234" i="18"/>
  <c r="G234" i="18"/>
  <c r="H234" i="18"/>
  <c r="I234" i="18"/>
  <c r="J234" i="18"/>
  <c r="K234" i="18"/>
  <c r="M234" i="18"/>
  <c r="F237" i="18"/>
  <c r="G237" i="18"/>
  <c r="H237" i="18"/>
  <c r="I237" i="18"/>
  <c r="J237" i="18"/>
  <c r="K237" i="18"/>
  <c r="M237" i="18"/>
  <c r="F240" i="18"/>
  <c r="G240" i="18"/>
  <c r="H240" i="18"/>
  <c r="I240" i="18"/>
  <c r="J240" i="18"/>
  <c r="K240" i="18"/>
  <c r="M240" i="18"/>
  <c r="F242" i="18"/>
  <c r="G242" i="18"/>
  <c r="H242" i="18"/>
  <c r="I242" i="18"/>
  <c r="J242" i="18"/>
  <c r="K242" i="18"/>
  <c r="M242" i="18"/>
  <c r="F243" i="18"/>
  <c r="G243" i="18"/>
  <c r="H243" i="18"/>
  <c r="I243" i="18"/>
  <c r="J243" i="18"/>
  <c r="K243" i="18"/>
  <c r="M243" i="18"/>
  <c r="F244" i="18"/>
  <c r="G244" i="18"/>
  <c r="H244" i="18"/>
  <c r="I244" i="18"/>
  <c r="J244" i="18"/>
  <c r="K244" i="18"/>
  <c r="M244" i="18"/>
  <c r="F245" i="18"/>
  <c r="G245" i="18"/>
  <c r="H245" i="18"/>
  <c r="I245" i="18"/>
  <c r="J245" i="18"/>
  <c r="K245" i="18"/>
  <c r="M245" i="18"/>
  <c r="F246" i="18"/>
  <c r="G246" i="18"/>
  <c r="H246" i="18"/>
  <c r="I246" i="18"/>
  <c r="J246" i="18"/>
  <c r="K246" i="18"/>
  <c r="M246" i="18"/>
  <c r="F249" i="18"/>
  <c r="G249" i="18"/>
  <c r="H249" i="18"/>
  <c r="I249" i="18"/>
  <c r="J249" i="18"/>
  <c r="K249" i="18"/>
  <c r="M249" i="18"/>
  <c r="F250" i="18"/>
  <c r="G250" i="18"/>
  <c r="H250" i="18"/>
  <c r="I250" i="18"/>
  <c r="J250" i="18"/>
  <c r="K250" i="18"/>
  <c r="M250" i="18"/>
  <c r="F251" i="18"/>
  <c r="G251" i="18"/>
  <c r="H251" i="18"/>
  <c r="I251" i="18"/>
  <c r="J251" i="18"/>
  <c r="K251" i="18"/>
  <c r="M251" i="18"/>
  <c r="F255" i="18"/>
  <c r="G255" i="18"/>
  <c r="H255" i="18"/>
  <c r="I255" i="18"/>
  <c r="J255" i="18"/>
  <c r="K255" i="18"/>
  <c r="M255" i="18"/>
  <c r="F256" i="18"/>
  <c r="G256" i="18"/>
  <c r="H256" i="18"/>
  <c r="I256" i="18"/>
  <c r="J256" i="18"/>
  <c r="K256" i="18"/>
  <c r="M256" i="18"/>
  <c r="F263" i="18"/>
  <c r="G263" i="18"/>
  <c r="H263" i="18"/>
  <c r="I263" i="18"/>
  <c r="J263" i="18"/>
  <c r="K263" i="18"/>
  <c r="M263" i="18"/>
  <c r="F265" i="18"/>
  <c r="G265" i="18"/>
  <c r="H265" i="18"/>
  <c r="I265" i="18"/>
  <c r="J265" i="18"/>
  <c r="K265" i="18"/>
  <c r="M265" i="18"/>
  <c r="F298" i="18"/>
  <c r="G298" i="18"/>
  <c r="H298" i="18"/>
  <c r="I298" i="18"/>
  <c r="J298" i="18"/>
  <c r="K298" i="18"/>
  <c r="M298" i="18"/>
  <c r="F301" i="18"/>
  <c r="G301" i="18"/>
  <c r="H301" i="18"/>
  <c r="I301" i="18"/>
  <c r="J301" i="18"/>
  <c r="K301" i="18"/>
  <c r="M301" i="18"/>
  <c r="F302" i="18"/>
  <c r="G302" i="18"/>
  <c r="H302" i="18"/>
  <c r="I302" i="18"/>
  <c r="J302" i="18"/>
  <c r="K302" i="18"/>
  <c r="M302" i="18"/>
  <c r="F308" i="18"/>
  <c r="G308" i="18"/>
  <c r="H308" i="18"/>
  <c r="I308" i="18"/>
  <c r="J308" i="18"/>
  <c r="K308" i="18"/>
  <c r="M308" i="18"/>
  <c r="F312" i="18"/>
  <c r="G312" i="18"/>
  <c r="H312" i="18"/>
  <c r="I312" i="18"/>
  <c r="J312" i="18"/>
  <c r="K312" i="18"/>
  <c r="M312" i="18"/>
  <c r="F4" i="18"/>
  <c r="G4" i="18"/>
  <c r="H4" i="18"/>
  <c r="I4" i="18"/>
  <c r="J4" i="18"/>
  <c r="K4" i="18"/>
  <c r="M4" i="18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0" i="4"/>
  <c r="H369" i="4"/>
  <c r="G155" i="3"/>
  <c r="G153" i="3"/>
  <c r="H100" i="12"/>
  <c r="H110" i="12"/>
  <c r="H53" i="12"/>
  <c r="H52" i="12"/>
  <c r="G152" i="3"/>
  <c r="G151" i="3"/>
  <c r="G150" i="3"/>
  <c r="G141" i="3"/>
  <c r="G149" i="3"/>
  <c r="G148" i="3"/>
  <c r="G147" i="3"/>
  <c r="G146" i="3"/>
  <c r="G145" i="3"/>
  <c r="G144" i="3"/>
  <c r="G66" i="3"/>
  <c r="G65" i="3"/>
  <c r="G64" i="3"/>
  <c r="G63" i="3"/>
  <c r="G51" i="3"/>
  <c r="G50" i="3"/>
  <c r="G49" i="3"/>
  <c r="G47" i="3"/>
  <c r="G46" i="3"/>
  <c r="G45" i="3"/>
  <c r="G44" i="3"/>
  <c r="G14" i="3"/>
  <c r="G13" i="3"/>
  <c r="G12" i="3"/>
  <c r="G11" i="3"/>
  <c r="G143" i="3"/>
  <c r="G142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H375" i="4"/>
  <c r="H374" i="4"/>
  <c r="H373" i="4"/>
  <c r="H377" i="4"/>
  <c r="H372" i="4"/>
  <c r="H371" i="4"/>
  <c r="H376" i="4"/>
  <c r="H203" i="12"/>
  <c r="H202" i="12"/>
  <c r="H201" i="12"/>
  <c r="H200" i="12"/>
  <c r="H199" i="12"/>
  <c r="H198" i="12"/>
  <c r="H196" i="12"/>
  <c r="H195" i="12"/>
  <c r="H194" i="12"/>
  <c r="H193" i="12"/>
  <c r="H192" i="12"/>
  <c r="H191" i="12"/>
  <c r="H190" i="12"/>
  <c r="H189" i="12"/>
  <c r="H188" i="12"/>
  <c r="H187" i="12"/>
  <c r="H159" i="12"/>
  <c r="H158" i="12"/>
  <c r="H157" i="12"/>
  <c r="H156" i="12"/>
  <c r="H155" i="12"/>
  <c r="H154" i="12"/>
  <c r="H153" i="12"/>
  <c r="H150" i="12"/>
  <c r="H149" i="12"/>
  <c r="H148" i="12"/>
  <c r="H147" i="12"/>
  <c r="H145" i="12"/>
  <c r="H144" i="12"/>
  <c r="H143" i="12"/>
  <c r="H142" i="12"/>
  <c r="H141" i="12"/>
  <c r="H140" i="12"/>
  <c r="H139" i="12"/>
  <c r="H138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09" i="12"/>
  <c r="H106" i="12"/>
  <c r="H105" i="12"/>
  <c r="H104" i="12"/>
  <c r="H103" i="12"/>
  <c r="H102" i="12"/>
  <c r="H101" i="12"/>
  <c r="H99" i="12"/>
  <c r="H96" i="12"/>
  <c r="H91" i="12"/>
  <c r="H60" i="12"/>
  <c r="H59" i="12"/>
  <c r="H58" i="12"/>
  <c r="H57" i="12"/>
  <c r="H55" i="12"/>
  <c r="H51" i="12"/>
  <c r="H50" i="12"/>
  <c r="H47" i="12"/>
  <c r="H46" i="12"/>
  <c r="H45" i="12"/>
  <c r="H44" i="12"/>
  <c r="H43" i="12"/>
  <c r="H42" i="12"/>
  <c r="H41" i="12"/>
  <c r="H36" i="12"/>
  <c r="H35" i="12"/>
  <c r="H34" i="12"/>
  <c r="H20" i="12"/>
  <c r="H18" i="12"/>
  <c r="H12" i="12"/>
  <c r="H11" i="12"/>
  <c r="H10" i="12"/>
  <c r="H9" i="12"/>
  <c r="H8" i="12"/>
  <c r="H4" i="12"/>
  <c r="L11" i="18" l="1"/>
  <c r="L75" i="18"/>
  <c r="L85" i="18"/>
  <c r="L174" i="18"/>
  <c r="L300" i="18"/>
  <c r="L296" i="18"/>
  <c r="L71" i="18"/>
  <c r="L76" i="18"/>
  <c r="L261" i="18"/>
  <c r="L208" i="18"/>
  <c r="L77" i="18"/>
  <c r="L214" i="18"/>
  <c r="L235" i="18"/>
  <c r="L321" i="18"/>
  <c r="L74" i="18"/>
  <c r="L16" i="18"/>
  <c r="L213" i="18"/>
  <c r="L204" i="18"/>
  <c r="L15" i="18"/>
  <c r="L203" i="18"/>
  <c r="L222" i="18"/>
  <c r="L260" i="18"/>
  <c r="L80" i="18"/>
  <c r="L141" i="18"/>
  <c r="L259" i="18"/>
  <c r="L157" i="18"/>
  <c r="L248" i="18"/>
  <c r="L269" i="18"/>
  <c r="L220" i="18"/>
  <c r="L170" i="18"/>
  <c r="L327" i="18"/>
  <c r="L239" i="18"/>
  <c r="L262" i="18"/>
  <c r="L297" i="18"/>
  <c r="L304" i="18"/>
  <c r="L178" i="18"/>
  <c r="L306" i="18"/>
  <c r="L78" i="18"/>
  <c r="L313" i="18"/>
  <c r="L152" i="18"/>
  <c r="L209" i="18"/>
  <c r="L324" i="18"/>
  <c r="L181" i="18"/>
  <c r="L147" i="18"/>
  <c r="L299" i="18"/>
  <c r="L146" i="18"/>
  <c r="L151" i="18"/>
  <c r="L72" i="18"/>
  <c r="L73" i="18"/>
  <c r="L219" i="18"/>
  <c r="L177" i="18"/>
  <c r="L254" i="18"/>
  <c r="L162" i="18"/>
  <c r="L227" i="18"/>
  <c r="H296" i="4"/>
  <c r="H268" i="19" s="1"/>
  <c r="G139" i="3"/>
  <c r="G140" i="3"/>
  <c r="G115" i="3"/>
  <c r="G95" i="3"/>
  <c r="G105" i="3"/>
  <c r="H211" i="4"/>
  <c r="H98" i="19" s="1"/>
  <c r="H209" i="4"/>
  <c r="H96" i="19" s="1"/>
  <c r="H208" i="4"/>
  <c r="H95" i="19" s="1"/>
  <c r="H214" i="4"/>
  <c r="H101" i="19" s="1"/>
  <c r="H207" i="4"/>
  <c r="H94" i="19" s="1"/>
  <c r="H363" i="4"/>
  <c r="H403" i="19" s="1"/>
  <c r="H349" i="4"/>
  <c r="H379" i="19" s="1"/>
  <c r="H348" i="4"/>
  <c r="H377" i="19" s="1"/>
  <c r="H347" i="4"/>
  <c r="H374" i="19" s="1"/>
  <c r="H180" i="4"/>
  <c r="H34" i="19" s="1"/>
  <c r="H171" i="4"/>
  <c r="H15" i="19" s="1"/>
  <c r="H213" i="4"/>
  <c r="H100" i="19" s="1"/>
  <c r="H318" i="4"/>
  <c r="H315" i="19" s="1"/>
  <c r="H361" i="4"/>
  <c r="H399" i="19" s="1"/>
  <c r="H360" i="4"/>
  <c r="H398" i="19" s="1"/>
  <c r="H365" i="4"/>
  <c r="H405" i="19" s="1"/>
  <c r="H366" i="4"/>
  <c r="H407" i="19" s="1"/>
  <c r="H364" i="4"/>
  <c r="H404" i="19" s="1"/>
  <c r="H314" i="4"/>
  <c r="H307" i="19" s="1"/>
  <c r="H315" i="4"/>
  <c r="H309" i="19" s="1"/>
  <c r="H316" i="4"/>
  <c r="H311" i="19" s="1"/>
  <c r="H313" i="4"/>
  <c r="H306" i="19" s="1"/>
  <c r="H278" i="4"/>
  <c r="H217" i="19" s="1"/>
  <c r="H306" i="4"/>
  <c r="H289" i="19" s="1"/>
  <c r="H307" i="4"/>
  <c r="H287" i="19" s="1"/>
  <c r="H264" i="4"/>
  <c r="H189" i="19" s="1"/>
  <c r="H301" i="4"/>
  <c r="H275" i="19" s="1"/>
  <c r="H179" i="4"/>
  <c r="H33" i="19" s="1"/>
  <c r="H319" i="4"/>
  <c r="H316" i="19" s="1"/>
  <c r="H310" i="4"/>
  <c r="H300" i="19" s="1"/>
  <c r="H309" i="4"/>
  <c r="H297" i="19" s="1"/>
  <c r="H308" i="4"/>
  <c r="H296" i="19" s="1"/>
  <c r="H274" i="4"/>
  <c r="H209" i="19" s="1"/>
  <c r="H304" i="4"/>
  <c r="H279" i="19" s="1"/>
  <c r="H272" i="4"/>
  <c r="H205" i="19" s="1"/>
  <c r="H273" i="4"/>
  <c r="H207" i="19" s="1"/>
  <c r="H356" i="4"/>
  <c r="H393" i="19" s="1"/>
  <c r="H297" i="4"/>
  <c r="H269" i="19" s="1"/>
  <c r="H295" i="4"/>
  <c r="H267" i="19" s="1"/>
  <c r="H311" i="4"/>
  <c r="H302" i="19" s="1"/>
  <c r="H225" i="4"/>
  <c r="H119" i="19" s="1"/>
  <c r="H224" i="4"/>
  <c r="H118" i="19" s="1"/>
  <c r="H228" i="4"/>
  <c r="H123" i="19" s="1"/>
  <c r="H220" i="4"/>
  <c r="H112" i="19" s="1"/>
  <c r="H230" i="4"/>
  <c r="H125" i="19" s="1"/>
  <c r="H223" i="4"/>
  <c r="H117" i="19" s="1"/>
  <c r="H222" i="4"/>
  <c r="H116" i="19" s="1"/>
  <c r="H227" i="4"/>
  <c r="H122" i="19" s="1"/>
  <c r="H219" i="4"/>
  <c r="H111" i="19" s="1"/>
  <c r="H229" i="4"/>
  <c r="H124" i="19" s="1"/>
  <c r="H221" i="4"/>
  <c r="H115" i="19" s="1"/>
  <c r="H226" i="4"/>
  <c r="H121" i="19" s="1"/>
  <c r="H218" i="4"/>
  <c r="H110" i="19" s="1"/>
  <c r="H217" i="4"/>
  <c r="H108" i="19" s="1"/>
  <c r="H210" i="4"/>
  <c r="H97" i="19" s="1"/>
  <c r="H206" i="4"/>
  <c r="H93" i="19" s="1"/>
  <c r="H199" i="4"/>
  <c r="H69" i="19" s="1"/>
  <c r="H200" i="4"/>
  <c r="H70" i="19" s="1"/>
  <c r="H269" i="4"/>
  <c r="H199" i="19" s="1"/>
  <c r="H300" i="4"/>
  <c r="H273" i="19" s="1"/>
  <c r="H198" i="4"/>
  <c r="H67" i="19" s="1"/>
  <c r="H197" i="4"/>
  <c r="H65" i="19" s="1"/>
  <c r="H362" i="4"/>
  <c r="H401" i="19" s="1"/>
  <c r="H293" i="4"/>
  <c r="H263" i="19" s="1"/>
  <c r="H294" i="4"/>
  <c r="H264" i="19" s="1"/>
  <c r="H292" i="4"/>
  <c r="H262" i="19" s="1"/>
  <c r="H290" i="4"/>
  <c r="H258" i="19" s="1"/>
  <c r="H291" i="4"/>
  <c r="H259" i="19" s="1"/>
  <c r="H289" i="4"/>
  <c r="H257" i="19" s="1"/>
  <c r="H283" i="4"/>
  <c r="H224" i="19" s="1"/>
  <c r="H284" i="4"/>
  <c r="H225" i="19" s="1"/>
  <c r="H178" i="4"/>
  <c r="H31" i="19" s="1"/>
  <c r="H288" i="4"/>
  <c r="H234" i="19" s="1"/>
  <c r="H286" i="4"/>
  <c r="H230" i="19" s="1"/>
  <c r="H287" i="4"/>
  <c r="H232" i="19" s="1"/>
  <c r="H170" i="4"/>
  <c r="H12" i="19" s="1"/>
  <c r="H166" i="4"/>
  <c r="H4" i="19" s="1"/>
  <c r="H168" i="4"/>
  <c r="H8" i="19" s="1"/>
  <c r="H285" i="4"/>
  <c r="H228" i="19" s="1"/>
  <c r="H355" i="4"/>
  <c r="H390" i="19" s="1"/>
  <c r="H353" i="4"/>
  <c r="H387" i="19" s="1"/>
  <c r="H344" i="4"/>
  <c r="H366" i="19" s="1"/>
  <c r="H343" i="4"/>
  <c r="H364" i="19" s="1"/>
  <c r="H342" i="4"/>
  <c r="H362" i="19" s="1"/>
  <c r="H341" i="4"/>
  <c r="H361" i="19" s="1"/>
  <c r="H340" i="4"/>
  <c r="H359" i="19" s="1"/>
  <c r="H339" i="4"/>
  <c r="H357" i="19" s="1"/>
  <c r="H338" i="4"/>
  <c r="H355" i="19" s="1"/>
  <c r="H337" i="4"/>
  <c r="H353" i="19" s="1"/>
  <c r="H336" i="4"/>
  <c r="H351" i="19" s="1"/>
  <c r="H335" i="4"/>
  <c r="H349" i="19" s="1"/>
  <c r="H334" i="4"/>
  <c r="H347" i="19" s="1"/>
  <c r="H333" i="4"/>
  <c r="H345" i="19" s="1"/>
  <c r="H332" i="4"/>
  <c r="H343" i="19" s="1"/>
  <c r="H331" i="4"/>
  <c r="H341" i="19" s="1"/>
  <c r="H330" i="4"/>
  <c r="H339" i="19" s="1"/>
  <c r="H329" i="4"/>
  <c r="H337" i="19" s="1"/>
  <c r="H328" i="4"/>
  <c r="H335" i="19" s="1"/>
  <c r="H327" i="4"/>
  <c r="H333" i="19" s="1"/>
  <c r="H326" i="4"/>
  <c r="H331" i="19" s="1"/>
  <c r="H325" i="4"/>
  <c r="H329" i="19" s="1"/>
  <c r="H324" i="4"/>
  <c r="H327" i="19" s="1"/>
  <c r="H323" i="4"/>
  <c r="H325" i="19" s="1"/>
  <c r="H322" i="4"/>
  <c r="H323" i="19" s="1"/>
  <c r="H321" i="4"/>
  <c r="H321" i="19" s="1"/>
  <c r="H320" i="4"/>
  <c r="H319" i="19" s="1"/>
  <c r="H271" i="4"/>
  <c r="H203" i="19" s="1"/>
  <c r="H270" i="4"/>
  <c r="H201" i="19" s="1"/>
  <c r="H268" i="4"/>
  <c r="H197" i="19" s="1"/>
  <c r="H265" i="4"/>
  <c r="H192" i="19" s="1"/>
  <c r="H260" i="4"/>
  <c r="H185" i="19" s="1"/>
  <c r="H259" i="4"/>
  <c r="H183" i="19" s="1"/>
  <c r="H258" i="4"/>
  <c r="H181" i="19" s="1"/>
  <c r="H257" i="4"/>
  <c r="H179" i="19" s="1"/>
  <c r="H256" i="4"/>
  <c r="H177" i="19" s="1"/>
  <c r="H255" i="4"/>
  <c r="H175" i="19" s="1"/>
  <c r="H254" i="4"/>
  <c r="H173" i="19" s="1"/>
  <c r="H253" i="4"/>
  <c r="H171" i="19" s="1"/>
  <c r="H252" i="4"/>
  <c r="H169" i="19" s="1"/>
  <c r="H251" i="4"/>
  <c r="H167" i="19" s="1"/>
  <c r="H250" i="4"/>
  <c r="H165" i="19" s="1"/>
  <c r="H249" i="4"/>
  <c r="H163" i="19" s="1"/>
  <c r="H248" i="4"/>
  <c r="H161" i="19" s="1"/>
  <c r="H247" i="4"/>
  <c r="H159" i="19" s="1"/>
  <c r="H246" i="4"/>
  <c r="H157" i="19" s="1"/>
  <c r="H245" i="4"/>
  <c r="H155" i="19" s="1"/>
  <c r="H244" i="4"/>
  <c r="H153" i="19" s="1"/>
  <c r="H243" i="4"/>
  <c r="H151" i="19" s="1"/>
  <c r="H242" i="4"/>
  <c r="H149" i="19" s="1"/>
  <c r="H241" i="4"/>
  <c r="H147" i="19" s="1"/>
  <c r="H240" i="4"/>
  <c r="H145" i="19" s="1"/>
  <c r="H239" i="4"/>
  <c r="H143" i="19" s="1"/>
  <c r="H238" i="4"/>
  <c r="H141" i="19" s="1"/>
  <c r="H237" i="4"/>
  <c r="H139" i="19" s="1"/>
  <c r="H236" i="4"/>
  <c r="H137" i="19" s="1"/>
  <c r="H235" i="4"/>
  <c r="H135" i="19" s="1"/>
  <c r="H234" i="4"/>
  <c r="H133" i="19" s="1"/>
  <c r="H233" i="4"/>
  <c r="H131" i="19" s="1"/>
  <c r="H232" i="4"/>
  <c r="H129" i="19" s="1"/>
  <c r="H231" i="4"/>
  <c r="H127" i="19" s="1"/>
  <c r="H216" i="4"/>
  <c r="H105" i="19" s="1"/>
  <c r="H205" i="4"/>
  <c r="H79" i="19" s="1"/>
  <c r="H203" i="4"/>
  <c r="H76" i="19" s="1"/>
  <c r="H202" i="4"/>
  <c r="H74" i="19" s="1"/>
  <c r="H201" i="4"/>
  <c r="H72" i="19" s="1"/>
  <c r="H193" i="4"/>
  <c r="H60" i="19" s="1"/>
  <c r="H192" i="4"/>
  <c r="H58" i="19" s="1"/>
  <c r="H191" i="4"/>
  <c r="H56" i="19" s="1"/>
  <c r="H190" i="4"/>
  <c r="H54" i="19" s="1"/>
  <c r="H189" i="4"/>
  <c r="H52" i="19" s="1"/>
  <c r="H188" i="4"/>
  <c r="H50" i="19" s="1"/>
  <c r="H187" i="4"/>
  <c r="H48" i="19" s="1"/>
  <c r="H186" i="4"/>
  <c r="H46" i="19" s="1"/>
  <c r="H185" i="4"/>
  <c r="H44" i="19" s="1"/>
  <c r="H184" i="4"/>
  <c r="H42" i="19" s="1"/>
  <c r="H182" i="4"/>
  <c r="H39" i="19" s="1"/>
  <c r="H181" i="4"/>
  <c r="H37" i="19" s="1"/>
  <c r="H177" i="4"/>
  <c r="H29" i="19" s="1"/>
  <c r="H176" i="4"/>
  <c r="H26" i="19" s="1"/>
  <c r="H175" i="4"/>
  <c r="H24" i="19" s="1"/>
  <c r="H174" i="4"/>
  <c r="H22" i="19" s="1"/>
  <c r="H173" i="4"/>
  <c r="H20" i="19" s="1"/>
  <c r="H172" i="4"/>
  <c r="H18" i="19" s="1"/>
  <c r="H167" i="4"/>
  <c r="H6" i="19" s="1"/>
  <c r="H367" i="4"/>
  <c r="H408" i="19" s="1"/>
  <c r="H359" i="4"/>
  <c r="H396" i="19" s="1"/>
  <c r="H358" i="4"/>
  <c r="H395" i="19" s="1"/>
  <c r="H357" i="4"/>
  <c r="H394" i="19" s="1"/>
  <c r="H317" i="4"/>
  <c r="H312" i="19" s="1"/>
  <c r="H312" i="4"/>
  <c r="H305" i="19" s="1"/>
  <c r="H276" i="4"/>
  <c r="H212" i="19" s="1"/>
  <c r="H305" i="4"/>
  <c r="H280" i="19" s="1"/>
  <c r="H299" i="4"/>
  <c r="H272" i="19" s="1"/>
  <c r="H282" i="4"/>
  <c r="H221" i="19" s="1"/>
  <c r="H354" i="4"/>
  <c r="H388" i="19" s="1"/>
  <c r="H351" i="4"/>
  <c r="H382" i="19" s="1"/>
  <c r="H261" i="4"/>
  <c r="H186" i="19" s="1"/>
  <c r="H194" i="4"/>
  <c r="H61" i="19" s="1"/>
  <c r="H281" i="4"/>
  <c r="H220" i="19" s="1"/>
  <c r="H280" i="4"/>
  <c r="H219" i="19" s="1"/>
  <c r="H275" i="4"/>
  <c r="H210" i="19" s="1"/>
  <c r="H263" i="4"/>
  <c r="H188" i="19" s="1"/>
  <c r="H262" i="4"/>
  <c r="H187" i="19" s="1"/>
  <c r="H196" i="4"/>
  <c r="H63" i="19" s="1"/>
  <c r="H195" i="4"/>
  <c r="H62" i="19" s="1"/>
  <c r="H368" i="4"/>
  <c r="H409" i="19" s="1"/>
  <c r="H352" i="4"/>
  <c r="H384" i="19" s="1"/>
  <c r="H350" i="4"/>
  <c r="H380" i="19" s="1"/>
  <c r="H169" i="4"/>
  <c r="H9" i="19" s="1"/>
  <c r="H302" i="4"/>
  <c r="H277" i="19" s="1"/>
  <c r="H279" i="4"/>
  <c r="H218" i="19" s="1"/>
  <c r="H215" i="4"/>
  <c r="H103" i="19" s="1"/>
  <c r="H266" i="4"/>
  <c r="H193" i="19" s="1"/>
  <c r="H345" i="4"/>
  <c r="H368" i="19" s="1"/>
  <c r="H267" i="4"/>
  <c r="H195" i="19" s="1"/>
  <c r="H183" i="4"/>
  <c r="H40" i="19" s="1"/>
  <c r="H277" i="4"/>
  <c r="H215" i="19" s="1"/>
  <c r="H204" i="4"/>
  <c r="H77" i="19" s="1"/>
  <c r="H298" i="4"/>
  <c r="H271" i="19" s="1"/>
  <c r="H303" i="4"/>
  <c r="H278" i="19" s="1"/>
  <c r="H346" i="4"/>
  <c r="H373" i="19" s="1"/>
  <c r="H212" i="4"/>
  <c r="H99" i="19" s="1"/>
  <c r="H157" i="4"/>
  <c r="H158" i="4"/>
  <c r="H159" i="4"/>
  <c r="H156" i="4"/>
  <c r="H155" i="4"/>
  <c r="H154" i="4"/>
  <c r="H153" i="4"/>
  <c r="H152" i="4"/>
  <c r="H151" i="4"/>
  <c r="H148" i="4"/>
  <c r="H150" i="4"/>
  <c r="H149" i="4"/>
  <c r="H147" i="4"/>
  <c r="H145" i="4"/>
  <c r="H146" i="4"/>
  <c r="H144" i="4"/>
  <c r="H141" i="4"/>
  <c r="H143" i="4"/>
  <c r="H142" i="4"/>
  <c r="H140" i="4"/>
  <c r="H139" i="4"/>
  <c r="H138" i="4"/>
  <c r="H137" i="4"/>
  <c r="H136" i="4"/>
  <c r="H133" i="4"/>
  <c r="H135" i="4"/>
  <c r="H134" i="4"/>
  <c r="H132" i="4"/>
  <c r="H131" i="4"/>
  <c r="H128" i="4"/>
  <c r="H130" i="4"/>
  <c r="H129" i="4"/>
  <c r="H127" i="4"/>
  <c r="H124" i="4"/>
  <c r="H126" i="4"/>
  <c r="H125" i="4"/>
  <c r="H123" i="4"/>
  <c r="H122" i="4"/>
  <c r="H119" i="4"/>
  <c r="H121" i="4"/>
  <c r="L184" i="18" s="1"/>
  <c r="H120" i="4"/>
  <c r="H118" i="4"/>
  <c r="H117" i="4"/>
  <c r="H116" i="4"/>
  <c r="H115" i="4"/>
  <c r="H114" i="4"/>
  <c r="H113" i="4"/>
  <c r="H112" i="4"/>
  <c r="H111" i="4"/>
  <c r="H110" i="4"/>
  <c r="H109" i="4"/>
  <c r="H107" i="4"/>
  <c r="H108" i="4"/>
  <c r="H106" i="4"/>
  <c r="H105" i="4"/>
  <c r="H103" i="4"/>
  <c r="L92" i="18" s="1"/>
  <c r="H102" i="4"/>
  <c r="H104" i="4"/>
  <c r="H101" i="4"/>
  <c r="H100" i="4"/>
  <c r="H86" i="4"/>
  <c r="H99" i="4"/>
  <c r="H98" i="4"/>
  <c r="L64" i="18" s="1"/>
  <c r="H97" i="4"/>
  <c r="H95" i="4"/>
  <c r="H94" i="4"/>
  <c r="H93" i="4"/>
  <c r="H92" i="4"/>
  <c r="H165" i="4"/>
  <c r="H164" i="4"/>
  <c r="H163" i="4"/>
  <c r="H162" i="4"/>
  <c r="H161" i="4"/>
  <c r="H160" i="4"/>
  <c r="H89" i="4"/>
  <c r="H88" i="4"/>
  <c r="H87" i="4"/>
  <c r="H83" i="4"/>
  <c r="H96" i="4"/>
  <c r="H91" i="4"/>
  <c r="H90" i="4"/>
  <c r="H84" i="4"/>
  <c r="H85" i="4"/>
  <c r="H55" i="4"/>
  <c r="H56" i="4"/>
  <c r="H11" i="4"/>
  <c r="H7" i="4"/>
  <c r="H5" i="4"/>
  <c r="H6" i="4"/>
  <c r="H75" i="4"/>
  <c r="H76" i="4"/>
  <c r="H74" i="4"/>
  <c r="H73" i="4"/>
  <c r="H72" i="4"/>
  <c r="H71" i="4"/>
  <c r="H70" i="4"/>
  <c r="H69" i="4"/>
  <c r="H67" i="4"/>
  <c r="H68" i="4"/>
  <c r="H66" i="4"/>
  <c r="H65" i="4"/>
  <c r="H64" i="4"/>
  <c r="H62" i="4"/>
  <c r="H63" i="4"/>
  <c r="H61" i="4"/>
  <c r="H58" i="4"/>
  <c r="H60" i="4"/>
  <c r="H59" i="4"/>
  <c r="H57" i="4"/>
  <c r="H54" i="4"/>
  <c r="H51" i="4"/>
  <c r="H53" i="4"/>
  <c r="H52" i="4"/>
  <c r="H50" i="4"/>
  <c r="H49" i="4"/>
  <c r="H46" i="4"/>
  <c r="H48" i="4"/>
  <c r="H47" i="4"/>
  <c r="H45" i="4"/>
  <c r="H44" i="4"/>
  <c r="H41" i="4"/>
  <c r="H43" i="4"/>
  <c r="H42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5" i="4"/>
  <c r="L90" i="18" s="1"/>
  <c r="H24" i="4"/>
  <c r="H26" i="4"/>
  <c r="H23" i="4"/>
  <c r="H22" i="4"/>
  <c r="H20" i="4"/>
  <c r="H14" i="4"/>
  <c r="H19" i="4"/>
  <c r="L62" i="18" s="1"/>
  <c r="H18" i="4"/>
  <c r="H17" i="4"/>
  <c r="H16" i="4"/>
  <c r="L59" i="18" s="1"/>
  <c r="H15" i="4"/>
  <c r="H82" i="4"/>
  <c r="H81" i="4"/>
  <c r="H80" i="4"/>
  <c r="H79" i="4"/>
  <c r="H78" i="4"/>
  <c r="H77" i="4"/>
  <c r="H21" i="4"/>
  <c r="H10" i="4"/>
  <c r="H9" i="4"/>
  <c r="H8" i="4"/>
  <c r="H4" i="4"/>
  <c r="H13" i="4"/>
  <c r="H12" i="4"/>
  <c r="L165" i="18" l="1"/>
  <c r="L43" i="18"/>
  <c r="L131" i="18"/>
  <c r="L305" i="18"/>
  <c r="L166" i="18"/>
  <c r="L218" i="18"/>
  <c r="L87" i="18"/>
  <c r="L310" i="18"/>
  <c r="L97" i="18"/>
  <c r="L155" i="18"/>
  <c r="L228" i="18"/>
  <c r="L158" i="18"/>
  <c r="L257" i="18"/>
  <c r="L314" i="18"/>
  <c r="L98" i="18"/>
  <c r="L315" i="18"/>
  <c r="L258" i="18"/>
  <c r="L88" i="18"/>
  <c r="L163" i="18"/>
  <c r="L225" i="18"/>
  <c r="L316" i="18"/>
  <c r="L95" i="18"/>
  <c r="L12" i="18"/>
  <c r="L328" i="18"/>
  <c r="L100" i="18"/>
  <c r="L164" i="18"/>
  <c r="L136" i="18"/>
  <c r="L266" i="18"/>
  <c r="L303" i="18"/>
  <c r="L44" i="18"/>
  <c r="L79" i="18"/>
  <c r="L307" i="18"/>
  <c r="L329" i="18"/>
  <c r="L45" i="18"/>
  <c r="L132" i="18"/>
  <c r="L133" i="18"/>
  <c r="L319" i="18"/>
  <c r="L26" i="18"/>
  <c r="L223" i="18"/>
  <c r="L94" i="18"/>
  <c r="L169" i="18"/>
  <c r="L20" i="18"/>
  <c r="L285" i="18"/>
  <c r="L312" i="18"/>
  <c r="L128" i="18"/>
  <c r="L206" i="18"/>
  <c r="L317" i="18"/>
  <c r="L105" i="18"/>
  <c r="L207" i="18"/>
  <c r="L318" i="18"/>
  <c r="L60" i="18"/>
  <c r="L61" i="18"/>
  <c r="L293" i="18"/>
  <c r="L24" i="18"/>
  <c r="L280" i="18"/>
  <c r="L281" i="18"/>
  <c r="L232" i="18"/>
  <c r="L81" i="18"/>
  <c r="L264" i="18"/>
  <c r="L308" i="18"/>
  <c r="L202" i="18"/>
  <c r="L286" i="18"/>
  <c r="L242" i="18"/>
  <c r="L23" i="18"/>
  <c r="L182" i="18"/>
  <c r="L198" i="18"/>
  <c r="L30" i="18"/>
  <c r="L138" i="18"/>
  <c r="L290" i="18"/>
  <c r="L215" i="18"/>
  <c r="L109" i="18"/>
  <c r="L292" i="18"/>
  <c r="L250" i="18"/>
  <c r="L216" i="18"/>
  <c r="L35" i="18"/>
  <c r="L112" i="18"/>
  <c r="L270" i="18"/>
  <c r="L294" i="18"/>
  <c r="L50" i="18"/>
  <c r="L28" i="18"/>
  <c r="L83" i="18"/>
  <c r="L188" i="18"/>
  <c r="L251" i="18"/>
  <c r="L221" i="18"/>
  <c r="L226" i="18"/>
  <c r="L36" i="18"/>
  <c r="L113" i="18"/>
  <c r="L271" i="18"/>
  <c r="L309" i="18"/>
  <c r="L49" i="18"/>
  <c r="L154" i="18"/>
  <c r="L86" i="18"/>
  <c r="L189" i="18"/>
  <c r="L255" i="18"/>
  <c r="L217" i="18"/>
  <c r="L37" i="18"/>
  <c r="L114" i="18"/>
  <c r="L272" i="18"/>
  <c r="L311" i="18"/>
  <c r="L247" i="18"/>
  <c r="L238" i="18"/>
  <c r="L55" i="18"/>
  <c r="L241" i="18"/>
  <c r="L125" i="18"/>
  <c r="L91" i="18"/>
  <c r="L323" i="18"/>
  <c r="L240" i="18"/>
  <c r="L210" i="18"/>
  <c r="L252" i="18"/>
  <c r="L145" i="18"/>
  <c r="L25" i="18"/>
  <c r="L211" i="18"/>
  <c r="L245" i="18"/>
  <c r="L46" i="18"/>
  <c r="L47" i="18"/>
  <c r="L185" i="18"/>
  <c r="L34" i="18"/>
  <c r="L171" i="18"/>
  <c r="L153" i="18"/>
  <c r="L123" i="18"/>
  <c r="L161" i="18"/>
  <c r="L19" i="18"/>
  <c r="L205" i="18"/>
  <c r="L127" i="18"/>
  <c r="L172" i="18"/>
  <c r="L104" i="18"/>
  <c r="L22" i="18"/>
  <c r="L197" i="18"/>
  <c r="L70" i="18"/>
  <c r="L186" i="18"/>
  <c r="L96" i="18"/>
  <c r="L190" i="18"/>
  <c r="L160" i="18"/>
  <c r="L263" i="18"/>
  <c r="L56" i="18"/>
  <c r="L9" i="18"/>
  <c r="L137" i="18"/>
  <c r="L41" i="18"/>
  <c r="L118" i="18"/>
  <c r="L14" i="18"/>
  <c r="L229" i="18"/>
  <c r="L53" i="18"/>
  <c r="L82" i="18"/>
  <c r="L298" i="18"/>
  <c r="L124" i="18"/>
  <c r="L301" i="18"/>
  <c r="L167" i="18"/>
  <c r="L102" i="18"/>
  <c r="L168" i="18"/>
  <c r="L103" i="18"/>
  <c r="L175" i="18"/>
  <c r="L287" i="18"/>
  <c r="L326" i="18"/>
  <c r="L58" i="18"/>
  <c r="L106" i="18"/>
  <c r="L288" i="18"/>
  <c r="L325" i="18"/>
  <c r="L243" i="18"/>
  <c r="L196" i="18"/>
  <c r="L107" i="18"/>
  <c r="L320" i="18"/>
  <c r="L183" i="18"/>
  <c r="L108" i="18"/>
  <c r="L31" i="18"/>
  <c r="L267" i="18"/>
  <c r="L110" i="18"/>
  <c r="L144" i="18"/>
  <c r="L150" i="18"/>
  <c r="L57" i="18"/>
  <c r="L249" i="18"/>
  <c r="L200" i="18"/>
  <c r="L111" i="18"/>
  <c r="L140" i="18"/>
  <c r="L63" i="18"/>
  <c r="L187" i="18"/>
  <c r="L256" i="18"/>
  <c r="L54" i="18"/>
  <c r="L38" i="18"/>
  <c r="L115" i="18"/>
  <c r="L273" i="18"/>
  <c r="L68" i="18"/>
  <c r="L89" i="18"/>
  <c r="L265" i="18"/>
  <c r="L231" i="18"/>
  <c r="L39" i="18"/>
  <c r="L116" i="18"/>
  <c r="L274" i="18"/>
  <c r="L10" i="18"/>
  <c r="L84" i="18"/>
  <c r="L322" i="18"/>
  <c r="L48" i="18"/>
  <c r="L191" i="18"/>
  <c r="L32" i="18"/>
  <c r="L40" i="18"/>
  <c r="L117" i="18"/>
  <c r="L275" i="18"/>
  <c r="L6" i="18"/>
  <c r="L268" i="18"/>
  <c r="L134" i="18"/>
  <c r="L193" i="18"/>
  <c r="L276" i="18"/>
  <c r="L4" i="18"/>
  <c r="L139" i="18"/>
  <c r="L194" i="18"/>
  <c r="L5" i="18"/>
  <c r="L295" i="18"/>
  <c r="L42" i="18"/>
  <c r="L119" i="18"/>
  <c r="L277" i="18"/>
  <c r="L176" i="18"/>
  <c r="L93" i="18"/>
  <c r="L66" i="18"/>
  <c r="L224" i="18"/>
  <c r="L156" i="18"/>
  <c r="L230" i="18"/>
  <c r="L8" i="18"/>
  <c r="L201" i="18"/>
  <c r="L302" i="18"/>
  <c r="L126" i="18"/>
  <c r="L212" i="18"/>
  <c r="L130" i="18"/>
  <c r="L253" i="18"/>
  <c r="L135" i="18"/>
  <c r="L244" i="18"/>
  <c r="L199" i="18"/>
  <c r="L143" i="18"/>
  <c r="L33" i="18"/>
  <c r="L148" i="18"/>
  <c r="L13" i="18"/>
  <c r="L278" i="18"/>
  <c r="L67" i="18"/>
  <c r="L122" i="18"/>
  <c r="L159" i="18"/>
  <c r="L282" i="18"/>
  <c r="L101" i="18"/>
  <c r="L283" i="18"/>
  <c r="L233" i="18"/>
  <c r="L284" i="18"/>
  <c r="L237" i="18"/>
  <c r="L234" i="18"/>
  <c r="L21" i="18"/>
  <c r="L129" i="18"/>
  <c r="L179" i="18"/>
  <c r="L289" i="18"/>
  <c r="L291" i="18"/>
  <c r="L246" i="18"/>
  <c r="L17" i="18"/>
  <c r="L192" i="18"/>
  <c r="L51" i="18"/>
  <c r="L120" i="18"/>
  <c r="L173" i="18"/>
  <c r="L99" i="18"/>
  <c r="L18" i="18"/>
  <c r="L149" i="18"/>
  <c r="L195" i="18"/>
  <c r="L27" i="18"/>
  <c r="L65" i="18"/>
  <c r="L52" i="18"/>
  <c r="L121" i="18"/>
  <c r="L279" i="18"/>
  <c r="L180" i="18"/>
  <c r="L69" i="18"/>
  <c r="L236" i="18"/>
  <c r="G104" i="3"/>
  <c r="G103" i="3"/>
  <c r="G102" i="3"/>
  <c r="G101" i="3"/>
  <c r="G100" i="3"/>
  <c r="G99" i="3"/>
  <c r="G98" i="3"/>
  <c r="G97" i="3"/>
  <c r="G96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0" i="3"/>
  <c r="G69" i="3"/>
  <c r="G68" i="3"/>
  <c r="G67" i="3"/>
  <c r="G62" i="3"/>
  <c r="G61" i="3"/>
  <c r="G60" i="3"/>
  <c r="G59" i="3"/>
  <c r="G58" i="3"/>
  <c r="G57" i="3"/>
  <c r="G56" i="3"/>
  <c r="G55" i="3"/>
  <c r="G54" i="3"/>
  <c r="G53" i="3"/>
  <c r="G52" i="3"/>
  <c r="G48" i="3"/>
  <c r="G43" i="3"/>
  <c r="G42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0" i="3"/>
  <c r="G9" i="3"/>
  <c r="G8" i="3"/>
  <c r="G7" i="3"/>
  <c r="G6" i="3"/>
  <c r="G5" i="3"/>
  <c r="G4" i="3"/>
  <c r="G41" i="3" l="1"/>
  <c r="G15" i="3"/>
  <c r="G16" i="3"/>
  <c r="G40" i="3"/>
  <c r="G17" i="3"/>
  <c r="G18" i="3"/>
  <c r="G74" i="3" s="1"/>
  <c r="G71" i="3"/>
  <c r="G72" i="3"/>
  <c r="G73" i="3"/>
</calcChain>
</file>

<file path=xl/sharedStrings.xml><?xml version="1.0" encoding="utf-8"?>
<sst xmlns="http://schemas.openxmlformats.org/spreadsheetml/2006/main" count="9951" uniqueCount="558">
  <si>
    <t>Corey</t>
  </si>
  <si>
    <t>Spencer</t>
  </si>
  <si>
    <t>Vinnie</t>
  </si>
  <si>
    <t>Version</t>
  </si>
  <si>
    <t>Bitness</t>
  </si>
  <si>
    <t>Year</t>
  </si>
  <si>
    <t>Mfg</t>
  </si>
  <si>
    <t>Installed with</t>
  </si>
  <si>
    <t>Advanced Signal Processing Toolkit</t>
  </si>
  <si>
    <t>15.0.0</t>
  </si>
  <si>
    <t>32</t>
  </si>
  <si>
    <t>2015</t>
  </si>
  <si>
    <t>Development</t>
  </si>
  <si>
    <t>NI</t>
  </si>
  <si>
    <t>CompactRIO</t>
  </si>
  <si>
    <t>C Series Module Support</t>
  </si>
  <si>
    <t>NI-DAQmx Device Driver</t>
  </si>
  <si>
    <t>15.0.0f2</t>
  </si>
  <si>
    <t>NI-DAQmx ADE Support</t>
  </si>
  <si>
    <t>NI-DAQmx MAX Configuration</t>
  </si>
  <si>
    <t>NI Script Editor</t>
  </si>
  <si>
    <t>NI-DMM</t>
  </si>
  <si>
    <t>Configuration Support</t>
  </si>
  <si>
    <t>Development Support</t>
  </si>
  <si>
    <t>Runtime</t>
  </si>
  <si>
    <t>DMM Soft Front Panel</t>
  </si>
  <si>
    <t>NI-FGEN</t>
  </si>
  <si>
    <t>FGEN Soft Front Panel</t>
  </si>
  <si>
    <t>NI-488.2</t>
  </si>
  <si>
    <t>NI I/O Trace</t>
  </si>
  <si>
    <t>15.0.0f0</t>
  </si>
  <si>
    <t>IVI Compliance Package</t>
  </si>
  <si>
    <t>LabVIEW</t>
  </si>
  <si>
    <t>Database Connectivity Toolkit</t>
  </si>
  <si>
    <t>Digital Filter Design Toolkit</t>
  </si>
  <si>
    <t>Real-Time</t>
  </si>
  <si>
    <t>Real-Time Trace Viewer - LabVIEW 2015 Support</t>
  </si>
  <si>
    <t>Report Generation Toolkit For Microsoft Office</t>
  </si>
  <si>
    <t>Statechart Module</t>
  </si>
  <si>
    <t>Unit Test Framework Toolkit</t>
  </si>
  <si>
    <t>VI Analyzer Toolkit</t>
  </si>
  <si>
    <t>Measurement &amp; Automation Explorer</t>
  </si>
  <si>
    <t>NI Developer Suite 2015 DS2 Install</t>
  </si>
  <si>
    <t>Measurement Studio</t>
  </si>
  <si>
    <t>Visual Studio 2010 Support - See individual versions below.</t>
  </si>
  <si>
    <t>15.0.40.49154</t>
  </si>
  <si>
    <t>NI-USI</t>
  </si>
  <si>
    <t>15.0.0.5998</t>
  </si>
  <si>
    <t>NI-DCPower</t>
  </si>
  <si>
    <t>NI-DCPower Soft Front Panel</t>
  </si>
  <si>
    <t>NI-HSDIO</t>
  </si>
  <si>
    <t>NI-HWS</t>
  </si>
  <si>
    <t>NI PXI Platform Services Configuration</t>
  </si>
  <si>
    <t>15.0.0f1</t>
  </si>
  <si>
    <t>NI-RIO</t>
  </si>
  <si>
    <t>NI R Series Multifunction RIO</t>
  </si>
  <si>
    <t>NI-Sync</t>
  </si>
  <si>
    <t>NI-TimeSync</t>
  </si>
  <si>
    <t>FlexRIO</t>
  </si>
  <si>
    <t>NI-PAL Software</t>
  </si>
  <si>
    <t>NI 1588-2008 Network Management</t>
  </si>
  <si>
    <t>NI-SCOPE</t>
  </si>
  <si>
    <t>SCOPE Soft Front Panel</t>
  </si>
  <si>
    <t>NI-Serial Runtime</t>
  </si>
  <si>
    <t>NI-Serial Configuration</t>
  </si>
  <si>
    <t>NI SignalExpress</t>
  </si>
  <si>
    <t>NI-SWITCH</t>
  </si>
  <si>
    <t>NI-SWITCH Soft Front Panel</t>
  </si>
  <si>
    <t>NI System Configuration</t>
  </si>
  <si>
    <t>NI-TClk</t>
  </si>
  <si>
    <t>NI-VISA</t>
  </si>
  <si>
    <t>NiVisaServer.exe</t>
  </si>
  <si>
    <t>15.0.0.49152</t>
  </si>
  <si>
    <t>NIvisaic.exe</t>
  </si>
  <si>
    <t>NI-VISA Runtime</t>
  </si>
  <si>
    <t>CVI</t>
  </si>
  <si>
    <t>CVI AddOns</t>
  </si>
  <si>
    <t>LabWindows/CVI Shared AddOns</t>
  </si>
  <si>
    <t>PID Toolkit</t>
  </si>
  <si>
    <t>2.1.0</t>
  </si>
  <si>
    <t>Profiler Toolkit</t>
  </si>
  <si>
    <t>1.0.0</t>
  </si>
  <si>
    <t>Real-Time Trace Viewer - CVI Support</t>
  </si>
  <si>
    <t>Signal Processing Toolkit</t>
  </si>
  <si>
    <t>7.0.2</t>
  </si>
  <si>
    <t>SQL Toolkit</t>
  </si>
  <si>
    <t>2.3.0</t>
  </si>
  <si>
    <t>15.0.0.408</t>
  </si>
  <si>
    <t>DataFinder Toolkit</t>
  </si>
  <si>
    <t>15.0.06020</t>
  </si>
  <si>
    <t>13.0.2.278</t>
  </si>
  <si>
    <t>LabVIEW 2015 SP1</t>
  </si>
  <si>
    <t>15.0.1</t>
  </si>
  <si>
    <t>2014</t>
  </si>
  <si>
    <t>15.3.0f0</t>
  </si>
  <si>
    <t>15.0.1.6118</t>
  </si>
  <si>
    <t>Scott</t>
  </si>
  <si>
    <t>15.5.0</t>
  </si>
  <si>
    <t>User</t>
  </si>
  <si>
    <t>Name</t>
  </si>
  <si>
    <t>Runtime/Development</t>
  </si>
  <si>
    <t>Full</t>
  </si>
  <si>
    <t>15.0</t>
  </si>
  <si>
    <t>2015 SP1 f10</t>
  </si>
  <si>
    <t>MathScript RT Module</t>
  </si>
  <si>
    <t>12.0.1</t>
  </si>
  <si>
    <t>2012 SP1 f9</t>
  </si>
  <si>
    <t>64</t>
  </si>
  <si>
    <t>2013 SP1 f6</t>
  </si>
  <si>
    <t>2014 SP1 f11</t>
  </si>
  <si>
    <t>14.0.1</t>
  </si>
  <si>
    <t>2015 SP1</t>
  </si>
  <si>
    <t>19.0.1</t>
  </si>
  <si>
    <t>2019 SP1 f3</t>
  </si>
  <si>
    <t>2010</t>
  </si>
  <si>
    <t>Measurement Studio DotNET</t>
  </si>
  <si>
    <t>Measurement Studio Common</t>
  </si>
  <si>
    <t>19.5.0f0</t>
  </si>
  <si>
    <t>14.0</t>
  </si>
  <si>
    <t>2019</t>
  </si>
  <si>
    <t>19.5</t>
  </si>
  <si>
    <t>NI-DCPower Configuration Support</t>
  </si>
  <si>
    <t>NI-DCPower Development Support</t>
  </si>
  <si>
    <t>NI-DMM Configuration Support</t>
  </si>
  <si>
    <t>NI-DMM Development Support</t>
  </si>
  <si>
    <t>NI-FGEN Configuration Support</t>
  </si>
  <si>
    <t>NI-FGEN Development Support</t>
  </si>
  <si>
    <t xml:space="preserve">NI-SCOPE Configuration Support </t>
  </si>
  <si>
    <t>NI-SCOPE Development Support</t>
  </si>
  <si>
    <t>NI-Serial</t>
  </si>
  <si>
    <t>2018</t>
  </si>
  <si>
    <t>NI-SWITCH Configuration Support</t>
  </si>
  <si>
    <t>NI-SWITCH Development Support</t>
  </si>
  <si>
    <t>NI-SWITCH Support</t>
  </si>
  <si>
    <t xml:space="preserve">15.0.0f0 </t>
  </si>
  <si>
    <t>19.0.0</t>
  </si>
  <si>
    <t>N/A</t>
  </si>
  <si>
    <t>13.0.1</t>
  </si>
  <si>
    <t>2014 SP1 f1</t>
  </si>
  <si>
    <t>2014 SP1 f3</t>
  </si>
  <si>
    <t>NI PXI Platform Services</t>
  </si>
  <si>
    <t>19.5.0</t>
  </si>
  <si>
    <t>NI-HSDIO Development Support</t>
  </si>
  <si>
    <t>NI-Industrial Communications for EtherCAT</t>
  </si>
  <si>
    <t>15.0.0f3</t>
  </si>
  <si>
    <t>NI-PAL</t>
  </si>
  <si>
    <t>18.5.0f0</t>
  </si>
  <si>
    <t>15.0.1f0</t>
  </si>
  <si>
    <t>2019 SP1 f5</t>
  </si>
  <si>
    <t>15.1.40.49152</t>
  </si>
  <si>
    <t>NI-HSDIO Configuration Support</t>
  </si>
  <si>
    <t>NI-SCOPE Configuration Support</t>
  </si>
  <si>
    <t>17.0.0.6654</t>
  </si>
  <si>
    <t>2017</t>
  </si>
  <si>
    <t>33</t>
  </si>
  <si>
    <t>2015 SP1 f7</t>
  </si>
  <si>
    <t>18.5.0</t>
  </si>
  <si>
    <t>JKI VIPM</t>
  </si>
  <si>
    <t>JKI</t>
  </si>
  <si>
    <t>NI String Tools Library</t>
  </si>
  <si>
    <t>2.0.0.5</t>
  </si>
  <si>
    <t>Gpower Array Library</t>
  </si>
  <si>
    <t>2016.2.0.27</t>
  </si>
  <si>
    <t>2016</t>
  </si>
  <si>
    <t>Gpower</t>
  </si>
  <si>
    <t>NI CompactRIO Information (CRI) Library</t>
  </si>
  <si>
    <t>2015.0.0.1</t>
  </si>
  <si>
    <t>OpenGDS</t>
  </si>
  <si>
    <t>1.1.17</t>
  </si>
  <si>
    <t>NI CompactRIO</t>
  </si>
  <si>
    <t>15.5</t>
  </si>
  <si>
    <t>C-RIO</t>
  </si>
  <si>
    <t>LabVIEW Real-Time</t>
  </si>
  <si>
    <t>NI System Configuration Remote Support</t>
  </si>
  <si>
    <t>CompactRIO Suport</t>
  </si>
  <si>
    <t>Run-Time Enginer for Web Services</t>
  </si>
  <si>
    <t>SSL Support for LabVIEW</t>
  </si>
  <si>
    <t>WebDAV Server</t>
  </si>
  <si>
    <t>HTTP Client with SSL Support</t>
  </si>
  <si>
    <t>I/O Variable Remorte Configuration Web Server</t>
  </si>
  <si>
    <t>Network Streams</t>
  </si>
  <si>
    <t>Network Variable Engine</t>
  </si>
  <si>
    <t>NI Scan Engine</t>
  </si>
  <si>
    <t>4.4</t>
  </si>
  <si>
    <t>NI Systems Configuration</t>
  </si>
  <si>
    <t>15.3.0</t>
  </si>
  <si>
    <t>NI Web-based Configuration and Monitoring</t>
  </si>
  <si>
    <t>Hardware Configuration and Web Support</t>
  </si>
  <si>
    <t>Network Configuration Web Support</t>
  </si>
  <si>
    <t>Software Management Web Support</t>
  </si>
  <si>
    <t>Time Configuration Web Support</t>
  </si>
  <si>
    <t>NI Wireless Certificate Web Services</t>
  </si>
  <si>
    <t>NI-RIO IO Scan</t>
  </si>
  <si>
    <t>NI Serial 9870 and 9871 Scan Enginer Support</t>
  </si>
  <si>
    <t>NI-Watchdog</t>
  </si>
  <si>
    <t>Variable Client Support for LabVIEW RT</t>
  </si>
  <si>
    <t>Variable Legacy Protocol Support</t>
  </si>
  <si>
    <t>5.7.1</t>
  </si>
  <si>
    <t>Variable Legacy Server Support</t>
  </si>
  <si>
    <t>WebDAV Cleitn with SSL Support</t>
  </si>
  <si>
    <t>Caraya Unit Test Framework</t>
  </si>
  <si>
    <t>0.6.3.54</t>
  </si>
  <si>
    <t>VIPM Community</t>
  </si>
  <si>
    <t>Delacor QMH</t>
  </si>
  <si>
    <t>4.0.0.28</t>
  </si>
  <si>
    <t>Delacor QMH Event Scripter</t>
  </si>
  <si>
    <t>Delacor QMH Palette</t>
  </si>
  <si>
    <t>3.0.0.1</t>
  </si>
  <si>
    <t>Delacor QMH Project Template</t>
  </si>
  <si>
    <t>4.0.0.47</t>
  </si>
  <si>
    <t>Delacor QMH Thermal Chamber Examples</t>
  </si>
  <si>
    <t>4.0.0.21</t>
  </si>
  <si>
    <t>DMC UX Toolkit</t>
  </si>
  <si>
    <t>1.0.0.2</t>
  </si>
  <si>
    <t>DMC</t>
  </si>
  <si>
    <t>GPower All Toolsets</t>
  </si>
  <si>
    <t>2017.0.0.11</t>
  </si>
  <si>
    <t>GPower</t>
  </si>
  <si>
    <t>GPower Array</t>
  </si>
  <si>
    <t>GPower Comparison</t>
  </si>
  <si>
    <t>2016.0.0.4</t>
  </si>
  <si>
    <t>GPower Error &amp; Warning</t>
  </si>
  <si>
    <t>2014.0.0.38</t>
  </si>
  <si>
    <t>GPower Events</t>
  </si>
  <si>
    <t>2012.0.0.7</t>
  </si>
  <si>
    <t>GPower Math</t>
  </si>
  <si>
    <t>2012.1.0.6</t>
  </si>
  <si>
    <t>GPower Numeric</t>
  </si>
  <si>
    <t>2016.2.0.14</t>
  </si>
  <si>
    <t>GPower Overflow</t>
  </si>
  <si>
    <t>2014.0.0.4</t>
  </si>
  <si>
    <t>GPower String</t>
  </si>
  <si>
    <t>2016.1.0.11</t>
  </si>
  <si>
    <t>GPower Timing</t>
  </si>
  <si>
    <t>2017.0.0.26</t>
  </si>
  <si>
    <t>GPower VI Launcher</t>
  </si>
  <si>
    <t>2012.2.0.26</t>
  </si>
  <si>
    <t>GPower VI Register</t>
  </si>
  <si>
    <t>2016.0.0.31</t>
  </si>
  <si>
    <t>JKI State Machine</t>
  </si>
  <si>
    <t>3.0.0.8</t>
  </si>
  <si>
    <t>JKI State Machine Editor</t>
  </si>
  <si>
    <t>2013.6.3.239</t>
  </si>
  <si>
    <t>JKI State Machine Objects (SMO)</t>
  </si>
  <si>
    <t>1.3.0.56</t>
  </si>
  <si>
    <t>jki_rsc_toolkits_palette</t>
  </si>
  <si>
    <t>1.1-1</t>
  </si>
  <si>
    <t>JKI Software</t>
  </si>
  <si>
    <t>LAVA Palette</t>
  </si>
  <si>
    <t>1.0.0.1</t>
  </si>
  <si>
    <t>LAVA</t>
  </si>
  <si>
    <t>MGI 1D Array</t>
  </si>
  <si>
    <t>1.0.2.3</t>
  </si>
  <si>
    <t>MGI</t>
  </si>
  <si>
    <t>MGI 2D Array</t>
  </si>
  <si>
    <t>1.1.1.5</t>
  </si>
  <si>
    <t>MGI Actor Framework Message Maker</t>
  </si>
  <si>
    <t>1.0.1.6</t>
  </si>
  <si>
    <t>MGI Application Control</t>
  </si>
  <si>
    <t>1.1.1.10</t>
  </si>
  <si>
    <t>MGI Bezier</t>
  </si>
  <si>
    <t>1.1.1.2</t>
  </si>
  <si>
    <t>MGI Boolean</t>
  </si>
  <si>
    <t>1.0.1.3</t>
  </si>
  <si>
    <t>MGI Class Method Browser</t>
  </si>
  <si>
    <t>1.0.0.20</t>
  </si>
  <si>
    <t>MGI Cluster</t>
  </si>
  <si>
    <t>1.1.0.1</t>
  </si>
  <si>
    <t>MGI Coordinates</t>
  </si>
  <si>
    <t>MGI Error Handling</t>
  </si>
  <si>
    <t>1.1.1.3</t>
  </si>
  <si>
    <t>MGI Error Reporter</t>
  </si>
  <si>
    <t>1.0.2.5</t>
  </si>
  <si>
    <t>MGI File</t>
  </si>
  <si>
    <t>1.1.0.4</t>
  </si>
  <si>
    <t>MGI Graph</t>
  </si>
  <si>
    <t>1.0.2.6</t>
  </si>
  <si>
    <t>MGI Library</t>
  </si>
  <si>
    <t>1.2.0.4</t>
  </si>
  <si>
    <t>MGI Matrix &amp; Vector</t>
  </si>
  <si>
    <t>MGI Menu Building</t>
  </si>
  <si>
    <t>1.0.1.4</t>
  </si>
  <si>
    <t>MGI Monitored Actor</t>
  </si>
  <si>
    <t>2.0.0.23</t>
  </si>
  <si>
    <t>MGI Numeric</t>
  </si>
  <si>
    <t>1.1.0.2</t>
  </si>
  <si>
    <t>MGI Panel Manager</t>
  </si>
  <si>
    <t>MGI Panel Manager - DQMH Panels</t>
  </si>
  <si>
    <t>MGI Picture &amp; Image</t>
  </si>
  <si>
    <t>1.0.2.1</t>
  </si>
  <si>
    <t>MGI Read/Write Anything</t>
  </si>
  <si>
    <t>2.1.4.4</t>
  </si>
  <si>
    <t>MGI Robust XML</t>
  </si>
  <si>
    <t>1.0.3.4</t>
  </si>
  <si>
    <t>MGI Spline</t>
  </si>
  <si>
    <t>MGI String</t>
  </si>
  <si>
    <t>MGI Timing</t>
  </si>
  <si>
    <t>MGI Tools</t>
  </si>
  <si>
    <t>1.0.0.4</t>
  </si>
  <si>
    <t>MGI Tree</t>
  </si>
  <si>
    <t>1.0.4.4</t>
  </si>
  <si>
    <t>MGI User Interface</t>
  </si>
  <si>
    <t>1.0.1.11</t>
  </si>
  <si>
    <t>MGI WSA Framework</t>
  </si>
  <si>
    <t>1.0.0.27</t>
  </si>
  <si>
    <t>NI Asynchronous Message Communication (AMC) Library</t>
  </si>
  <si>
    <t>3.3.1.22</t>
  </si>
  <si>
    <t>NI GXML</t>
  </si>
  <si>
    <t>1.4.2.8</t>
  </si>
  <si>
    <t>NI Keyed Array Library</t>
  </si>
  <si>
    <t>2.0.0.11</t>
  </si>
  <si>
    <t>NI Modbus Library</t>
  </si>
  <si>
    <t>1.2.1.42</t>
  </si>
  <si>
    <t>OpenG Application Control Library</t>
  </si>
  <si>
    <t>4.1.0.7</t>
  </si>
  <si>
    <t>OpenG.org</t>
  </si>
  <si>
    <t>OpenG Array Library</t>
  </si>
  <si>
    <t>4.1.1.14</t>
  </si>
  <si>
    <t>OpenG Boolean Library</t>
  </si>
  <si>
    <t>4.0.0.7</t>
  </si>
  <si>
    <t>OpenG Builder</t>
  </si>
  <si>
    <t>3.0.1-2</t>
  </si>
  <si>
    <t>OpenG Buttons Library</t>
  </si>
  <si>
    <t>OpenG Compare VI To Disk Tool</t>
  </si>
  <si>
    <t>4.0.0.9</t>
  </si>
  <si>
    <t>OpenG Comparison Library</t>
  </si>
  <si>
    <t>4.0.0.3</t>
  </si>
  <si>
    <t>OpenG Dictionary Library</t>
  </si>
  <si>
    <t>4.0.0.4</t>
  </si>
  <si>
    <t>OpenG Error Library</t>
  </si>
  <si>
    <t>4.2.0.23</t>
  </si>
  <si>
    <t>OpenG File Library</t>
  </si>
  <si>
    <t>4.0.1.22</t>
  </si>
  <si>
    <t>OpenG LabPython Library</t>
  </si>
  <si>
    <t>OpenG_org</t>
  </si>
  <si>
    <t>OpenG LabVIEW Data Library</t>
  </si>
  <si>
    <t>4.2.0.21</t>
  </si>
  <si>
    <t>OpenG LabVIEW ZIP Library</t>
  </si>
  <si>
    <t>4.0.0-2</t>
  </si>
  <si>
    <t>OpenG Large File Library</t>
  </si>
  <si>
    <t>OpenG Locate File In Project Tool</t>
  </si>
  <si>
    <t>OpenG MD5 Digest Library</t>
  </si>
  <si>
    <t>4.1.1.10</t>
  </si>
  <si>
    <t>OpenG Message Queue Library</t>
  </si>
  <si>
    <t>4.0.0.15</t>
  </si>
  <si>
    <t>OpenG Numeric Library</t>
  </si>
  <si>
    <t>4.1.0.8</t>
  </si>
  <si>
    <t>OpenG Picture Library</t>
  </si>
  <si>
    <t>4.0.0.13</t>
  </si>
  <si>
    <t>OpenG Port IO</t>
  </si>
  <si>
    <t>OpenG Rename Folder of VIs Tool</t>
  </si>
  <si>
    <t>OpenG String Library</t>
  </si>
  <si>
    <t>4.1.0.12</t>
  </si>
  <si>
    <t>OpenG Time Library</t>
  </si>
  <si>
    <t>4.0.1.3</t>
  </si>
  <si>
    <t>OpenG Toolkit</t>
  </si>
  <si>
    <t>4.0.1.9</t>
  </si>
  <si>
    <t>OpenG Variant Configuration File Library</t>
  </si>
  <si>
    <t>4.0.0.5</t>
  </si>
  <si>
    <t>Structure Error Handler</t>
  </si>
  <si>
    <t>2.1.10.1</t>
  </si>
  <si>
    <t>UI Tools</t>
  </si>
  <si>
    <t>1.4.1.74</t>
  </si>
  <si>
    <t>NI-CAN</t>
  </si>
  <si>
    <t>19.0.0.49154</t>
  </si>
  <si>
    <t>FieldPoint</t>
  </si>
  <si>
    <t>NI-IMAQ</t>
  </si>
  <si>
    <t>NI-IMAQ Development Support</t>
  </si>
  <si>
    <t>NI-IMAQ I/O</t>
  </si>
  <si>
    <t>NI-IMAQ I/O Development Support</t>
  </si>
  <si>
    <t>Vision Common Resources</t>
  </si>
  <si>
    <t>Image Processing and Machine Vision</t>
  </si>
  <si>
    <t>19.5.0.49152</t>
  </si>
  <si>
    <t>Image Services</t>
  </si>
  <si>
    <t>IVI Engine</t>
  </si>
  <si>
    <t>15.0.0.f0</t>
  </si>
  <si>
    <t>IVI Driver Toolset</t>
  </si>
  <si>
    <t>2005</t>
  </si>
  <si>
    <t>12.0.20.258</t>
  </si>
  <si>
    <t>Measurement Studio Vision</t>
  </si>
  <si>
    <t>13.5.35.173</t>
  </si>
  <si>
    <t>18.5.5.7372</t>
  </si>
  <si>
    <t>NI-IMAQdx</t>
  </si>
  <si>
    <t>NI-IMAQdx Development Support</t>
  </si>
  <si>
    <t>USB3 Vision Driver</t>
  </si>
  <si>
    <t>18.5.0.49152</t>
  </si>
  <si>
    <t>18.5.0f2</t>
  </si>
  <si>
    <t>NI-XNET Runtime</t>
  </si>
  <si>
    <t>18.5.0f1</t>
  </si>
  <si>
    <t>15.5.0f0</t>
  </si>
  <si>
    <t>Vision Development Module</t>
  </si>
  <si>
    <t>Vision Development Module Support</t>
  </si>
  <si>
    <t>19.5.0 SP1</t>
  </si>
  <si>
    <t>Vision Development Module Development Support</t>
  </si>
  <si>
    <t>18.5.0 SP1</t>
  </si>
  <si>
    <t>Vision Assistant</t>
  </si>
  <si>
    <t>NI-XNET</t>
  </si>
  <si>
    <t>FPGA</t>
  </si>
  <si>
    <t>NI 1588-2008 Network Management 15.0.0</t>
  </si>
  <si>
    <t>NI-DMM Soft Front Panel</t>
  </si>
  <si>
    <t>NI-SCOPE Soft Front Panel</t>
  </si>
  <si>
    <t>NI-FGEN Soft Front Panel</t>
  </si>
  <si>
    <t>18.0.1</t>
  </si>
  <si>
    <t>2018 SP1</t>
  </si>
  <si>
    <t>16.0.0</t>
  </si>
  <si>
    <t>2016  f6</t>
  </si>
  <si>
    <t>17.0.1</t>
  </si>
  <si>
    <t>2017 SP1 f3</t>
  </si>
  <si>
    <t>2019 SP1 f1</t>
  </si>
  <si>
    <t>15</t>
  </si>
  <si>
    <t>2015 SP1 f9</t>
  </si>
  <si>
    <t>2015 SP1 f1</t>
  </si>
  <si>
    <t>15.1.0</t>
  </si>
  <si>
    <t>2015 SP1 F10</t>
  </si>
  <si>
    <t>2015 f2</t>
  </si>
  <si>
    <t>NI-Industrial Communications for EtherCAT on "Y' Drive</t>
  </si>
  <si>
    <t xml:space="preserve">**Originals is all users and all software that is installed.  </t>
  </si>
  <si>
    <t>Real-Time 15.0.1</t>
  </si>
  <si>
    <t>LabVIEW 2014 SP1 f11 14.0.1</t>
  </si>
  <si>
    <t>Real-Time Trace Viewer - LabVIEW 2015 Support 15.0.1</t>
  </si>
  <si>
    <t>NI-PAL Software 15.1.0</t>
  </si>
  <si>
    <t>NI-VISA 15.5</t>
  </si>
  <si>
    <t>LabVIEW 2015 SP1 F10 15.0.1</t>
  </si>
  <si>
    <t>LabVIEW 2015 f2 15.0.0</t>
  </si>
  <si>
    <t>LabVIEW 2019</t>
  </si>
  <si>
    <t>CVI Runtime</t>
  </si>
  <si>
    <t>19.0.0f1</t>
  </si>
  <si>
    <t>NI-488.2 Runtime</t>
  </si>
  <si>
    <t>Runtime 19.0.0</t>
  </si>
  <si>
    <t>19.0.0.49152</t>
  </si>
  <si>
    <t>19.0.0f0</t>
  </si>
  <si>
    <t>LabVIEW 2015 (64-bit)</t>
  </si>
  <si>
    <t>LabVIEW Runtime 2012 SP1 f9</t>
  </si>
  <si>
    <t>LabVIEW Runtime 2012 SP1 f9 (64-bit)</t>
  </si>
  <si>
    <t>DotNET</t>
  </si>
  <si>
    <t>Common</t>
  </si>
  <si>
    <t>Common (64-bit)</t>
  </si>
  <si>
    <t>GigE Vision Driver</t>
  </si>
  <si>
    <t>1.9.3.49152</t>
  </si>
  <si>
    <t>NI PXI Platform Services Runtime</t>
  </si>
  <si>
    <t>Soft Front Panel</t>
  </si>
  <si>
    <t>Runtime Support 2019</t>
  </si>
  <si>
    <t>LabVIEW Runtime 2013 SP1 f6</t>
  </si>
  <si>
    <t>LabVIEW Runtime 2014 SP1 f11</t>
  </si>
  <si>
    <t>LabVIEW Runtime 2015 SP1</t>
  </si>
  <si>
    <t>LabVIEW Runtime 2018 SP1 f3</t>
  </si>
  <si>
    <t>LabVIEW Runtime 2019</t>
  </si>
  <si>
    <t>LabVIEW Runtime 2014 SP1 f11 (64-bit)</t>
  </si>
  <si>
    <t>LabVIEW Runtime 2015 f2 (64-bit)</t>
  </si>
  <si>
    <t>LabVIEW Runtime 2015 SP1 f10</t>
  </si>
  <si>
    <t>19.0.0.f1</t>
  </si>
  <si>
    <t>Vision Development Support</t>
  </si>
  <si>
    <t>GigE Vision Driver 2019 1.9.3.49152</t>
  </si>
  <si>
    <t>NI-XNET 2019 19.0.0f1</t>
  </si>
  <si>
    <t>LabVIEW 2019 SP1 f3 18.0.1</t>
  </si>
  <si>
    <t>LabVIEW 2019 19.0.0</t>
  </si>
  <si>
    <t>2018 SP1 f3</t>
  </si>
  <si>
    <t>LabVIEW Run-Time 2012 SP1 f9</t>
  </si>
  <si>
    <t>LabVIEW Run-Time 2013 SP1 f6</t>
  </si>
  <si>
    <t>LabVIEW Run-Time 2014 SP1 f1</t>
  </si>
  <si>
    <t>LabVIEW Run-Time 2015</t>
  </si>
  <si>
    <t>LabVIEW Runtime 2014 SP1 f1 (64-bit)</t>
  </si>
  <si>
    <t>LabVIEW Runtime 2015 (64-bit)</t>
  </si>
  <si>
    <t>LabVIEW Runtime 2014 SP1 f3</t>
  </si>
  <si>
    <t>2015 SP1 Update Service</t>
  </si>
  <si>
    <t>Confluence</t>
  </si>
  <si>
    <t>18.1</t>
  </si>
  <si>
    <t>2016 f5</t>
  </si>
  <si>
    <t>2018 f2</t>
  </si>
  <si>
    <t xml:space="preserve">LabWindows/CVI </t>
  </si>
  <si>
    <t>2013 SP2</t>
  </si>
  <si>
    <t>18.0</t>
  </si>
  <si>
    <t>18.2</t>
  </si>
  <si>
    <t>17.5</t>
  </si>
  <si>
    <t>NI Serial</t>
  </si>
  <si>
    <t>31</t>
  </si>
  <si>
    <t>CompactRIO 18.1.0</t>
  </si>
  <si>
    <t>18.1.0</t>
  </si>
  <si>
    <t>18.0.0f0</t>
  </si>
  <si>
    <t>18.1.0f0</t>
  </si>
  <si>
    <t>17.5.0f0</t>
  </si>
  <si>
    <t>18.0.0.49152</t>
  </si>
  <si>
    <t>LabVIEW Runtime 2016 f5</t>
  </si>
  <si>
    <t>LabVIEW Runtime 2017 SP1 f2</t>
  </si>
  <si>
    <t xml:space="preserve"> Devlopment</t>
  </si>
  <si>
    <t>2017 SP1 f2</t>
  </si>
  <si>
    <t>C Series Module Support 18.1.0</t>
  </si>
  <si>
    <t>NI-DAQmx ADE Support 18.1.0</t>
  </si>
  <si>
    <t>NI-Serial Configuration 17.5.0f0</t>
  </si>
  <si>
    <t>Measurement &amp; Automation Explorer 18.0.0f0</t>
  </si>
  <si>
    <t>NI-Switch Soft Front Panel 18.1.0</t>
  </si>
  <si>
    <t>NI-Sync 18.1.0f0</t>
  </si>
  <si>
    <t>18.0.0</t>
  </si>
  <si>
    <t>18.0.0f1</t>
  </si>
  <si>
    <t>EtherCAT 18.0.0</t>
  </si>
  <si>
    <t xml:space="preserve">**Scott is Scott's software that is installed.  </t>
  </si>
  <si>
    <t xml:space="preserve">**Install Difference shows the difference between installs.  </t>
  </si>
  <si>
    <t>EtherCAT Update Service</t>
  </si>
  <si>
    <t>NI-Sync Runtime</t>
  </si>
  <si>
    <t>LabVIEW Runtime 2017 SP1 f3</t>
  </si>
  <si>
    <t>1-Corey</t>
  </si>
  <si>
    <t>2-Spencer</t>
  </si>
  <si>
    <t>5-Confluence</t>
  </si>
  <si>
    <t>**Combined Run is Combine of Originals and Scott with only Development Software Selected. Duplicates are Removed.</t>
  </si>
  <si>
    <t>**Combined Run is Combine of Originals and Scott with only Runtime Software Selected.  Duplicates are removed.</t>
  </si>
  <si>
    <t>Y</t>
  </si>
  <si>
    <t>Only</t>
  </si>
  <si>
    <t>VInnie</t>
  </si>
  <si>
    <t>N</t>
  </si>
  <si>
    <t xml:space="preserve">**Cross-Reference is both Runtime and Development Software Versions with Duplicates Manually Removed. </t>
  </si>
  <si>
    <t>OpenG Application Control Library 4.1.0.7</t>
  </si>
  <si>
    <t>OpenG Array Library 4.1.1.14</t>
  </si>
  <si>
    <t>OpenG Boolean Library 4.0.0.7</t>
  </si>
  <si>
    <t>OpenG Builder 3.0.1-2</t>
  </si>
  <si>
    <t>OpenG Buttons Library 4.0.0.7</t>
  </si>
  <si>
    <t>OpenG Compare VI To Disk Tool 4.0.0.9</t>
  </si>
  <si>
    <t>OpenG Comparison Library 4.0.0.3</t>
  </si>
  <si>
    <t>OpenG Dictionary Library 4.0.0.4</t>
  </si>
  <si>
    <t>OpenG Error Library 4.2.0.23</t>
  </si>
  <si>
    <t>OpenG File Library 4.0.1.22</t>
  </si>
  <si>
    <t>OpenG LabPython Library 4.0.0.4</t>
  </si>
  <si>
    <t>OpenG LabVIEW Data Library 4.2.0.21</t>
  </si>
  <si>
    <t>OpenG LabVIEW ZIP Library 4.0.0-2</t>
  </si>
  <si>
    <t>OpenG Large File Library 4.0.0.3</t>
  </si>
  <si>
    <t>OpenG Locate File In Project Tool 4.0.0.7</t>
  </si>
  <si>
    <t>OpenG MD5 Digest Library 4.1.1.10</t>
  </si>
  <si>
    <t>OpenG Message Queue Library 4.0.0.15</t>
  </si>
  <si>
    <t>OpenG Numeric Library 4.1.0.8</t>
  </si>
  <si>
    <t>OpenG Picture Library 4.0.0.13</t>
  </si>
  <si>
    <t>OpenG Port IO 4.0.0-2</t>
  </si>
  <si>
    <t>OpenG Rename Folder of VIs Tool 4.0.0.15</t>
  </si>
  <si>
    <t>OpenG String Library 4.1.0.12</t>
  </si>
  <si>
    <t>OpenG Toolkit 4.0.1.9</t>
  </si>
  <si>
    <t>OpenG Variant Configuration File Library 4.0.0.5</t>
  </si>
  <si>
    <t>vipm-22.0.2371-windows-setup</t>
  </si>
  <si>
    <t>4.0.0.68</t>
  </si>
  <si>
    <t>NI Asynchronous Message Communication (AMC) Library 3.3.1.22</t>
  </si>
  <si>
    <t>NI CompactRIO Information (CRI) Library 2015.0.0.1</t>
  </si>
  <si>
    <t>DQMH Consortium</t>
  </si>
  <si>
    <t>Openg.org</t>
  </si>
  <si>
    <t>4-Vinnie</t>
  </si>
  <si>
    <t>3-Scott</t>
  </si>
  <si>
    <t>NI-Industrial Communications for EtherCAT 15.0.0</t>
  </si>
  <si>
    <t>NI CAN 15.0</t>
  </si>
  <si>
    <t>NI-CAN 15.0.0f0</t>
  </si>
  <si>
    <t>LabVIEW Runtime 2019 SP1 f3</t>
  </si>
  <si>
    <t>Open Source GOOP Development Suite</t>
  </si>
  <si>
    <t>1.1.17.56</t>
  </si>
  <si>
    <t>Status</t>
  </si>
  <si>
    <t>Visual Studio 2005 Support - See individual versions below.</t>
  </si>
  <si>
    <t>NI XNET</t>
  </si>
  <si>
    <t>LabVIEW Runtime 2016 f6</t>
  </si>
  <si>
    <t>NI FieldPoint</t>
  </si>
  <si>
    <t>LabVIEW Interface</t>
  </si>
  <si>
    <t>NI-XNET 18.5</t>
  </si>
  <si>
    <t>NI-CAN 15.0</t>
  </si>
  <si>
    <t>NI FieldPoint 15.0</t>
  </si>
  <si>
    <t>Person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</si>
</sst>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color theme="0"/>
      <name val="Aptos Narrow"/>
      <family val="2"/>
      <scheme val="minor"/>
    </font>
    <font>
      <sz val="10"/>
      <color rgb="FF00B050"/>
      <name val="Aptos Narrow"/>
      <family val="2"/>
      <scheme val="minor"/>
    </font>
    <font>
      <sz val="10"/>
      <color rgb="FFFF0000"/>
      <name val="Aptos Narrow"/>
      <family val="2"/>
      <scheme val="minor"/>
    </font>
    <font>
      <b/>
      <sz val="10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54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</fills>
  <borders count="2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2">
    <xf numFmtId="0" fontId="0" fillId="0" borderId="0" xfId="0"/>
    <xf numFmtId="49" fontId="1" fillId="2" borderId="4" xfId="0" applyNumberFormat="1" applyFont="1" applyFill="1" applyBorder="1" applyAlignment="1">
      <alignment horizontal="center" vertical="center"/>
    </xf>
    <xf numFmtId="49" fontId="1" fillId="2" borderId="4" xfId="0" applyNumberFormat="1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49" fontId="3" fillId="10" borderId="3" xfId="0" applyNumberFormat="1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49" fontId="3" fillId="11" borderId="3" xfId="0" applyNumberFormat="1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49" fontId="1" fillId="2" borderId="4" xfId="0" applyNumberFormat="1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49" fontId="2" fillId="1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3" fillId="13" borderId="1" xfId="0" applyFont="1" applyFill="1" applyBorder="1" applyAlignment="1">
      <alignment horizontal="center" vertical="center"/>
    </xf>
    <xf numFmtId="49" fontId="3" fillId="13" borderId="3" xfId="0" applyNumberFormat="1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horizontal="center" wrapText="1"/>
    </xf>
    <xf numFmtId="0" fontId="2" fillId="0" borderId="1" xfId="0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0" fontId="6" fillId="16" borderId="3" xfId="0" applyFont="1" applyFill="1" applyBorder="1" applyAlignment="1">
      <alignment horizontal="left" vertical="center" wrapText="1"/>
    </xf>
    <xf numFmtId="0" fontId="6" fillId="16" borderId="14" xfId="0" applyFont="1" applyFill="1" applyBorder="1" applyAlignment="1">
      <alignment horizontal="left" vertical="center" wrapText="1"/>
    </xf>
    <xf numFmtId="0" fontId="4" fillId="15" borderId="3" xfId="0" applyFont="1" applyFill="1" applyBorder="1" applyAlignment="1">
      <alignment horizontal="center" vertical="center"/>
    </xf>
    <xf numFmtId="49" fontId="4" fillId="15" borderId="3" xfId="0" applyNumberFormat="1" applyFont="1" applyFill="1" applyBorder="1" applyAlignment="1">
      <alignment horizontal="center" vertical="center" wrapText="1"/>
    </xf>
    <xf numFmtId="49" fontId="4" fillId="15" borderId="3" xfId="0" applyNumberFormat="1" applyFont="1" applyFill="1" applyBorder="1" applyAlignment="1">
      <alignment horizontal="center" vertical="center"/>
    </xf>
    <xf numFmtId="0" fontId="4" fillId="16" borderId="3" xfId="0" applyFont="1" applyFill="1" applyBorder="1" applyAlignment="1">
      <alignment horizontal="center" wrapText="1"/>
    </xf>
    <xf numFmtId="49" fontId="4" fillId="16" borderId="3" xfId="0" applyNumberFormat="1" applyFont="1" applyFill="1" applyBorder="1" applyAlignment="1">
      <alignment horizontal="center" vertical="center"/>
    </xf>
    <xf numFmtId="0" fontId="4" fillId="16" borderId="3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2" fillId="0" borderId="1" xfId="0" applyFont="1" applyBorder="1"/>
    <xf numFmtId="0" fontId="7" fillId="2" borderId="6" xfId="0" applyFont="1" applyFill="1" applyBorder="1" applyAlignment="1">
      <alignment horizontal="left" vertical="center"/>
    </xf>
    <xf numFmtId="49" fontId="7" fillId="2" borderId="4" xfId="0" applyNumberFormat="1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/>
    </xf>
    <xf numFmtId="0" fontId="7" fillId="2" borderId="5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6" borderId="1" xfId="0" applyFont="1" applyFill="1" applyBorder="1" applyAlignment="1">
      <alignment horizontal="left"/>
    </xf>
    <xf numFmtId="0" fontId="2" fillId="6" borderId="1" xfId="0" applyFont="1" applyFill="1" applyBorder="1"/>
    <xf numFmtId="0" fontId="2" fillId="14" borderId="1" xfId="0" applyFont="1" applyFill="1" applyBorder="1" applyAlignment="1">
      <alignment horizontal="left"/>
    </xf>
    <xf numFmtId="0" fontId="2" fillId="14" borderId="1" xfId="0" applyFont="1" applyFill="1" applyBorder="1"/>
    <xf numFmtId="0" fontId="2" fillId="3" borderId="1" xfId="0" applyFont="1" applyFill="1" applyBorder="1" applyAlignment="1">
      <alignment horizontal="left"/>
    </xf>
    <xf numFmtId="0" fontId="2" fillId="3" borderId="1" xfId="0" applyFont="1" applyFill="1" applyBorder="1"/>
    <xf numFmtId="0" fontId="2" fillId="8" borderId="1" xfId="0" applyFont="1" applyFill="1" applyBorder="1" applyAlignment="1">
      <alignment horizontal="left"/>
    </xf>
    <xf numFmtId="0" fontId="2" fillId="8" borderId="1" xfId="0" applyFont="1" applyFill="1" applyBorder="1"/>
    <xf numFmtId="0" fontId="2" fillId="12" borderId="1" xfId="0" applyFont="1" applyFill="1" applyBorder="1" applyAlignment="1">
      <alignment horizontal="left"/>
    </xf>
    <xf numFmtId="0" fontId="2" fillId="12" borderId="1" xfId="0" applyFont="1" applyFill="1" applyBorder="1"/>
    <xf numFmtId="0" fontId="2" fillId="0" borderId="0" xfId="0" applyFont="1" applyAlignment="1">
      <alignment horizontal="left"/>
    </xf>
    <xf numFmtId="0" fontId="2" fillId="14" borderId="1" xfId="0" applyFont="1" applyFill="1" applyBorder="1" applyAlignment="1">
      <alignment horizontal="center" vertical="center"/>
    </xf>
    <xf numFmtId="49" fontId="2" fillId="14" borderId="1" xfId="0" applyNumberFormat="1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49" fontId="10" fillId="17" borderId="1" xfId="0" applyNumberFormat="1" applyFont="1" applyFill="1" applyBorder="1" applyAlignment="1">
      <alignment horizontal="center" vertical="center"/>
    </xf>
    <xf numFmtId="0" fontId="10" fillId="17" borderId="10" xfId="0" applyFont="1" applyFill="1" applyBorder="1" applyAlignment="1">
      <alignment horizontal="center" vertical="center"/>
    </xf>
    <xf numFmtId="49" fontId="10" fillId="17" borderId="10" xfId="0" applyNumberFormat="1" applyFont="1" applyFill="1" applyBorder="1" applyAlignment="1">
      <alignment horizontal="center" vertical="center"/>
    </xf>
    <xf numFmtId="0" fontId="4" fillId="18" borderId="3" xfId="0" applyFont="1" applyFill="1" applyBorder="1" applyAlignment="1">
      <alignment horizontal="center" wrapText="1"/>
    </xf>
    <xf numFmtId="49" fontId="4" fillId="18" borderId="3" xfId="0" applyNumberFormat="1" applyFont="1" applyFill="1" applyBorder="1" applyAlignment="1">
      <alignment horizontal="center" vertical="center"/>
    </xf>
    <xf numFmtId="0" fontId="4" fillId="18" borderId="3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49" fontId="4" fillId="19" borderId="3" xfId="0" applyNumberFormat="1" applyFont="1" applyFill="1" applyBorder="1" applyAlignment="1">
      <alignment horizontal="center" vertical="center"/>
    </xf>
    <xf numFmtId="0" fontId="4" fillId="19" borderId="3" xfId="0" applyFont="1" applyFill="1" applyBorder="1" applyAlignment="1">
      <alignment horizontal="center" vertical="center"/>
    </xf>
    <xf numFmtId="49" fontId="4" fillId="19" borderId="3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left"/>
    </xf>
    <xf numFmtId="0" fontId="2" fillId="20" borderId="1" xfId="0" applyFont="1" applyFill="1" applyBorder="1"/>
    <xf numFmtId="0" fontId="6" fillId="16" borderId="17" xfId="0" applyFont="1" applyFill="1" applyBorder="1" applyAlignment="1">
      <alignment horizontal="left" vertical="center" wrapText="1"/>
    </xf>
    <xf numFmtId="0" fontId="6" fillId="16" borderId="11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4" borderId="1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0" xfId="0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3" xfId="0" applyBorder="1" applyAlignment="1">
      <alignment horizontal="left" wrapText="1"/>
    </xf>
    <xf numFmtId="49" fontId="3" fillId="4" borderId="14" xfId="0" applyNumberFormat="1" applyFont="1" applyFill="1" applyBorder="1" applyAlignment="1">
      <alignment horizontal="left" vertical="center" wrapText="1"/>
    </xf>
    <xf numFmtId="0" fontId="3" fillId="5" borderId="14" xfId="0" applyFont="1" applyFill="1" applyBorder="1" applyAlignment="1">
      <alignment horizontal="left" vertical="center" wrapText="1"/>
    </xf>
    <xf numFmtId="0" fontId="3" fillId="10" borderId="14" xfId="0" applyFont="1" applyFill="1" applyBorder="1" applyAlignment="1">
      <alignment horizontal="left" vertical="center" wrapText="1"/>
    </xf>
    <xf numFmtId="0" fontId="3" fillId="11" borderId="14" xfId="0" applyFont="1" applyFill="1" applyBorder="1" applyAlignment="1">
      <alignment horizontal="left" vertical="center" wrapText="1"/>
    </xf>
    <xf numFmtId="0" fontId="3" fillId="11" borderId="17" xfId="0" applyFont="1" applyFill="1" applyBorder="1" applyAlignment="1">
      <alignment horizontal="left" vertical="center" wrapText="1"/>
    </xf>
    <xf numFmtId="0" fontId="6" fillId="13" borderId="14" xfId="0" applyFont="1" applyFill="1" applyBorder="1" applyAlignment="1">
      <alignment horizontal="left" vertical="center" wrapText="1"/>
    </xf>
    <xf numFmtId="0" fontId="6" fillId="15" borderId="14" xfId="0" applyFont="1" applyFill="1" applyBorder="1" applyAlignment="1">
      <alignment horizontal="left" vertical="center" wrapText="1"/>
    </xf>
    <xf numFmtId="0" fontId="6" fillId="15" borderId="17" xfId="0" applyFont="1" applyFill="1" applyBorder="1" applyAlignment="1">
      <alignment horizontal="left" vertical="center" wrapText="1"/>
    </xf>
    <xf numFmtId="49" fontId="3" fillId="4" borderId="3" xfId="0" applyNumberFormat="1" applyFont="1" applyFill="1" applyBorder="1" applyAlignment="1">
      <alignment horizontal="left" vertical="center" wrapText="1"/>
    </xf>
    <xf numFmtId="0" fontId="3" fillId="5" borderId="3" xfId="0" applyFont="1" applyFill="1" applyBorder="1" applyAlignment="1">
      <alignment horizontal="left" vertical="center" wrapText="1"/>
    </xf>
    <xf numFmtId="0" fontId="3" fillId="10" borderId="3" xfId="0" applyFont="1" applyFill="1" applyBorder="1" applyAlignment="1">
      <alignment horizontal="left" vertical="center" wrapText="1"/>
    </xf>
    <xf numFmtId="0" fontId="3" fillId="11" borderId="3" xfId="0" applyFont="1" applyFill="1" applyBorder="1" applyAlignment="1">
      <alignment horizontal="left" vertical="center" wrapText="1"/>
    </xf>
    <xf numFmtId="0" fontId="3" fillId="11" borderId="11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6" fillId="15" borderId="11" xfId="0" applyFont="1" applyFill="1" applyBorder="1" applyAlignment="1">
      <alignment horizontal="left" vertical="center" wrapText="1"/>
    </xf>
    <xf numFmtId="0" fontId="0" fillId="0" borderId="10" xfId="0" applyBorder="1" applyAlignment="1">
      <alignment horizontal="left"/>
    </xf>
    <xf numFmtId="0" fontId="4" fillId="19" borderId="3" xfId="0" applyFont="1" applyFill="1" applyBorder="1" applyAlignment="1">
      <alignment horizontal="left" wrapText="1"/>
    </xf>
    <xf numFmtId="0" fontId="4" fillId="21" borderId="3" xfId="0" applyFont="1" applyFill="1" applyBorder="1" applyAlignment="1">
      <alignment horizontal="left" wrapText="1"/>
    </xf>
    <xf numFmtId="0" fontId="4" fillId="19" borderId="11" xfId="0" applyFont="1" applyFill="1" applyBorder="1" applyAlignment="1">
      <alignment horizontal="left" wrapText="1"/>
    </xf>
    <xf numFmtId="0" fontId="5" fillId="21" borderId="3" xfId="0" applyFont="1" applyFill="1" applyBorder="1" applyAlignment="1">
      <alignment horizontal="left" vertical="center" wrapText="1"/>
    </xf>
    <xf numFmtId="0" fontId="5" fillId="21" borderId="11" xfId="0" applyFont="1" applyFill="1" applyBorder="1" applyAlignment="1">
      <alignment horizontal="left" vertical="center" wrapText="1"/>
    </xf>
    <xf numFmtId="0" fontId="4" fillId="21" borderId="11" xfId="0" applyFont="1" applyFill="1" applyBorder="1" applyAlignment="1">
      <alignment horizontal="left" wrapText="1"/>
    </xf>
    <xf numFmtId="0" fontId="5" fillId="17" borderId="3" xfId="0" applyFont="1" applyFill="1" applyBorder="1" applyAlignment="1">
      <alignment horizontal="left" vertical="center" wrapText="1"/>
    </xf>
    <xf numFmtId="0" fontId="12" fillId="4" borderId="15" xfId="0" applyFont="1" applyFill="1" applyBorder="1" applyAlignment="1">
      <alignment horizontal="left" vertical="center" wrapText="1"/>
    </xf>
    <xf numFmtId="0" fontId="12" fillId="4" borderId="16" xfId="0" applyFont="1" applyFill="1" applyBorder="1" applyAlignment="1">
      <alignment horizontal="left" vertical="center" wrapText="1"/>
    </xf>
    <xf numFmtId="0" fontId="12" fillId="5" borderId="15" xfId="0" applyFont="1" applyFill="1" applyBorder="1" applyAlignment="1">
      <alignment horizontal="left" vertical="center" wrapText="1"/>
    </xf>
    <xf numFmtId="0" fontId="12" fillId="5" borderId="16" xfId="0" applyFont="1" applyFill="1" applyBorder="1" applyAlignment="1">
      <alignment horizontal="left" vertical="center" wrapText="1"/>
    </xf>
    <xf numFmtId="0" fontId="12" fillId="10" borderId="15" xfId="0" applyFont="1" applyFill="1" applyBorder="1" applyAlignment="1">
      <alignment horizontal="left" vertical="center" wrapText="1"/>
    </xf>
    <xf numFmtId="0" fontId="12" fillId="10" borderId="16" xfId="0" applyFont="1" applyFill="1" applyBorder="1" applyAlignment="1">
      <alignment horizontal="left" vertical="center" wrapText="1"/>
    </xf>
    <xf numFmtId="0" fontId="12" fillId="11" borderId="15" xfId="0" applyFont="1" applyFill="1" applyBorder="1" applyAlignment="1">
      <alignment horizontal="left" vertical="center" wrapText="1"/>
    </xf>
    <xf numFmtId="0" fontId="12" fillId="11" borderId="16" xfId="0" applyFont="1" applyFill="1" applyBorder="1" applyAlignment="1">
      <alignment horizontal="left" vertical="center" wrapText="1"/>
    </xf>
    <xf numFmtId="0" fontId="12" fillId="13" borderId="15" xfId="0" applyFont="1" applyFill="1" applyBorder="1" applyAlignment="1">
      <alignment horizontal="left" vertical="center" wrapText="1"/>
    </xf>
    <xf numFmtId="0" fontId="12" fillId="13" borderId="16" xfId="0" applyFont="1" applyFill="1" applyBorder="1" applyAlignment="1">
      <alignment horizontal="left" vertical="center" wrapText="1"/>
    </xf>
    <xf numFmtId="0" fontId="12" fillId="15" borderId="18" xfId="0" applyFont="1" applyFill="1" applyBorder="1" applyAlignment="1">
      <alignment horizontal="left" wrapText="1"/>
    </xf>
    <xf numFmtId="0" fontId="12" fillId="15" borderId="19" xfId="0" applyFont="1" applyFill="1" applyBorder="1" applyAlignment="1">
      <alignment horizontal="left" wrapText="1"/>
    </xf>
    <xf numFmtId="0" fontId="12" fillId="16" borderId="15" xfId="0" applyFont="1" applyFill="1" applyBorder="1" applyAlignment="1">
      <alignment horizontal="left" vertical="center" wrapText="1"/>
    </xf>
    <xf numFmtId="0" fontId="12" fillId="16" borderId="16" xfId="0" applyFont="1" applyFill="1" applyBorder="1" applyAlignment="1">
      <alignment horizontal="left" vertical="center" wrapText="1"/>
    </xf>
    <xf numFmtId="0" fontId="4" fillId="19" borderId="14" xfId="0" applyFont="1" applyFill="1" applyBorder="1" applyAlignment="1">
      <alignment horizontal="left" wrapText="1"/>
    </xf>
    <xf numFmtId="0" fontId="4" fillId="19" borderId="17" xfId="0" applyFont="1" applyFill="1" applyBorder="1" applyAlignment="1">
      <alignment horizontal="left" wrapText="1"/>
    </xf>
    <xf numFmtId="0" fontId="5" fillId="21" borderId="14" xfId="0" applyFont="1" applyFill="1" applyBorder="1" applyAlignment="1">
      <alignment horizontal="left" vertical="center" wrapText="1"/>
    </xf>
    <xf numFmtId="0" fontId="5" fillId="21" borderId="17" xfId="0" applyFont="1" applyFill="1" applyBorder="1" applyAlignment="1">
      <alignment horizontal="left" vertical="center" wrapText="1"/>
    </xf>
    <xf numFmtId="0" fontId="5" fillId="17" borderId="14" xfId="0" applyFont="1" applyFill="1" applyBorder="1" applyAlignment="1">
      <alignment horizontal="left" vertical="center" wrapText="1"/>
    </xf>
    <xf numFmtId="0" fontId="12" fillId="19" borderId="15" xfId="0" applyFont="1" applyFill="1" applyBorder="1" applyAlignment="1">
      <alignment horizontal="left" vertical="center" wrapText="1"/>
    </xf>
    <xf numFmtId="0" fontId="12" fillId="19" borderId="20" xfId="0" applyFont="1" applyFill="1" applyBorder="1" applyAlignment="1">
      <alignment horizontal="left" vertical="center" wrapText="1"/>
    </xf>
    <xf numFmtId="0" fontId="12" fillId="21" borderId="21" xfId="0" applyFont="1" applyFill="1" applyBorder="1" applyAlignment="1">
      <alignment horizontal="left"/>
    </xf>
    <xf numFmtId="0" fontId="12" fillId="17" borderId="22" xfId="0" applyFont="1" applyFill="1" applyBorder="1" applyAlignment="1">
      <alignment horizontal="left"/>
    </xf>
    <xf numFmtId="0" fontId="12" fillId="17" borderId="16" xfId="0" applyFont="1" applyFill="1" applyBorder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49" fontId="10" fillId="17" borderId="13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 wrapText="1"/>
    </xf>
    <xf numFmtId="49" fontId="2" fillId="0" borderId="10" xfId="0" applyNumberFormat="1" applyFont="1" applyBorder="1" applyAlignment="1">
      <alignment horizontal="center" vertical="center"/>
    </xf>
    <xf numFmtId="0" fontId="3" fillId="19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  <color rgb="FFFF0000"/>
      <color rgb="FFFF99CC"/>
      <color rgb="FFFA5450"/>
      <color rgb="FFF6D1C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24" Type="http://schemas.openxmlformats.org/officeDocument/2006/relationships/printerSettings" Target="../printerSettings/printerSettings1.bin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23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23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://openg.org/" TargetMode="External"/><Relationship Id="rId13" Type="http://schemas.openxmlformats.org/officeDocument/2006/relationships/hyperlink" Target="http://openg.org/" TargetMode="External"/><Relationship Id="rId18" Type="http://schemas.openxmlformats.org/officeDocument/2006/relationships/hyperlink" Target="http://openg.org/" TargetMode="External"/><Relationship Id="rId3" Type="http://schemas.openxmlformats.org/officeDocument/2006/relationships/hyperlink" Target="http://openg.org/" TargetMode="External"/><Relationship Id="rId21" Type="http://schemas.openxmlformats.org/officeDocument/2006/relationships/hyperlink" Target="http://openg.org/" TargetMode="External"/><Relationship Id="rId7" Type="http://schemas.openxmlformats.org/officeDocument/2006/relationships/hyperlink" Target="http://openg.org/" TargetMode="External"/><Relationship Id="rId12" Type="http://schemas.openxmlformats.org/officeDocument/2006/relationships/hyperlink" Target="http://openg.org/" TargetMode="External"/><Relationship Id="rId17" Type="http://schemas.openxmlformats.org/officeDocument/2006/relationships/hyperlink" Target="http://openg.org/" TargetMode="External"/><Relationship Id="rId2" Type="http://schemas.openxmlformats.org/officeDocument/2006/relationships/hyperlink" Target="http://openg.org/" TargetMode="External"/><Relationship Id="rId16" Type="http://schemas.openxmlformats.org/officeDocument/2006/relationships/hyperlink" Target="http://openg.org/" TargetMode="External"/><Relationship Id="rId20" Type="http://schemas.openxmlformats.org/officeDocument/2006/relationships/hyperlink" Target="http://openg.org/" TargetMode="External"/><Relationship Id="rId1" Type="http://schemas.openxmlformats.org/officeDocument/2006/relationships/hyperlink" Target="http://openg.org/" TargetMode="External"/><Relationship Id="rId6" Type="http://schemas.openxmlformats.org/officeDocument/2006/relationships/hyperlink" Target="http://openg.org/" TargetMode="External"/><Relationship Id="rId11" Type="http://schemas.openxmlformats.org/officeDocument/2006/relationships/hyperlink" Target="http://openg.org/" TargetMode="External"/><Relationship Id="rId5" Type="http://schemas.openxmlformats.org/officeDocument/2006/relationships/hyperlink" Target="http://openg.org/" TargetMode="External"/><Relationship Id="rId15" Type="http://schemas.openxmlformats.org/officeDocument/2006/relationships/hyperlink" Target="http://openg.org/" TargetMode="External"/><Relationship Id="rId10" Type="http://schemas.openxmlformats.org/officeDocument/2006/relationships/hyperlink" Target="http://openg.org/" TargetMode="External"/><Relationship Id="rId19" Type="http://schemas.openxmlformats.org/officeDocument/2006/relationships/hyperlink" Target="http://openg.org/" TargetMode="External"/><Relationship Id="rId4" Type="http://schemas.openxmlformats.org/officeDocument/2006/relationships/hyperlink" Target="http://openg.org/" TargetMode="External"/><Relationship Id="rId9" Type="http://schemas.openxmlformats.org/officeDocument/2006/relationships/hyperlink" Target="http://openg.org/" TargetMode="External"/><Relationship Id="rId14" Type="http://schemas.openxmlformats.org/officeDocument/2006/relationships/hyperlink" Target="http://openg.org/" TargetMode="External"/><Relationship Id="rId22" Type="http://schemas.openxmlformats.org/officeDocument/2006/relationships/hyperlink" Target="http://openg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602A1-016F-424D-B7DE-56E6D30ECAB2}">
  <sheetPr codeName="Sheet1" filterMode="1"/>
  <dimension ref="A1:J456"/>
  <sheetViews>
    <sheetView tabSelected="1" zoomScaleNormal="100" workbookViewId="0">
      <pane ySplit="3" topLeftCell="A173" activePane="bottomLeft" state="frozen"/>
      <selection pane="bottomLeft" activeCell="A4" sqref="A4"/>
    </sheetView>
  </sheetViews>
  <sheetFormatPr defaultColWidth="9.28515625" defaultRowHeight="13.5" x14ac:dyDescent="0.25"/>
  <cols>
    <col min="1" max="1" width="11.28515625" style="5" bestFit="1" customWidth="1"/>
    <col min="2" max="2" width="44.140625" style="5" bestFit="1" customWidth="1"/>
    <col min="3" max="3" width="12.42578125" style="12" bestFit="1" customWidth="1"/>
    <col min="4" max="4" width="12.28515625" style="12" bestFit="1" customWidth="1"/>
    <col min="5" max="5" width="11.42578125" style="12" bestFit="1" customWidth="1"/>
    <col min="6" max="6" width="26.7109375" style="12" bestFit="1" customWidth="1"/>
    <col min="7" max="7" width="15.28515625" style="12" bestFit="1" customWidth="1"/>
    <col min="8" max="8" width="51" style="5" bestFit="1" customWidth="1"/>
    <col min="9" max="9" width="44" style="5" bestFit="1" customWidth="1"/>
    <col min="10" max="16384" width="9.28515625" style="5"/>
  </cols>
  <sheetData>
    <row r="1" spans="1:10" x14ac:dyDescent="0.25">
      <c r="A1" s="98" t="s">
        <v>416</v>
      </c>
      <c r="B1" s="99"/>
      <c r="C1" s="99"/>
      <c r="D1" s="99"/>
      <c r="E1" s="99"/>
      <c r="F1" s="99"/>
      <c r="G1" s="99"/>
      <c r="H1" s="99"/>
      <c r="I1" s="100"/>
    </row>
    <row r="2" spans="1:10" ht="14.25" thickBot="1" x14ac:dyDescent="0.3">
      <c r="A2" s="101"/>
      <c r="B2" s="101"/>
      <c r="C2" s="101"/>
      <c r="D2" s="101"/>
      <c r="E2" s="101"/>
      <c r="F2" s="101"/>
      <c r="G2" s="101"/>
      <c r="H2" s="101"/>
      <c r="I2" s="102"/>
    </row>
    <row r="3" spans="1:10" ht="15" x14ac:dyDescent="0.25">
      <c r="A3" s="13" t="s">
        <v>98</v>
      </c>
      <c r="B3" s="1" t="s">
        <v>99</v>
      </c>
      <c r="C3" s="1" t="s">
        <v>3</v>
      </c>
      <c r="D3" s="1" t="s">
        <v>4</v>
      </c>
      <c r="E3" s="1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x14ac:dyDescent="0.25">
      <c r="A4" s="24" t="s">
        <v>500</v>
      </c>
      <c r="B4" s="24" t="s">
        <v>8</v>
      </c>
      <c r="C4" s="29" t="s">
        <v>9</v>
      </c>
      <c r="D4" s="29" t="s">
        <v>10</v>
      </c>
      <c r="E4" s="29" t="s">
        <v>11</v>
      </c>
      <c r="F4" s="29" t="s">
        <v>12</v>
      </c>
      <c r="G4" s="29" t="s">
        <v>13</v>
      </c>
      <c r="H4" s="24" t="str">
        <f t="shared" ref="H4:H12" si="0">B4&amp;" "&amp;C4</f>
        <v>Advanced Signal Processing Toolkit 15.0.0</v>
      </c>
      <c r="I4" s="30" t="s">
        <v>42</v>
      </c>
      <c r="J4" s="7"/>
    </row>
    <row r="5" spans="1:10" x14ac:dyDescent="0.25">
      <c r="A5" s="24" t="s">
        <v>500</v>
      </c>
      <c r="B5" s="32" t="s">
        <v>15</v>
      </c>
      <c r="C5" s="29" t="s">
        <v>9</v>
      </c>
      <c r="D5" s="29" t="s">
        <v>10</v>
      </c>
      <c r="E5" s="29" t="s">
        <v>11</v>
      </c>
      <c r="F5" s="29" t="s">
        <v>12</v>
      </c>
      <c r="G5" s="29" t="s">
        <v>13</v>
      </c>
      <c r="H5" s="24" t="str">
        <f t="shared" si="0"/>
        <v>C Series Module Support 15.0.0</v>
      </c>
      <c r="I5" s="30" t="s">
        <v>42</v>
      </c>
      <c r="J5" s="7"/>
    </row>
    <row r="6" spans="1:10" x14ac:dyDescent="0.25">
      <c r="A6" s="24" t="s">
        <v>500</v>
      </c>
      <c r="B6" s="24" t="s">
        <v>14</v>
      </c>
      <c r="C6" s="29" t="s">
        <v>9</v>
      </c>
      <c r="D6" s="29" t="s">
        <v>10</v>
      </c>
      <c r="E6" s="29" t="s">
        <v>11</v>
      </c>
      <c r="F6" s="29" t="s">
        <v>12</v>
      </c>
      <c r="G6" s="29" t="s">
        <v>13</v>
      </c>
      <c r="H6" s="24" t="str">
        <f t="shared" si="0"/>
        <v>CompactRIO 15.0.0</v>
      </c>
      <c r="I6" s="30" t="s">
        <v>42</v>
      </c>
      <c r="J6" s="7"/>
    </row>
    <row r="7" spans="1:10" x14ac:dyDescent="0.25">
      <c r="A7" s="24" t="s">
        <v>500</v>
      </c>
      <c r="B7" s="24" t="s">
        <v>75</v>
      </c>
      <c r="C7" s="29" t="s">
        <v>87</v>
      </c>
      <c r="D7" s="29" t="s">
        <v>10</v>
      </c>
      <c r="E7" s="29" t="s">
        <v>11</v>
      </c>
      <c r="F7" s="29" t="s">
        <v>24</v>
      </c>
      <c r="G7" s="29" t="s">
        <v>13</v>
      </c>
      <c r="H7" s="24" t="str">
        <f t="shared" si="0"/>
        <v>CVI 15.0.0.408</v>
      </c>
      <c r="I7" s="31" t="s">
        <v>91</v>
      </c>
      <c r="J7" s="7"/>
    </row>
    <row r="8" spans="1:10" x14ac:dyDescent="0.25">
      <c r="A8" s="24" t="s">
        <v>500</v>
      </c>
      <c r="B8" s="24" t="s">
        <v>33</v>
      </c>
      <c r="C8" s="29" t="s">
        <v>9</v>
      </c>
      <c r="D8" s="29" t="s">
        <v>10</v>
      </c>
      <c r="E8" s="29" t="s">
        <v>11</v>
      </c>
      <c r="F8" s="29" t="s">
        <v>12</v>
      </c>
      <c r="G8" s="29" t="s">
        <v>13</v>
      </c>
      <c r="H8" s="24" t="str">
        <f t="shared" si="0"/>
        <v>Database Connectivity Toolkit 15.0.0</v>
      </c>
      <c r="I8" s="30" t="s">
        <v>42</v>
      </c>
      <c r="J8" s="7"/>
    </row>
    <row r="9" spans="1:10" x14ac:dyDescent="0.25">
      <c r="A9" s="24" t="s">
        <v>500</v>
      </c>
      <c r="B9" s="24" t="s">
        <v>88</v>
      </c>
      <c r="C9" s="29" t="s">
        <v>89</v>
      </c>
      <c r="D9" s="29" t="s">
        <v>10</v>
      </c>
      <c r="E9" s="29" t="s">
        <v>11</v>
      </c>
      <c r="F9" s="29" t="s">
        <v>12</v>
      </c>
      <c r="G9" s="29" t="s">
        <v>13</v>
      </c>
      <c r="H9" s="24" t="str">
        <f t="shared" si="0"/>
        <v>DataFinder Toolkit 15.0.06020</v>
      </c>
      <c r="I9" s="30" t="s">
        <v>42</v>
      </c>
      <c r="J9" s="7"/>
    </row>
    <row r="10" spans="1:10" x14ac:dyDescent="0.25">
      <c r="A10" s="24" t="s">
        <v>500</v>
      </c>
      <c r="B10" s="24" t="s">
        <v>34</v>
      </c>
      <c r="C10" s="29" t="s">
        <v>9</v>
      </c>
      <c r="D10" s="29" t="s">
        <v>10</v>
      </c>
      <c r="E10" s="29" t="s">
        <v>11</v>
      </c>
      <c r="F10" s="29" t="s">
        <v>12</v>
      </c>
      <c r="G10" s="29" t="s">
        <v>13</v>
      </c>
      <c r="H10" s="24" t="str">
        <f t="shared" si="0"/>
        <v>Digital Filter Design Toolkit 15.0.0</v>
      </c>
      <c r="I10" s="30" t="s">
        <v>42</v>
      </c>
      <c r="J10" s="7"/>
    </row>
    <row r="11" spans="1:10" x14ac:dyDescent="0.25">
      <c r="A11" s="24" t="s">
        <v>500</v>
      </c>
      <c r="B11" s="24" t="s">
        <v>58</v>
      </c>
      <c r="C11" s="29" t="s">
        <v>134</v>
      </c>
      <c r="D11" s="29" t="s">
        <v>10</v>
      </c>
      <c r="E11" s="29" t="s">
        <v>11</v>
      </c>
      <c r="F11" s="29" t="s">
        <v>12</v>
      </c>
      <c r="G11" s="29" t="s">
        <v>13</v>
      </c>
      <c r="H11" s="24" t="str">
        <f t="shared" si="0"/>
        <v xml:space="preserve">FlexRIO 15.0.0f0 </v>
      </c>
      <c r="I11" s="30" t="s">
        <v>42</v>
      </c>
      <c r="J11" s="7"/>
    </row>
    <row r="12" spans="1:10" x14ac:dyDescent="0.25">
      <c r="A12" s="24" t="s">
        <v>500</v>
      </c>
      <c r="B12" s="24" t="s">
        <v>31</v>
      </c>
      <c r="C12" s="29" t="s">
        <v>102</v>
      </c>
      <c r="D12" s="29" t="s">
        <v>10</v>
      </c>
      <c r="E12" s="29" t="s">
        <v>11</v>
      </c>
      <c r="F12" s="29" t="s">
        <v>12</v>
      </c>
      <c r="G12" s="29" t="s">
        <v>13</v>
      </c>
      <c r="H12" s="24" t="str">
        <f t="shared" si="0"/>
        <v>IVI Compliance Package 15.0</v>
      </c>
      <c r="I12" s="30" t="s">
        <v>42</v>
      </c>
      <c r="J12" s="7"/>
    </row>
    <row r="13" spans="1:10" x14ac:dyDescent="0.25">
      <c r="A13" s="24" t="s">
        <v>500</v>
      </c>
      <c r="B13" s="24" t="s">
        <v>32</v>
      </c>
      <c r="C13" s="29" t="s">
        <v>92</v>
      </c>
      <c r="D13" s="29" t="s">
        <v>10</v>
      </c>
      <c r="E13" s="29" t="s">
        <v>103</v>
      </c>
      <c r="F13" s="29" t="s">
        <v>12</v>
      </c>
      <c r="G13" s="29" t="s">
        <v>13</v>
      </c>
      <c r="H13" s="24" t="str">
        <f t="shared" ref="H13:H20" si="1">B13&amp;" "&amp;E13&amp;" "&amp;C13</f>
        <v>LabVIEW 2015 SP1 f10 15.0.1</v>
      </c>
      <c r="I13" s="34" t="s">
        <v>464</v>
      </c>
      <c r="J13" s="7"/>
    </row>
    <row r="14" spans="1:10" x14ac:dyDescent="0.25">
      <c r="A14" s="24" t="s">
        <v>500</v>
      </c>
      <c r="B14" s="24" t="s">
        <v>32</v>
      </c>
      <c r="C14" s="29" t="s">
        <v>92</v>
      </c>
      <c r="D14" s="29" t="s">
        <v>10</v>
      </c>
      <c r="E14" s="29" t="s">
        <v>111</v>
      </c>
      <c r="F14" s="29" t="s">
        <v>24</v>
      </c>
      <c r="G14" s="29" t="s">
        <v>13</v>
      </c>
      <c r="H14" s="24" t="str">
        <f t="shared" si="1"/>
        <v>LabVIEW 2015 SP1 15.0.1</v>
      </c>
      <c r="I14" s="31" t="s">
        <v>91</v>
      </c>
      <c r="J14" s="7"/>
    </row>
    <row r="15" spans="1:10" x14ac:dyDescent="0.25">
      <c r="A15" s="24" t="s">
        <v>500</v>
      </c>
      <c r="B15" s="24" t="s">
        <v>32</v>
      </c>
      <c r="C15" s="29" t="s">
        <v>105</v>
      </c>
      <c r="D15" s="29" t="s">
        <v>10</v>
      </c>
      <c r="E15" s="29" t="s">
        <v>106</v>
      </c>
      <c r="F15" s="29" t="s">
        <v>24</v>
      </c>
      <c r="G15" s="29" t="s">
        <v>13</v>
      </c>
      <c r="H15" s="24" t="str">
        <f t="shared" si="1"/>
        <v>LabVIEW 2012 SP1 f9 12.0.1</v>
      </c>
      <c r="I15" s="30" t="s">
        <v>42</v>
      </c>
      <c r="J15" s="7"/>
    </row>
    <row r="16" spans="1:10" x14ac:dyDescent="0.25">
      <c r="A16" s="24" t="s">
        <v>500</v>
      </c>
      <c r="B16" s="24" t="s">
        <v>32</v>
      </c>
      <c r="C16" s="29" t="s">
        <v>105</v>
      </c>
      <c r="D16" s="29" t="s">
        <v>107</v>
      </c>
      <c r="E16" s="29" t="s">
        <v>106</v>
      </c>
      <c r="F16" s="29" t="s">
        <v>24</v>
      </c>
      <c r="G16" s="29" t="s">
        <v>13</v>
      </c>
      <c r="H16" s="24" t="str">
        <f t="shared" si="1"/>
        <v>LabVIEW 2012 SP1 f9 12.0.1</v>
      </c>
      <c r="I16" s="30" t="s">
        <v>42</v>
      </c>
      <c r="J16" s="7"/>
    </row>
    <row r="17" spans="1:10" x14ac:dyDescent="0.25">
      <c r="A17" s="24" t="s">
        <v>500</v>
      </c>
      <c r="B17" s="24" t="s">
        <v>32</v>
      </c>
      <c r="C17" s="29" t="s">
        <v>137</v>
      </c>
      <c r="D17" s="29" t="s">
        <v>10</v>
      </c>
      <c r="E17" s="29" t="s">
        <v>108</v>
      </c>
      <c r="F17" s="29" t="s">
        <v>24</v>
      </c>
      <c r="G17" s="29" t="s">
        <v>13</v>
      </c>
      <c r="H17" s="24" t="str">
        <f t="shared" si="1"/>
        <v>LabVIEW 2013 SP1 f6 13.0.1</v>
      </c>
      <c r="I17" s="30" t="s">
        <v>42</v>
      </c>
      <c r="J17" s="7"/>
    </row>
    <row r="18" spans="1:10" x14ac:dyDescent="0.25">
      <c r="A18" s="24" t="s">
        <v>500</v>
      </c>
      <c r="B18" s="24" t="s">
        <v>32</v>
      </c>
      <c r="C18" s="29" t="s">
        <v>110</v>
      </c>
      <c r="D18" s="29" t="s">
        <v>10</v>
      </c>
      <c r="E18" s="29" t="s">
        <v>109</v>
      </c>
      <c r="F18" s="29" t="s">
        <v>24</v>
      </c>
      <c r="G18" s="29" t="s">
        <v>13</v>
      </c>
      <c r="H18" s="24" t="str">
        <f t="shared" si="1"/>
        <v>LabVIEW 2014 SP1 f11 14.0.1</v>
      </c>
      <c r="I18" s="34" t="s">
        <v>464</v>
      </c>
      <c r="J18" s="7"/>
    </row>
    <row r="19" spans="1:10" x14ac:dyDescent="0.25">
      <c r="A19" s="24" t="s">
        <v>500</v>
      </c>
      <c r="B19" s="24" t="s">
        <v>32</v>
      </c>
      <c r="C19" s="29" t="s">
        <v>110</v>
      </c>
      <c r="D19" s="29" t="s">
        <v>107</v>
      </c>
      <c r="E19" s="29" t="s">
        <v>109</v>
      </c>
      <c r="F19" s="29" t="s">
        <v>24</v>
      </c>
      <c r="G19" s="29" t="s">
        <v>13</v>
      </c>
      <c r="H19" s="24" t="str">
        <f t="shared" si="1"/>
        <v>LabVIEW 2014 SP1 f11 14.0.1</v>
      </c>
      <c r="I19" s="34" t="s">
        <v>464</v>
      </c>
      <c r="J19" s="7"/>
    </row>
    <row r="20" spans="1:10" x14ac:dyDescent="0.25">
      <c r="A20" s="24" t="s">
        <v>500</v>
      </c>
      <c r="B20" s="24" t="s">
        <v>32</v>
      </c>
      <c r="C20" s="29" t="s">
        <v>112</v>
      </c>
      <c r="D20" s="29" t="s">
        <v>10</v>
      </c>
      <c r="E20" s="29" t="s">
        <v>113</v>
      </c>
      <c r="F20" s="29" t="s">
        <v>24</v>
      </c>
      <c r="G20" s="29" t="s">
        <v>13</v>
      </c>
      <c r="H20" s="24" t="str">
        <f t="shared" si="1"/>
        <v>LabVIEW 2019 SP1 f3 19.0.1</v>
      </c>
      <c r="I20" s="24"/>
      <c r="J20" s="7"/>
    </row>
    <row r="21" spans="1:10" x14ac:dyDescent="0.25">
      <c r="A21" s="24" t="s">
        <v>500</v>
      </c>
      <c r="B21" s="24" t="s">
        <v>104</v>
      </c>
      <c r="C21" s="29" t="s">
        <v>9</v>
      </c>
      <c r="D21" s="29" t="s">
        <v>10</v>
      </c>
      <c r="E21" s="29" t="s">
        <v>11</v>
      </c>
      <c r="F21" s="29" t="s">
        <v>12</v>
      </c>
      <c r="G21" s="29" t="s">
        <v>13</v>
      </c>
      <c r="H21" s="24" t="str">
        <f t="shared" ref="H21:H52" si="2">B21&amp;" "&amp;C21</f>
        <v>MathScript RT Module 15.0.0</v>
      </c>
      <c r="I21" s="30" t="s">
        <v>42</v>
      </c>
      <c r="J21" s="7"/>
    </row>
    <row r="22" spans="1:10" x14ac:dyDescent="0.25">
      <c r="A22" s="24" t="s">
        <v>500</v>
      </c>
      <c r="B22" s="24" t="s">
        <v>41</v>
      </c>
      <c r="C22" s="29" t="s">
        <v>94</v>
      </c>
      <c r="D22" s="29" t="s">
        <v>10</v>
      </c>
      <c r="E22" s="29" t="s">
        <v>11</v>
      </c>
      <c r="F22" s="29" t="s">
        <v>12</v>
      </c>
      <c r="G22" s="29" t="s">
        <v>13</v>
      </c>
      <c r="H22" s="24" t="str">
        <f t="shared" si="2"/>
        <v>Measurement &amp; Automation Explorer 15.3.0f0</v>
      </c>
      <c r="I22" s="31" t="s">
        <v>91</v>
      </c>
      <c r="J22" s="7"/>
    </row>
    <row r="23" spans="1:10" x14ac:dyDescent="0.25">
      <c r="A23" s="24" t="s">
        <v>500</v>
      </c>
      <c r="B23" s="24" t="s">
        <v>43</v>
      </c>
      <c r="C23" s="29"/>
      <c r="D23" s="29" t="s">
        <v>10</v>
      </c>
      <c r="E23" s="29" t="s">
        <v>114</v>
      </c>
      <c r="F23" s="29" t="s">
        <v>12</v>
      </c>
      <c r="G23" s="29" t="s">
        <v>13</v>
      </c>
      <c r="H23" s="24" t="str">
        <f t="shared" si="2"/>
        <v xml:space="preserve">Measurement Studio </v>
      </c>
      <c r="I23" s="30" t="s">
        <v>42</v>
      </c>
      <c r="J23" s="7"/>
    </row>
    <row r="24" spans="1:10" x14ac:dyDescent="0.25">
      <c r="A24" s="24" t="s">
        <v>500</v>
      </c>
      <c r="B24" s="24" t="s">
        <v>116</v>
      </c>
      <c r="C24" s="29" t="s">
        <v>45</v>
      </c>
      <c r="D24" s="29" t="s">
        <v>10</v>
      </c>
      <c r="E24" s="29" t="s">
        <v>11</v>
      </c>
      <c r="F24" s="29" t="s">
        <v>12</v>
      </c>
      <c r="G24" s="29" t="s">
        <v>13</v>
      </c>
      <c r="H24" s="24" t="str">
        <f t="shared" si="2"/>
        <v>Measurement Studio Common 15.0.40.49154</v>
      </c>
      <c r="I24" s="30" t="s">
        <v>42</v>
      </c>
      <c r="J24" s="7"/>
    </row>
    <row r="25" spans="1:10" x14ac:dyDescent="0.25">
      <c r="A25" s="24" t="s">
        <v>500</v>
      </c>
      <c r="B25" s="24" t="s">
        <v>116</v>
      </c>
      <c r="C25" s="29" t="s">
        <v>45</v>
      </c>
      <c r="D25" s="29" t="s">
        <v>107</v>
      </c>
      <c r="E25" s="29" t="s">
        <v>11</v>
      </c>
      <c r="F25" s="29" t="s">
        <v>12</v>
      </c>
      <c r="G25" s="29" t="s">
        <v>13</v>
      </c>
      <c r="H25" s="24" t="str">
        <f t="shared" si="2"/>
        <v>Measurement Studio Common 15.0.40.49154</v>
      </c>
      <c r="I25" s="30" t="s">
        <v>42</v>
      </c>
      <c r="J25" s="7"/>
    </row>
    <row r="26" spans="1:10" x14ac:dyDescent="0.25">
      <c r="A26" s="24" t="s">
        <v>500</v>
      </c>
      <c r="B26" s="24" t="s">
        <v>115</v>
      </c>
      <c r="C26" s="29"/>
      <c r="D26" s="29" t="s">
        <v>10</v>
      </c>
      <c r="E26" s="29" t="s">
        <v>114</v>
      </c>
      <c r="F26" s="29" t="s">
        <v>12</v>
      </c>
      <c r="G26" s="29" t="s">
        <v>13</v>
      </c>
      <c r="H26" s="24" t="str">
        <f t="shared" si="2"/>
        <v xml:space="preserve">Measurement Studio DotNET </v>
      </c>
      <c r="I26" s="30" t="s">
        <v>42</v>
      </c>
      <c r="J26" s="7"/>
    </row>
    <row r="27" spans="1:10" x14ac:dyDescent="0.25">
      <c r="A27" s="24" t="s">
        <v>500</v>
      </c>
      <c r="B27" s="24" t="s">
        <v>60</v>
      </c>
      <c r="C27" s="29" t="s">
        <v>30</v>
      </c>
      <c r="D27" s="29" t="s">
        <v>10</v>
      </c>
      <c r="E27" s="29" t="s">
        <v>11</v>
      </c>
      <c r="F27" s="29" t="s">
        <v>12</v>
      </c>
      <c r="G27" s="29" t="s">
        <v>13</v>
      </c>
      <c r="H27" s="24" t="str">
        <f t="shared" si="2"/>
        <v>NI 1588-2008 Network Management 15.0.0f0</v>
      </c>
      <c r="I27" s="30" t="s">
        <v>42</v>
      </c>
      <c r="J27" s="7"/>
    </row>
    <row r="28" spans="1:10" x14ac:dyDescent="0.25">
      <c r="A28" s="24" t="s">
        <v>500</v>
      </c>
      <c r="B28" s="24" t="s">
        <v>29</v>
      </c>
      <c r="C28" s="29" t="s">
        <v>30</v>
      </c>
      <c r="D28" s="29" t="s">
        <v>10</v>
      </c>
      <c r="E28" s="29" t="s">
        <v>11</v>
      </c>
      <c r="F28" s="29" t="s">
        <v>12</v>
      </c>
      <c r="G28" s="29" t="s">
        <v>13</v>
      </c>
      <c r="H28" s="24" t="str">
        <f t="shared" si="2"/>
        <v>NI I/O Trace 15.0.0f0</v>
      </c>
      <c r="I28" s="30" t="s">
        <v>42</v>
      </c>
      <c r="J28" s="7"/>
    </row>
    <row r="29" spans="1:10" x14ac:dyDescent="0.25">
      <c r="A29" s="24" t="s">
        <v>500</v>
      </c>
      <c r="B29" s="24" t="s">
        <v>52</v>
      </c>
      <c r="C29" s="29" t="s">
        <v>53</v>
      </c>
      <c r="D29" s="29" t="s">
        <v>10</v>
      </c>
      <c r="E29" s="29" t="s">
        <v>11</v>
      </c>
      <c r="F29" s="29" t="s">
        <v>12</v>
      </c>
      <c r="G29" s="29" t="s">
        <v>13</v>
      </c>
      <c r="H29" s="24" t="str">
        <f t="shared" si="2"/>
        <v>NI PXI Platform Services Configuration 15.0.0f1</v>
      </c>
      <c r="I29" s="30" t="s">
        <v>42</v>
      </c>
      <c r="J29" s="7"/>
    </row>
    <row r="30" spans="1:10" x14ac:dyDescent="0.25">
      <c r="A30" s="24" t="s">
        <v>500</v>
      </c>
      <c r="B30" s="24" t="s">
        <v>52</v>
      </c>
      <c r="C30" s="29" t="s">
        <v>117</v>
      </c>
      <c r="D30" s="29" t="s">
        <v>10</v>
      </c>
      <c r="E30" s="29" t="s">
        <v>119</v>
      </c>
      <c r="F30" s="29" t="s">
        <v>12</v>
      </c>
      <c r="G30" s="29" t="s">
        <v>13</v>
      </c>
      <c r="H30" s="24" t="str">
        <f t="shared" si="2"/>
        <v>NI PXI Platform Services Configuration 19.5.0f0</v>
      </c>
      <c r="I30" s="24"/>
      <c r="J30" s="7"/>
    </row>
    <row r="31" spans="1:10" x14ac:dyDescent="0.25">
      <c r="A31" s="24" t="s">
        <v>500</v>
      </c>
      <c r="B31" s="24" t="s">
        <v>55</v>
      </c>
      <c r="C31" s="29" t="s">
        <v>9</v>
      </c>
      <c r="D31" s="29" t="s">
        <v>10</v>
      </c>
      <c r="E31" s="29" t="s">
        <v>11</v>
      </c>
      <c r="F31" s="29" t="s">
        <v>12</v>
      </c>
      <c r="G31" s="29" t="s">
        <v>13</v>
      </c>
      <c r="H31" s="24" t="str">
        <f t="shared" si="2"/>
        <v>NI R Series Multifunction RIO 15.0.0</v>
      </c>
      <c r="I31" s="30" t="s">
        <v>42</v>
      </c>
      <c r="J31" s="7"/>
    </row>
    <row r="32" spans="1:10" x14ac:dyDescent="0.25">
      <c r="A32" s="24" t="s">
        <v>500</v>
      </c>
      <c r="B32" s="24" t="s">
        <v>20</v>
      </c>
      <c r="C32" s="29" t="s">
        <v>118</v>
      </c>
      <c r="D32" s="29" t="s">
        <v>10</v>
      </c>
      <c r="E32" s="29" t="s">
        <v>93</v>
      </c>
      <c r="F32" s="29" t="s">
        <v>12</v>
      </c>
      <c r="G32" s="29" t="s">
        <v>13</v>
      </c>
      <c r="H32" s="24" t="str">
        <f t="shared" si="2"/>
        <v>NI Script Editor 14.0</v>
      </c>
      <c r="I32" s="30" t="s">
        <v>42</v>
      </c>
      <c r="J32" s="7"/>
    </row>
    <row r="33" spans="1:10" x14ac:dyDescent="0.25">
      <c r="A33" s="24" t="s">
        <v>500</v>
      </c>
      <c r="B33" s="24" t="s">
        <v>65</v>
      </c>
      <c r="C33" s="29"/>
      <c r="D33" s="29" t="s">
        <v>10</v>
      </c>
      <c r="E33" s="29" t="s">
        <v>11</v>
      </c>
      <c r="F33" s="29" t="s">
        <v>12</v>
      </c>
      <c r="G33" s="29" t="s">
        <v>13</v>
      </c>
      <c r="H33" s="24" t="str">
        <f t="shared" si="2"/>
        <v xml:space="preserve">NI SignalExpress </v>
      </c>
      <c r="I33" s="30" t="s">
        <v>42</v>
      </c>
      <c r="J33" s="7"/>
    </row>
    <row r="34" spans="1:10" x14ac:dyDescent="0.25">
      <c r="A34" s="24" t="s">
        <v>500</v>
      </c>
      <c r="B34" s="24" t="s">
        <v>68</v>
      </c>
      <c r="C34" s="29" t="s">
        <v>117</v>
      </c>
      <c r="D34" s="29" t="s">
        <v>10</v>
      </c>
      <c r="E34" s="29" t="s">
        <v>119</v>
      </c>
      <c r="F34" s="29" t="s">
        <v>12</v>
      </c>
      <c r="G34" s="29" t="s">
        <v>13</v>
      </c>
      <c r="H34" s="24" t="str">
        <f t="shared" si="2"/>
        <v>NI System Configuration 19.5.0f0</v>
      </c>
      <c r="I34" s="24"/>
      <c r="J34" s="7"/>
    </row>
    <row r="35" spans="1:10" x14ac:dyDescent="0.25">
      <c r="A35" s="24" t="s">
        <v>500</v>
      </c>
      <c r="B35" s="24" t="s">
        <v>28</v>
      </c>
      <c r="C35" s="29" t="s">
        <v>9</v>
      </c>
      <c r="D35" s="29" t="s">
        <v>10</v>
      </c>
      <c r="E35" s="29" t="s">
        <v>11</v>
      </c>
      <c r="F35" s="29" t="s">
        <v>12</v>
      </c>
      <c r="G35" s="29" t="s">
        <v>13</v>
      </c>
      <c r="H35" s="24" t="str">
        <f t="shared" si="2"/>
        <v>NI-488.2 15.0.0</v>
      </c>
      <c r="I35" s="30" t="s">
        <v>42</v>
      </c>
      <c r="J35" s="7"/>
    </row>
    <row r="36" spans="1:10" x14ac:dyDescent="0.25">
      <c r="A36" s="24" t="s">
        <v>500</v>
      </c>
      <c r="B36" s="24" t="s">
        <v>28</v>
      </c>
      <c r="C36" s="29" t="s">
        <v>141</v>
      </c>
      <c r="D36" s="29" t="s">
        <v>10</v>
      </c>
      <c r="E36" s="29" t="s">
        <v>119</v>
      </c>
      <c r="F36" s="29" t="s">
        <v>24</v>
      </c>
      <c r="G36" s="29" t="s">
        <v>13</v>
      </c>
      <c r="H36" s="24" t="str">
        <f t="shared" si="2"/>
        <v>NI-488.2 19.5.0</v>
      </c>
      <c r="I36" s="24"/>
      <c r="J36" s="7"/>
    </row>
    <row r="37" spans="1:10" x14ac:dyDescent="0.25">
      <c r="A37" s="24" t="s">
        <v>500</v>
      </c>
      <c r="B37" s="24" t="s">
        <v>18</v>
      </c>
      <c r="C37" s="29" t="s">
        <v>9</v>
      </c>
      <c r="D37" s="29" t="s">
        <v>10</v>
      </c>
      <c r="E37" s="29" t="s">
        <v>11</v>
      </c>
      <c r="F37" s="29" t="s">
        <v>12</v>
      </c>
      <c r="G37" s="29" t="s">
        <v>13</v>
      </c>
      <c r="H37" s="24" t="str">
        <f t="shared" si="2"/>
        <v>NI-DAQmx ADE Support 15.0.0</v>
      </c>
      <c r="I37" s="30" t="s">
        <v>42</v>
      </c>
      <c r="J37" s="7"/>
    </row>
    <row r="38" spans="1:10" x14ac:dyDescent="0.25">
      <c r="A38" s="24" t="s">
        <v>500</v>
      </c>
      <c r="B38" s="24" t="s">
        <v>16</v>
      </c>
      <c r="C38" s="29" t="s">
        <v>17</v>
      </c>
      <c r="D38" s="29" t="s">
        <v>10</v>
      </c>
      <c r="E38" s="29" t="s">
        <v>11</v>
      </c>
      <c r="F38" s="29" t="s">
        <v>12</v>
      </c>
      <c r="G38" s="29" t="s">
        <v>13</v>
      </c>
      <c r="H38" s="24" t="str">
        <f t="shared" si="2"/>
        <v>NI-DAQmx Device Driver 15.0.0f2</v>
      </c>
      <c r="I38" s="30" t="s">
        <v>42</v>
      </c>
      <c r="J38" s="7"/>
    </row>
    <row r="39" spans="1:10" x14ac:dyDescent="0.25">
      <c r="A39" s="24" t="s">
        <v>500</v>
      </c>
      <c r="B39" s="24" t="s">
        <v>19</v>
      </c>
      <c r="C39" s="29" t="s">
        <v>9</v>
      </c>
      <c r="D39" s="29" t="s">
        <v>10</v>
      </c>
      <c r="E39" s="29" t="s">
        <v>11</v>
      </c>
      <c r="F39" s="29" t="s">
        <v>12</v>
      </c>
      <c r="G39" s="29" t="s">
        <v>13</v>
      </c>
      <c r="H39" s="24" t="str">
        <f t="shared" si="2"/>
        <v>NI-DAQmx MAX Configuration 15.0.0</v>
      </c>
      <c r="I39" s="30" t="s">
        <v>42</v>
      </c>
      <c r="J39" s="7"/>
    </row>
    <row r="40" spans="1:10" x14ac:dyDescent="0.25">
      <c r="A40" s="24" t="s">
        <v>500</v>
      </c>
      <c r="B40" s="24" t="s">
        <v>48</v>
      </c>
      <c r="C40" s="29" t="s">
        <v>102</v>
      </c>
      <c r="D40" s="29" t="s">
        <v>10</v>
      </c>
      <c r="E40" s="29" t="s">
        <v>11</v>
      </c>
      <c r="F40" s="29" t="s">
        <v>12</v>
      </c>
      <c r="G40" s="29" t="s">
        <v>13</v>
      </c>
      <c r="H40" s="24" t="str">
        <f t="shared" si="2"/>
        <v>NI-DCPower 15.0</v>
      </c>
      <c r="I40" s="30" t="s">
        <v>42</v>
      </c>
      <c r="J40" s="7"/>
    </row>
    <row r="41" spans="1:10" x14ac:dyDescent="0.25">
      <c r="A41" s="24" t="s">
        <v>500</v>
      </c>
      <c r="B41" s="24" t="s">
        <v>48</v>
      </c>
      <c r="C41" s="29" t="s">
        <v>102</v>
      </c>
      <c r="D41" s="29" t="s">
        <v>10</v>
      </c>
      <c r="E41" s="29" t="s">
        <v>11</v>
      </c>
      <c r="F41" s="29" t="s">
        <v>24</v>
      </c>
      <c r="G41" s="29" t="s">
        <v>13</v>
      </c>
      <c r="H41" s="24" t="str">
        <f t="shared" si="2"/>
        <v>NI-DCPower 15.0</v>
      </c>
      <c r="I41" s="30" t="s">
        <v>42</v>
      </c>
      <c r="J41" s="7"/>
    </row>
    <row r="42" spans="1:10" x14ac:dyDescent="0.25">
      <c r="A42" s="24" t="s">
        <v>500</v>
      </c>
      <c r="B42" s="24" t="s">
        <v>121</v>
      </c>
      <c r="C42" s="29" t="s">
        <v>102</v>
      </c>
      <c r="D42" s="29" t="s">
        <v>10</v>
      </c>
      <c r="E42" s="29" t="s">
        <v>11</v>
      </c>
      <c r="F42" s="29" t="s">
        <v>12</v>
      </c>
      <c r="G42" s="29" t="s">
        <v>13</v>
      </c>
      <c r="H42" s="24" t="str">
        <f t="shared" si="2"/>
        <v>NI-DCPower Configuration Support 15.0</v>
      </c>
      <c r="I42" s="30" t="s">
        <v>42</v>
      </c>
      <c r="J42" s="7"/>
    </row>
    <row r="43" spans="1:10" x14ac:dyDescent="0.25">
      <c r="A43" s="24" t="s">
        <v>500</v>
      </c>
      <c r="B43" s="24" t="s">
        <v>122</v>
      </c>
      <c r="C43" s="29" t="s">
        <v>102</v>
      </c>
      <c r="D43" s="29" t="s">
        <v>10</v>
      </c>
      <c r="E43" s="29" t="s">
        <v>11</v>
      </c>
      <c r="F43" s="29" t="s">
        <v>12</v>
      </c>
      <c r="G43" s="29" t="s">
        <v>13</v>
      </c>
      <c r="H43" s="24" t="str">
        <f t="shared" si="2"/>
        <v>NI-DCPower Development Support 15.0</v>
      </c>
      <c r="I43" s="30" t="s">
        <v>42</v>
      </c>
      <c r="J43" s="7"/>
    </row>
    <row r="44" spans="1:10" x14ac:dyDescent="0.25">
      <c r="A44" s="24" t="s">
        <v>500</v>
      </c>
      <c r="B44" s="24" t="s">
        <v>49</v>
      </c>
      <c r="C44" s="29" t="s">
        <v>102</v>
      </c>
      <c r="D44" s="29" t="s">
        <v>10</v>
      </c>
      <c r="E44" s="29" t="s">
        <v>11</v>
      </c>
      <c r="F44" s="29" t="s">
        <v>12</v>
      </c>
      <c r="G44" s="29" t="s">
        <v>13</v>
      </c>
      <c r="H44" s="24" t="str">
        <f t="shared" si="2"/>
        <v>NI-DCPower Soft Front Panel 15.0</v>
      </c>
      <c r="I44" s="30" t="s">
        <v>42</v>
      </c>
      <c r="J44" s="7"/>
    </row>
    <row r="45" spans="1:10" x14ac:dyDescent="0.25">
      <c r="A45" s="24" t="s">
        <v>500</v>
      </c>
      <c r="B45" s="32" t="s">
        <v>21</v>
      </c>
      <c r="C45" s="29" t="s">
        <v>102</v>
      </c>
      <c r="D45" s="29" t="s">
        <v>10</v>
      </c>
      <c r="E45" s="29" t="s">
        <v>11</v>
      </c>
      <c r="F45" s="29" t="s">
        <v>12</v>
      </c>
      <c r="G45" s="29" t="s">
        <v>13</v>
      </c>
      <c r="H45" s="24" t="str">
        <f t="shared" si="2"/>
        <v>NI-DMM 15.0</v>
      </c>
      <c r="I45" s="30" t="s">
        <v>42</v>
      </c>
      <c r="J45" s="7"/>
    </row>
    <row r="46" spans="1:10" x14ac:dyDescent="0.25">
      <c r="A46" s="24" t="s">
        <v>500</v>
      </c>
      <c r="B46" s="29" t="s">
        <v>21</v>
      </c>
      <c r="C46" s="29" t="s">
        <v>102</v>
      </c>
      <c r="D46" s="29" t="s">
        <v>10</v>
      </c>
      <c r="E46" s="29" t="s">
        <v>11</v>
      </c>
      <c r="F46" s="29" t="s">
        <v>24</v>
      </c>
      <c r="G46" s="29" t="s">
        <v>13</v>
      </c>
      <c r="H46" s="24" t="str">
        <f t="shared" si="2"/>
        <v>NI-DMM 15.0</v>
      </c>
      <c r="I46" s="30" t="s">
        <v>42</v>
      </c>
      <c r="J46" s="7"/>
    </row>
    <row r="47" spans="1:10" x14ac:dyDescent="0.25">
      <c r="A47" s="24" t="s">
        <v>500</v>
      </c>
      <c r="B47" s="24" t="s">
        <v>123</v>
      </c>
      <c r="C47" s="29" t="s">
        <v>102</v>
      </c>
      <c r="D47" s="29" t="s">
        <v>10</v>
      </c>
      <c r="E47" s="29" t="s">
        <v>11</v>
      </c>
      <c r="F47" s="29" t="s">
        <v>12</v>
      </c>
      <c r="G47" s="29" t="s">
        <v>13</v>
      </c>
      <c r="H47" s="24" t="str">
        <f t="shared" si="2"/>
        <v>NI-DMM Configuration Support 15.0</v>
      </c>
      <c r="I47" s="30" t="s">
        <v>42</v>
      </c>
      <c r="J47" s="7"/>
    </row>
    <row r="48" spans="1:10" x14ac:dyDescent="0.25">
      <c r="A48" s="24" t="s">
        <v>500</v>
      </c>
      <c r="B48" s="24" t="s">
        <v>124</v>
      </c>
      <c r="C48" s="29" t="s">
        <v>102</v>
      </c>
      <c r="D48" s="29" t="s">
        <v>10</v>
      </c>
      <c r="E48" s="29" t="s">
        <v>11</v>
      </c>
      <c r="F48" s="29" t="s">
        <v>12</v>
      </c>
      <c r="G48" s="29" t="s">
        <v>13</v>
      </c>
      <c r="H48" s="24" t="str">
        <f t="shared" si="2"/>
        <v>NI-DMM Development Support 15.0</v>
      </c>
      <c r="I48" s="30" t="s">
        <v>42</v>
      </c>
      <c r="J48" s="7"/>
    </row>
    <row r="49" spans="1:10" x14ac:dyDescent="0.25">
      <c r="A49" s="24" t="s">
        <v>500</v>
      </c>
      <c r="B49" s="24" t="s">
        <v>399</v>
      </c>
      <c r="C49" s="29" t="s">
        <v>102</v>
      </c>
      <c r="D49" s="29" t="s">
        <v>10</v>
      </c>
      <c r="E49" s="29" t="s">
        <v>11</v>
      </c>
      <c r="F49" s="29" t="s">
        <v>12</v>
      </c>
      <c r="G49" s="29" t="s">
        <v>13</v>
      </c>
      <c r="H49" s="24" t="str">
        <f t="shared" si="2"/>
        <v>NI-DMM Soft Front Panel 15.0</v>
      </c>
      <c r="I49" s="30" t="s">
        <v>42</v>
      </c>
      <c r="J49" s="7"/>
    </row>
    <row r="50" spans="1:10" x14ac:dyDescent="0.25">
      <c r="A50" s="24" t="s">
        <v>500</v>
      </c>
      <c r="B50" s="24" t="s">
        <v>26</v>
      </c>
      <c r="C50" s="29" t="s">
        <v>102</v>
      </c>
      <c r="D50" s="29" t="s">
        <v>10</v>
      </c>
      <c r="E50" s="29" t="s">
        <v>11</v>
      </c>
      <c r="F50" s="29" t="s">
        <v>12</v>
      </c>
      <c r="G50" s="29" t="s">
        <v>13</v>
      </c>
      <c r="H50" s="24" t="str">
        <f t="shared" si="2"/>
        <v>NI-FGEN 15.0</v>
      </c>
      <c r="I50" s="30" t="s">
        <v>42</v>
      </c>
      <c r="J50" s="7"/>
    </row>
    <row r="51" spans="1:10" x14ac:dyDescent="0.25">
      <c r="A51" s="24" t="s">
        <v>500</v>
      </c>
      <c r="B51" s="24" t="s">
        <v>26</v>
      </c>
      <c r="C51" s="29" t="s">
        <v>102</v>
      </c>
      <c r="D51" s="29" t="s">
        <v>10</v>
      </c>
      <c r="E51" s="29" t="s">
        <v>11</v>
      </c>
      <c r="F51" s="29" t="s">
        <v>24</v>
      </c>
      <c r="G51" s="29" t="s">
        <v>13</v>
      </c>
      <c r="H51" s="24" t="str">
        <f t="shared" si="2"/>
        <v>NI-FGEN 15.0</v>
      </c>
      <c r="I51" s="30" t="s">
        <v>42</v>
      </c>
      <c r="J51" s="7"/>
    </row>
    <row r="52" spans="1:10" x14ac:dyDescent="0.25">
      <c r="A52" s="24" t="s">
        <v>500</v>
      </c>
      <c r="B52" s="24" t="s">
        <v>125</v>
      </c>
      <c r="C52" s="29" t="s">
        <v>102</v>
      </c>
      <c r="D52" s="29" t="s">
        <v>10</v>
      </c>
      <c r="E52" s="29" t="s">
        <v>11</v>
      </c>
      <c r="F52" s="29" t="s">
        <v>12</v>
      </c>
      <c r="G52" s="29" t="s">
        <v>13</v>
      </c>
      <c r="H52" s="24" t="str">
        <f t="shared" si="2"/>
        <v>NI-FGEN Configuration Support 15.0</v>
      </c>
      <c r="I52" s="30" t="s">
        <v>42</v>
      </c>
      <c r="J52" s="7"/>
    </row>
    <row r="53" spans="1:10" x14ac:dyDescent="0.25">
      <c r="A53" s="24" t="s">
        <v>500</v>
      </c>
      <c r="B53" s="24" t="s">
        <v>126</v>
      </c>
      <c r="C53" s="29" t="s">
        <v>102</v>
      </c>
      <c r="D53" s="29" t="s">
        <v>10</v>
      </c>
      <c r="E53" s="29" t="s">
        <v>11</v>
      </c>
      <c r="F53" s="29" t="s">
        <v>12</v>
      </c>
      <c r="G53" s="29" t="s">
        <v>13</v>
      </c>
      <c r="H53" s="24" t="str">
        <f t="shared" ref="H53:H84" si="3">B53&amp;" "&amp;C53</f>
        <v>NI-FGEN Development Support 15.0</v>
      </c>
      <c r="I53" s="30" t="s">
        <v>42</v>
      </c>
      <c r="J53" s="7"/>
    </row>
    <row r="54" spans="1:10" x14ac:dyDescent="0.25">
      <c r="A54" s="24" t="s">
        <v>500</v>
      </c>
      <c r="B54" s="24" t="s">
        <v>401</v>
      </c>
      <c r="C54" s="29" t="s">
        <v>102</v>
      </c>
      <c r="D54" s="29" t="s">
        <v>10</v>
      </c>
      <c r="E54" s="29" t="s">
        <v>11</v>
      </c>
      <c r="F54" s="29" t="s">
        <v>12</v>
      </c>
      <c r="G54" s="29" t="s">
        <v>13</v>
      </c>
      <c r="H54" s="24" t="str">
        <f t="shared" si="3"/>
        <v>NI-FGEN Soft Front Panel 15.0</v>
      </c>
      <c r="I54" s="30" t="s">
        <v>42</v>
      </c>
      <c r="J54" s="7"/>
    </row>
    <row r="55" spans="1:10" x14ac:dyDescent="0.25">
      <c r="A55" s="24" t="s">
        <v>500</v>
      </c>
      <c r="B55" s="24" t="s">
        <v>59</v>
      </c>
      <c r="C55" s="29" t="s">
        <v>135</v>
      </c>
      <c r="D55" s="29" t="s">
        <v>10</v>
      </c>
      <c r="E55" s="29" t="s">
        <v>119</v>
      </c>
      <c r="F55" s="29" t="s">
        <v>12</v>
      </c>
      <c r="G55" s="29" t="s">
        <v>13</v>
      </c>
      <c r="H55" s="24" t="str">
        <f t="shared" si="3"/>
        <v>NI-PAL Software 19.0.0</v>
      </c>
      <c r="I55" s="33" t="s">
        <v>424</v>
      </c>
      <c r="J55" s="7"/>
    </row>
    <row r="56" spans="1:10" x14ac:dyDescent="0.25">
      <c r="A56" s="24" t="s">
        <v>500</v>
      </c>
      <c r="B56" s="32" t="s">
        <v>54</v>
      </c>
      <c r="C56" s="29" t="s">
        <v>9</v>
      </c>
      <c r="D56" s="29" t="s">
        <v>10</v>
      </c>
      <c r="E56" s="29" t="s">
        <v>11</v>
      </c>
      <c r="F56" s="29" t="s">
        <v>12</v>
      </c>
      <c r="G56" s="29" t="s">
        <v>13</v>
      </c>
      <c r="H56" s="24" t="str">
        <f t="shared" si="3"/>
        <v>NI-RIO 15.0.0</v>
      </c>
      <c r="I56" s="30" t="s">
        <v>42</v>
      </c>
      <c r="J56" s="7"/>
    </row>
    <row r="57" spans="1:10" x14ac:dyDescent="0.25">
      <c r="A57" s="24" t="s">
        <v>500</v>
      </c>
      <c r="B57" s="24" t="s">
        <v>61</v>
      </c>
      <c r="C57" s="29" t="s">
        <v>102</v>
      </c>
      <c r="D57" s="29" t="s">
        <v>10</v>
      </c>
      <c r="E57" s="29" t="s">
        <v>11</v>
      </c>
      <c r="F57" s="29" t="s">
        <v>12</v>
      </c>
      <c r="G57" s="29" t="s">
        <v>13</v>
      </c>
      <c r="H57" s="24" t="str">
        <f t="shared" si="3"/>
        <v>NI-SCOPE 15.0</v>
      </c>
      <c r="I57" s="30" t="s">
        <v>42</v>
      </c>
      <c r="J57" s="7"/>
    </row>
    <row r="58" spans="1:10" x14ac:dyDescent="0.25">
      <c r="A58" s="24" t="s">
        <v>500</v>
      </c>
      <c r="B58" s="24" t="s">
        <v>61</v>
      </c>
      <c r="C58" s="29" t="s">
        <v>102</v>
      </c>
      <c r="D58" s="29" t="s">
        <v>10</v>
      </c>
      <c r="E58" s="29" t="s">
        <v>11</v>
      </c>
      <c r="F58" s="29" t="s">
        <v>24</v>
      </c>
      <c r="G58" s="29" t="s">
        <v>13</v>
      </c>
      <c r="H58" s="24" t="str">
        <f t="shared" si="3"/>
        <v>NI-SCOPE 15.0</v>
      </c>
      <c r="I58" s="30" t="s">
        <v>42</v>
      </c>
      <c r="J58" s="7"/>
    </row>
    <row r="59" spans="1:10" x14ac:dyDescent="0.25">
      <c r="A59" s="24" t="s">
        <v>500</v>
      </c>
      <c r="B59" s="24" t="s">
        <v>127</v>
      </c>
      <c r="C59" s="29" t="s">
        <v>102</v>
      </c>
      <c r="D59" s="29" t="s">
        <v>10</v>
      </c>
      <c r="E59" s="29" t="s">
        <v>11</v>
      </c>
      <c r="F59" s="29" t="s">
        <v>12</v>
      </c>
      <c r="G59" s="29" t="s">
        <v>13</v>
      </c>
      <c r="H59" s="24" t="str">
        <f t="shared" si="3"/>
        <v>NI-SCOPE Configuration Support  15.0</v>
      </c>
      <c r="I59" s="30" t="s">
        <v>42</v>
      </c>
      <c r="J59" s="7"/>
    </row>
    <row r="60" spans="1:10" x14ac:dyDescent="0.25">
      <c r="A60" s="24" t="s">
        <v>500</v>
      </c>
      <c r="B60" s="24" t="s">
        <v>128</v>
      </c>
      <c r="C60" s="29" t="s">
        <v>102</v>
      </c>
      <c r="D60" s="29" t="s">
        <v>10</v>
      </c>
      <c r="E60" s="29" t="s">
        <v>11</v>
      </c>
      <c r="F60" s="29" t="s">
        <v>12</v>
      </c>
      <c r="G60" s="29" t="s">
        <v>13</v>
      </c>
      <c r="H60" s="24" t="str">
        <f t="shared" si="3"/>
        <v>NI-SCOPE Development Support 15.0</v>
      </c>
      <c r="I60" s="30" t="s">
        <v>42</v>
      </c>
      <c r="J60" s="7"/>
    </row>
    <row r="61" spans="1:10" x14ac:dyDescent="0.25">
      <c r="A61" s="24" t="s">
        <v>500</v>
      </c>
      <c r="B61" s="24" t="s">
        <v>400</v>
      </c>
      <c r="C61" s="29" t="s">
        <v>102</v>
      </c>
      <c r="D61" s="29" t="s">
        <v>10</v>
      </c>
      <c r="E61" s="29" t="s">
        <v>11</v>
      </c>
      <c r="F61" s="29" t="s">
        <v>12</v>
      </c>
      <c r="G61" s="29" t="s">
        <v>13</v>
      </c>
      <c r="H61" s="24" t="str">
        <f t="shared" si="3"/>
        <v>NI-SCOPE Soft Front Panel 15.0</v>
      </c>
      <c r="I61" s="30" t="s">
        <v>42</v>
      </c>
      <c r="J61" s="7"/>
    </row>
    <row r="62" spans="1:10" x14ac:dyDescent="0.25">
      <c r="A62" s="24" t="s">
        <v>500</v>
      </c>
      <c r="B62" s="24" t="s">
        <v>129</v>
      </c>
      <c r="C62" s="29" t="s">
        <v>146</v>
      </c>
      <c r="D62" s="29" t="s">
        <v>10</v>
      </c>
      <c r="E62" s="29" t="s">
        <v>130</v>
      </c>
      <c r="F62" s="29" t="s">
        <v>24</v>
      </c>
      <c r="G62" s="29" t="s">
        <v>13</v>
      </c>
      <c r="H62" s="24" t="str">
        <f t="shared" si="3"/>
        <v>NI-Serial 18.5.0f0</v>
      </c>
      <c r="I62" s="24"/>
      <c r="J62" s="7"/>
    </row>
    <row r="63" spans="1:10" x14ac:dyDescent="0.25">
      <c r="A63" s="24" t="s">
        <v>500</v>
      </c>
      <c r="B63" s="24" t="s">
        <v>64</v>
      </c>
      <c r="C63" s="29" t="s">
        <v>30</v>
      </c>
      <c r="D63" s="29" t="s">
        <v>10</v>
      </c>
      <c r="E63" s="29" t="s">
        <v>11</v>
      </c>
      <c r="F63" s="29" t="s">
        <v>12</v>
      </c>
      <c r="G63" s="29" t="s">
        <v>13</v>
      </c>
      <c r="H63" s="24" t="str">
        <f t="shared" si="3"/>
        <v>NI-Serial Configuration 15.0.0f0</v>
      </c>
      <c r="I63" s="30" t="s">
        <v>42</v>
      </c>
      <c r="J63" s="7"/>
    </row>
    <row r="64" spans="1:10" x14ac:dyDescent="0.25">
      <c r="A64" s="24" t="s">
        <v>500</v>
      </c>
      <c r="B64" s="24" t="s">
        <v>66</v>
      </c>
      <c r="C64" s="29" t="s">
        <v>102</v>
      </c>
      <c r="D64" s="29" t="s">
        <v>10</v>
      </c>
      <c r="E64" s="29" t="s">
        <v>11</v>
      </c>
      <c r="F64" s="29" t="s">
        <v>12</v>
      </c>
      <c r="G64" s="29" t="s">
        <v>13</v>
      </c>
      <c r="H64" s="24" t="str">
        <f t="shared" si="3"/>
        <v>NI-SWITCH 15.0</v>
      </c>
      <c r="I64" s="30" t="s">
        <v>42</v>
      </c>
      <c r="J64" s="7"/>
    </row>
    <row r="65" spans="1:10" x14ac:dyDescent="0.25">
      <c r="A65" s="24" t="s">
        <v>500</v>
      </c>
      <c r="B65" s="24" t="s">
        <v>131</v>
      </c>
      <c r="C65" s="29" t="s">
        <v>102</v>
      </c>
      <c r="D65" s="29" t="s">
        <v>10</v>
      </c>
      <c r="E65" s="29" t="s">
        <v>11</v>
      </c>
      <c r="F65" s="29" t="s">
        <v>12</v>
      </c>
      <c r="G65" s="29" t="s">
        <v>13</v>
      </c>
      <c r="H65" s="24" t="str">
        <f t="shared" si="3"/>
        <v>NI-SWITCH Configuration Support 15.0</v>
      </c>
      <c r="I65" s="30" t="s">
        <v>42</v>
      </c>
      <c r="J65" s="7"/>
    </row>
    <row r="66" spans="1:10" x14ac:dyDescent="0.25">
      <c r="A66" s="24" t="s">
        <v>500</v>
      </c>
      <c r="B66" s="24" t="s">
        <v>132</v>
      </c>
      <c r="C66" s="29" t="s">
        <v>102</v>
      </c>
      <c r="D66" s="29" t="s">
        <v>10</v>
      </c>
      <c r="E66" s="29" t="s">
        <v>11</v>
      </c>
      <c r="F66" s="29" t="s">
        <v>12</v>
      </c>
      <c r="G66" s="29" t="s">
        <v>13</v>
      </c>
      <c r="H66" s="24" t="str">
        <f t="shared" si="3"/>
        <v>NI-SWITCH Development Support 15.0</v>
      </c>
      <c r="I66" s="30" t="s">
        <v>42</v>
      </c>
      <c r="J66" s="7"/>
    </row>
    <row r="67" spans="1:10" x14ac:dyDescent="0.25">
      <c r="A67" s="24" t="s">
        <v>500</v>
      </c>
      <c r="B67" s="24" t="s">
        <v>67</v>
      </c>
      <c r="C67" s="29" t="s">
        <v>9</v>
      </c>
      <c r="D67" s="29" t="s">
        <v>10</v>
      </c>
      <c r="E67" s="29" t="s">
        <v>11</v>
      </c>
      <c r="F67" s="29" t="s">
        <v>12</v>
      </c>
      <c r="G67" s="29" t="s">
        <v>13</v>
      </c>
      <c r="H67" s="24" t="str">
        <f t="shared" si="3"/>
        <v>NI-SWITCH Soft Front Panel 15.0.0</v>
      </c>
      <c r="I67" s="30" t="s">
        <v>42</v>
      </c>
      <c r="J67" s="7"/>
    </row>
    <row r="68" spans="1:10" x14ac:dyDescent="0.25">
      <c r="A68" s="24" t="s">
        <v>500</v>
      </c>
      <c r="B68" s="24" t="s">
        <v>133</v>
      </c>
      <c r="C68" s="29" t="s">
        <v>102</v>
      </c>
      <c r="D68" s="29" t="s">
        <v>10</v>
      </c>
      <c r="E68" s="29" t="s">
        <v>11</v>
      </c>
      <c r="F68" s="29" t="s">
        <v>24</v>
      </c>
      <c r="G68" s="29" t="s">
        <v>13</v>
      </c>
      <c r="H68" s="24" t="str">
        <f t="shared" si="3"/>
        <v>NI-SWITCH Support 15.0</v>
      </c>
      <c r="I68" s="30" t="s">
        <v>42</v>
      </c>
      <c r="J68" s="7"/>
    </row>
    <row r="69" spans="1:10" x14ac:dyDescent="0.25">
      <c r="A69" s="24" t="s">
        <v>500</v>
      </c>
      <c r="B69" s="24" t="s">
        <v>56</v>
      </c>
      <c r="C69" s="29" t="s">
        <v>30</v>
      </c>
      <c r="D69" s="29" t="s">
        <v>10</v>
      </c>
      <c r="E69" s="29" t="s">
        <v>11</v>
      </c>
      <c r="F69" s="29" t="s">
        <v>12</v>
      </c>
      <c r="G69" s="29" t="s">
        <v>13</v>
      </c>
      <c r="H69" s="24" t="str">
        <f t="shared" si="3"/>
        <v>NI-Sync 15.0.0f0</v>
      </c>
      <c r="I69" s="30" t="s">
        <v>42</v>
      </c>
      <c r="J69" s="7"/>
    </row>
    <row r="70" spans="1:10" x14ac:dyDescent="0.25">
      <c r="A70" s="24" t="s">
        <v>500</v>
      </c>
      <c r="B70" s="24" t="s">
        <v>69</v>
      </c>
      <c r="C70" s="29" t="s">
        <v>102</v>
      </c>
      <c r="D70" s="29" t="s">
        <v>10</v>
      </c>
      <c r="E70" s="29" t="s">
        <v>11</v>
      </c>
      <c r="F70" s="29" t="s">
        <v>12</v>
      </c>
      <c r="G70" s="29" t="s">
        <v>13</v>
      </c>
      <c r="H70" s="24" t="str">
        <f t="shared" si="3"/>
        <v>NI-TClk 15.0</v>
      </c>
      <c r="I70" s="30" t="s">
        <v>42</v>
      </c>
      <c r="J70" s="7"/>
    </row>
    <row r="71" spans="1:10" x14ac:dyDescent="0.25">
      <c r="A71" s="24" t="s">
        <v>500</v>
      </c>
      <c r="B71" s="24" t="s">
        <v>57</v>
      </c>
      <c r="C71" s="29" t="s">
        <v>30</v>
      </c>
      <c r="D71" s="29" t="s">
        <v>10</v>
      </c>
      <c r="E71" s="29" t="s">
        <v>11</v>
      </c>
      <c r="F71" s="29" t="s">
        <v>12</v>
      </c>
      <c r="G71" s="29" t="s">
        <v>13</v>
      </c>
      <c r="H71" s="24" t="str">
        <f t="shared" si="3"/>
        <v>NI-TimeSync 15.0.0f0</v>
      </c>
      <c r="I71" s="30" t="s">
        <v>42</v>
      </c>
      <c r="J71" s="7"/>
    </row>
    <row r="72" spans="1:10" x14ac:dyDescent="0.25">
      <c r="A72" s="24" t="s">
        <v>500</v>
      </c>
      <c r="B72" s="24" t="s">
        <v>46</v>
      </c>
      <c r="C72" s="29" t="s">
        <v>95</v>
      </c>
      <c r="D72" s="29" t="s">
        <v>10</v>
      </c>
      <c r="E72" s="29" t="s">
        <v>11</v>
      </c>
      <c r="F72" s="29" t="s">
        <v>12</v>
      </c>
      <c r="G72" s="29" t="s">
        <v>13</v>
      </c>
      <c r="H72" s="24" t="str">
        <f t="shared" si="3"/>
        <v>NI-USI 15.0.1.6118</v>
      </c>
      <c r="I72" s="31" t="s">
        <v>91</v>
      </c>
      <c r="J72" s="7"/>
    </row>
    <row r="73" spans="1:10" x14ac:dyDescent="0.25">
      <c r="A73" s="24" t="s">
        <v>500</v>
      </c>
      <c r="B73" s="24" t="s">
        <v>70</v>
      </c>
      <c r="C73" s="29" t="s">
        <v>120</v>
      </c>
      <c r="D73" s="29" t="s">
        <v>10</v>
      </c>
      <c r="E73" s="29" t="s">
        <v>119</v>
      </c>
      <c r="F73" s="29" t="s">
        <v>12</v>
      </c>
      <c r="G73" s="29" t="s">
        <v>13</v>
      </c>
      <c r="H73" s="24" t="str">
        <f t="shared" si="3"/>
        <v>NI-VISA 19.5</v>
      </c>
      <c r="I73" s="24"/>
      <c r="J73" s="7"/>
    </row>
    <row r="74" spans="1:10" x14ac:dyDescent="0.25">
      <c r="A74" s="24" t="s">
        <v>500</v>
      </c>
      <c r="B74" s="24" t="s">
        <v>70</v>
      </c>
      <c r="C74" s="29" t="s">
        <v>120</v>
      </c>
      <c r="D74" s="29" t="s">
        <v>10</v>
      </c>
      <c r="E74" s="29" t="s">
        <v>119</v>
      </c>
      <c r="F74" s="29" t="s">
        <v>24</v>
      </c>
      <c r="G74" s="29" t="s">
        <v>13</v>
      </c>
      <c r="H74" s="24" t="str">
        <f t="shared" si="3"/>
        <v>NI-VISA 19.5</v>
      </c>
      <c r="I74" s="24"/>
      <c r="J74" s="7"/>
    </row>
    <row r="75" spans="1:10" x14ac:dyDescent="0.25">
      <c r="A75" s="24" t="s">
        <v>500</v>
      </c>
      <c r="B75" s="24" t="s">
        <v>73</v>
      </c>
      <c r="C75" s="29" t="s">
        <v>72</v>
      </c>
      <c r="D75" s="29" t="s">
        <v>10</v>
      </c>
      <c r="E75" s="29" t="s">
        <v>119</v>
      </c>
      <c r="F75" s="29" t="s">
        <v>12</v>
      </c>
      <c r="G75" s="29" t="s">
        <v>13</v>
      </c>
      <c r="H75" s="24" t="str">
        <f t="shared" si="3"/>
        <v>NIvisaic.exe 15.0.0.49152</v>
      </c>
      <c r="I75" s="30" t="s">
        <v>42</v>
      </c>
      <c r="J75" s="7"/>
    </row>
    <row r="76" spans="1:10" x14ac:dyDescent="0.25">
      <c r="A76" s="24" t="s">
        <v>500</v>
      </c>
      <c r="B76" s="24" t="s">
        <v>71</v>
      </c>
      <c r="C76" s="29" t="s">
        <v>72</v>
      </c>
      <c r="D76" s="29" t="s">
        <v>10</v>
      </c>
      <c r="E76" s="29" t="s">
        <v>119</v>
      </c>
      <c r="F76" s="29" t="s">
        <v>12</v>
      </c>
      <c r="G76" s="29" t="s">
        <v>13</v>
      </c>
      <c r="H76" s="24" t="str">
        <f t="shared" si="3"/>
        <v>NiVisaServer.exe 15.0.0.49152</v>
      </c>
      <c r="I76" s="30" t="s">
        <v>42</v>
      </c>
      <c r="J76" s="7"/>
    </row>
    <row r="77" spans="1:10" x14ac:dyDescent="0.25">
      <c r="A77" s="24" t="s">
        <v>500</v>
      </c>
      <c r="B77" s="24" t="s">
        <v>35</v>
      </c>
      <c r="C77" s="29" t="s">
        <v>92</v>
      </c>
      <c r="D77" s="29" t="s">
        <v>10</v>
      </c>
      <c r="E77" s="29" t="s">
        <v>11</v>
      </c>
      <c r="F77" s="29" t="s">
        <v>12</v>
      </c>
      <c r="G77" s="29" t="s">
        <v>13</v>
      </c>
      <c r="H77" s="24" t="str">
        <f t="shared" si="3"/>
        <v>Real-Time 15.0.1</v>
      </c>
      <c r="I77" s="34" t="s">
        <v>464</v>
      </c>
      <c r="J77" s="7"/>
    </row>
    <row r="78" spans="1:10" x14ac:dyDescent="0.25">
      <c r="A78" s="24" t="s">
        <v>500</v>
      </c>
      <c r="B78" s="24" t="s">
        <v>36</v>
      </c>
      <c r="C78" s="29" t="s">
        <v>92</v>
      </c>
      <c r="D78" s="29" t="s">
        <v>10</v>
      </c>
      <c r="E78" s="29" t="s">
        <v>11</v>
      </c>
      <c r="F78" s="29" t="s">
        <v>12</v>
      </c>
      <c r="G78" s="29" t="s">
        <v>13</v>
      </c>
      <c r="H78" s="24" t="str">
        <f t="shared" si="3"/>
        <v>Real-Time Trace Viewer - LabVIEW 2015 Support 15.0.1</v>
      </c>
      <c r="I78" s="34" t="s">
        <v>464</v>
      </c>
      <c r="J78" s="7"/>
    </row>
    <row r="79" spans="1:10" x14ac:dyDescent="0.25">
      <c r="A79" s="24" t="s">
        <v>500</v>
      </c>
      <c r="B79" s="24" t="s">
        <v>37</v>
      </c>
      <c r="C79" s="29" t="s">
        <v>9</v>
      </c>
      <c r="D79" s="29" t="s">
        <v>10</v>
      </c>
      <c r="E79" s="29" t="s">
        <v>11</v>
      </c>
      <c r="F79" s="29" t="s">
        <v>12</v>
      </c>
      <c r="G79" s="29" t="s">
        <v>13</v>
      </c>
      <c r="H79" s="24" t="str">
        <f t="shared" si="3"/>
        <v>Report Generation Toolkit For Microsoft Office 15.0.0</v>
      </c>
      <c r="I79" s="30" t="s">
        <v>42</v>
      </c>
      <c r="J79" s="7"/>
    </row>
    <row r="80" spans="1:10" x14ac:dyDescent="0.25">
      <c r="A80" s="24" t="s">
        <v>500</v>
      </c>
      <c r="B80" s="24" t="s">
        <v>38</v>
      </c>
      <c r="C80" s="29" t="s">
        <v>102</v>
      </c>
      <c r="D80" s="29" t="s">
        <v>10</v>
      </c>
      <c r="E80" s="29" t="s">
        <v>11</v>
      </c>
      <c r="F80" s="29" t="s">
        <v>12</v>
      </c>
      <c r="G80" s="29" t="s">
        <v>13</v>
      </c>
      <c r="H80" s="24" t="str">
        <f t="shared" si="3"/>
        <v>Statechart Module 15.0</v>
      </c>
      <c r="I80" s="30" t="s">
        <v>42</v>
      </c>
      <c r="J80" s="7"/>
    </row>
    <row r="81" spans="1:10" x14ac:dyDescent="0.25">
      <c r="A81" s="24" t="s">
        <v>500</v>
      </c>
      <c r="B81" s="24" t="s">
        <v>39</v>
      </c>
      <c r="C81" s="29" t="s">
        <v>9</v>
      </c>
      <c r="D81" s="29" t="s">
        <v>10</v>
      </c>
      <c r="E81" s="29" t="s">
        <v>11</v>
      </c>
      <c r="F81" s="29" t="s">
        <v>12</v>
      </c>
      <c r="G81" s="29" t="s">
        <v>13</v>
      </c>
      <c r="H81" s="24" t="str">
        <f t="shared" si="3"/>
        <v>Unit Test Framework Toolkit 15.0.0</v>
      </c>
      <c r="I81" s="30" t="s">
        <v>42</v>
      </c>
      <c r="J81" s="7"/>
    </row>
    <row r="82" spans="1:10" x14ac:dyDescent="0.25">
      <c r="A82" s="24" t="s">
        <v>500</v>
      </c>
      <c r="B82" s="24" t="s">
        <v>40</v>
      </c>
      <c r="C82" s="29" t="s">
        <v>9</v>
      </c>
      <c r="D82" s="29" t="s">
        <v>10</v>
      </c>
      <c r="E82" s="29" t="s">
        <v>11</v>
      </c>
      <c r="F82" s="29" t="s">
        <v>12</v>
      </c>
      <c r="G82" s="29" t="s">
        <v>13</v>
      </c>
      <c r="H82" s="24" t="str">
        <f t="shared" si="3"/>
        <v>VI Analyzer Toolkit 15.0.0</v>
      </c>
      <c r="I82" s="30" t="s">
        <v>42</v>
      </c>
      <c r="J82" s="7"/>
    </row>
    <row r="83" spans="1:10" x14ac:dyDescent="0.25">
      <c r="A83" s="22" t="s">
        <v>501</v>
      </c>
      <c r="B83" s="22" t="s">
        <v>8</v>
      </c>
      <c r="C83" s="23" t="s">
        <v>9</v>
      </c>
      <c r="D83" s="23" t="s">
        <v>10</v>
      </c>
      <c r="E83" s="23" t="s">
        <v>11</v>
      </c>
      <c r="F83" s="23" t="s">
        <v>12</v>
      </c>
      <c r="G83" s="23" t="s">
        <v>13</v>
      </c>
      <c r="H83" s="22" t="str">
        <f t="shared" si="3"/>
        <v>Advanced Signal Processing Toolkit 15.0.0</v>
      </c>
      <c r="I83" s="30" t="s">
        <v>42</v>
      </c>
      <c r="J83" s="7"/>
    </row>
    <row r="84" spans="1:10" x14ac:dyDescent="0.25">
      <c r="A84" s="22" t="s">
        <v>501</v>
      </c>
      <c r="B84" s="22" t="s">
        <v>15</v>
      </c>
      <c r="C84" s="23" t="s">
        <v>9</v>
      </c>
      <c r="D84" s="23" t="s">
        <v>10</v>
      </c>
      <c r="E84" s="23" t="s">
        <v>11</v>
      </c>
      <c r="F84" s="23" t="s">
        <v>12</v>
      </c>
      <c r="G84" s="23" t="s">
        <v>13</v>
      </c>
      <c r="H84" s="22" t="str">
        <f t="shared" si="3"/>
        <v>C Series Module Support 15.0.0</v>
      </c>
      <c r="I84" s="30" t="s">
        <v>42</v>
      </c>
      <c r="J84" s="7"/>
    </row>
    <row r="85" spans="1:10" x14ac:dyDescent="0.25">
      <c r="A85" s="22" t="s">
        <v>501</v>
      </c>
      <c r="B85" s="22" t="s">
        <v>14</v>
      </c>
      <c r="C85" s="23" t="s">
        <v>9</v>
      </c>
      <c r="D85" s="23" t="s">
        <v>10</v>
      </c>
      <c r="E85" s="23" t="s">
        <v>11</v>
      </c>
      <c r="F85" s="23" t="s">
        <v>12</v>
      </c>
      <c r="G85" s="23" t="s">
        <v>13</v>
      </c>
      <c r="H85" s="22" t="str">
        <f t="shared" ref="H85:H91" si="4">B85&amp;" "&amp;C85</f>
        <v>CompactRIO 15.0.0</v>
      </c>
      <c r="I85" s="30" t="s">
        <v>42</v>
      </c>
      <c r="J85" s="7"/>
    </row>
    <row r="86" spans="1:10" x14ac:dyDescent="0.25">
      <c r="A86" s="22" t="s">
        <v>501</v>
      </c>
      <c r="B86" s="22" t="s">
        <v>75</v>
      </c>
      <c r="C86" s="23" t="s">
        <v>87</v>
      </c>
      <c r="D86" s="23" t="s">
        <v>10</v>
      </c>
      <c r="E86" s="23" t="s">
        <v>11</v>
      </c>
      <c r="F86" s="23" t="s">
        <v>24</v>
      </c>
      <c r="G86" s="23" t="s">
        <v>13</v>
      </c>
      <c r="H86" s="22" t="str">
        <f t="shared" si="4"/>
        <v>CVI 15.0.0.408</v>
      </c>
      <c r="I86" s="31" t="s">
        <v>91</v>
      </c>
      <c r="J86" s="7"/>
    </row>
    <row r="87" spans="1:10" x14ac:dyDescent="0.25">
      <c r="A87" s="22" t="s">
        <v>501</v>
      </c>
      <c r="B87" s="22" t="s">
        <v>33</v>
      </c>
      <c r="C87" s="23" t="s">
        <v>9</v>
      </c>
      <c r="D87" s="23" t="s">
        <v>10</v>
      </c>
      <c r="E87" s="23" t="s">
        <v>11</v>
      </c>
      <c r="F87" s="23" t="s">
        <v>12</v>
      </c>
      <c r="G87" s="23" t="s">
        <v>13</v>
      </c>
      <c r="H87" s="22" t="str">
        <f t="shared" si="4"/>
        <v>Database Connectivity Toolkit 15.0.0</v>
      </c>
      <c r="I87" s="30" t="s">
        <v>42</v>
      </c>
      <c r="J87" s="7"/>
    </row>
    <row r="88" spans="1:10" x14ac:dyDescent="0.25">
      <c r="A88" s="22" t="s">
        <v>501</v>
      </c>
      <c r="B88" s="22" t="s">
        <v>88</v>
      </c>
      <c r="C88" s="23" t="s">
        <v>89</v>
      </c>
      <c r="D88" s="23" t="s">
        <v>10</v>
      </c>
      <c r="E88" s="23" t="s">
        <v>11</v>
      </c>
      <c r="F88" s="23" t="s">
        <v>12</v>
      </c>
      <c r="G88" s="23" t="s">
        <v>13</v>
      </c>
      <c r="H88" s="22" t="str">
        <f t="shared" si="4"/>
        <v>DataFinder Toolkit 15.0.06020</v>
      </c>
      <c r="I88" s="30" t="s">
        <v>42</v>
      </c>
      <c r="J88" s="7"/>
    </row>
    <row r="89" spans="1:10" x14ac:dyDescent="0.25">
      <c r="A89" s="22" t="s">
        <v>501</v>
      </c>
      <c r="B89" s="22" t="s">
        <v>34</v>
      </c>
      <c r="C89" s="23" t="s">
        <v>9</v>
      </c>
      <c r="D89" s="23" t="s">
        <v>10</v>
      </c>
      <c r="E89" s="23" t="s">
        <v>11</v>
      </c>
      <c r="F89" s="23" t="s">
        <v>12</v>
      </c>
      <c r="G89" s="23" t="s">
        <v>13</v>
      </c>
      <c r="H89" s="22" t="str">
        <f t="shared" si="4"/>
        <v>Digital Filter Design Toolkit 15.0.0</v>
      </c>
      <c r="I89" s="30" t="s">
        <v>42</v>
      </c>
      <c r="J89" s="7"/>
    </row>
    <row r="90" spans="1:10" x14ac:dyDescent="0.25">
      <c r="A90" s="22" t="s">
        <v>501</v>
      </c>
      <c r="B90" s="22" t="s">
        <v>58</v>
      </c>
      <c r="C90" s="23" t="s">
        <v>30</v>
      </c>
      <c r="D90" s="23" t="s">
        <v>10</v>
      </c>
      <c r="E90" s="23" t="s">
        <v>11</v>
      </c>
      <c r="F90" s="23" t="s">
        <v>12</v>
      </c>
      <c r="G90" s="23" t="s">
        <v>13</v>
      </c>
      <c r="H90" s="22" t="str">
        <f t="shared" si="4"/>
        <v>FlexRIO 15.0.0f0</v>
      </c>
      <c r="I90" s="30" t="s">
        <v>42</v>
      </c>
      <c r="J90" s="7"/>
    </row>
    <row r="91" spans="1:10" x14ac:dyDescent="0.25">
      <c r="A91" s="22" t="s">
        <v>501</v>
      </c>
      <c r="B91" s="22" t="s">
        <v>31</v>
      </c>
      <c r="C91" s="23" t="s">
        <v>102</v>
      </c>
      <c r="D91" s="23" t="s">
        <v>10</v>
      </c>
      <c r="E91" s="23" t="s">
        <v>11</v>
      </c>
      <c r="F91" s="23" t="s">
        <v>12</v>
      </c>
      <c r="G91" s="23" t="s">
        <v>13</v>
      </c>
      <c r="H91" s="22" t="str">
        <f t="shared" si="4"/>
        <v>IVI Compliance Package 15.0</v>
      </c>
      <c r="I91" s="30" t="s">
        <v>42</v>
      </c>
      <c r="J91" s="7"/>
    </row>
    <row r="92" spans="1:10" x14ac:dyDescent="0.25">
      <c r="A92" s="22" t="s">
        <v>501</v>
      </c>
      <c r="B92" s="22" t="s">
        <v>32</v>
      </c>
      <c r="C92" s="23" t="s">
        <v>105</v>
      </c>
      <c r="D92" s="23" t="s">
        <v>10</v>
      </c>
      <c r="E92" s="23" t="s">
        <v>106</v>
      </c>
      <c r="F92" s="23" t="s">
        <v>24</v>
      </c>
      <c r="G92" s="23" t="s">
        <v>13</v>
      </c>
      <c r="H92" s="22" t="str">
        <f t="shared" ref="H92:H99" si="5">B92&amp;" "&amp;E92&amp;" "&amp;C92</f>
        <v>LabVIEW 2012 SP1 f9 12.0.1</v>
      </c>
      <c r="I92" s="30" t="s">
        <v>42</v>
      </c>
      <c r="J92" s="7"/>
    </row>
    <row r="93" spans="1:10" x14ac:dyDescent="0.25">
      <c r="A93" s="22" t="s">
        <v>501</v>
      </c>
      <c r="B93" s="22" t="s">
        <v>32</v>
      </c>
      <c r="C93" s="23" t="s">
        <v>105</v>
      </c>
      <c r="D93" s="23" t="s">
        <v>107</v>
      </c>
      <c r="E93" s="23" t="s">
        <v>106</v>
      </c>
      <c r="F93" s="23" t="s">
        <v>24</v>
      </c>
      <c r="G93" s="23" t="s">
        <v>13</v>
      </c>
      <c r="H93" s="22" t="str">
        <f t="shared" si="5"/>
        <v>LabVIEW 2012 SP1 f9 12.0.1</v>
      </c>
      <c r="I93" s="30" t="s">
        <v>42</v>
      </c>
      <c r="J93" s="7"/>
    </row>
    <row r="94" spans="1:10" x14ac:dyDescent="0.25">
      <c r="A94" s="22" t="s">
        <v>501</v>
      </c>
      <c r="B94" s="22" t="s">
        <v>32</v>
      </c>
      <c r="C94" s="23" t="s">
        <v>137</v>
      </c>
      <c r="D94" s="23" t="s">
        <v>10</v>
      </c>
      <c r="E94" s="23" t="s">
        <v>108</v>
      </c>
      <c r="F94" s="23" t="s">
        <v>24</v>
      </c>
      <c r="G94" s="23" t="s">
        <v>13</v>
      </c>
      <c r="H94" s="22" t="str">
        <f t="shared" si="5"/>
        <v>LabVIEW 2013 SP1 f6 13.0.1</v>
      </c>
      <c r="I94" s="30" t="s">
        <v>42</v>
      </c>
      <c r="J94" s="7"/>
    </row>
    <row r="95" spans="1:10" x14ac:dyDescent="0.25">
      <c r="A95" s="22" t="s">
        <v>501</v>
      </c>
      <c r="B95" s="22" t="s">
        <v>32</v>
      </c>
      <c r="C95" s="23" t="s">
        <v>110</v>
      </c>
      <c r="D95" s="23" t="s">
        <v>10</v>
      </c>
      <c r="E95" s="23" t="s">
        <v>109</v>
      </c>
      <c r="F95" s="23" t="s">
        <v>24</v>
      </c>
      <c r="G95" s="23" t="s">
        <v>13</v>
      </c>
      <c r="H95" s="22" t="str">
        <f t="shared" si="5"/>
        <v>LabVIEW 2014 SP1 f11 14.0.1</v>
      </c>
      <c r="I95" s="34" t="s">
        <v>464</v>
      </c>
      <c r="J95" s="7"/>
    </row>
    <row r="96" spans="1:10" x14ac:dyDescent="0.25">
      <c r="A96" s="22" t="s">
        <v>501</v>
      </c>
      <c r="B96" s="22" t="s">
        <v>32</v>
      </c>
      <c r="C96" s="23" t="s">
        <v>92</v>
      </c>
      <c r="D96" s="23" t="s">
        <v>10</v>
      </c>
      <c r="E96" s="23" t="s">
        <v>103</v>
      </c>
      <c r="F96" s="23" t="s">
        <v>12</v>
      </c>
      <c r="G96" s="23" t="s">
        <v>13</v>
      </c>
      <c r="H96" s="22" t="str">
        <f t="shared" si="5"/>
        <v>LabVIEW 2015 SP1 f10 15.0.1</v>
      </c>
      <c r="I96" s="34" t="s">
        <v>464</v>
      </c>
      <c r="J96" s="7"/>
    </row>
    <row r="97" spans="1:10" x14ac:dyDescent="0.25">
      <c r="A97" s="22" t="s">
        <v>501</v>
      </c>
      <c r="B97" s="22" t="s">
        <v>32</v>
      </c>
      <c r="C97" s="23" t="s">
        <v>110</v>
      </c>
      <c r="D97" s="23" t="s">
        <v>107</v>
      </c>
      <c r="E97" s="23" t="s">
        <v>109</v>
      </c>
      <c r="F97" s="23" t="s">
        <v>24</v>
      </c>
      <c r="G97" s="23" t="s">
        <v>13</v>
      </c>
      <c r="H97" s="22" t="str">
        <f t="shared" si="5"/>
        <v>LabVIEW 2014 SP1 f11 14.0.1</v>
      </c>
      <c r="I97" s="34" t="s">
        <v>464</v>
      </c>
      <c r="J97" s="7"/>
    </row>
    <row r="98" spans="1:10" x14ac:dyDescent="0.25">
      <c r="A98" s="22" t="s">
        <v>501</v>
      </c>
      <c r="B98" s="22" t="s">
        <v>32</v>
      </c>
      <c r="C98" s="23" t="s">
        <v>92</v>
      </c>
      <c r="D98" s="23" t="s">
        <v>10</v>
      </c>
      <c r="E98" s="23" t="s">
        <v>111</v>
      </c>
      <c r="F98" s="23" t="s">
        <v>24</v>
      </c>
      <c r="G98" s="23" t="s">
        <v>13</v>
      </c>
      <c r="H98" s="22" t="str">
        <f t="shared" si="5"/>
        <v>LabVIEW 2015 SP1 15.0.1</v>
      </c>
      <c r="I98" s="31" t="s">
        <v>91</v>
      </c>
      <c r="J98" s="7"/>
    </row>
    <row r="99" spans="1:10" x14ac:dyDescent="0.25">
      <c r="A99" s="22" t="s">
        <v>501</v>
      </c>
      <c r="B99" s="22" t="s">
        <v>32</v>
      </c>
      <c r="C99" s="23" t="s">
        <v>112</v>
      </c>
      <c r="D99" s="23" t="s">
        <v>10</v>
      </c>
      <c r="E99" s="23" t="s">
        <v>148</v>
      </c>
      <c r="F99" s="23" t="s">
        <v>24</v>
      </c>
      <c r="G99" s="23" t="s">
        <v>13</v>
      </c>
      <c r="H99" s="22" t="str">
        <f t="shared" si="5"/>
        <v>LabVIEW 2019 SP1 f5 19.0.1</v>
      </c>
      <c r="I99" s="22"/>
      <c r="J99" s="7"/>
    </row>
    <row r="100" spans="1:10" x14ac:dyDescent="0.25">
      <c r="A100" s="22" t="s">
        <v>501</v>
      </c>
      <c r="B100" s="22" t="s">
        <v>41</v>
      </c>
      <c r="C100" s="23" t="s">
        <v>94</v>
      </c>
      <c r="D100" s="23" t="s">
        <v>10</v>
      </c>
      <c r="E100" s="23" t="s">
        <v>11</v>
      </c>
      <c r="F100" s="23" t="s">
        <v>12</v>
      </c>
      <c r="G100" s="23" t="s">
        <v>13</v>
      </c>
      <c r="H100" s="22" t="str">
        <f t="shared" ref="H100:H131" si="6">B100&amp;" "&amp;C100</f>
        <v>Measurement &amp; Automation Explorer 15.3.0f0</v>
      </c>
      <c r="I100" s="31" t="s">
        <v>91</v>
      </c>
      <c r="J100" s="7"/>
    </row>
    <row r="101" spans="1:10" x14ac:dyDescent="0.25">
      <c r="A101" s="22" t="s">
        <v>501</v>
      </c>
      <c r="B101" s="22" t="s">
        <v>43</v>
      </c>
      <c r="C101" s="23"/>
      <c r="D101" s="23" t="s">
        <v>10</v>
      </c>
      <c r="E101" s="23" t="s">
        <v>114</v>
      </c>
      <c r="F101" s="23" t="s">
        <v>12</v>
      </c>
      <c r="G101" s="23" t="s">
        <v>13</v>
      </c>
      <c r="H101" s="22" t="str">
        <f t="shared" si="6"/>
        <v xml:space="preserve">Measurement Studio </v>
      </c>
      <c r="I101" s="30" t="s">
        <v>42</v>
      </c>
      <c r="J101" s="7"/>
    </row>
    <row r="102" spans="1:10" x14ac:dyDescent="0.25">
      <c r="A102" s="22" t="s">
        <v>501</v>
      </c>
      <c r="B102" s="22" t="s">
        <v>116</v>
      </c>
      <c r="C102" s="23" t="s">
        <v>149</v>
      </c>
      <c r="D102" s="23" t="s">
        <v>10</v>
      </c>
      <c r="E102" s="23" t="s">
        <v>11</v>
      </c>
      <c r="F102" s="23" t="s">
        <v>12</v>
      </c>
      <c r="G102" s="23" t="s">
        <v>13</v>
      </c>
      <c r="H102" s="22" t="str">
        <f t="shared" si="6"/>
        <v>Measurement Studio Common 15.1.40.49152</v>
      </c>
      <c r="I102" s="22"/>
      <c r="J102" s="7"/>
    </row>
    <row r="103" spans="1:10" x14ac:dyDescent="0.25">
      <c r="A103" s="22" t="s">
        <v>501</v>
      </c>
      <c r="B103" s="22" t="s">
        <v>116</v>
      </c>
      <c r="C103" s="23" t="s">
        <v>149</v>
      </c>
      <c r="D103" s="23" t="s">
        <v>107</v>
      </c>
      <c r="E103" s="23" t="s">
        <v>11</v>
      </c>
      <c r="F103" s="23" t="s">
        <v>12</v>
      </c>
      <c r="G103" s="23" t="s">
        <v>13</v>
      </c>
      <c r="H103" s="22" t="str">
        <f t="shared" si="6"/>
        <v>Measurement Studio Common 15.1.40.49152</v>
      </c>
      <c r="I103" s="22"/>
      <c r="J103" s="7"/>
    </row>
    <row r="104" spans="1:10" x14ac:dyDescent="0.25">
      <c r="A104" s="22" t="s">
        <v>501</v>
      </c>
      <c r="B104" s="22" t="s">
        <v>115</v>
      </c>
      <c r="C104" s="23"/>
      <c r="D104" s="23" t="s">
        <v>10</v>
      </c>
      <c r="E104" s="23" t="s">
        <v>114</v>
      </c>
      <c r="F104" s="23" t="s">
        <v>12</v>
      </c>
      <c r="G104" s="23" t="s">
        <v>13</v>
      </c>
      <c r="H104" s="22" t="str">
        <f t="shared" si="6"/>
        <v xml:space="preserve">Measurement Studio DotNET </v>
      </c>
      <c r="I104" s="30" t="s">
        <v>42</v>
      </c>
      <c r="J104" s="7"/>
    </row>
    <row r="105" spans="1:10" x14ac:dyDescent="0.25">
      <c r="A105" s="22" t="s">
        <v>501</v>
      </c>
      <c r="B105" s="22" t="s">
        <v>60</v>
      </c>
      <c r="C105" s="23" t="s">
        <v>30</v>
      </c>
      <c r="D105" s="23" t="s">
        <v>10</v>
      </c>
      <c r="E105" s="23" t="s">
        <v>11</v>
      </c>
      <c r="F105" s="23" t="s">
        <v>12</v>
      </c>
      <c r="G105" s="23" t="s">
        <v>13</v>
      </c>
      <c r="H105" s="22" t="str">
        <f t="shared" si="6"/>
        <v>NI 1588-2008 Network Management 15.0.0f0</v>
      </c>
      <c r="I105" s="30" t="s">
        <v>42</v>
      </c>
      <c r="J105" s="7"/>
    </row>
    <row r="106" spans="1:10" x14ac:dyDescent="0.25">
      <c r="A106" s="22" t="s">
        <v>501</v>
      </c>
      <c r="B106" s="22" t="s">
        <v>29</v>
      </c>
      <c r="C106" s="23" t="s">
        <v>30</v>
      </c>
      <c r="D106" s="23" t="s">
        <v>10</v>
      </c>
      <c r="E106" s="23" t="s">
        <v>11</v>
      </c>
      <c r="F106" s="23" t="s">
        <v>12</v>
      </c>
      <c r="G106" s="23" t="s">
        <v>13</v>
      </c>
      <c r="H106" s="22" t="str">
        <f t="shared" si="6"/>
        <v>NI I/O Trace 15.0.0f0</v>
      </c>
      <c r="I106" s="30" t="s">
        <v>42</v>
      </c>
      <c r="J106" s="7"/>
    </row>
    <row r="107" spans="1:10" x14ac:dyDescent="0.25">
      <c r="A107" s="22" t="s">
        <v>501</v>
      </c>
      <c r="B107" s="22" t="s">
        <v>140</v>
      </c>
      <c r="C107" s="23" t="s">
        <v>117</v>
      </c>
      <c r="D107" s="23" t="s">
        <v>10</v>
      </c>
      <c r="E107" s="23" t="s">
        <v>119</v>
      </c>
      <c r="F107" s="23" t="s">
        <v>24</v>
      </c>
      <c r="G107" s="23" t="s">
        <v>13</v>
      </c>
      <c r="H107" s="22" t="str">
        <f t="shared" si="6"/>
        <v>NI PXI Platform Services 19.5.0f0</v>
      </c>
      <c r="I107" s="22"/>
      <c r="J107" s="7"/>
    </row>
    <row r="108" spans="1:10" x14ac:dyDescent="0.25">
      <c r="A108" s="22" t="s">
        <v>501</v>
      </c>
      <c r="B108" s="22" t="s">
        <v>52</v>
      </c>
      <c r="C108" s="23" t="s">
        <v>53</v>
      </c>
      <c r="D108" s="23" t="s">
        <v>10</v>
      </c>
      <c r="E108" s="23" t="s">
        <v>11</v>
      </c>
      <c r="F108" s="23" t="s">
        <v>12</v>
      </c>
      <c r="G108" s="23" t="s">
        <v>13</v>
      </c>
      <c r="H108" s="22" t="str">
        <f t="shared" si="6"/>
        <v>NI PXI Platform Services Configuration 15.0.0f1</v>
      </c>
      <c r="I108" s="30" t="s">
        <v>42</v>
      </c>
      <c r="J108" s="7"/>
    </row>
    <row r="109" spans="1:10" x14ac:dyDescent="0.25">
      <c r="A109" s="22" t="s">
        <v>501</v>
      </c>
      <c r="B109" s="22" t="s">
        <v>55</v>
      </c>
      <c r="C109" s="23" t="s">
        <v>9</v>
      </c>
      <c r="D109" s="23" t="s">
        <v>10</v>
      </c>
      <c r="E109" s="23" t="s">
        <v>11</v>
      </c>
      <c r="F109" s="23" t="s">
        <v>12</v>
      </c>
      <c r="G109" s="23" t="s">
        <v>13</v>
      </c>
      <c r="H109" s="22" t="str">
        <f t="shared" si="6"/>
        <v>NI R Series Multifunction RIO 15.0.0</v>
      </c>
      <c r="I109" s="30" t="s">
        <v>42</v>
      </c>
      <c r="J109" s="7"/>
    </row>
    <row r="110" spans="1:10" x14ac:dyDescent="0.25">
      <c r="A110" s="22" t="s">
        <v>501</v>
      </c>
      <c r="B110" s="22" t="s">
        <v>20</v>
      </c>
      <c r="C110" s="23" t="s">
        <v>118</v>
      </c>
      <c r="D110" s="23" t="s">
        <v>10</v>
      </c>
      <c r="E110" s="23" t="s">
        <v>93</v>
      </c>
      <c r="F110" s="23" t="s">
        <v>12</v>
      </c>
      <c r="G110" s="23" t="s">
        <v>13</v>
      </c>
      <c r="H110" s="22" t="str">
        <f t="shared" si="6"/>
        <v>NI Script Editor 14.0</v>
      </c>
      <c r="I110" s="30" t="s">
        <v>42</v>
      </c>
      <c r="J110" s="7"/>
    </row>
    <row r="111" spans="1:10" x14ac:dyDescent="0.25">
      <c r="A111" s="22" t="s">
        <v>501</v>
      </c>
      <c r="B111" s="22" t="s">
        <v>65</v>
      </c>
      <c r="C111" s="23" t="s">
        <v>102</v>
      </c>
      <c r="D111" s="23" t="s">
        <v>10</v>
      </c>
      <c r="E111" s="23" t="s">
        <v>11</v>
      </c>
      <c r="F111" s="23" t="s">
        <v>12</v>
      </c>
      <c r="G111" s="23" t="s">
        <v>13</v>
      </c>
      <c r="H111" s="22" t="str">
        <f t="shared" si="6"/>
        <v>NI SignalExpress 15.0</v>
      </c>
      <c r="I111" s="30" t="s">
        <v>42</v>
      </c>
      <c r="J111" s="7"/>
    </row>
    <row r="112" spans="1:10" x14ac:dyDescent="0.25">
      <c r="A112" s="22" t="s">
        <v>501</v>
      </c>
      <c r="B112" s="22" t="s">
        <v>68</v>
      </c>
      <c r="C112" s="23" t="s">
        <v>117</v>
      </c>
      <c r="D112" s="23" t="s">
        <v>10</v>
      </c>
      <c r="E112" s="23" t="s">
        <v>119</v>
      </c>
      <c r="F112" s="23" t="s">
        <v>12</v>
      </c>
      <c r="G112" s="23" t="s">
        <v>13</v>
      </c>
      <c r="H112" s="22" t="str">
        <f t="shared" si="6"/>
        <v>NI System Configuration 19.5.0f0</v>
      </c>
      <c r="I112" s="22"/>
      <c r="J112" s="7"/>
    </row>
    <row r="113" spans="1:10" x14ac:dyDescent="0.25">
      <c r="A113" s="22" t="s">
        <v>501</v>
      </c>
      <c r="B113" s="22" t="s">
        <v>28</v>
      </c>
      <c r="C113" s="23" t="s">
        <v>9</v>
      </c>
      <c r="D113" s="23" t="s">
        <v>10</v>
      </c>
      <c r="E113" s="23" t="s">
        <v>11</v>
      </c>
      <c r="F113" s="23" t="s">
        <v>12</v>
      </c>
      <c r="G113" s="23" t="s">
        <v>13</v>
      </c>
      <c r="H113" s="22" t="str">
        <f t="shared" si="6"/>
        <v>NI-488.2 15.0.0</v>
      </c>
      <c r="I113" s="30" t="s">
        <v>42</v>
      </c>
      <c r="J113" s="7"/>
    </row>
    <row r="114" spans="1:10" x14ac:dyDescent="0.25">
      <c r="A114" s="22" t="s">
        <v>501</v>
      </c>
      <c r="B114" s="22" t="s">
        <v>28</v>
      </c>
      <c r="C114" s="23" t="s">
        <v>141</v>
      </c>
      <c r="D114" s="23" t="s">
        <v>10</v>
      </c>
      <c r="E114" s="23" t="s">
        <v>119</v>
      </c>
      <c r="F114" s="23" t="s">
        <v>24</v>
      </c>
      <c r="G114" s="23" t="s">
        <v>13</v>
      </c>
      <c r="H114" s="22" t="str">
        <f t="shared" si="6"/>
        <v>NI-488.2 19.5.0</v>
      </c>
      <c r="I114" s="22"/>
      <c r="J114" s="7"/>
    </row>
    <row r="115" spans="1:10" x14ac:dyDescent="0.25">
      <c r="A115" s="22" t="s">
        <v>501</v>
      </c>
      <c r="B115" s="22" t="s">
        <v>18</v>
      </c>
      <c r="C115" s="23" t="s">
        <v>9</v>
      </c>
      <c r="D115" s="23" t="s">
        <v>10</v>
      </c>
      <c r="E115" s="23" t="s">
        <v>11</v>
      </c>
      <c r="F115" s="23" t="s">
        <v>12</v>
      </c>
      <c r="G115" s="23" t="s">
        <v>13</v>
      </c>
      <c r="H115" s="22" t="str">
        <f t="shared" si="6"/>
        <v>NI-DAQmx ADE Support 15.0.0</v>
      </c>
      <c r="I115" s="30" t="s">
        <v>42</v>
      </c>
      <c r="J115" s="7"/>
    </row>
    <row r="116" spans="1:10" x14ac:dyDescent="0.25">
      <c r="A116" s="22" t="s">
        <v>501</v>
      </c>
      <c r="B116" s="22" t="s">
        <v>16</v>
      </c>
      <c r="C116" s="23" t="s">
        <v>17</v>
      </c>
      <c r="D116" s="23" t="s">
        <v>10</v>
      </c>
      <c r="E116" s="23" t="s">
        <v>11</v>
      </c>
      <c r="F116" s="23" t="s">
        <v>12</v>
      </c>
      <c r="G116" s="23" t="s">
        <v>13</v>
      </c>
      <c r="H116" s="22" t="str">
        <f t="shared" si="6"/>
        <v>NI-DAQmx Device Driver 15.0.0f2</v>
      </c>
      <c r="I116" s="30" t="s">
        <v>42</v>
      </c>
      <c r="J116" s="7"/>
    </row>
    <row r="117" spans="1:10" x14ac:dyDescent="0.25">
      <c r="A117" s="22" t="s">
        <v>501</v>
      </c>
      <c r="B117" s="22" t="s">
        <v>19</v>
      </c>
      <c r="C117" s="23" t="s">
        <v>9</v>
      </c>
      <c r="D117" s="23" t="s">
        <v>10</v>
      </c>
      <c r="E117" s="23" t="s">
        <v>11</v>
      </c>
      <c r="F117" s="23" t="s">
        <v>12</v>
      </c>
      <c r="G117" s="23" t="s">
        <v>13</v>
      </c>
      <c r="H117" s="22" t="str">
        <f t="shared" si="6"/>
        <v>NI-DAQmx MAX Configuration 15.0.0</v>
      </c>
      <c r="I117" s="30" t="s">
        <v>42</v>
      </c>
      <c r="J117" s="7"/>
    </row>
    <row r="118" spans="1:10" x14ac:dyDescent="0.25">
      <c r="A118" s="22" t="s">
        <v>501</v>
      </c>
      <c r="B118" s="22" t="s">
        <v>48</v>
      </c>
      <c r="C118" s="23"/>
      <c r="D118" s="23" t="s">
        <v>10</v>
      </c>
      <c r="E118" s="23" t="s">
        <v>11</v>
      </c>
      <c r="F118" s="23" t="s">
        <v>12</v>
      </c>
      <c r="G118" s="23" t="s">
        <v>13</v>
      </c>
      <c r="H118" s="22" t="str">
        <f t="shared" si="6"/>
        <v xml:space="preserve">NI-DCPower </v>
      </c>
      <c r="I118" s="30" t="s">
        <v>42</v>
      </c>
      <c r="J118" s="7"/>
    </row>
    <row r="119" spans="1:10" x14ac:dyDescent="0.25">
      <c r="A119" s="22" t="s">
        <v>501</v>
      </c>
      <c r="B119" s="22" t="s">
        <v>48</v>
      </c>
      <c r="C119" s="23" t="s">
        <v>102</v>
      </c>
      <c r="D119" s="23" t="s">
        <v>10</v>
      </c>
      <c r="E119" s="23" t="s">
        <v>11</v>
      </c>
      <c r="F119" s="23" t="s">
        <v>24</v>
      </c>
      <c r="G119" s="23" t="s">
        <v>13</v>
      </c>
      <c r="H119" s="22" t="str">
        <f t="shared" si="6"/>
        <v>NI-DCPower 15.0</v>
      </c>
      <c r="I119" s="30" t="s">
        <v>42</v>
      </c>
      <c r="J119" s="7"/>
    </row>
    <row r="120" spans="1:10" x14ac:dyDescent="0.25">
      <c r="A120" s="22" t="s">
        <v>501</v>
      </c>
      <c r="B120" s="22" t="s">
        <v>121</v>
      </c>
      <c r="C120" s="23" t="s">
        <v>102</v>
      </c>
      <c r="D120" s="23" t="s">
        <v>10</v>
      </c>
      <c r="E120" s="23" t="s">
        <v>11</v>
      </c>
      <c r="F120" s="23" t="s">
        <v>12</v>
      </c>
      <c r="G120" s="23" t="s">
        <v>13</v>
      </c>
      <c r="H120" s="22" t="str">
        <f t="shared" si="6"/>
        <v>NI-DCPower Configuration Support 15.0</v>
      </c>
      <c r="I120" s="30" t="s">
        <v>42</v>
      </c>
      <c r="J120" s="7"/>
    </row>
    <row r="121" spans="1:10" x14ac:dyDescent="0.25">
      <c r="A121" s="22" t="s">
        <v>501</v>
      </c>
      <c r="B121" s="22" t="s">
        <v>122</v>
      </c>
      <c r="C121" s="23" t="s">
        <v>102</v>
      </c>
      <c r="D121" s="23" t="s">
        <v>10</v>
      </c>
      <c r="E121" s="23" t="s">
        <v>11</v>
      </c>
      <c r="F121" s="23" t="s">
        <v>12</v>
      </c>
      <c r="G121" s="23" t="s">
        <v>13</v>
      </c>
      <c r="H121" s="22" t="str">
        <f t="shared" si="6"/>
        <v>NI-DCPower Development Support 15.0</v>
      </c>
      <c r="I121" s="30" t="s">
        <v>42</v>
      </c>
      <c r="J121" s="7"/>
    </row>
    <row r="122" spans="1:10" x14ac:dyDescent="0.25">
      <c r="A122" s="22" t="s">
        <v>501</v>
      </c>
      <c r="B122" s="22" t="s">
        <v>49</v>
      </c>
      <c r="C122" s="23" t="s">
        <v>102</v>
      </c>
      <c r="D122" s="23" t="s">
        <v>10</v>
      </c>
      <c r="E122" s="23" t="s">
        <v>11</v>
      </c>
      <c r="F122" s="23" t="s">
        <v>12</v>
      </c>
      <c r="G122" s="23" t="s">
        <v>13</v>
      </c>
      <c r="H122" s="22" t="str">
        <f t="shared" si="6"/>
        <v>NI-DCPower Soft Front Panel 15.0</v>
      </c>
      <c r="I122" s="30" t="s">
        <v>42</v>
      </c>
      <c r="J122" s="7"/>
    </row>
    <row r="123" spans="1:10" x14ac:dyDescent="0.25">
      <c r="A123" s="22" t="s">
        <v>501</v>
      </c>
      <c r="B123" s="22" t="s">
        <v>21</v>
      </c>
      <c r="C123" s="23"/>
      <c r="D123" s="23" t="s">
        <v>10</v>
      </c>
      <c r="E123" s="23" t="s">
        <v>11</v>
      </c>
      <c r="F123" s="23" t="s">
        <v>12</v>
      </c>
      <c r="G123" s="23" t="s">
        <v>13</v>
      </c>
      <c r="H123" s="22" t="str">
        <f t="shared" si="6"/>
        <v xml:space="preserve">NI-DMM </v>
      </c>
      <c r="I123" s="30" t="s">
        <v>42</v>
      </c>
      <c r="J123" s="7"/>
    </row>
    <row r="124" spans="1:10" x14ac:dyDescent="0.25">
      <c r="A124" s="22" t="s">
        <v>501</v>
      </c>
      <c r="B124" s="22" t="s">
        <v>21</v>
      </c>
      <c r="C124" s="23" t="s">
        <v>102</v>
      </c>
      <c r="D124" s="23" t="s">
        <v>10</v>
      </c>
      <c r="E124" s="23" t="s">
        <v>11</v>
      </c>
      <c r="F124" s="23" t="s">
        <v>24</v>
      </c>
      <c r="G124" s="23" t="s">
        <v>13</v>
      </c>
      <c r="H124" s="22" t="str">
        <f t="shared" si="6"/>
        <v>NI-DMM 15.0</v>
      </c>
      <c r="I124" s="30" t="s">
        <v>42</v>
      </c>
      <c r="J124" s="7"/>
    </row>
    <row r="125" spans="1:10" x14ac:dyDescent="0.25">
      <c r="A125" s="22" t="s">
        <v>501</v>
      </c>
      <c r="B125" s="22" t="s">
        <v>123</v>
      </c>
      <c r="C125" s="23" t="s">
        <v>102</v>
      </c>
      <c r="D125" s="23" t="s">
        <v>10</v>
      </c>
      <c r="E125" s="23" t="s">
        <v>11</v>
      </c>
      <c r="F125" s="23" t="s">
        <v>12</v>
      </c>
      <c r="G125" s="23" t="s">
        <v>13</v>
      </c>
      <c r="H125" s="22" t="str">
        <f t="shared" si="6"/>
        <v>NI-DMM Configuration Support 15.0</v>
      </c>
      <c r="I125" s="30" t="s">
        <v>42</v>
      </c>
      <c r="J125" s="7"/>
    </row>
    <row r="126" spans="1:10" x14ac:dyDescent="0.25">
      <c r="A126" s="22" t="s">
        <v>501</v>
      </c>
      <c r="B126" s="22" t="s">
        <v>124</v>
      </c>
      <c r="C126" s="23" t="s">
        <v>102</v>
      </c>
      <c r="D126" s="23" t="s">
        <v>10</v>
      </c>
      <c r="E126" s="23" t="s">
        <v>11</v>
      </c>
      <c r="F126" s="23" t="s">
        <v>12</v>
      </c>
      <c r="G126" s="23" t="s">
        <v>13</v>
      </c>
      <c r="H126" s="22" t="str">
        <f t="shared" si="6"/>
        <v>NI-DMM Development Support 15.0</v>
      </c>
      <c r="I126" s="30" t="s">
        <v>42</v>
      </c>
      <c r="J126" s="7"/>
    </row>
    <row r="127" spans="1:10" x14ac:dyDescent="0.25">
      <c r="A127" s="22" t="s">
        <v>501</v>
      </c>
      <c r="B127" s="22" t="s">
        <v>26</v>
      </c>
      <c r="C127" s="23"/>
      <c r="D127" s="23" t="s">
        <v>10</v>
      </c>
      <c r="E127" s="23" t="s">
        <v>11</v>
      </c>
      <c r="F127" s="23" t="s">
        <v>12</v>
      </c>
      <c r="G127" s="23" t="s">
        <v>13</v>
      </c>
      <c r="H127" s="22" t="str">
        <f t="shared" si="6"/>
        <v xml:space="preserve">NI-FGEN </v>
      </c>
      <c r="I127" s="30" t="s">
        <v>42</v>
      </c>
      <c r="J127" s="7"/>
    </row>
    <row r="128" spans="1:10" x14ac:dyDescent="0.25">
      <c r="A128" s="22" t="s">
        <v>501</v>
      </c>
      <c r="B128" s="22" t="s">
        <v>26</v>
      </c>
      <c r="C128" s="23" t="s">
        <v>102</v>
      </c>
      <c r="D128" s="23" t="s">
        <v>10</v>
      </c>
      <c r="E128" s="23" t="s">
        <v>11</v>
      </c>
      <c r="F128" s="23" t="s">
        <v>24</v>
      </c>
      <c r="G128" s="23" t="s">
        <v>13</v>
      </c>
      <c r="H128" s="22" t="str">
        <f t="shared" si="6"/>
        <v>NI-FGEN 15.0</v>
      </c>
      <c r="I128" s="30" t="s">
        <v>42</v>
      </c>
      <c r="J128" s="7"/>
    </row>
    <row r="129" spans="1:10" x14ac:dyDescent="0.25">
      <c r="A129" s="22" t="s">
        <v>501</v>
      </c>
      <c r="B129" s="22" t="s">
        <v>125</v>
      </c>
      <c r="C129" s="23" t="s">
        <v>102</v>
      </c>
      <c r="D129" s="23" t="s">
        <v>10</v>
      </c>
      <c r="E129" s="23" t="s">
        <v>11</v>
      </c>
      <c r="F129" s="23" t="s">
        <v>12</v>
      </c>
      <c r="G129" s="23" t="s">
        <v>13</v>
      </c>
      <c r="H129" s="22" t="str">
        <f t="shared" si="6"/>
        <v>NI-FGEN Configuration Support 15.0</v>
      </c>
      <c r="I129" s="30" t="s">
        <v>42</v>
      </c>
      <c r="J129" s="7"/>
    </row>
    <row r="130" spans="1:10" x14ac:dyDescent="0.25">
      <c r="A130" s="22" t="s">
        <v>501</v>
      </c>
      <c r="B130" s="22" t="s">
        <v>126</v>
      </c>
      <c r="C130" s="23" t="s">
        <v>102</v>
      </c>
      <c r="D130" s="23" t="s">
        <v>10</v>
      </c>
      <c r="E130" s="23" t="s">
        <v>11</v>
      </c>
      <c r="F130" s="23" t="s">
        <v>12</v>
      </c>
      <c r="G130" s="23" t="s">
        <v>13</v>
      </c>
      <c r="H130" s="22" t="str">
        <f t="shared" si="6"/>
        <v>NI-FGEN Development Support 15.0</v>
      </c>
      <c r="I130" s="30" t="s">
        <v>42</v>
      </c>
      <c r="J130" s="7"/>
    </row>
    <row r="131" spans="1:10" x14ac:dyDescent="0.25">
      <c r="A131" s="22" t="s">
        <v>501</v>
      </c>
      <c r="B131" s="22" t="s">
        <v>401</v>
      </c>
      <c r="C131" s="23" t="s">
        <v>102</v>
      </c>
      <c r="D131" s="23" t="s">
        <v>10</v>
      </c>
      <c r="E131" s="23" t="s">
        <v>11</v>
      </c>
      <c r="F131" s="23" t="s">
        <v>12</v>
      </c>
      <c r="G131" s="23" t="s">
        <v>13</v>
      </c>
      <c r="H131" s="22" t="str">
        <f t="shared" si="6"/>
        <v>NI-FGEN Soft Front Panel 15.0</v>
      </c>
      <c r="I131" s="30" t="s">
        <v>42</v>
      </c>
      <c r="J131" s="7"/>
    </row>
    <row r="132" spans="1:10" x14ac:dyDescent="0.25">
      <c r="A132" s="22" t="s">
        <v>501</v>
      </c>
      <c r="B132" s="22" t="s">
        <v>50</v>
      </c>
      <c r="C132" s="23"/>
      <c r="D132" s="23" t="s">
        <v>10</v>
      </c>
      <c r="E132" s="23" t="s">
        <v>11</v>
      </c>
      <c r="F132" s="23" t="s">
        <v>12</v>
      </c>
      <c r="G132" s="23" t="s">
        <v>13</v>
      </c>
      <c r="H132" s="22" t="str">
        <f t="shared" ref="H132:H163" si="7">B132&amp;" "&amp;C132</f>
        <v xml:space="preserve">NI-HSDIO </v>
      </c>
      <c r="I132" s="30" t="s">
        <v>42</v>
      </c>
      <c r="J132" s="7"/>
    </row>
    <row r="133" spans="1:10" x14ac:dyDescent="0.25">
      <c r="A133" s="22" t="s">
        <v>501</v>
      </c>
      <c r="B133" s="22" t="s">
        <v>50</v>
      </c>
      <c r="C133" s="23" t="s">
        <v>102</v>
      </c>
      <c r="D133" s="23" t="s">
        <v>10</v>
      </c>
      <c r="E133" s="23" t="s">
        <v>11</v>
      </c>
      <c r="F133" s="23" t="s">
        <v>24</v>
      </c>
      <c r="G133" s="23" t="s">
        <v>13</v>
      </c>
      <c r="H133" s="22" t="str">
        <f t="shared" si="7"/>
        <v>NI-HSDIO 15.0</v>
      </c>
      <c r="I133" s="30" t="s">
        <v>42</v>
      </c>
      <c r="J133" s="7"/>
    </row>
    <row r="134" spans="1:10" x14ac:dyDescent="0.25">
      <c r="A134" s="22" t="s">
        <v>501</v>
      </c>
      <c r="B134" s="22" t="s">
        <v>150</v>
      </c>
      <c r="C134" s="23" t="s">
        <v>102</v>
      </c>
      <c r="D134" s="23" t="s">
        <v>10</v>
      </c>
      <c r="E134" s="23" t="s">
        <v>11</v>
      </c>
      <c r="F134" s="23" t="s">
        <v>12</v>
      </c>
      <c r="G134" s="23" t="s">
        <v>13</v>
      </c>
      <c r="H134" s="22" t="str">
        <f t="shared" si="7"/>
        <v>NI-HSDIO Configuration Support 15.0</v>
      </c>
      <c r="I134" s="30" t="s">
        <v>42</v>
      </c>
      <c r="J134" s="7"/>
    </row>
    <row r="135" spans="1:10" x14ac:dyDescent="0.25">
      <c r="A135" s="22" t="s">
        <v>501</v>
      </c>
      <c r="B135" s="22" t="s">
        <v>142</v>
      </c>
      <c r="C135" s="23" t="s">
        <v>102</v>
      </c>
      <c r="D135" s="23" t="s">
        <v>10</v>
      </c>
      <c r="E135" s="23" t="s">
        <v>11</v>
      </c>
      <c r="F135" s="23" t="s">
        <v>12</v>
      </c>
      <c r="G135" s="23" t="s">
        <v>13</v>
      </c>
      <c r="H135" s="22" t="str">
        <f t="shared" si="7"/>
        <v>NI-HSDIO Development Support 15.0</v>
      </c>
      <c r="I135" s="30" t="s">
        <v>42</v>
      </c>
      <c r="J135" s="7"/>
    </row>
    <row r="136" spans="1:10" x14ac:dyDescent="0.25">
      <c r="A136" s="22" t="s">
        <v>501</v>
      </c>
      <c r="B136" s="22" t="s">
        <v>51</v>
      </c>
      <c r="C136" s="23" t="s">
        <v>9</v>
      </c>
      <c r="D136" s="23" t="s">
        <v>10</v>
      </c>
      <c r="E136" s="23" t="s">
        <v>11</v>
      </c>
      <c r="F136" s="23" t="s">
        <v>12</v>
      </c>
      <c r="G136" s="23" t="s">
        <v>13</v>
      </c>
      <c r="H136" s="22" t="str">
        <f t="shared" si="7"/>
        <v>NI-HWS 15.0.0</v>
      </c>
      <c r="I136" s="30" t="s">
        <v>42</v>
      </c>
      <c r="J136" s="7"/>
    </row>
    <row r="137" spans="1:10" x14ac:dyDescent="0.25">
      <c r="A137" s="22" t="s">
        <v>501</v>
      </c>
      <c r="B137" s="22" t="s">
        <v>143</v>
      </c>
      <c r="C137" s="23" t="s">
        <v>144</v>
      </c>
      <c r="D137" s="23" t="s">
        <v>10</v>
      </c>
      <c r="E137" s="23" t="s">
        <v>11</v>
      </c>
      <c r="F137" s="23" t="s">
        <v>12</v>
      </c>
      <c r="G137" s="23" t="s">
        <v>13</v>
      </c>
      <c r="H137" s="22" t="str">
        <f t="shared" si="7"/>
        <v>NI-Industrial Communications for EtherCAT 15.0.0f3</v>
      </c>
      <c r="I137" s="35" t="s">
        <v>415</v>
      </c>
      <c r="J137" s="7"/>
    </row>
    <row r="138" spans="1:10" x14ac:dyDescent="0.25">
      <c r="A138" s="22" t="s">
        <v>501</v>
      </c>
      <c r="B138" s="22" t="s">
        <v>145</v>
      </c>
      <c r="C138" s="23" t="s">
        <v>135</v>
      </c>
      <c r="D138" s="23" t="s">
        <v>10</v>
      </c>
      <c r="E138" s="23" t="s">
        <v>119</v>
      </c>
      <c r="F138" s="23" t="s">
        <v>12</v>
      </c>
      <c r="G138" s="23" t="s">
        <v>13</v>
      </c>
      <c r="H138" s="22" t="str">
        <f t="shared" si="7"/>
        <v>NI-PAL 19.0.0</v>
      </c>
      <c r="I138" s="22"/>
      <c r="J138" s="7"/>
    </row>
    <row r="139" spans="1:10" x14ac:dyDescent="0.25">
      <c r="A139" s="22" t="s">
        <v>501</v>
      </c>
      <c r="B139" s="22" t="s">
        <v>54</v>
      </c>
      <c r="C139" s="23" t="s">
        <v>9</v>
      </c>
      <c r="D139" s="23" t="s">
        <v>10</v>
      </c>
      <c r="E139" s="23" t="s">
        <v>11</v>
      </c>
      <c r="F139" s="23" t="s">
        <v>12</v>
      </c>
      <c r="G139" s="23" t="s">
        <v>13</v>
      </c>
      <c r="H139" s="22" t="str">
        <f t="shared" si="7"/>
        <v>NI-RIO 15.0.0</v>
      </c>
      <c r="I139" s="30" t="s">
        <v>42</v>
      </c>
      <c r="J139" s="7"/>
    </row>
    <row r="140" spans="1:10" x14ac:dyDescent="0.25">
      <c r="A140" s="22" t="s">
        <v>501</v>
      </c>
      <c r="B140" s="22" t="s">
        <v>61</v>
      </c>
      <c r="C140" s="23" t="s">
        <v>102</v>
      </c>
      <c r="D140" s="23" t="s">
        <v>10</v>
      </c>
      <c r="E140" s="23" t="s">
        <v>11</v>
      </c>
      <c r="F140" s="23" t="s">
        <v>12</v>
      </c>
      <c r="G140" s="23" t="s">
        <v>13</v>
      </c>
      <c r="H140" s="22" t="str">
        <f t="shared" si="7"/>
        <v>NI-SCOPE 15.0</v>
      </c>
      <c r="I140" s="30" t="s">
        <v>42</v>
      </c>
      <c r="J140" s="7"/>
    </row>
    <row r="141" spans="1:10" x14ac:dyDescent="0.25">
      <c r="A141" s="22" t="s">
        <v>501</v>
      </c>
      <c r="B141" s="22" t="s">
        <v>61</v>
      </c>
      <c r="C141" s="23" t="s">
        <v>102</v>
      </c>
      <c r="D141" s="23" t="s">
        <v>10</v>
      </c>
      <c r="E141" s="23" t="s">
        <v>11</v>
      </c>
      <c r="F141" s="23" t="s">
        <v>24</v>
      </c>
      <c r="G141" s="23" t="s">
        <v>13</v>
      </c>
      <c r="H141" s="22" t="str">
        <f t="shared" si="7"/>
        <v>NI-SCOPE 15.0</v>
      </c>
      <c r="I141" s="30" t="s">
        <v>42</v>
      </c>
      <c r="J141" s="7"/>
    </row>
    <row r="142" spans="1:10" x14ac:dyDescent="0.25">
      <c r="A142" s="22" t="s">
        <v>501</v>
      </c>
      <c r="B142" s="22" t="s">
        <v>151</v>
      </c>
      <c r="C142" s="23" t="s">
        <v>102</v>
      </c>
      <c r="D142" s="23" t="s">
        <v>10</v>
      </c>
      <c r="E142" s="23" t="s">
        <v>11</v>
      </c>
      <c r="F142" s="23" t="s">
        <v>12</v>
      </c>
      <c r="G142" s="23" t="s">
        <v>13</v>
      </c>
      <c r="H142" s="22" t="str">
        <f t="shared" si="7"/>
        <v>NI-SCOPE Configuration Support 15.0</v>
      </c>
      <c r="I142" s="30" t="s">
        <v>42</v>
      </c>
      <c r="J142" s="7"/>
    </row>
    <row r="143" spans="1:10" x14ac:dyDescent="0.25">
      <c r="A143" s="22" t="s">
        <v>501</v>
      </c>
      <c r="B143" s="22" t="s">
        <v>128</v>
      </c>
      <c r="C143" s="23" t="s">
        <v>102</v>
      </c>
      <c r="D143" s="23" t="s">
        <v>10</v>
      </c>
      <c r="E143" s="23" t="s">
        <v>11</v>
      </c>
      <c r="F143" s="23" t="s">
        <v>12</v>
      </c>
      <c r="G143" s="23" t="s">
        <v>13</v>
      </c>
      <c r="H143" s="22" t="str">
        <f t="shared" si="7"/>
        <v>NI-SCOPE Development Support 15.0</v>
      </c>
      <c r="I143" s="30" t="s">
        <v>42</v>
      </c>
      <c r="J143" s="7"/>
    </row>
    <row r="144" spans="1:10" x14ac:dyDescent="0.25">
      <c r="A144" s="22" t="s">
        <v>501</v>
      </c>
      <c r="B144" s="22" t="s">
        <v>400</v>
      </c>
      <c r="C144" s="23" t="s">
        <v>102</v>
      </c>
      <c r="D144" s="23" t="s">
        <v>10</v>
      </c>
      <c r="E144" s="23" t="s">
        <v>11</v>
      </c>
      <c r="F144" s="23" t="s">
        <v>12</v>
      </c>
      <c r="G144" s="23" t="s">
        <v>13</v>
      </c>
      <c r="H144" s="22" t="str">
        <f t="shared" si="7"/>
        <v>NI-SCOPE Soft Front Panel 15.0</v>
      </c>
      <c r="I144" s="30" t="s">
        <v>42</v>
      </c>
      <c r="J144" s="7"/>
    </row>
    <row r="145" spans="1:10" x14ac:dyDescent="0.25">
      <c r="A145" s="22" t="s">
        <v>501</v>
      </c>
      <c r="B145" s="22" t="s">
        <v>129</v>
      </c>
      <c r="C145" s="23" t="s">
        <v>146</v>
      </c>
      <c r="D145" s="23" t="s">
        <v>10</v>
      </c>
      <c r="E145" s="23" t="s">
        <v>130</v>
      </c>
      <c r="F145" s="23" t="s">
        <v>24</v>
      </c>
      <c r="G145" s="23" t="s">
        <v>13</v>
      </c>
      <c r="H145" s="22" t="str">
        <f t="shared" si="7"/>
        <v>NI-Serial 18.5.0f0</v>
      </c>
      <c r="I145" s="22"/>
      <c r="J145" s="7"/>
    </row>
    <row r="146" spans="1:10" x14ac:dyDescent="0.25">
      <c r="A146" s="22" t="s">
        <v>501</v>
      </c>
      <c r="B146" s="22" t="s">
        <v>64</v>
      </c>
      <c r="C146" s="23" t="s">
        <v>30</v>
      </c>
      <c r="D146" s="23" t="s">
        <v>10</v>
      </c>
      <c r="E146" s="23" t="s">
        <v>11</v>
      </c>
      <c r="F146" s="23" t="s">
        <v>12</v>
      </c>
      <c r="G146" s="23" t="s">
        <v>13</v>
      </c>
      <c r="H146" s="22" t="str">
        <f t="shared" si="7"/>
        <v>NI-Serial Configuration 15.0.0f0</v>
      </c>
      <c r="I146" s="30" t="s">
        <v>42</v>
      </c>
      <c r="J146" s="7"/>
    </row>
    <row r="147" spans="1:10" x14ac:dyDescent="0.25">
      <c r="A147" s="22" t="s">
        <v>501</v>
      </c>
      <c r="B147" s="22" t="s">
        <v>66</v>
      </c>
      <c r="C147" s="23" t="s">
        <v>102</v>
      </c>
      <c r="D147" s="23" t="s">
        <v>10</v>
      </c>
      <c r="E147" s="23" t="s">
        <v>11</v>
      </c>
      <c r="F147" s="23" t="s">
        <v>12</v>
      </c>
      <c r="G147" s="23" t="s">
        <v>13</v>
      </c>
      <c r="H147" s="22" t="str">
        <f t="shared" si="7"/>
        <v>NI-SWITCH 15.0</v>
      </c>
      <c r="I147" s="30" t="s">
        <v>42</v>
      </c>
      <c r="J147" s="7"/>
    </row>
    <row r="148" spans="1:10" x14ac:dyDescent="0.25">
      <c r="A148" s="22" t="s">
        <v>501</v>
      </c>
      <c r="B148" s="22" t="s">
        <v>66</v>
      </c>
      <c r="C148" s="23" t="s">
        <v>102</v>
      </c>
      <c r="D148" s="23" t="s">
        <v>10</v>
      </c>
      <c r="E148" s="23" t="s">
        <v>11</v>
      </c>
      <c r="F148" s="23" t="s">
        <v>24</v>
      </c>
      <c r="G148" s="23" t="s">
        <v>13</v>
      </c>
      <c r="H148" s="22" t="str">
        <f t="shared" si="7"/>
        <v>NI-SWITCH 15.0</v>
      </c>
      <c r="I148" s="30" t="s">
        <v>42</v>
      </c>
      <c r="J148" s="7"/>
    </row>
    <row r="149" spans="1:10" x14ac:dyDescent="0.25">
      <c r="A149" s="22" t="s">
        <v>501</v>
      </c>
      <c r="B149" s="22" t="s">
        <v>131</v>
      </c>
      <c r="C149" s="23" t="s">
        <v>102</v>
      </c>
      <c r="D149" s="23" t="s">
        <v>10</v>
      </c>
      <c r="E149" s="23" t="s">
        <v>11</v>
      </c>
      <c r="F149" s="23" t="s">
        <v>12</v>
      </c>
      <c r="G149" s="23" t="s">
        <v>13</v>
      </c>
      <c r="H149" s="22" t="str">
        <f t="shared" si="7"/>
        <v>NI-SWITCH Configuration Support 15.0</v>
      </c>
      <c r="I149" s="30" t="s">
        <v>42</v>
      </c>
      <c r="J149" s="7"/>
    </row>
    <row r="150" spans="1:10" x14ac:dyDescent="0.25">
      <c r="A150" s="22" t="s">
        <v>501</v>
      </c>
      <c r="B150" s="22" t="s">
        <v>132</v>
      </c>
      <c r="C150" s="23" t="s">
        <v>102</v>
      </c>
      <c r="D150" s="23" t="s">
        <v>10</v>
      </c>
      <c r="E150" s="23" t="s">
        <v>11</v>
      </c>
      <c r="F150" s="23" t="s">
        <v>12</v>
      </c>
      <c r="G150" s="23" t="s">
        <v>13</v>
      </c>
      <c r="H150" s="22" t="str">
        <f t="shared" si="7"/>
        <v>NI-SWITCH Development Support 15.0</v>
      </c>
      <c r="I150" s="30" t="s">
        <v>42</v>
      </c>
      <c r="J150" s="7"/>
    </row>
    <row r="151" spans="1:10" x14ac:dyDescent="0.25">
      <c r="A151" s="22" t="s">
        <v>501</v>
      </c>
      <c r="B151" s="22" t="s">
        <v>67</v>
      </c>
      <c r="C151" s="23" t="s">
        <v>9</v>
      </c>
      <c r="D151" s="23" t="s">
        <v>10</v>
      </c>
      <c r="E151" s="23" t="s">
        <v>11</v>
      </c>
      <c r="F151" s="23" t="s">
        <v>12</v>
      </c>
      <c r="G151" s="23" t="s">
        <v>13</v>
      </c>
      <c r="H151" s="22" t="str">
        <f t="shared" si="7"/>
        <v>NI-SWITCH Soft Front Panel 15.0.0</v>
      </c>
      <c r="I151" s="30" t="s">
        <v>42</v>
      </c>
      <c r="J151" s="7"/>
    </row>
    <row r="152" spans="1:10" x14ac:dyDescent="0.25">
      <c r="A152" s="22" t="s">
        <v>501</v>
      </c>
      <c r="B152" s="22" t="s">
        <v>56</v>
      </c>
      <c r="C152" s="23" t="s">
        <v>30</v>
      </c>
      <c r="D152" s="23" t="s">
        <v>10</v>
      </c>
      <c r="E152" s="23" t="s">
        <v>11</v>
      </c>
      <c r="F152" s="23" t="s">
        <v>12</v>
      </c>
      <c r="G152" s="23" t="s">
        <v>13</v>
      </c>
      <c r="H152" s="22" t="str">
        <f t="shared" si="7"/>
        <v>NI-Sync 15.0.0f0</v>
      </c>
      <c r="I152" s="30" t="s">
        <v>42</v>
      </c>
      <c r="J152" s="7"/>
    </row>
    <row r="153" spans="1:10" x14ac:dyDescent="0.25">
      <c r="A153" s="22" t="s">
        <v>501</v>
      </c>
      <c r="B153" s="22" t="s">
        <v>69</v>
      </c>
      <c r="C153" s="23" t="s">
        <v>102</v>
      </c>
      <c r="D153" s="23" t="s">
        <v>10</v>
      </c>
      <c r="E153" s="23" t="s">
        <v>11</v>
      </c>
      <c r="F153" s="23" t="s">
        <v>12</v>
      </c>
      <c r="G153" s="23" t="s">
        <v>13</v>
      </c>
      <c r="H153" s="22" t="str">
        <f t="shared" si="7"/>
        <v>NI-TClk 15.0</v>
      </c>
      <c r="I153" s="30" t="s">
        <v>42</v>
      </c>
      <c r="J153" s="7"/>
    </row>
    <row r="154" spans="1:10" x14ac:dyDescent="0.25">
      <c r="A154" s="22" t="s">
        <v>501</v>
      </c>
      <c r="B154" s="22" t="s">
        <v>57</v>
      </c>
      <c r="C154" s="23" t="s">
        <v>30</v>
      </c>
      <c r="D154" s="23" t="s">
        <v>10</v>
      </c>
      <c r="E154" s="23" t="s">
        <v>11</v>
      </c>
      <c r="F154" s="23" t="s">
        <v>12</v>
      </c>
      <c r="G154" s="23" t="s">
        <v>13</v>
      </c>
      <c r="H154" s="22" t="str">
        <f t="shared" si="7"/>
        <v>NI-TimeSync 15.0.0f0</v>
      </c>
      <c r="I154" s="30" t="s">
        <v>42</v>
      </c>
      <c r="J154" s="7"/>
    </row>
    <row r="155" spans="1:10" x14ac:dyDescent="0.25">
      <c r="A155" s="22" t="s">
        <v>501</v>
      </c>
      <c r="B155" s="22" t="s">
        <v>46</v>
      </c>
      <c r="C155" s="23" t="s">
        <v>152</v>
      </c>
      <c r="D155" s="23" t="s">
        <v>10</v>
      </c>
      <c r="E155" s="23" t="s">
        <v>153</v>
      </c>
      <c r="F155" s="23" t="s">
        <v>12</v>
      </c>
      <c r="G155" s="23" t="s">
        <v>13</v>
      </c>
      <c r="H155" s="22" t="str">
        <f t="shared" si="7"/>
        <v>NI-USI 17.0.0.6654</v>
      </c>
      <c r="I155" s="22"/>
      <c r="J155" s="7"/>
    </row>
    <row r="156" spans="1:10" x14ac:dyDescent="0.25">
      <c r="A156" s="22" t="s">
        <v>501</v>
      </c>
      <c r="B156" s="22" t="s">
        <v>70</v>
      </c>
      <c r="C156" s="23" t="s">
        <v>120</v>
      </c>
      <c r="D156" s="23" t="s">
        <v>10</v>
      </c>
      <c r="E156" s="23" t="s">
        <v>119</v>
      </c>
      <c r="F156" s="23" t="s">
        <v>12</v>
      </c>
      <c r="G156" s="23" t="s">
        <v>13</v>
      </c>
      <c r="H156" s="22" t="str">
        <f t="shared" si="7"/>
        <v>NI-VISA 19.5</v>
      </c>
      <c r="I156" s="22"/>
      <c r="J156" s="7"/>
    </row>
    <row r="157" spans="1:10" x14ac:dyDescent="0.25">
      <c r="A157" s="22" t="s">
        <v>501</v>
      </c>
      <c r="B157" s="22" t="s">
        <v>70</v>
      </c>
      <c r="C157" s="23" t="s">
        <v>120</v>
      </c>
      <c r="D157" s="23" t="s">
        <v>10</v>
      </c>
      <c r="E157" s="23" t="s">
        <v>119</v>
      </c>
      <c r="F157" s="23" t="s">
        <v>24</v>
      </c>
      <c r="G157" s="23" t="s">
        <v>13</v>
      </c>
      <c r="H157" s="22" t="str">
        <f t="shared" si="7"/>
        <v>NI-VISA 19.5</v>
      </c>
      <c r="I157" s="22"/>
      <c r="J157" s="7"/>
    </row>
    <row r="158" spans="1:10" x14ac:dyDescent="0.25">
      <c r="A158" s="22" t="s">
        <v>501</v>
      </c>
      <c r="B158" s="22" t="s">
        <v>73</v>
      </c>
      <c r="C158" s="23" t="s">
        <v>72</v>
      </c>
      <c r="D158" s="23" t="s">
        <v>154</v>
      </c>
      <c r="E158" s="23" t="s">
        <v>11</v>
      </c>
      <c r="F158" s="23" t="s">
        <v>12</v>
      </c>
      <c r="G158" s="23" t="s">
        <v>13</v>
      </c>
      <c r="H158" s="22" t="str">
        <f t="shared" si="7"/>
        <v>NIvisaic.exe 15.0.0.49152</v>
      </c>
      <c r="I158" s="30" t="s">
        <v>42</v>
      </c>
      <c r="J158" s="7"/>
    </row>
    <row r="159" spans="1:10" x14ac:dyDescent="0.25">
      <c r="A159" s="22" t="s">
        <v>501</v>
      </c>
      <c r="B159" s="22" t="s">
        <v>71</v>
      </c>
      <c r="C159" s="23" t="s">
        <v>72</v>
      </c>
      <c r="D159" s="23" t="s">
        <v>10</v>
      </c>
      <c r="E159" s="23" t="s">
        <v>11</v>
      </c>
      <c r="F159" s="23" t="s">
        <v>12</v>
      </c>
      <c r="G159" s="23" t="s">
        <v>13</v>
      </c>
      <c r="H159" s="22" t="str">
        <f t="shared" si="7"/>
        <v>NiVisaServer.exe 15.0.0.49152</v>
      </c>
      <c r="I159" s="30" t="s">
        <v>42</v>
      </c>
      <c r="J159" s="7"/>
    </row>
    <row r="160" spans="1:10" x14ac:dyDescent="0.25">
      <c r="A160" s="22" t="s">
        <v>501</v>
      </c>
      <c r="B160" s="22" t="s">
        <v>35</v>
      </c>
      <c r="C160" s="23" t="s">
        <v>92</v>
      </c>
      <c r="D160" s="23" t="s">
        <v>10</v>
      </c>
      <c r="E160" s="23" t="s">
        <v>11</v>
      </c>
      <c r="F160" s="23" t="s">
        <v>12</v>
      </c>
      <c r="G160" s="23" t="s">
        <v>13</v>
      </c>
      <c r="H160" s="22" t="str">
        <f t="shared" si="7"/>
        <v>Real-Time 15.0.1</v>
      </c>
      <c r="I160" s="34" t="s">
        <v>464</v>
      </c>
      <c r="J160" s="7"/>
    </row>
    <row r="161" spans="1:10" x14ac:dyDescent="0.25">
      <c r="A161" s="22" t="s">
        <v>501</v>
      </c>
      <c r="B161" s="22" t="s">
        <v>36</v>
      </c>
      <c r="C161" s="23" t="s">
        <v>92</v>
      </c>
      <c r="D161" s="23" t="s">
        <v>10</v>
      </c>
      <c r="E161" s="23" t="s">
        <v>11</v>
      </c>
      <c r="F161" s="23" t="s">
        <v>12</v>
      </c>
      <c r="G161" s="23" t="s">
        <v>13</v>
      </c>
      <c r="H161" s="22" t="str">
        <f t="shared" si="7"/>
        <v>Real-Time Trace Viewer - LabVIEW 2015 Support 15.0.1</v>
      </c>
      <c r="I161" s="34" t="s">
        <v>464</v>
      </c>
      <c r="J161" s="7"/>
    </row>
    <row r="162" spans="1:10" x14ac:dyDescent="0.25">
      <c r="A162" s="22" t="s">
        <v>501</v>
      </c>
      <c r="B162" s="22" t="s">
        <v>37</v>
      </c>
      <c r="C162" s="23" t="s">
        <v>9</v>
      </c>
      <c r="D162" s="23" t="s">
        <v>10</v>
      </c>
      <c r="E162" s="23" t="s">
        <v>11</v>
      </c>
      <c r="F162" s="23" t="s">
        <v>12</v>
      </c>
      <c r="G162" s="23" t="s">
        <v>13</v>
      </c>
      <c r="H162" s="22" t="str">
        <f t="shared" si="7"/>
        <v>Report Generation Toolkit For Microsoft Office 15.0.0</v>
      </c>
      <c r="I162" s="30" t="s">
        <v>42</v>
      </c>
      <c r="J162" s="7"/>
    </row>
    <row r="163" spans="1:10" x14ac:dyDescent="0.25">
      <c r="A163" s="22" t="s">
        <v>501</v>
      </c>
      <c r="B163" s="22" t="s">
        <v>38</v>
      </c>
      <c r="C163" s="23" t="s">
        <v>102</v>
      </c>
      <c r="D163" s="23" t="s">
        <v>10</v>
      </c>
      <c r="E163" s="23" t="s">
        <v>11</v>
      </c>
      <c r="F163" s="23" t="s">
        <v>12</v>
      </c>
      <c r="G163" s="23" t="s">
        <v>13</v>
      </c>
      <c r="H163" s="22" t="str">
        <f t="shared" si="7"/>
        <v>Statechart Module 15.0</v>
      </c>
      <c r="I163" s="30" t="s">
        <v>42</v>
      </c>
      <c r="J163" s="7"/>
    </row>
    <row r="164" spans="1:10" x14ac:dyDescent="0.25">
      <c r="A164" s="22" t="s">
        <v>501</v>
      </c>
      <c r="B164" s="22" t="s">
        <v>39</v>
      </c>
      <c r="C164" s="23" t="s">
        <v>9</v>
      </c>
      <c r="D164" s="23" t="s">
        <v>10</v>
      </c>
      <c r="E164" s="23" t="s">
        <v>11</v>
      </c>
      <c r="F164" s="23" t="s">
        <v>12</v>
      </c>
      <c r="G164" s="23" t="s">
        <v>13</v>
      </c>
      <c r="H164" s="22" t="str">
        <f t="shared" ref="H164:H195" si="8">B164&amp;" "&amp;C164</f>
        <v>Unit Test Framework Toolkit 15.0.0</v>
      </c>
      <c r="I164" s="30" t="s">
        <v>42</v>
      </c>
      <c r="J164" s="7"/>
    </row>
    <row r="165" spans="1:10" x14ac:dyDescent="0.25">
      <c r="A165" s="22" t="s">
        <v>501</v>
      </c>
      <c r="B165" s="22" t="s">
        <v>40</v>
      </c>
      <c r="C165" s="23" t="s">
        <v>9</v>
      </c>
      <c r="D165" s="23" t="s">
        <v>10</v>
      </c>
      <c r="E165" s="23" t="s">
        <v>11</v>
      </c>
      <c r="F165" s="23" t="s">
        <v>12</v>
      </c>
      <c r="G165" s="23" t="s">
        <v>13</v>
      </c>
      <c r="H165" s="22" t="str">
        <f t="shared" si="8"/>
        <v>VI Analyzer Toolkit 15.0.0</v>
      </c>
      <c r="I165" s="30" t="s">
        <v>42</v>
      </c>
      <c r="J165" s="7"/>
    </row>
    <row r="166" spans="1:10" x14ac:dyDescent="0.25">
      <c r="A166" s="20" t="s">
        <v>540</v>
      </c>
      <c r="B166" s="20" t="s">
        <v>15</v>
      </c>
      <c r="C166" s="21" t="s">
        <v>97</v>
      </c>
      <c r="D166" s="21" t="s">
        <v>10</v>
      </c>
      <c r="E166" s="21">
        <v>2015</v>
      </c>
      <c r="F166" s="21" t="s">
        <v>12</v>
      </c>
      <c r="G166" s="21" t="s">
        <v>13</v>
      </c>
      <c r="H166" s="20" t="str">
        <f t="shared" si="8"/>
        <v>C Series Module Support 15.5.0</v>
      </c>
      <c r="I166" s="20"/>
      <c r="J166" s="7"/>
    </row>
    <row r="167" spans="1:10" x14ac:dyDescent="0.25">
      <c r="A167" s="20" t="s">
        <v>540</v>
      </c>
      <c r="B167" s="20" t="s">
        <v>200</v>
      </c>
      <c r="C167" s="21" t="s">
        <v>201</v>
      </c>
      <c r="D167" s="21" t="s">
        <v>10</v>
      </c>
      <c r="E167" s="21" t="s">
        <v>136</v>
      </c>
      <c r="F167" s="21" t="s">
        <v>12</v>
      </c>
      <c r="G167" s="21" t="s">
        <v>158</v>
      </c>
      <c r="H167" s="20" t="str">
        <f t="shared" si="8"/>
        <v>Caraya Unit Test Framework 0.6.3.54</v>
      </c>
      <c r="I167" s="78" t="s">
        <v>202</v>
      </c>
      <c r="J167" s="7"/>
    </row>
    <row r="168" spans="1:10" x14ac:dyDescent="0.25">
      <c r="A168" s="20" t="s">
        <v>540</v>
      </c>
      <c r="B168" s="20" t="s">
        <v>14</v>
      </c>
      <c r="C168" s="21" t="s">
        <v>97</v>
      </c>
      <c r="D168" s="21" t="s">
        <v>10</v>
      </c>
      <c r="E168" s="21">
        <v>2015</v>
      </c>
      <c r="F168" s="21" t="s">
        <v>12</v>
      </c>
      <c r="G168" s="21" t="s">
        <v>13</v>
      </c>
      <c r="H168" s="20" t="str">
        <f t="shared" si="8"/>
        <v>CompactRIO 15.5.0</v>
      </c>
      <c r="I168" s="20"/>
      <c r="J168" s="7"/>
    </row>
    <row r="169" spans="1:10" hidden="1" x14ac:dyDescent="0.25">
      <c r="A169" s="20" t="s">
        <v>540</v>
      </c>
      <c r="B169" s="20" t="s">
        <v>174</v>
      </c>
      <c r="C169" s="21" t="s">
        <v>170</v>
      </c>
      <c r="D169" s="21" t="s">
        <v>10</v>
      </c>
      <c r="E169" s="21" t="s">
        <v>11</v>
      </c>
      <c r="F169" s="21" t="s">
        <v>171</v>
      </c>
      <c r="G169" s="21" t="s">
        <v>13</v>
      </c>
      <c r="H169" s="20" t="str">
        <f t="shared" si="8"/>
        <v>CompactRIO Suport 15.5</v>
      </c>
      <c r="I169" s="20"/>
      <c r="J169" s="7"/>
    </row>
    <row r="170" spans="1:10" x14ac:dyDescent="0.25">
      <c r="A170" s="20" t="s">
        <v>540</v>
      </c>
      <c r="B170" s="20" t="s">
        <v>75</v>
      </c>
      <c r="C170" s="21" t="s">
        <v>364</v>
      </c>
      <c r="D170" s="21" t="s">
        <v>10</v>
      </c>
      <c r="E170" s="21" t="s">
        <v>119</v>
      </c>
      <c r="F170" s="21" t="s">
        <v>24</v>
      </c>
      <c r="G170" s="21" t="s">
        <v>13</v>
      </c>
      <c r="H170" s="20" t="str">
        <f t="shared" si="8"/>
        <v>CVI 19.0.0.49154</v>
      </c>
      <c r="I170" s="20"/>
      <c r="J170" s="7"/>
    </row>
    <row r="171" spans="1:10" x14ac:dyDescent="0.25">
      <c r="A171" s="20" t="s">
        <v>540</v>
      </c>
      <c r="B171" s="20" t="s">
        <v>33</v>
      </c>
      <c r="C171" s="21" t="s">
        <v>9</v>
      </c>
      <c r="D171" s="21" t="s">
        <v>10</v>
      </c>
      <c r="E171" s="21">
        <v>2015</v>
      </c>
      <c r="F171" s="21" t="s">
        <v>12</v>
      </c>
      <c r="G171" s="21" t="s">
        <v>13</v>
      </c>
      <c r="H171" s="20" t="str">
        <f t="shared" si="8"/>
        <v>Database Connectivity Toolkit 15.0.0</v>
      </c>
      <c r="I171" s="30" t="s">
        <v>42</v>
      </c>
      <c r="J171" s="7"/>
    </row>
    <row r="172" spans="1:10" x14ac:dyDescent="0.25">
      <c r="A172" s="20" t="s">
        <v>540</v>
      </c>
      <c r="B172" s="20" t="s">
        <v>203</v>
      </c>
      <c r="C172" s="21" t="s">
        <v>204</v>
      </c>
      <c r="D172" s="21" t="s">
        <v>10</v>
      </c>
      <c r="E172" s="21" t="s">
        <v>136</v>
      </c>
      <c r="F172" s="21" t="s">
        <v>12</v>
      </c>
      <c r="G172" s="21" t="s">
        <v>538</v>
      </c>
      <c r="H172" s="20" t="str">
        <f t="shared" si="8"/>
        <v>Delacor QMH 4.0.0.28</v>
      </c>
      <c r="I172" s="77" t="s">
        <v>202</v>
      </c>
      <c r="J172" s="7"/>
    </row>
    <row r="173" spans="1:10" x14ac:dyDescent="0.25">
      <c r="A173" s="20" t="s">
        <v>540</v>
      </c>
      <c r="B173" s="20" t="s">
        <v>205</v>
      </c>
      <c r="C173" s="21" t="s">
        <v>535</v>
      </c>
      <c r="D173" s="21" t="s">
        <v>10</v>
      </c>
      <c r="E173" s="21" t="s">
        <v>136</v>
      </c>
      <c r="F173" s="21" t="s">
        <v>12</v>
      </c>
      <c r="G173" s="21" t="s">
        <v>538</v>
      </c>
      <c r="H173" s="20" t="str">
        <f t="shared" si="8"/>
        <v>Delacor QMH Event Scripter 4.0.0.68</v>
      </c>
      <c r="I173" s="77" t="s">
        <v>202</v>
      </c>
      <c r="J173" s="7"/>
    </row>
    <row r="174" spans="1:10" x14ac:dyDescent="0.25">
      <c r="A174" s="20" t="s">
        <v>540</v>
      </c>
      <c r="B174" s="20" t="s">
        <v>206</v>
      </c>
      <c r="C174" s="21" t="s">
        <v>207</v>
      </c>
      <c r="D174" s="21" t="s">
        <v>10</v>
      </c>
      <c r="E174" s="21" t="s">
        <v>136</v>
      </c>
      <c r="F174" s="21" t="s">
        <v>12</v>
      </c>
      <c r="G174" s="21" t="s">
        <v>538</v>
      </c>
      <c r="H174" s="20" t="str">
        <f t="shared" si="8"/>
        <v>Delacor QMH Palette 3.0.0.1</v>
      </c>
      <c r="I174" s="77" t="s">
        <v>202</v>
      </c>
      <c r="J174" s="7"/>
    </row>
    <row r="175" spans="1:10" x14ac:dyDescent="0.25">
      <c r="A175" s="20" t="s">
        <v>540</v>
      </c>
      <c r="B175" s="20" t="s">
        <v>208</v>
      </c>
      <c r="C175" s="21" t="s">
        <v>209</v>
      </c>
      <c r="D175" s="21" t="s">
        <v>10</v>
      </c>
      <c r="E175" s="21" t="s">
        <v>136</v>
      </c>
      <c r="F175" s="21" t="s">
        <v>12</v>
      </c>
      <c r="G175" s="21" t="s">
        <v>538</v>
      </c>
      <c r="H175" s="20" t="str">
        <f t="shared" si="8"/>
        <v>Delacor QMH Project Template 4.0.0.47</v>
      </c>
      <c r="I175" s="77" t="s">
        <v>202</v>
      </c>
      <c r="J175" s="7"/>
    </row>
    <row r="176" spans="1:10" x14ac:dyDescent="0.25">
      <c r="A176" s="20" t="s">
        <v>540</v>
      </c>
      <c r="B176" s="20" t="s">
        <v>210</v>
      </c>
      <c r="C176" s="21" t="s">
        <v>211</v>
      </c>
      <c r="D176" s="21" t="s">
        <v>10</v>
      </c>
      <c r="E176" s="21" t="s">
        <v>136</v>
      </c>
      <c r="F176" s="21" t="s">
        <v>12</v>
      </c>
      <c r="G176" s="21" t="s">
        <v>538</v>
      </c>
      <c r="H176" s="20" t="str">
        <f t="shared" si="8"/>
        <v>Delacor QMH Thermal Chamber Examples 4.0.0.21</v>
      </c>
      <c r="I176" s="77" t="s">
        <v>202</v>
      </c>
      <c r="J176" s="7"/>
    </row>
    <row r="177" spans="1:10" x14ac:dyDescent="0.25">
      <c r="A177" s="20" t="s">
        <v>540</v>
      </c>
      <c r="B177" s="20" t="s">
        <v>212</v>
      </c>
      <c r="C177" s="21" t="s">
        <v>213</v>
      </c>
      <c r="D177" s="21" t="s">
        <v>10</v>
      </c>
      <c r="E177" s="21" t="s">
        <v>136</v>
      </c>
      <c r="F177" s="21" t="s">
        <v>12</v>
      </c>
      <c r="G177" s="21" t="s">
        <v>214</v>
      </c>
      <c r="H177" s="20" t="str">
        <f t="shared" si="8"/>
        <v>DMC UX Toolkit 1.0.0.2</v>
      </c>
      <c r="I177" s="77" t="s">
        <v>202</v>
      </c>
      <c r="J177" s="7"/>
    </row>
    <row r="178" spans="1:10" x14ac:dyDescent="0.25">
      <c r="A178" s="20" t="s">
        <v>540</v>
      </c>
      <c r="B178" s="20" t="s">
        <v>365</v>
      </c>
      <c r="C178" s="21">
        <v>15</v>
      </c>
      <c r="D178" s="21" t="s">
        <v>10</v>
      </c>
      <c r="E178" s="21" t="s">
        <v>11</v>
      </c>
      <c r="F178" s="21" t="s">
        <v>12</v>
      </c>
      <c r="G178" s="21" t="s">
        <v>13</v>
      </c>
      <c r="H178" s="20" t="str">
        <f t="shared" si="8"/>
        <v>FieldPoint 15</v>
      </c>
      <c r="I178" s="20"/>
      <c r="J178" s="7"/>
    </row>
    <row r="179" spans="1:10" x14ac:dyDescent="0.25">
      <c r="A179" s="20" t="s">
        <v>540</v>
      </c>
      <c r="B179" s="20" t="s">
        <v>58</v>
      </c>
      <c r="C179" s="21" t="s">
        <v>389</v>
      </c>
      <c r="D179" s="21" t="s">
        <v>10</v>
      </c>
      <c r="E179" s="21">
        <v>2015</v>
      </c>
      <c r="F179" s="21" t="s">
        <v>12</v>
      </c>
      <c r="G179" s="21" t="s">
        <v>13</v>
      </c>
      <c r="H179" s="20" t="str">
        <f t="shared" si="8"/>
        <v>FlexRIO 15.5.0f0</v>
      </c>
      <c r="I179" s="20"/>
      <c r="J179" s="7"/>
    </row>
    <row r="180" spans="1:10" x14ac:dyDescent="0.25">
      <c r="A180" s="20" t="s">
        <v>540</v>
      </c>
      <c r="B180" s="20" t="s">
        <v>397</v>
      </c>
      <c r="C180" s="21" t="s">
        <v>92</v>
      </c>
      <c r="D180" s="21" t="s">
        <v>10</v>
      </c>
      <c r="E180" s="21">
        <v>2015</v>
      </c>
      <c r="F180" s="21" t="s">
        <v>12</v>
      </c>
      <c r="G180" s="21" t="s">
        <v>13</v>
      </c>
      <c r="H180" s="20" t="str">
        <f t="shared" si="8"/>
        <v>FPGA 15.0.1</v>
      </c>
      <c r="I180" s="20"/>
      <c r="J180" s="7"/>
    </row>
    <row r="181" spans="1:10" x14ac:dyDescent="0.25">
      <c r="A181" s="20" t="s">
        <v>540</v>
      </c>
      <c r="B181" s="20" t="s">
        <v>215</v>
      </c>
      <c r="C181" s="21" t="s">
        <v>216</v>
      </c>
      <c r="D181" s="21" t="s">
        <v>10</v>
      </c>
      <c r="E181" s="21" t="s">
        <v>136</v>
      </c>
      <c r="F181" s="21" t="s">
        <v>12</v>
      </c>
      <c r="G181" s="21" t="s">
        <v>217</v>
      </c>
      <c r="H181" s="20" t="str">
        <f t="shared" si="8"/>
        <v>GPower All Toolsets 2017.0.0.11</v>
      </c>
      <c r="I181" s="77" t="s">
        <v>202</v>
      </c>
      <c r="J181" s="7"/>
    </row>
    <row r="182" spans="1:10" x14ac:dyDescent="0.25">
      <c r="A182" s="20" t="s">
        <v>540</v>
      </c>
      <c r="B182" s="20" t="s">
        <v>218</v>
      </c>
      <c r="C182" s="21" t="s">
        <v>162</v>
      </c>
      <c r="D182" s="21" t="s">
        <v>10</v>
      </c>
      <c r="E182" s="21" t="s">
        <v>136</v>
      </c>
      <c r="F182" s="21" t="s">
        <v>12</v>
      </c>
      <c r="G182" s="21" t="s">
        <v>217</v>
      </c>
      <c r="H182" s="20" t="str">
        <f t="shared" si="8"/>
        <v>GPower Array 2016.2.0.27</v>
      </c>
      <c r="I182" s="77" t="s">
        <v>202</v>
      </c>
      <c r="J182" s="7"/>
    </row>
    <row r="183" spans="1:10" x14ac:dyDescent="0.25">
      <c r="A183" s="20" t="s">
        <v>540</v>
      </c>
      <c r="B183" s="20" t="s">
        <v>161</v>
      </c>
      <c r="C183" s="21" t="s">
        <v>162</v>
      </c>
      <c r="D183" s="21" t="s">
        <v>10</v>
      </c>
      <c r="E183" s="21" t="s">
        <v>163</v>
      </c>
      <c r="F183" s="21" t="s">
        <v>12</v>
      </c>
      <c r="G183" s="21" t="s">
        <v>164</v>
      </c>
      <c r="H183" s="20" t="str">
        <f t="shared" si="8"/>
        <v>Gpower Array Library 2016.2.0.27</v>
      </c>
      <c r="I183" s="77" t="s">
        <v>202</v>
      </c>
      <c r="J183" s="7"/>
    </row>
    <row r="184" spans="1:10" x14ac:dyDescent="0.25">
      <c r="A184" s="20" t="s">
        <v>540</v>
      </c>
      <c r="B184" s="20" t="s">
        <v>219</v>
      </c>
      <c r="C184" s="21" t="s">
        <v>220</v>
      </c>
      <c r="D184" s="21" t="s">
        <v>10</v>
      </c>
      <c r="E184" s="21" t="s">
        <v>136</v>
      </c>
      <c r="F184" s="21" t="s">
        <v>12</v>
      </c>
      <c r="G184" s="21" t="s">
        <v>217</v>
      </c>
      <c r="H184" s="20" t="str">
        <f t="shared" si="8"/>
        <v>GPower Comparison 2016.0.0.4</v>
      </c>
      <c r="I184" s="77" t="s">
        <v>202</v>
      </c>
      <c r="J184" s="7"/>
    </row>
    <row r="185" spans="1:10" x14ac:dyDescent="0.25">
      <c r="A185" s="20" t="s">
        <v>540</v>
      </c>
      <c r="B185" s="20" t="s">
        <v>221</v>
      </c>
      <c r="C185" s="21" t="s">
        <v>222</v>
      </c>
      <c r="D185" s="21" t="s">
        <v>10</v>
      </c>
      <c r="E185" s="21" t="s">
        <v>136</v>
      </c>
      <c r="F185" s="21" t="s">
        <v>12</v>
      </c>
      <c r="G185" s="21" t="s">
        <v>217</v>
      </c>
      <c r="H185" s="20" t="str">
        <f t="shared" si="8"/>
        <v>GPower Error &amp; Warning 2014.0.0.38</v>
      </c>
      <c r="I185" s="77" t="s">
        <v>202</v>
      </c>
      <c r="J185" s="7"/>
    </row>
    <row r="186" spans="1:10" x14ac:dyDescent="0.25">
      <c r="A186" s="20" t="s">
        <v>540</v>
      </c>
      <c r="B186" s="20" t="s">
        <v>223</v>
      </c>
      <c r="C186" s="21" t="s">
        <v>224</v>
      </c>
      <c r="D186" s="21" t="s">
        <v>10</v>
      </c>
      <c r="E186" s="21" t="s">
        <v>136</v>
      </c>
      <c r="F186" s="21" t="s">
        <v>12</v>
      </c>
      <c r="G186" s="21" t="s">
        <v>217</v>
      </c>
      <c r="H186" s="20" t="str">
        <f t="shared" si="8"/>
        <v>GPower Events 2012.0.0.7</v>
      </c>
      <c r="I186" s="77" t="s">
        <v>202</v>
      </c>
      <c r="J186" s="7"/>
    </row>
    <row r="187" spans="1:10" x14ac:dyDescent="0.25">
      <c r="A187" s="20" t="s">
        <v>540</v>
      </c>
      <c r="B187" s="20" t="s">
        <v>225</v>
      </c>
      <c r="C187" s="21" t="s">
        <v>226</v>
      </c>
      <c r="D187" s="21" t="s">
        <v>10</v>
      </c>
      <c r="E187" s="21" t="s">
        <v>136</v>
      </c>
      <c r="F187" s="21" t="s">
        <v>12</v>
      </c>
      <c r="G187" s="21" t="s">
        <v>217</v>
      </c>
      <c r="H187" s="20" t="str">
        <f t="shared" si="8"/>
        <v>GPower Math 2012.1.0.6</v>
      </c>
      <c r="I187" s="77" t="s">
        <v>202</v>
      </c>
      <c r="J187" s="7"/>
    </row>
    <row r="188" spans="1:10" x14ac:dyDescent="0.25">
      <c r="A188" s="20" t="s">
        <v>540</v>
      </c>
      <c r="B188" s="20" t="s">
        <v>227</v>
      </c>
      <c r="C188" s="21" t="s">
        <v>228</v>
      </c>
      <c r="D188" s="21" t="s">
        <v>10</v>
      </c>
      <c r="E188" s="21" t="s">
        <v>136</v>
      </c>
      <c r="F188" s="21" t="s">
        <v>12</v>
      </c>
      <c r="G188" s="21" t="s">
        <v>217</v>
      </c>
      <c r="H188" s="20" t="str">
        <f t="shared" si="8"/>
        <v>GPower Numeric 2016.2.0.14</v>
      </c>
      <c r="I188" s="77" t="s">
        <v>202</v>
      </c>
      <c r="J188" s="7"/>
    </row>
    <row r="189" spans="1:10" x14ac:dyDescent="0.25">
      <c r="A189" s="20" t="s">
        <v>540</v>
      </c>
      <c r="B189" s="20" t="s">
        <v>229</v>
      </c>
      <c r="C189" s="21" t="s">
        <v>230</v>
      </c>
      <c r="D189" s="21" t="s">
        <v>10</v>
      </c>
      <c r="E189" s="21" t="s">
        <v>136</v>
      </c>
      <c r="F189" s="21" t="s">
        <v>12</v>
      </c>
      <c r="G189" s="21" t="s">
        <v>217</v>
      </c>
      <c r="H189" s="20" t="str">
        <f t="shared" si="8"/>
        <v>GPower Overflow 2014.0.0.4</v>
      </c>
      <c r="I189" s="77" t="s">
        <v>202</v>
      </c>
      <c r="J189" s="7"/>
    </row>
    <row r="190" spans="1:10" x14ac:dyDescent="0.25">
      <c r="A190" s="20" t="s">
        <v>540</v>
      </c>
      <c r="B190" s="20" t="s">
        <v>231</v>
      </c>
      <c r="C190" s="21" t="s">
        <v>232</v>
      </c>
      <c r="D190" s="21" t="s">
        <v>10</v>
      </c>
      <c r="E190" s="21" t="s">
        <v>136</v>
      </c>
      <c r="F190" s="21" t="s">
        <v>12</v>
      </c>
      <c r="G190" s="21" t="s">
        <v>217</v>
      </c>
      <c r="H190" s="20" t="str">
        <f t="shared" si="8"/>
        <v>GPower String 2016.1.0.11</v>
      </c>
      <c r="I190" s="77" t="s">
        <v>202</v>
      </c>
      <c r="J190" s="7"/>
    </row>
    <row r="191" spans="1:10" x14ac:dyDescent="0.25">
      <c r="A191" s="20" t="s">
        <v>540</v>
      </c>
      <c r="B191" s="20" t="s">
        <v>233</v>
      </c>
      <c r="C191" s="21" t="s">
        <v>234</v>
      </c>
      <c r="D191" s="21" t="s">
        <v>10</v>
      </c>
      <c r="E191" s="21" t="s">
        <v>136</v>
      </c>
      <c r="F191" s="21" t="s">
        <v>12</v>
      </c>
      <c r="G191" s="21" t="s">
        <v>217</v>
      </c>
      <c r="H191" s="20" t="str">
        <f t="shared" si="8"/>
        <v>GPower Timing 2017.0.0.26</v>
      </c>
      <c r="I191" s="77" t="s">
        <v>202</v>
      </c>
      <c r="J191" s="7"/>
    </row>
    <row r="192" spans="1:10" x14ac:dyDescent="0.25">
      <c r="A192" s="20" t="s">
        <v>540</v>
      </c>
      <c r="B192" s="20" t="s">
        <v>235</v>
      </c>
      <c r="C192" s="21" t="s">
        <v>236</v>
      </c>
      <c r="D192" s="21" t="s">
        <v>10</v>
      </c>
      <c r="E192" s="21" t="s">
        <v>136</v>
      </c>
      <c r="F192" s="21" t="s">
        <v>12</v>
      </c>
      <c r="G192" s="21" t="s">
        <v>217</v>
      </c>
      <c r="H192" s="20" t="str">
        <f t="shared" si="8"/>
        <v>GPower VI Launcher 2012.2.0.26</v>
      </c>
      <c r="I192" s="77" t="s">
        <v>202</v>
      </c>
      <c r="J192" s="7"/>
    </row>
    <row r="193" spans="1:10" x14ac:dyDescent="0.25">
      <c r="A193" s="20" t="s">
        <v>540</v>
      </c>
      <c r="B193" s="20" t="s">
        <v>237</v>
      </c>
      <c r="C193" s="21" t="s">
        <v>238</v>
      </c>
      <c r="D193" s="21" t="s">
        <v>10</v>
      </c>
      <c r="E193" s="21" t="s">
        <v>136</v>
      </c>
      <c r="F193" s="21" t="s">
        <v>12</v>
      </c>
      <c r="G193" s="21" t="s">
        <v>217</v>
      </c>
      <c r="H193" s="20" t="str">
        <f t="shared" si="8"/>
        <v>GPower VI Register 2016.0.0.31</v>
      </c>
      <c r="I193" s="77" t="s">
        <v>202</v>
      </c>
      <c r="J193" s="7"/>
    </row>
    <row r="194" spans="1:10" hidden="1" x14ac:dyDescent="0.25">
      <c r="A194" s="20" t="s">
        <v>540</v>
      </c>
      <c r="B194" s="20" t="s">
        <v>187</v>
      </c>
      <c r="C194" s="21" t="s">
        <v>9</v>
      </c>
      <c r="D194" s="21" t="s">
        <v>10</v>
      </c>
      <c r="E194" s="21" t="s">
        <v>11</v>
      </c>
      <c r="F194" s="21" t="s">
        <v>171</v>
      </c>
      <c r="G194" s="21" t="s">
        <v>13</v>
      </c>
      <c r="H194" s="20" t="str">
        <f t="shared" si="8"/>
        <v>Hardware Configuration and Web Support 15.0.0</v>
      </c>
      <c r="I194" s="20"/>
      <c r="J194" s="7"/>
    </row>
    <row r="195" spans="1:10" hidden="1" x14ac:dyDescent="0.25">
      <c r="A195" s="20" t="s">
        <v>540</v>
      </c>
      <c r="B195" s="20" t="s">
        <v>178</v>
      </c>
      <c r="C195" s="21" t="s">
        <v>9</v>
      </c>
      <c r="D195" s="21" t="s">
        <v>10</v>
      </c>
      <c r="E195" s="21" t="s">
        <v>11</v>
      </c>
      <c r="F195" s="21" t="s">
        <v>171</v>
      </c>
      <c r="G195" s="21" t="s">
        <v>13</v>
      </c>
      <c r="H195" s="20" t="str">
        <f t="shared" si="8"/>
        <v>HTTP Client with SSL Support 15.0.0</v>
      </c>
      <c r="I195" s="20"/>
      <c r="J195" s="7"/>
    </row>
    <row r="196" spans="1:10" hidden="1" x14ac:dyDescent="0.25">
      <c r="A196" s="20" t="s">
        <v>540</v>
      </c>
      <c r="B196" s="20" t="s">
        <v>179</v>
      </c>
      <c r="C196" s="21"/>
      <c r="D196" s="21" t="s">
        <v>10</v>
      </c>
      <c r="E196" s="21" t="s">
        <v>136</v>
      </c>
      <c r="F196" s="21" t="s">
        <v>171</v>
      </c>
      <c r="G196" s="21" t="s">
        <v>13</v>
      </c>
      <c r="H196" s="20" t="str">
        <f t="shared" ref="H196:H205" si="9">B196&amp;" "&amp;C196</f>
        <v xml:space="preserve">I/O Variable Remorte Configuration Web Server </v>
      </c>
      <c r="I196" s="20"/>
      <c r="J196" s="7"/>
    </row>
    <row r="197" spans="1:10" x14ac:dyDescent="0.25">
      <c r="A197" s="20" t="s">
        <v>540</v>
      </c>
      <c r="B197" s="20" t="s">
        <v>371</v>
      </c>
      <c r="C197" s="21" t="s">
        <v>372</v>
      </c>
      <c r="D197" s="21" t="s">
        <v>10</v>
      </c>
      <c r="E197" s="21" t="s">
        <v>119</v>
      </c>
      <c r="F197" s="21" t="s">
        <v>12</v>
      </c>
      <c r="G197" s="21" t="s">
        <v>13</v>
      </c>
      <c r="H197" s="20" t="str">
        <f t="shared" si="9"/>
        <v>Image Processing and Machine Vision 19.5.0.49152</v>
      </c>
      <c r="I197" s="33" t="s">
        <v>424</v>
      </c>
      <c r="J197" s="7"/>
    </row>
    <row r="198" spans="1:10" x14ac:dyDescent="0.25">
      <c r="A198" s="20" t="s">
        <v>540</v>
      </c>
      <c r="B198" s="20" t="s">
        <v>373</v>
      </c>
      <c r="C198" s="21" t="s">
        <v>372</v>
      </c>
      <c r="D198" s="21" t="s">
        <v>10</v>
      </c>
      <c r="E198" s="21" t="s">
        <v>119</v>
      </c>
      <c r="F198" s="21" t="s">
        <v>12</v>
      </c>
      <c r="G198" s="21" t="s">
        <v>13</v>
      </c>
      <c r="H198" s="20" t="str">
        <f t="shared" si="9"/>
        <v>Image Services 19.5.0.49152</v>
      </c>
      <c r="I198" s="33" t="s">
        <v>424</v>
      </c>
      <c r="J198" s="7"/>
    </row>
    <row r="199" spans="1:10" x14ac:dyDescent="0.25">
      <c r="A199" s="20" t="s">
        <v>540</v>
      </c>
      <c r="B199" s="20" t="s">
        <v>376</v>
      </c>
      <c r="C199" s="21">
        <v>1.5</v>
      </c>
      <c r="D199" s="21" t="s">
        <v>10</v>
      </c>
      <c r="E199" s="21" t="s">
        <v>136</v>
      </c>
      <c r="F199" s="21" t="s">
        <v>12</v>
      </c>
      <c r="G199" s="21" t="s">
        <v>13</v>
      </c>
      <c r="H199" s="20" t="str">
        <f t="shared" si="9"/>
        <v>IVI Driver Toolset 1.5</v>
      </c>
      <c r="I199" s="20"/>
      <c r="J199" s="7"/>
    </row>
    <row r="200" spans="1:10" x14ac:dyDescent="0.25">
      <c r="A200" s="20" t="s">
        <v>540</v>
      </c>
      <c r="B200" s="20" t="s">
        <v>374</v>
      </c>
      <c r="C200" s="21" t="s">
        <v>375</v>
      </c>
      <c r="D200" s="21" t="s">
        <v>10</v>
      </c>
      <c r="E200" s="21">
        <v>2015</v>
      </c>
      <c r="F200" s="21" t="s">
        <v>12</v>
      </c>
      <c r="G200" s="21" t="s">
        <v>13</v>
      </c>
      <c r="H200" s="20" t="str">
        <f t="shared" si="9"/>
        <v>IVI Engine 15.0.0.f0</v>
      </c>
      <c r="I200" s="20"/>
      <c r="J200" s="7"/>
    </row>
    <row r="201" spans="1:10" x14ac:dyDescent="0.25">
      <c r="A201" s="20" t="s">
        <v>540</v>
      </c>
      <c r="B201" s="20" t="s">
        <v>239</v>
      </c>
      <c r="C201" s="21" t="s">
        <v>240</v>
      </c>
      <c r="D201" s="21" t="s">
        <v>10</v>
      </c>
      <c r="E201" s="21" t="s">
        <v>136</v>
      </c>
      <c r="F201" s="21" t="s">
        <v>12</v>
      </c>
      <c r="G201" s="21" t="s">
        <v>158</v>
      </c>
      <c r="H201" s="20" t="str">
        <f t="shared" si="9"/>
        <v>JKI State Machine 3.0.0.8</v>
      </c>
      <c r="I201" s="77" t="s">
        <v>202</v>
      </c>
      <c r="J201" s="7"/>
    </row>
    <row r="202" spans="1:10" x14ac:dyDescent="0.25">
      <c r="A202" s="20" t="s">
        <v>540</v>
      </c>
      <c r="B202" s="20" t="s">
        <v>241</v>
      </c>
      <c r="C202" s="21" t="s">
        <v>242</v>
      </c>
      <c r="D202" s="21" t="s">
        <v>10</v>
      </c>
      <c r="E202" s="21" t="s">
        <v>136</v>
      </c>
      <c r="F202" s="21" t="s">
        <v>12</v>
      </c>
      <c r="G202" s="21" t="s">
        <v>158</v>
      </c>
      <c r="H202" s="20" t="str">
        <f t="shared" si="9"/>
        <v>JKI State Machine Editor 2013.6.3.239</v>
      </c>
      <c r="I202" s="78" t="s">
        <v>202</v>
      </c>
      <c r="J202" s="7"/>
    </row>
    <row r="203" spans="1:10" x14ac:dyDescent="0.25">
      <c r="A203" s="20" t="s">
        <v>540</v>
      </c>
      <c r="B203" s="20" t="s">
        <v>243</v>
      </c>
      <c r="C203" s="21" t="s">
        <v>244</v>
      </c>
      <c r="D203" s="21" t="s">
        <v>10</v>
      </c>
      <c r="E203" s="21" t="s">
        <v>136</v>
      </c>
      <c r="F203" s="21" t="s">
        <v>12</v>
      </c>
      <c r="G203" s="21" t="s">
        <v>158</v>
      </c>
      <c r="H203" s="20" t="str">
        <f t="shared" si="9"/>
        <v>JKI State Machine Objects (SMO) 1.3.0.56</v>
      </c>
      <c r="I203" s="78" t="s">
        <v>202</v>
      </c>
      <c r="J203" s="7"/>
    </row>
    <row r="204" spans="1:10" x14ac:dyDescent="0.25">
      <c r="A204" s="20" t="s">
        <v>540</v>
      </c>
      <c r="B204" s="20" t="s">
        <v>157</v>
      </c>
      <c r="C204" s="21"/>
      <c r="D204" s="21"/>
      <c r="E204" s="21" t="s">
        <v>136</v>
      </c>
      <c r="F204" s="21" t="s">
        <v>12</v>
      </c>
      <c r="G204" s="21" t="s">
        <v>13</v>
      </c>
      <c r="H204" s="20" t="str">
        <f t="shared" si="9"/>
        <v xml:space="preserve">JKI VIPM </v>
      </c>
      <c r="I204" s="85" t="s">
        <v>534</v>
      </c>
      <c r="J204" s="7"/>
    </row>
    <row r="205" spans="1:10" x14ac:dyDescent="0.25">
      <c r="A205" s="20" t="s">
        <v>540</v>
      </c>
      <c r="B205" s="20" t="s">
        <v>245</v>
      </c>
      <c r="C205" s="21" t="s">
        <v>246</v>
      </c>
      <c r="D205" s="21" t="s">
        <v>10</v>
      </c>
      <c r="E205" s="21" t="s">
        <v>136</v>
      </c>
      <c r="F205" s="21" t="s">
        <v>12</v>
      </c>
      <c r="G205" s="21" t="s">
        <v>247</v>
      </c>
      <c r="H205" s="20" t="str">
        <f t="shared" si="9"/>
        <v>jki_rsc_toolkits_palette 1.1-1</v>
      </c>
      <c r="I205" s="78" t="s">
        <v>202</v>
      </c>
      <c r="J205" s="7"/>
    </row>
    <row r="206" spans="1:10" x14ac:dyDescent="0.25">
      <c r="A206" s="20" t="s">
        <v>540</v>
      </c>
      <c r="B206" s="20" t="s">
        <v>32</v>
      </c>
      <c r="C206" s="21" t="s">
        <v>105</v>
      </c>
      <c r="D206" s="21" t="s">
        <v>10</v>
      </c>
      <c r="E206" s="21" t="s">
        <v>106</v>
      </c>
      <c r="F206" s="21" t="s">
        <v>24</v>
      </c>
      <c r="G206" s="21" t="s">
        <v>13</v>
      </c>
      <c r="H206" s="20" t="str">
        <f t="shared" ref="H206:H214" si="10">B206&amp;" "&amp;E206&amp;" "&amp;C206</f>
        <v>LabVIEW 2012 SP1 f9 12.0.1</v>
      </c>
      <c r="I206" s="30" t="s">
        <v>42</v>
      </c>
      <c r="J206" s="7"/>
    </row>
    <row r="207" spans="1:10" x14ac:dyDescent="0.25">
      <c r="A207" s="20" t="s">
        <v>540</v>
      </c>
      <c r="B207" s="20" t="s">
        <v>32</v>
      </c>
      <c r="C207" s="21" t="s">
        <v>110</v>
      </c>
      <c r="D207" s="21" t="s">
        <v>10</v>
      </c>
      <c r="E207" s="21" t="s">
        <v>109</v>
      </c>
      <c r="F207" s="21" t="s">
        <v>24</v>
      </c>
      <c r="G207" s="21" t="s">
        <v>13</v>
      </c>
      <c r="H207" s="20" t="str">
        <f t="shared" si="10"/>
        <v>LabVIEW 2014 SP1 f11 14.0.1</v>
      </c>
      <c r="I207" s="34" t="s">
        <v>464</v>
      </c>
      <c r="J207" s="7"/>
    </row>
    <row r="208" spans="1:10" x14ac:dyDescent="0.25">
      <c r="A208" s="20" t="s">
        <v>540</v>
      </c>
      <c r="B208" s="20" t="s">
        <v>32</v>
      </c>
      <c r="C208" s="21" t="s">
        <v>404</v>
      </c>
      <c r="D208" s="21" t="s">
        <v>10</v>
      </c>
      <c r="E208" s="21" t="s">
        <v>405</v>
      </c>
      <c r="F208" s="21" t="s">
        <v>24</v>
      </c>
      <c r="G208" s="21" t="s">
        <v>13</v>
      </c>
      <c r="H208" s="20" t="str">
        <f t="shared" si="10"/>
        <v>LabVIEW 2016  f6 16.0.0</v>
      </c>
      <c r="I208" s="20"/>
      <c r="J208" s="7"/>
    </row>
    <row r="209" spans="1:10" x14ac:dyDescent="0.25">
      <c r="A209" s="20" t="s">
        <v>540</v>
      </c>
      <c r="B209" s="20" t="s">
        <v>32</v>
      </c>
      <c r="C209" s="21" t="s">
        <v>406</v>
      </c>
      <c r="D209" s="21" t="s">
        <v>10</v>
      </c>
      <c r="E209" s="21" t="s">
        <v>407</v>
      </c>
      <c r="F209" s="21" t="s">
        <v>24</v>
      </c>
      <c r="G209" s="21" t="s">
        <v>13</v>
      </c>
      <c r="H209" s="20" t="str">
        <f t="shared" si="10"/>
        <v>LabVIEW 2017 SP1 f3 17.0.1</v>
      </c>
      <c r="I209" s="20"/>
      <c r="J209" s="7"/>
    </row>
    <row r="210" spans="1:10" x14ac:dyDescent="0.25">
      <c r="A210" s="20" t="s">
        <v>540</v>
      </c>
      <c r="B210" s="20" t="s">
        <v>32</v>
      </c>
      <c r="C210" s="21" t="s">
        <v>402</v>
      </c>
      <c r="D210" s="21" t="s">
        <v>107</v>
      </c>
      <c r="E210" s="21" t="s">
        <v>403</v>
      </c>
      <c r="F210" s="21" t="s">
        <v>24</v>
      </c>
      <c r="G210" s="21" t="s">
        <v>13</v>
      </c>
      <c r="H210" s="20" t="str">
        <f t="shared" si="10"/>
        <v>LabVIEW 2018 SP1 18.0.1</v>
      </c>
      <c r="I210" s="33" t="s">
        <v>424</v>
      </c>
      <c r="J210" s="7"/>
    </row>
    <row r="211" spans="1:10" x14ac:dyDescent="0.25">
      <c r="A211" s="20" t="s">
        <v>540</v>
      </c>
      <c r="B211" s="20" t="s">
        <v>32</v>
      </c>
      <c r="C211" s="21" t="s">
        <v>112</v>
      </c>
      <c r="D211" s="21" t="s">
        <v>10</v>
      </c>
      <c r="E211" s="21" t="s">
        <v>408</v>
      </c>
      <c r="F211" s="21" t="s">
        <v>24</v>
      </c>
      <c r="G211" s="21" t="s">
        <v>13</v>
      </c>
      <c r="H211" s="20" t="str">
        <f t="shared" si="10"/>
        <v>LabVIEW 2019 SP1 f1 19.0.1</v>
      </c>
      <c r="I211" s="20"/>
      <c r="J211" s="7"/>
    </row>
    <row r="212" spans="1:10" x14ac:dyDescent="0.25">
      <c r="A212" s="20" t="s">
        <v>540</v>
      </c>
      <c r="B212" s="20" t="s">
        <v>32</v>
      </c>
      <c r="C212" s="21" t="s">
        <v>409</v>
      </c>
      <c r="D212" s="21" t="s">
        <v>10</v>
      </c>
      <c r="E212" s="21" t="s">
        <v>155</v>
      </c>
      <c r="F212" s="21" t="s">
        <v>12</v>
      </c>
      <c r="G212" s="21" t="s">
        <v>13</v>
      </c>
      <c r="H212" s="20" t="str">
        <f t="shared" si="10"/>
        <v>LabVIEW 2015 SP1 f7 15</v>
      </c>
      <c r="I212" s="20"/>
      <c r="J212" s="7"/>
    </row>
    <row r="213" spans="1:10" x14ac:dyDescent="0.25">
      <c r="A213" s="20" t="s">
        <v>540</v>
      </c>
      <c r="B213" s="20" t="s">
        <v>32</v>
      </c>
      <c r="C213" s="21" t="s">
        <v>92</v>
      </c>
      <c r="D213" s="21" t="s">
        <v>10</v>
      </c>
      <c r="E213" s="21" t="s">
        <v>11</v>
      </c>
      <c r="F213" s="21" t="s">
        <v>12</v>
      </c>
      <c r="G213" s="21" t="s">
        <v>13</v>
      </c>
      <c r="H213" s="20" t="str">
        <f t="shared" si="10"/>
        <v>LabVIEW 2015 15.0.1</v>
      </c>
      <c r="I213" s="31" t="s">
        <v>91</v>
      </c>
      <c r="J213" s="7"/>
    </row>
    <row r="214" spans="1:10" x14ac:dyDescent="0.25">
      <c r="A214" s="20" t="s">
        <v>540</v>
      </c>
      <c r="B214" s="20" t="s">
        <v>32</v>
      </c>
      <c r="C214" s="21" t="s">
        <v>92</v>
      </c>
      <c r="D214" s="21" t="s">
        <v>10</v>
      </c>
      <c r="E214" s="21" t="s">
        <v>111</v>
      </c>
      <c r="F214" s="21" t="s">
        <v>24</v>
      </c>
      <c r="G214" s="21" t="s">
        <v>13</v>
      </c>
      <c r="H214" s="20" t="str">
        <f t="shared" si="10"/>
        <v>LabVIEW 2015 SP1 15.0.1</v>
      </c>
      <c r="I214" s="31" t="s">
        <v>91</v>
      </c>
      <c r="J214" s="7"/>
    </row>
    <row r="215" spans="1:10" hidden="1" x14ac:dyDescent="0.25">
      <c r="A215" s="20" t="s">
        <v>540</v>
      </c>
      <c r="B215" s="20" t="s">
        <v>172</v>
      </c>
      <c r="C215" s="21" t="s">
        <v>92</v>
      </c>
      <c r="D215" s="21" t="s">
        <v>10</v>
      </c>
      <c r="E215" s="21" t="s">
        <v>11</v>
      </c>
      <c r="F215" s="21" t="s">
        <v>171</v>
      </c>
      <c r="G215" s="21" t="s">
        <v>13</v>
      </c>
      <c r="H215" s="20" t="str">
        <f t="shared" ref="H215:H246" si="11">B215&amp;" "&amp;C215</f>
        <v>LabVIEW Real-Time 15.0.1</v>
      </c>
      <c r="I215" s="20"/>
      <c r="J215" s="7"/>
    </row>
    <row r="216" spans="1:10" x14ac:dyDescent="0.25">
      <c r="A216" s="20" t="s">
        <v>540</v>
      </c>
      <c r="B216" s="20" t="s">
        <v>248</v>
      </c>
      <c r="C216" s="21" t="s">
        <v>249</v>
      </c>
      <c r="D216" s="21" t="s">
        <v>10</v>
      </c>
      <c r="E216" s="21" t="s">
        <v>136</v>
      </c>
      <c r="F216" s="21" t="s">
        <v>12</v>
      </c>
      <c r="G216" s="21" t="s">
        <v>250</v>
      </c>
      <c r="H216" s="20" t="str">
        <f t="shared" si="11"/>
        <v>LAVA Palette 1.0.0.1</v>
      </c>
      <c r="I216" s="77" t="s">
        <v>202</v>
      </c>
      <c r="J216" s="7"/>
    </row>
    <row r="217" spans="1:10" x14ac:dyDescent="0.25">
      <c r="A217" s="20" t="s">
        <v>540</v>
      </c>
      <c r="B217" s="20" t="s">
        <v>41</v>
      </c>
      <c r="C217" s="21" t="s">
        <v>117</v>
      </c>
      <c r="D217" s="21" t="s">
        <v>10</v>
      </c>
      <c r="E217" s="21" t="s">
        <v>119</v>
      </c>
      <c r="F217" s="21" t="s">
        <v>12</v>
      </c>
      <c r="G217" s="21" t="s">
        <v>13</v>
      </c>
      <c r="H217" s="20" t="str">
        <f t="shared" si="11"/>
        <v>Measurement &amp; Automation Explorer 19.5.0f0</v>
      </c>
      <c r="I217" s="20"/>
      <c r="J217" s="7"/>
    </row>
    <row r="218" spans="1:10" x14ac:dyDescent="0.25">
      <c r="A218" s="20" t="s">
        <v>540</v>
      </c>
      <c r="B218" s="20" t="s">
        <v>43</v>
      </c>
      <c r="C218" s="21"/>
      <c r="D218" s="21" t="s">
        <v>10</v>
      </c>
      <c r="E218" s="21" t="s">
        <v>377</v>
      </c>
      <c r="F218" s="21" t="s">
        <v>12</v>
      </c>
      <c r="G218" s="21" t="s">
        <v>13</v>
      </c>
      <c r="H218" s="20" t="str">
        <f t="shared" si="11"/>
        <v xml:space="preserve">Measurement Studio </v>
      </c>
      <c r="I218" s="20"/>
      <c r="J218" s="7"/>
    </row>
    <row r="219" spans="1:10" x14ac:dyDescent="0.25">
      <c r="A219" s="20" t="s">
        <v>540</v>
      </c>
      <c r="B219" s="20" t="s">
        <v>43</v>
      </c>
      <c r="C219" s="21"/>
      <c r="D219" s="21" t="s">
        <v>10</v>
      </c>
      <c r="E219" s="21" t="s">
        <v>130</v>
      </c>
      <c r="F219" s="21" t="s">
        <v>12</v>
      </c>
      <c r="G219" s="21" t="s">
        <v>13</v>
      </c>
      <c r="H219" s="20" t="str">
        <f t="shared" si="11"/>
        <v xml:space="preserve">Measurement Studio </v>
      </c>
      <c r="I219" s="20"/>
      <c r="J219" s="7"/>
    </row>
    <row r="220" spans="1:10" x14ac:dyDescent="0.25">
      <c r="A220" s="20" t="s">
        <v>540</v>
      </c>
      <c r="B220" s="20" t="s">
        <v>43</v>
      </c>
      <c r="C220" s="21"/>
      <c r="D220" s="21" t="s">
        <v>10</v>
      </c>
      <c r="E220" s="21" t="s">
        <v>114</v>
      </c>
      <c r="F220" s="21" t="s">
        <v>12</v>
      </c>
      <c r="G220" s="21" t="s">
        <v>13</v>
      </c>
      <c r="H220" s="20" t="str">
        <f t="shared" si="11"/>
        <v xml:space="preserve">Measurement Studio </v>
      </c>
      <c r="I220" s="30" t="s">
        <v>42</v>
      </c>
      <c r="J220" s="7"/>
    </row>
    <row r="221" spans="1:10" x14ac:dyDescent="0.25">
      <c r="A221" s="20" t="s">
        <v>540</v>
      </c>
      <c r="B221" s="20" t="s">
        <v>116</v>
      </c>
      <c r="C221" s="21" t="s">
        <v>378</v>
      </c>
      <c r="D221" s="21" t="s">
        <v>10</v>
      </c>
      <c r="E221" s="21" t="s">
        <v>377</v>
      </c>
      <c r="F221" s="21" t="s">
        <v>12</v>
      </c>
      <c r="G221" s="21" t="s">
        <v>13</v>
      </c>
      <c r="H221" s="20" t="str">
        <f t="shared" si="11"/>
        <v>Measurement Studio Common 12.0.20.258</v>
      </c>
      <c r="I221" s="20"/>
      <c r="J221" s="7"/>
    </row>
    <row r="222" spans="1:10" x14ac:dyDescent="0.25">
      <c r="A222" s="20" t="s">
        <v>540</v>
      </c>
      <c r="B222" s="20" t="s">
        <v>116</v>
      </c>
      <c r="C222" s="21" t="s">
        <v>380</v>
      </c>
      <c r="D222" s="21" t="s">
        <v>10</v>
      </c>
      <c r="E222" s="21" t="s">
        <v>130</v>
      </c>
      <c r="F222" s="21" t="s">
        <v>12</v>
      </c>
      <c r="G222" s="21" t="s">
        <v>13</v>
      </c>
      <c r="H222" s="20" t="str">
        <f t="shared" si="11"/>
        <v>Measurement Studio Common 13.5.35.173</v>
      </c>
      <c r="I222" s="20"/>
      <c r="J222" s="7"/>
    </row>
    <row r="223" spans="1:10" x14ac:dyDescent="0.25">
      <c r="A223" s="20" t="s">
        <v>540</v>
      </c>
      <c r="B223" s="20" t="s">
        <v>116</v>
      </c>
      <c r="C223" s="21" t="s">
        <v>380</v>
      </c>
      <c r="D223" s="21" t="s">
        <v>107</v>
      </c>
      <c r="E223" s="21" t="s">
        <v>130</v>
      </c>
      <c r="F223" s="21" t="s">
        <v>12</v>
      </c>
      <c r="G223" s="21" t="s">
        <v>13</v>
      </c>
      <c r="H223" s="20" t="str">
        <f t="shared" si="11"/>
        <v>Measurement Studio Common 13.5.35.173</v>
      </c>
      <c r="I223" s="20"/>
      <c r="J223" s="7"/>
    </row>
    <row r="224" spans="1:10" x14ac:dyDescent="0.25">
      <c r="A224" s="20" t="s">
        <v>540</v>
      </c>
      <c r="B224" s="20" t="s">
        <v>116</v>
      </c>
      <c r="C224" s="21" t="s">
        <v>45</v>
      </c>
      <c r="D224" s="21" t="s">
        <v>10</v>
      </c>
      <c r="E224" s="21" t="s">
        <v>11</v>
      </c>
      <c r="F224" s="21" t="s">
        <v>12</v>
      </c>
      <c r="G224" s="21" t="s">
        <v>13</v>
      </c>
      <c r="H224" s="20" t="str">
        <f t="shared" si="11"/>
        <v>Measurement Studio Common 15.0.40.49154</v>
      </c>
      <c r="I224" s="30" t="s">
        <v>42</v>
      </c>
      <c r="J224" s="7"/>
    </row>
    <row r="225" spans="1:10" x14ac:dyDescent="0.25">
      <c r="A225" s="20" t="s">
        <v>540</v>
      </c>
      <c r="B225" s="20" t="s">
        <v>116</v>
      </c>
      <c r="C225" s="21" t="s">
        <v>45</v>
      </c>
      <c r="D225" s="21" t="s">
        <v>107</v>
      </c>
      <c r="E225" s="21" t="s">
        <v>11</v>
      </c>
      <c r="F225" s="21" t="s">
        <v>12</v>
      </c>
      <c r="G225" s="21" t="s">
        <v>13</v>
      </c>
      <c r="H225" s="20" t="str">
        <f t="shared" si="11"/>
        <v>Measurement Studio Common 15.0.40.49154</v>
      </c>
      <c r="I225" s="30" t="s">
        <v>42</v>
      </c>
      <c r="J225" s="7"/>
    </row>
    <row r="226" spans="1:10" x14ac:dyDescent="0.25">
      <c r="A226" s="20" t="s">
        <v>540</v>
      </c>
      <c r="B226" s="20" t="s">
        <v>115</v>
      </c>
      <c r="C226" s="21"/>
      <c r="D226" s="21" t="s">
        <v>10</v>
      </c>
      <c r="E226" s="21" t="s">
        <v>377</v>
      </c>
      <c r="F226" s="21" t="s">
        <v>12</v>
      </c>
      <c r="G226" s="21" t="s">
        <v>13</v>
      </c>
      <c r="H226" s="20" t="str">
        <f t="shared" si="11"/>
        <v xml:space="preserve">Measurement Studio DotNET </v>
      </c>
      <c r="I226" s="20"/>
      <c r="J226" s="7"/>
    </row>
    <row r="227" spans="1:10" x14ac:dyDescent="0.25">
      <c r="A227" s="20" t="s">
        <v>540</v>
      </c>
      <c r="B227" s="20" t="s">
        <v>115</v>
      </c>
      <c r="C227" s="21"/>
      <c r="D227" s="21" t="s">
        <v>10</v>
      </c>
      <c r="E227" s="21" t="s">
        <v>130</v>
      </c>
      <c r="F227" s="21" t="s">
        <v>12</v>
      </c>
      <c r="G227" s="21" t="s">
        <v>13</v>
      </c>
      <c r="H227" s="20" t="str">
        <f t="shared" si="11"/>
        <v xml:space="preserve">Measurement Studio DotNET </v>
      </c>
      <c r="I227" s="20"/>
      <c r="J227" s="7"/>
    </row>
    <row r="228" spans="1:10" x14ac:dyDescent="0.25">
      <c r="A228" s="20" t="s">
        <v>540</v>
      </c>
      <c r="B228" s="20" t="s">
        <v>115</v>
      </c>
      <c r="C228" s="21"/>
      <c r="D228" s="21" t="s">
        <v>10</v>
      </c>
      <c r="E228" s="21" t="s">
        <v>114</v>
      </c>
      <c r="F228" s="21" t="s">
        <v>12</v>
      </c>
      <c r="G228" s="21" t="s">
        <v>13</v>
      </c>
      <c r="H228" s="20" t="str">
        <f t="shared" si="11"/>
        <v xml:space="preserve">Measurement Studio DotNET </v>
      </c>
      <c r="I228" s="30" t="s">
        <v>42</v>
      </c>
      <c r="J228" s="7"/>
    </row>
    <row r="229" spans="1:10" x14ac:dyDescent="0.25">
      <c r="A229" s="20" t="s">
        <v>540</v>
      </c>
      <c r="B229" s="20" t="s">
        <v>379</v>
      </c>
      <c r="C229" s="21"/>
      <c r="D229" s="21" t="s">
        <v>10</v>
      </c>
      <c r="E229" s="21" t="s">
        <v>377</v>
      </c>
      <c r="F229" s="21" t="s">
        <v>12</v>
      </c>
      <c r="G229" s="21" t="s">
        <v>13</v>
      </c>
      <c r="H229" s="20" t="str">
        <f t="shared" si="11"/>
        <v xml:space="preserve">Measurement Studio Vision </v>
      </c>
      <c r="I229" s="20"/>
      <c r="J229" s="7"/>
    </row>
    <row r="230" spans="1:10" x14ac:dyDescent="0.25">
      <c r="A230" s="20" t="s">
        <v>540</v>
      </c>
      <c r="B230" s="20" t="s">
        <v>379</v>
      </c>
      <c r="C230" s="21"/>
      <c r="D230" s="21" t="s">
        <v>10</v>
      </c>
      <c r="E230" s="21" t="s">
        <v>130</v>
      </c>
      <c r="F230" s="21" t="s">
        <v>12</v>
      </c>
      <c r="G230" s="21" t="s">
        <v>13</v>
      </c>
      <c r="H230" s="20" t="str">
        <f t="shared" si="11"/>
        <v xml:space="preserve">Measurement Studio Vision </v>
      </c>
      <c r="I230" s="20"/>
      <c r="J230" s="7"/>
    </row>
    <row r="231" spans="1:10" x14ac:dyDescent="0.25">
      <c r="A231" s="20" t="s">
        <v>540</v>
      </c>
      <c r="B231" s="20" t="s">
        <v>251</v>
      </c>
      <c r="C231" s="21" t="s">
        <v>252</v>
      </c>
      <c r="D231" s="21" t="s">
        <v>10</v>
      </c>
      <c r="E231" s="21" t="s">
        <v>136</v>
      </c>
      <c r="F231" s="21" t="s">
        <v>12</v>
      </c>
      <c r="G231" s="21" t="s">
        <v>253</v>
      </c>
      <c r="H231" s="20" t="str">
        <f t="shared" si="11"/>
        <v>MGI 1D Array 1.0.2.3</v>
      </c>
      <c r="I231" s="77" t="s">
        <v>202</v>
      </c>
      <c r="J231" s="7"/>
    </row>
    <row r="232" spans="1:10" x14ac:dyDescent="0.25">
      <c r="A232" s="20" t="s">
        <v>540</v>
      </c>
      <c r="B232" s="20" t="s">
        <v>254</v>
      </c>
      <c r="C232" s="21" t="s">
        <v>255</v>
      </c>
      <c r="D232" s="21" t="s">
        <v>10</v>
      </c>
      <c r="E232" s="21" t="s">
        <v>136</v>
      </c>
      <c r="F232" s="21" t="s">
        <v>12</v>
      </c>
      <c r="G232" s="21" t="s">
        <v>253</v>
      </c>
      <c r="H232" s="20" t="str">
        <f t="shared" si="11"/>
        <v>MGI 2D Array 1.1.1.5</v>
      </c>
      <c r="I232" s="77" t="s">
        <v>202</v>
      </c>
      <c r="J232" s="7"/>
    </row>
    <row r="233" spans="1:10" x14ac:dyDescent="0.25">
      <c r="A233" s="20" t="s">
        <v>540</v>
      </c>
      <c r="B233" s="20" t="s">
        <v>256</v>
      </c>
      <c r="C233" s="21" t="s">
        <v>257</v>
      </c>
      <c r="D233" s="21" t="s">
        <v>10</v>
      </c>
      <c r="E233" s="21" t="s">
        <v>136</v>
      </c>
      <c r="F233" s="21" t="s">
        <v>12</v>
      </c>
      <c r="G233" s="21" t="s">
        <v>253</v>
      </c>
      <c r="H233" s="20" t="str">
        <f t="shared" si="11"/>
        <v>MGI Actor Framework Message Maker 1.0.1.6</v>
      </c>
      <c r="I233" s="77" t="s">
        <v>202</v>
      </c>
      <c r="J233" s="7"/>
    </row>
    <row r="234" spans="1:10" x14ac:dyDescent="0.25">
      <c r="A234" s="20" t="s">
        <v>540</v>
      </c>
      <c r="B234" s="20" t="s">
        <v>258</v>
      </c>
      <c r="C234" s="21" t="s">
        <v>259</v>
      </c>
      <c r="D234" s="21" t="s">
        <v>10</v>
      </c>
      <c r="E234" s="21" t="s">
        <v>136</v>
      </c>
      <c r="F234" s="21" t="s">
        <v>12</v>
      </c>
      <c r="G234" s="21" t="s">
        <v>253</v>
      </c>
      <c r="H234" s="20" t="str">
        <f t="shared" si="11"/>
        <v>MGI Application Control 1.1.1.10</v>
      </c>
      <c r="I234" s="77" t="s">
        <v>202</v>
      </c>
      <c r="J234" s="7"/>
    </row>
    <row r="235" spans="1:10" x14ac:dyDescent="0.25">
      <c r="A235" s="20" t="s">
        <v>540</v>
      </c>
      <c r="B235" s="20" t="s">
        <v>260</v>
      </c>
      <c r="C235" s="21" t="s">
        <v>261</v>
      </c>
      <c r="D235" s="21" t="s">
        <v>10</v>
      </c>
      <c r="E235" s="21" t="s">
        <v>136</v>
      </c>
      <c r="F235" s="21" t="s">
        <v>12</v>
      </c>
      <c r="G235" s="21" t="s">
        <v>253</v>
      </c>
      <c r="H235" s="20" t="str">
        <f t="shared" si="11"/>
        <v>MGI Bezier 1.1.1.2</v>
      </c>
      <c r="I235" s="77" t="s">
        <v>202</v>
      </c>
      <c r="J235" s="7"/>
    </row>
    <row r="236" spans="1:10" x14ac:dyDescent="0.25">
      <c r="A236" s="20" t="s">
        <v>540</v>
      </c>
      <c r="B236" s="20" t="s">
        <v>262</v>
      </c>
      <c r="C236" s="21" t="s">
        <v>263</v>
      </c>
      <c r="D236" s="21" t="s">
        <v>10</v>
      </c>
      <c r="E236" s="21" t="s">
        <v>136</v>
      </c>
      <c r="F236" s="21" t="s">
        <v>12</v>
      </c>
      <c r="G236" s="21" t="s">
        <v>253</v>
      </c>
      <c r="H236" s="20" t="str">
        <f t="shared" si="11"/>
        <v>MGI Boolean 1.0.1.3</v>
      </c>
      <c r="I236" s="77" t="s">
        <v>202</v>
      </c>
      <c r="J236" s="7"/>
    </row>
    <row r="237" spans="1:10" x14ac:dyDescent="0.25">
      <c r="A237" s="20" t="s">
        <v>540</v>
      </c>
      <c r="B237" s="20" t="s">
        <v>264</v>
      </c>
      <c r="C237" s="21" t="s">
        <v>265</v>
      </c>
      <c r="D237" s="21" t="s">
        <v>10</v>
      </c>
      <c r="E237" s="21" t="s">
        <v>136</v>
      </c>
      <c r="F237" s="21" t="s">
        <v>12</v>
      </c>
      <c r="G237" s="21" t="s">
        <v>253</v>
      </c>
      <c r="H237" s="20" t="str">
        <f t="shared" si="11"/>
        <v>MGI Class Method Browser 1.0.0.20</v>
      </c>
      <c r="I237" s="77" t="s">
        <v>202</v>
      </c>
      <c r="J237" s="7"/>
    </row>
    <row r="238" spans="1:10" x14ac:dyDescent="0.25">
      <c r="A238" s="20" t="s">
        <v>540</v>
      </c>
      <c r="B238" s="20" t="s">
        <v>266</v>
      </c>
      <c r="C238" s="21" t="s">
        <v>267</v>
      </c>
      <c r="D238" s="21" t="s">
        <v>10</v>
      </c>
      <c r="E238" s="21" t="s">
        <v>136</v>
      </c>
      <c r="F238" s="21" t="s">
        <v>12</v>
      </c>
      <c r="G238" s="21" t="s">
        <v>253</v>
      </c>
      <c r="H238" s="20" t="str">
        <f t="shared" si="11"/>
        <v>MGI Cluster 1.1.0.1</v>
      </c>
      <c r="I238" s="77" t="s">
        <v>202</v>
      </c>
      <c r="J238" s="7"/>
    </row>
    <row r="239" spans="1:10" x14ac:dyDescent="0.25">
      <c r="A239" s="20" t="s">
        <v>540</v>
      </c>
      <c r="B239" s="20" t="s">
        <v>268</v>
      </c>
      <c r="C239" s="21" t="s">
        <v>261</v>
      </c>
      <c r="D239" s="21" t="s">
        <v>10</v>
      </c>
      <c r="E239" s="21" t="s">
        <v>136</v>
      </c>
      <c r="F239" s="21" t="s">
        <v>12</v>
      </c>
      <c r="G239" s="21" t="s">
        <v>253</v>
      </c>
      <c r="H239" s="20" t="str">
        <f t="shared" si="11"/>
        <v>MGI Coordinates 1.1.1.2</v>
      </c>
      <c r="I239" s="77" t="s">
        <v>202</v>
      </c>
      <c r="J239" s="7"/>
    </row>
    <row r="240" spans="1:10" x14ac:dyDescent="0.25">
      <c r="A240" s="20" t="s">
        <v>540</v>
      </c>
      <c r="B240" s="20" t="s">
        <v>269</v>
      </c>
      <c r="C240" s="21" t="s">
        <v>270</v>
      </c>
      <c r="D240" s="21" t="s">
        <v>10</v>
      </c>
      <c r="E240" s="21" t="s">
        <v>136</v>
      </c>
      <c r="F240" s="21" t="s">
        <v>12</v>
      </c>
      <c r="G240" s="21" t="s">
        <v>253</v>
      </c>
      <c r="H240" s="20" t="str">
        <f t="shared" si="11"/>
        <v>MGI Error Handling 1.1.1.3</v>
      </c>
      <c r="I240" s="77" t="s">
        <v>202</v>
      </c>
      <c r="J240" s="7"/>
    </row>
    <row r="241" spans="1:10" x14ac:dyDescent="0.25">
      <c r="A241" s="20" t="s">
        <v>540</v>
      </c>
      <c r="B241" s="20" t="s">
        <v>271</v>
      </c>
      <c r="C241" s="21" t="s">
        <v>272</v>
      </c>
      <c r="D241" s="21" t="s">
        <v>10</v>
      </c>
      <c r="E241" s="21" t="s">
        <v>136</v>
      </c>
      <c r="F241" s="21" t="s">
        <v>12</v>
      </c>
      <c r="G241" s="21" t="s">
        <v>253</v>
      </c>
      <c r="H241" s="20" t="str">
        <f t="shared" si="11"/>
        <v>MGI Error Reporter 1.0.2.5</v>
      </c>
      <c r="I241" s="77" t="s">
        <v>202</v>
      </c>
      <c r="J241" s="7"/>
    </row>
    <row r="242" spans="1:10" x14ac:dyDescent="0.25">
      <c r="A242" s="20" t="s">
        <v>540</v>
      </c>
      <c r="B242" s="20" t="s">
        <v>273</v>
      </c>
      <c r="C242" s="21" t="s">
        <v>274</v>
      </c>
      <c r="D242" s="21" t="s">
        <v>10</v>
      </c>
      <c r="E242" s="21" t="s">
        <v>136</v>
      </c>
      <c r="F242" s="21" t="s">
        <v>12</v>
      </c>
      <c r="G242" s="21" t="s">
        <v>253</v>
      </c>
      <c r="H242" s="20" t="str">
        <f t="shared" si="11"/>
        <v>MGI File 1.1.0.4</v>
      </c>
      <c r="I242" s="77" t="s">
        <v>202</v>
      </c>
      <c r="J242" s="7"/>
    </row>
    <row r="243" spans="1:10" x14ac:dyDescent="0.25">
      <c r="A243" s="20" t="s">
        <v>540</v>
      </c>
      <c r="B243" s="20" t="s">
        <v>275</v>
      </c>
      <c r="C243" s="21" t="s">
        <v>276</v>
      </c>
      <c r="D243" s="21" t="s">
        <v>10</v>
      </c>
      <c r="E243" s="21" t="s">
        <v>136</v>
      </c>
      <c r="F243" s="21" t="s">
        <v>12</v>
      </c>
      <c r="G243" s="21" t="s">
        <v>253</v>
      </c>
      <c r="H243" s="20" t="str">
        <f t="shared" si="11"/>
        <v>MGI Graph 1.0.2.6</v>
      </c>
      <c r="I243" s="77" t="s">
        <v>202</v>
      </c>
      <c r="J243" s="7"/>
    </row>
    <row r="244" spans="1:10" x14ac:dyDescent="0.25">
      <c r="A244" s="20" t="s">
        <v>540</v>
      </c>
      <c r="B244" s="20" t="s">
        <v>277</v>
      </c>
      <c r="C244" s="21" t="s">
        <v>278</v>
      </c>
      <c r="D244" s="21" t="s">
        <v>10</v>
      </c>
      <c r="E244" s="21" t="s">
        <v>136</v>
      </c>
      <c r="F244" s="21" t="s">
        <v>12</v>
      </c>
      <c r="G244" s="21" t="s">
        <v>253</v>
      </c>
      <c r="H244" s="20" t="str">
        <f t="shared" si="11"/>
        <v>MGI Library 1.2.0.4</v>
      </c>
      <c r="I244" s="77" t="s">
        <v>202</v>
      </c>
      <c r="J244" s="7"/>
    </row>
    <row r="245" spans="1:10" x14ac:dyDescent="0.25">
      <c r="A245" s="20" t="s">
        <v>540</v>
      </c>
      <c r="B245" s="20" t="s">
        <v>279</v>
      </c>
      <c r="C245" s="21" t="s">
        <v>267</v>
      </c>
      <c r="D245" s="21" t="s">
        <v>10</v>
      </c>
      <c r="E245" s="21" t="s">
        <v>136</v>
      </c>
      <c r="F245" s="21" t="s">
        <v>12</v>
      </c>
      <c r="G245" s="21" t="s">
        <v>253</v>
      </c>
      <c r="H245" s="20" t="str">
        <f t="shared" si="11"/>
        <v>MGI Matrix &amp; Vector 1.1.0.1</v>
      </c>
      <c r="I245" s="77" t="s">
        <v>202</v>
      </c>
      <c r="J245" s="7"/>
    </row>
    <row r="246" spans="1:10" x14ac:dyDescent="0.25">
      <c r="A246" s="20" t="s">
        <v>540</v>
      </c>
      <c r="B246" s="20" t="s">
        <v>280</v>
      </c>
      <c r="C246" s="21" t="s">
        <v>281</v>
      </c>
      <c r="D246" s="21" t="s">
        <v>10</v>
      </c>
      <c r="E246" s="21" t="s">
        <v>136</v>
      </c>
      <c r="F246" s="21" t="s">
        <v>12</v>
      </c>
      <c r="G246" s="21" t="s">
        <v>253</v>
      </c>
      <c r="H246" s="20" t="str">
        <f t="shared" si="11"/>
        <v>MGI Menu Building 1.0.1.4</v>
      </c>
      <c r="I246" s="77" t="s">
        <v>202</v>
      </c>
      <c r="J246" s="7"/>
    </row>
    <row r="247" spans="1:10" x14ac:dyDescent="0.25">
      <c r="A247" s="20" t="s">
        <v>540</v>
      </c>
      <c r="B247" s="20" t="s">
        <v>282</v>
      </c>
      <c r="C247" s="21" t="s">
        <v>283</v>
      </c>
      <c r="D247" s="21" t="s">
        <v>10</v>
      </c>
      <c r="E247" s="21" t="s">
        <v>136</v>
      </c>
      <c r="F247" s="21" t="s">
        <v>12</v>
      </c>
      <c r="G247" s="21" t="s">
        <v>253</v>
      </c>
      <c r="H247" s="20" t="str">
        <f t="shared" ref="H247:H278" si="12">B247&amp;" "&amp;C247</f>
        <v>MGI Monitored Actor 2.0.0.23</v>
      </c>
      <c r="I247" s="77" t="s">
        <v>202</v>
      </c>
      <c r="J247" s="7"/>
    </row>
    <row r="248" spans="1:10" x14ac:dyDescent="0.25">
      <c r="A248" s="20" t="s">
        <v>540</v>
      </c>
      <c r="B248" s="20" t="s">
        <v>284</v>
      </c>
      <c r="C248" s="21" t="s">
        <v>285</v>
      </c>
      <c r="D248" s="21" t="s">
        <v>10</v>
      </c>
      <c r="E248" s="21" t="s">
        <v>136</v>
      </c>
      <c r="F248" s="21" t="s">
        <v>12</v>
      </c>
      <c r="G248" s="21" t="s">
        <v>253</v>
      </c>
      <c r="H248" s="20" t="str">
        <f t="shared" si="12"/>
        <v>MGI Numeric 1.1.0.2</v>
      </c>
      <c r="I248" s="77" t="s">
        <v>202</v>
      </c>
      <c r="J248" s="7"/>
    </row>
    <row r="249" spans="1:10" x14ac:dyDescent="0.25">
      <c r="A249" s="20" t="s">
        <v>540</v>
      </c>
      <c r="B249" s="20" t="s">
        <v>286</v>
      </c>
      <c r="C249" s="21" t="s">
        <v>281</v>
      </c>
      <c r="D249" s="21" t="s">
        <v>10</v>
      </c>
      <c r="E249" s="21" t="s">
        <v>136</v>
      </c>
      <c r="F249" s="21" t="s">
        <v>12</v>
      </c>
      <c r="G249" s="21" t="s">
        <v>253</v>
      </c>
      <c r="H249" s="20" t="str">
        <f t="shared" si="12"/>
        <v>MGI Panel Manager 1.0.1.4</v>
      </c>
      <c r="I249" s="77" t="s">
        <v>202</v>
      </c>
      <c r="J249" s="7"/>
    </row>
    <row r="250" spans="1:10" x14ac:dyDescent="0.25">
      <c r="A250" s="20" t="s">
        <v>540</v>
      </c>
      <c r="B250" s="20" t="s">
        <v>287</v>
      </c>
      <c r="C250" s="21" t="s">
        <v>257</v>
      </c>
      <c r="D250" s="21" t="s">
        <v>10</v>
      </c>
      <c r="E250" s="21" t="s">
        <v>136</v>
      </c>
      <c r="F250" s="21" t="s">
        <v>12</v>
      </c>
      <c r="G250" s="21" t="s">
        <v>253</v>
      </c>
      <c r="H250" s="20" t="str">
        <f t="shared" si="12"/>
        <v>MGI Panel Manager - DQMH Panels 1.0.1.6</v>
      </c>
      <c r="I250" s="77" t="s">
        <v>202</v>
      </c>
      <c r="J250" s="7"/>
    </row>
    <row r="251" spans="1:10" x14ac:dyDescent="0.25">
      <c r="A251" s="20" t="s">
        <v>540</v>
      </c>
      <c r="B251" s="20" t="s">
        <v>288</v>
      </c>
      <c r="C251" s="21" t="s">
        <v>289</v>
      </c>
      <c r="D251" s="21" t="s">
        <v>10</v>
      </c>
      <c r="E251" s="21" t="s">
        <v>136</v>
      </c>
      <c r="F251" s="21" t="s">
        <v>12</v>
      </c>
      <c r="G251" s="21" t="s">
        <v>253</v>
      </c>
      <c r="H251" s="20" t="str">
        <f t="shared" si="12"/>
        <v>MGI Picture &amp; Image 1.0.2.1</v>
      </c>
      <c r="I251" s="77" t="s">
        <v>202</v>
      </c>
      <c r="J251" s="7"/>
    </row>
    <row r="252" spans="1:10" x14ac:dyDescent="0.25">
      <c r="A252" s="20" t="s">
        <v>540</v>
      </c>
      <c r="B252" s="20" t="s">
        <v>290</v>
      </c>
      <c r="C252" s="21" t="s">
        <v>291</v>
      </c>
      <c r="D252" s="21" t="s">
        <v>10</v>
      </c>
      <c r="E252" s="21" t="s">
        <v>136</v>
      </c>
      <c r="F252" s="21" t="s">
        <v>12</v>
      </c>
      <c r="G252" s="21" t="s">
        <v>253</v>
      </c>
      <c r="H252" s="20" t="str">
        <f t="shared" si="12"/>
        <v>MGI Read/Write Anything 2.1.4.4</v>
      </c>
      <c r="I252" s="77" t="s">
        <v>202</v>
      </c>
      <c r="J252" s="7"/>
    </row>
    <row r="253" spans="1:10" x14ac:dyDescent="0.25">
      <c r="A253" s="20" t="s">
        <v>540</v>
      </c>
      <c r="B253" s="20" t="s">
        <v>292</v>
      </c>
      <c r="C253" s="21" t="s">
        <v>293</v>
      </c>
      <c r="D253" s="21" t="s">
        <v>10</v>
      </c>
      <c r="E253" s="21" t="s">
        <v>136</v>
      </c>
      <c r="F253" s="21" t="s">
        <v>12</v>
      </c>
      <c r="G253" s="21" t="s">
        <v>253</v>
      </c>
      <c r="H253" s="20" t="str">
        <f t="shared" si="12"/>
        <v>MGI Robust XML 1.0.3.4</v>
      </c>
      <c r="I253" s="77" t="s">
        <v>202</v>
      </c>
      <c r="J253" s="7"/>
    </row>
    <row r="254" spans="1:10" x14ac:dyDescent="0.25">
      <c r="A254" s="20" t="s">
        <v>540</v>
      </c>
      <c r="B254" s="20" t="s">
        <v>294</v>
      </c>
      <c r="C254" s="21" t="s">
        <v>267</v>
      </c>
      <c r="D254" s="21" t="s">
        <v>10</v>
      </c>
      <c r="E254" s="21" t="s">
        <v>136</v>
      </c>
      <c r="F254" s="21" t="s">
        <v>12</v>
      </c>
      <c r="G254" s="21" t="s">
        <v>253</v>
      </c>
      <c r="H254" s="20" t="str">
        <f t="shared" si="12"/>
        <v>MGI Spline 1.1.0.1</v>
      </c>
      <c r="I254" s="77" t="s">
        <v>202</v>
      </c>
      <c r="J254" s="7"/>
    </row>
    <row r="255" spans="1:10" x14ac:dyDescent="0.25">
      <c r="A255" s="20" t="s">
        <v>540</v>
      </c>
      <c r="B255" s="20" t="s">
        <v>295</v>
      </c>
      <c r="C255" s="21" t="s">
        <v>255</v>
      </c>
      <c r="D255" s="21" t="s">
        <v>10</v>
      </c>
      <c r="E255" s="21" t="s">
        <v>136</v>
      </c>
      <c r="F255" s="21" t="s">
        <v>12</v>
      </c>
      <c r="G255" s="21" t="s">
        <v>253</v>
      </c>
      <c r="H255" s="20" t="str">
        <f t="shared" si="12"/>
        <v>MGI String 1.1.1.5</v>
      </c>
      <c r="I255" s="77" t="s">
        <v>202</v>
      </c>
      <c r="J255" s="7"/>
    </row>
    <row r="256" spans="1:10" x14ac:dyDescent="0.25">
      <c r="A256" s="20" t="s">
        <v>540</v>
      </c>
      <c r="B256" s="20" t="s">
        <v>296</v>
      </c>
      <c r="C256" s="21" t="s">
        <v>285</v>
      </c>
      <c r="D256" s="21" t="s">
        <v>10</v>
      </c>
      <c r="E256" s="21" t="s">
        <v>136</v>
      </c>
      <c r="F256" s="21" t="s">
        <v>12</v>
      </c>
      <c r="G256" s="21" t="s">
        <v>253</v>
      </c>
      <c r="H256" s="20" t="str">
        <f t="shared" si="12"/>
        <v>MGI Timing 1.1.0.2</v>
      </c>
      <c r="I256" s="77" t="s">
        <v>202</v>
      </c>
      <c r="J256" s="7"/>
    </row>
    <row r="257" spans="1:10" x14ac:dyDescent="0.25">
      <c r="A257" s="20" t="s">
        <v>540</v>
      </c>
      <c r="B257" s="20" t="s">
        <v>297</v>
      </c>
      <c r="C257" s="21" t="s">
        <v>298</v>
      </c>
      <c r="D257" s="21" t="s">
        <v>10</v>
      </c>
      <c r="E257" s="21" t="s">
        <v>136</v>
      </c>
      <c r="F257" s="21" t="s">
        <v>12</v>
      </c>
      <c r="G257" s="21" t="s">
        <v>253</v>
      </c>
      <c r="H257" s="20" t="str">
        <f t="shared" si="12"/>
        <v>MGI Tools 1.0.0.4</v>
      </c>
      <c r="I257" s="77" t="s">
        <v>202</v>
      </c>
      <c r="J257" s="7"/>
    </row>
    <row r="258" spans="1:10" x14ac:dyDescent="0.25">
      <c r="A258" s="20" t="s">
        <v>540</v>
      </c>
      <c r="B258" s="20" t="s">
        <v>299</v>
      </c>
      <c r="C258" s="21" t="s">
        <v>300</v>
      </c>
      <c r="D258" s="21" t="s">
        <v>10</v>
      </c>
      <c r="E258" s="21" t="s">
        <v>136</v>
      </c>
      <c r="F258" s="21" t="s">
        <v>12</v>
      </c>
      <c r="G258" s="21" t="s">
        <v>253</v>
      </c>
      <c r="H258" s="20" t="str">
        <f t="shared" si="12"/>
        <v>MGI Tree 1.0.4.4</v>
      </c>
      <c r="I258" s="77" t="s">
        <v>202</v>
      </c>
      <c r="J258" s="7"/>
    </row>
    <row r="259" spans="1:10" x14ac:dyDescent="0.25">
      <c r="A259" s="20" t="s">
        <v>540</v>
      </c>
      <c r="B259" s="20" t="s">
        <v>301</v>
      </c>
      <c r="C259" s="21" t="s">
        <v>302</v>
      </c>
      <c r="D259" s="21" t="s">
        <v>10</v>
      </c>
      <c r="E259" s="21" t="s">
        <v>136</v>
      </c>
      <c r="F259" s="21" t="s">
        <v>12</v>
      </c>
      <c r="G259" s="21" t="s">
        <v>253</v>
      </c>
      <c r="H259" s="20" t="str">
        <f t="shared" si="12"/>
        <v>MGI User Interface 1.0.1.11</v>
      </c>
      <c r="I259" s="77" t="s">
        <v>202</v>
      </c>
      <c r="J259" s="7"/>
    </row>
    <row r="260" spans="1:10" x14ac:dyDescent="0.25">
      <c r="A260" s="20" t="s">
        <v>540</v>
      </c>
      <c r="B260" s="20" t="s">
        <v>303</v>
      </c>
      <c r="C260" s="21" t="s">
        <v>304</v>
      </c>
      <c r="D260" s="21" t="s">
        <v>10</v>
      </c>
      <c r="E260" s="21" t="s">
        <v>136</v>
      </c>
      <c r="F260" s="21" t="s">
        <v>12</v>
      </c>
      <c r="G260" s="21" t="s">
        <v>253</v>
      </c>
      <c r="H260" s="20" t="str">
        <f t="shared" si="12"/>
        <v>MGI WSA Framework 1.0.0.27</v>
      </c>
      <c r="I260" s="77" t="s">
        <v>202</v>
      </c>
      <c r="J260" s="7"/>
    </row>
    <row r="261" spans="1:10" hidden="1" x14ac:dyDescent="0.25">
      <c r="A261" s="20" t="s">
        <v>540</v>
      </c>
      <c r="B261" s="20" t="s">
        <v>188</v>
      </c>
      <c r="C261" s="21" t="s">
        <v>9</v>
      </c>
      <c r="D261" s="21" t="s">
        <v>10</v>
      </c>
      <c r="E261" s="21" t="s">
        <v>11</v>
      </c>
      <c r="F261" s="21" t="s">
        <v>171</v>
      </c>
      <c r="G261" s="21" t="s">
        <v>13</v>
      </c>
      <c r="H261" s="20" t="str">
        <f t="shared" si="12"/>
        <v>Network Configuration Web Support 15.0.0</v>
      </c>
      <c r="I261" s="20"/>
      <c r="J261" s="7"/>
    </row>
    <row r="262" spans="1:10" hidden="1" x14ac:dyDescent="0.25">
      <c r="A262" s="20" t="s">
        <v>540</v>
      </c>
      <c r="B262" s="20" t="s">
        <v>180</v>
      </c>
      <c r="C262" s="21" t="s">
        <v>102</v>
      </c>
      <c r="D262" s="21" t="s">
        <v>10</v>
      </c>
      <c r="E262" s="21" t="s">
        <v>11</v>
      </c>
      <c r="F262" s="21" t="s">
        <v>171</v>
      </c>
      <c r="G262" s="21" t="s">
        <v>13</v>
      </c>
      <c r="H262" s="20" t="str">
        <f t="shared" si="12"/>
        <v>Network Streams 15.0</v>
      </c>
      <c r="I262" s="20"/>
      <c r="J262" s="7"/>
    </row>
    <row r="263" spans="1:10" hidden="1" x14ac:dyDescent="0.25">
      <c r="A263" s="20" t="s">
        <v>540</v>
      </c>
      <c r="B263" s="20" t="s">
        <v>181</v>
      </c>
      <c r="C263" s="21" t="s">
        <v>9</v>
      </c>
      <c r="D263" s="21" t="s">
        <v>10</v>
      </c>
      <c r="E263" s="21" t="s">
        <v>11</v>
      </c>
      <c r="F263" s="21" t="s">
        <v>171</v>
      </c>
      <c r="G263" s="21" t="s">
        <v>13</v>
      </c>
      <c r="H263" s="20" t="str">
        <f t="shared" si="12"/>
        <v>Network Variable Engine 15.0.0</v>
      </c>
      <c r="I263" s="20"/>
      <c r="J263" s="7"/>
    </row>
    <row r="264" spans="1:10" x14ac:dyDescent="0.25">
      <c r="A264" s="20" t="s">
        <v>540</v>
      </c>
      <c r="B264" s="20" t="s">
        <v>60</v>
      </c>
      <c r="C264" s="21" t="s">
        <v>30</v>
      </c>
      <c r="D264" s="21" t="s">
        <v>10</v>
      </c>
      <c r="E264" s="21">
        <v>2015</v>
      </c>
      <c r="F264" s="21" t="s">
        <v>12</v>
      </c>
      <c r="G264" s="21" t="s">
        <v>13</v>
      </c>
      <c r="H264" s="20" t="str">
        <f t="shared" si="12"/>
        <v>NI 1588-2008 Network Management 15.0.0f0</v>
      </c>
      <c r="I264" s="30" t="s">
        <v>42</v>
      </c>
      <c r="J264" s="7"/>
    </row>
    <row r="265" spans="1:10" x14ac:dyDescent="0.25">
      <c r="A265" s="20" t="s">
        <v>540</v>
      </c>
      <c r="B265" s="20" t="s">
        <v>305</v>
      </c>
      <c r="C265" s="21" t="s">
        <v>306</v>
      </c>
      <c r="D265" s="21" t="s">
        <v>10</v>
      </c>
      <c r="E265" s="21" t="s">
        <v>136</v>
      </c>
      <c r="F265" s="21" t="s">
        <v>12</v>
      </c>
      <c r="G265" s="21" t="s">
        <v>13</v>
      </c>
      <c r="H265" s="20" t="str">
        <f t="shared" si="12"/>
        <v>NI Asynchronous Message Communication (AMC) Library 3.3.1.22</v>
      </c>
      <c r="I265" s="77" t="s">
        <v>202</v>
      </c>
      <c r="J265" s="7"/>
    </row>
    <row r="266" spans="1:10" hidden="1" x14ac:dyDescent="0.25">
      <c r="A266" s="20" t="s">
        <v>540</v>
      </c>
      <c r="B266" s="20" t="s">
        <v>169</v>
      </c>
      <c r="C266" s="21" t="s">
        <v>170</v>
      </c>
      <c r="D266" s="21" t="s">
        <v>10</v>
      </c>
      <c r="E266" s="21" t="s">
        <v>130</v>
      </c>
      <c r="F266" s="21" t="s">
        <v>171</v>
      </c>
      <c r="G266" s="21" t="s">
        <v>13</v>
      </c>
      <c r="H266" s="20" t="str">
        <f t="shared" si="12"/>
        <v>NI CompactRIO 15.5</v>
      </c>
      <c r="I266" s="20"/>
      <c r="J266" s="7"/>
    </row>
    <row r="267" spans="1:10" x14ac:dyDescent="0.25">
      <c r="A267" s="20" t="s">
        <v>540</v>
      </c>
      <c r="B267" s="20" t="s">
        <v>165</v>
      </c>
      <c r="C267" s="21" t="s">
        <v>166</v>
      </c>
      <c r="D267" s="21" t="s">
        <v>10</v>
      </c>
      <c r="E267" s="21" t="s">
        <v>11</v>
      </c>
      <c r="F267" s="21" t="s">
        <v>12</v>
      </c>
      <c r="G267" s="21" t="s">
        <v>13</v>
      </c>
      <c r="H267" s="20" t="str">
        <f t="shared" si="12"/>
        <v>NI CompactRIO Information (CRI) Library 2015.0.0.1</v>
      </c>
      <c r="I267" s="77" t="s">
        <v>202</v>
      </c>
      <c r="J267" s="7"/>
    </row>
    <row r="268" spans="1:10" x14ac:dyDescent="0.25">
      <c r="A268" s="20" t="s">
        <v>540</v>
      </c>
      <c r="B268" s="20" t="s">
        <v>307</v>
      </c>
      <c r="C268" s="21" t="s">
        <v>308</v>
      </c>
      <c r="D268" s="21" t="s">
        <v>10</v>
      </c>
      <c r="E268" s="21" t="s">
        <v>136</v>
      </c>
      <c r="F268" s="21" t="s">
        <v>12</v>
      </c>
      <c r="G268" s="21" t="s">
        <v>13</v>
      </c>
      <c r="H268" s="20" t="str">
        <f t="shared" si="12"/>
        <v>NI GXML 1.4.2.8</v>
      </c>
      <c r="I268" s="78" t="s">
        <v>202</v>
      </c>
      <c r="J268" s="7"/>
    </row>
    <row r="269" spans="1:10" x14ac:dyDescent="0.25">
      <c r="A269" s="20" t="s">
        <v>540</v>
      </c>
      <c r="B269" s="20" t="s">
        <v>29</v>
      </c>
      <c r="C269" s="21" t="s">
        <v>146</v>
      </c>
      <c r="D269" s="21" t="s">
        <v>10</v>
      </c>
      <c r="E269" s="21" t="s">
        <v>130</v>
      </c>
      <c r="F269" s="21" t="s">
        <v>12</v>
      </c>
      <c r="G269" s="21" t="s">
        <v>13</v>
      </c>
      <c r="H269" s="20" t="str">
        <f t="shared" si="12"/>
        <v>NI I/O Trace 18.5.0f0</v>
      </c>
      <c r="I269" s="30" t="s">
        <v>42</v>
      </c>
      <c r="J269" s="7"/>
    </row>
    <row r="270" spans="1:10" x14ac:dyDescent="0.25">
      <c r="A270" s="20" t="s">
        <v>540</v>
      </c>
      <c r="B270" s="20" t="s">
        <v>309</v>
      </c>
      <c r="C270" s="21" t="s">
        <v>310</v>
      </c>
      <c r="D270" s="21" t="s">
        <v>10</v>
      </c>
      <c r="E270" s="21" t="s">
        <v>136</v>
      </c>
      <c r="F270" s="21" t="s">
        <v>12</v>
      </c>
      <c r="G270" s="21" t="s">
        <v>13</v>
      </c>
      <c r="H270" s="20" t="str">
        <f t="shared" si="12"/>
        <v>NI Keyed Array Library 2.0.0.11</v>
      </c>
      <c r="I270" s="78" t="s">
        <v>202</v>
      </c>
      <c r="J270" s="7"/>
    </row>
    <row r="271" spans="1:10" x14ac:dyDescent="0.25">
      <c r="A271" s="20" t="s">
        <v>540</v>
      </c>
      <c r="B271" s="20" t="s">
        <v>311</v>
      </c>
      <c r="C271" s="21" t="s">
        <v>312</v>
      </c>
      <c r="D271" s="21" t="s">
        <v>10</v>
      </c>
      <c r="E271" s="21" t="s">
        <v>136</v>
      </c>
      <c r="F271" s="21" t="s">
        <v>12</v>
      </c>
      <c r="G271" s="21" t="s">
        <v>13</v>
      </c>
      <c r="H271" s="20" t="str">
        <f t="shared" si="12"/>
        <v>NI Modbus Library 1.2.1.42</v>
      </c>
      <c r="I271" s="78" t="s">
        <v>202</v>
      </c>
      <c r="J271" s="7"/>
    </row>
    <row r="272" spans="1:10" x14ac:dyDescent="0.25">
      <c r="A272" s="20" t="s">
        <v>540</v>
      </c>
      <c r="B272" s="20" t="s">
        <v>140</v>
      </c>
      <c r="C272" s="21" t="s">
        <v>117</v>
      </c>
      <c r="D272" s="21" t="s">
        <v>10</v>
      </c>
      <c r="E272" s="21" t="s">
        <v>119</v>
      </c>
      <c r="F272" s="21" t="s">
        <v>24</v>
      </c>
      <c r="G272" s="21" t="s">
        <v>13</v>
      </c>
      <c r="H272" s="20" t="str">
        <f t="shared" si="12"/>
        <v>NI PXI Platform Services 19.5.0f0</v>
      </c>
      <c r="I272" s="20"/>
      <c r="J272" s="7"/>
    </row>
    <row r="273" spans="1:10" x14ac:dyDescent="0.25">
      <c r="A273" s="20" t="s">
        <v>540</v>
      </c>
      <c r="B273" s="20" t="s">
        <v>52</v>
      </c>
      <c r="C273" s="21" t="s">
        <v>386</v>
      </c>
      <c r="D273" s="21" t="s">
        <v>10</v>
      </c>
      <c r="E273" s="21" t="s">
        <v>130</v>
      </c>
      <c r="F273" s="21" t="s">
        <v>12</v>
      </c>
      <c r="G273" s="21" t="s">
        <v>13</v>
      </c>
      <c r="H273" s="20" t="str">
        <f t="shared" si="12"/>
        <v>NI PXI Platform Services Configuration 18.5.0f2</v>
      </c>
      <c r="I273" s="20"/>
      <c r="J273" s="7"/>
    </row>
    <row r="274" spans="1:10" x14ac:dyDescent="0.25">
      <c r="A274" s="20" t="s">
        <v>540</v>
      </c>
      <c r="B274" s="20" t="s">
        <v>55</v>
      </c>
      <c r="C274" s="21" t="s">
        <v>97</v>
      </c>
      <c r="D274" s="21" t="s">
        <v>10</v>
      </c>
      <c r="E274" s="21">
        <v>2015</v>
      </c>
      <c r="F274" s="21" t="s">
        <v>12</v>
      </c>
      <c r="G274" s="21" t="s">
        <v>13</v>
      </c>
      <c r="H274" s="20" t="str">
        <f t="shared" si="12"/>
        <v>NI R Series Multifunction RIO 15.5.0</v>
      </c>
      <c r="I274" s="20"/>
      <c r="J274" s="7"/>
    </row>
    <row r="275" spans="1:10" hidden="1" x14ac:dyDescent="0.25">
      <c r="A275" s="20" t="s">
        <v>540</v>
      </c>
      <c r="B275" s="20" t="s">
        <v>182</v>
      </c>
      <c r="C275" s="21" t="s">
        <v>183</v>
      </c>
      <c r="D275" s="21" t="s">
        <v>10</v>
      </c>
      <c r="E275" s="21" t="s">
        <v>136</v>
      </c>
      <c r="F275" s="21" t="s">
        <v>171</v>
      </c>
      <c r="G275" s="21" t="s">
        <v>13</v>
      </c>
      <c r="H275" s="20" t="str">
        <f t="shared" si="12"/>
        <v>NI Scan Engine 4.4</v>
      </c>
      <c r="I275" s="20"/>
      <c r="J275" s="7"/>
    </row>
    <row r="276" spans="1:10" hidden="1" x14ac:dyDescent="0.25">
      <c r="A276" s="20" t="s">
        <v>540</v>
      </c>
      <c r="B276" s="20" t="s">
        <v>193</v>
      </c>
      <c r="C276" s="21"/>
      <c r="D276" s="21" t="s">
        <v>10</v>
      </c>
      <c r="E276" s="21" t="s">
        <v>136</v>
      </c>
      <c r="F276" s="21" t="s">
        <v>171</v>
      </c>
      <c r="G276" s="21" t="s">
        <v>13</v>
      </c>
      <c r="H276" s="20" t="str">
        <f t="shared" si="12"/>
        <v xml:space="preserve">NI Serial 9870 and 9871 Scan Enginer Support </v>
      </c>
      <c r="I276" s="20"/>
      <c r="J276" s="7"/>
    </row>
    <row r="277" spans="1:10" x14ac:dyDescent="0.25">
      <c r="A277" s="20" t="s">
        <v>540</v>
      </c>
      <c r="B277" s="20" t="s">
        <v>159</v>
      </c>
      <c r="C277" s="21" t="s">
        <v>160</v>
      </c>
      <c r="D277" s="21" t="s">
        <v>10</v>
      </c>
      <c r="E277" s="21" t="s">
        <v>136</v>
      </c>
      <c r="F277" s="21" t="s">
        <v>12</v>
      </c>
      <c r="G277" s="21" t="s">
        <v>13</v>
      </c>
      <c r="H277" s="20" t="str">
        <f t="shared" si="12"/>
        <v>NI String Tools Library 2.0.0.5</v>
      </c>
      <c r="I277" s="78" t="s">
        <v>202</v>
      </c>
      <c r="J277" s="7"/>
    </row>
    <row r="278" spans="1:10" x14ac:dyDescent="0.25">
      <c r="A278" s="20" t="s">
        <v>540</v>
      </c>
      <c r="B278" s="20" t="s">
        <v>68</v>
      </c>
      <c r="C278" s="21" t="s">
        <v>117</v>
      </c>
      <c r="D278" s="21" t="s">
        <v>10</v>
      </c>
      <c r="E278" s="21" t="s">
        <v>119</v>
      </c>
      <c r="F278" s="21" t="s">
        <v>12</v>
      </c>
      <c r="G278" s="21" t="s">
        <v>13</v>
      </c>
      <c r="H278" s="20" t="str">
        <f t="shared" si="12"/>
        <v>NI System Configuration 19.5.0f0</v>
      </c>
      <c r="I278" s="20"/>
      <c r="J278" s="7"/>
    </row>
    <row r="279" spans="1:10" hidden="1" x14ac:dyDescent="0.25">
      <c r="A279" s="20" t="s">
        <v>540</v>
      </c>
      <c r="B279" s="20" t="s">
        <v>173</v>
      </c>
      <c r="C279" s="21"/>
      <c r="D279" s="21" t="s">
        <v>10</v>
      </c>
      <c r="E279" s="21" t="s">
        <v>136</v>
      </c>
      <c r="F279" s="21" t="s">
        <v>171</v>
      </c>
      <c r="G279" s="21" t="s">
        <v>13</v>
      </c>
      <c r="H279" s="20" t="str">
        <f t="shared" ref="H279:H310" si="13">B279&amp;" "&amp;C279</f>
        <v xml:space="preserve">NI System Configuration Remote Support </v>
      </c>
      <c r="I279" s="20"/>
      <c r="J279" s="7"/>
    </row>
    <row r="280" spans="1:10" hidden="1" x14ac:dyDescent="0.25">
      <c r="A280" s="20" t="s">
        <v>540</v>
      </c>
      <c r="B280" s="20" t="s">
        <v>184</v>
      </c>
      <c r="C280" s="21" t="s">
        <v>185</v>
      </c>
      <c r="D280" s="21" t="s">
        <v>10</v>
      </c>
      <c r="E280" s="21" t="s">
        <v>11</v>
      </c>
      <c r="F280" s="21" t="s">
        <v>171</v>
      </c>
      <c r="G280" s="21" t="s">
        <v>13</v>
      </c>
      <c r="H280" s="20" t="str">
        <f t="shared" si="13"/>
        <v>NI Systems Configuration 15.3.0</v>
      </c>
      <c r="I280" s="20"/>
      <c r="J280" s="7"/>
    </row>
    <row r="281" spans="1:10" hidden="1" x14ac:dyDescent="0.25">
      <c r="A281" s="20" t="s">
        <v>540</v>
      </c>
      <c r="B281" s="20" t="s">
        <v>186</v>
      </c>
      <c r="C281" s="21"/>
      <c r="D281" s="21" t="s">
        <v>10</v>
      </c>
      <c r="E281" s="21" t="s">
        <v>136</v>
      </c>
      <c r="F281" s="21" t="s">
        <v>171</v>
      </c>
      <c r="G281" s="21" t="s">
        <v>13</v>
      </c>
      <c r="H281" s="20" t="str">
        <f t="shared" si="13"/>
        <v xml:space="preserve">NI Web-based Configuration and Monitoring </v>
      </c>
      <c r="I281" s="20"/>
      <c r="J281" s="7"/>
    </row>
    <row r="282" spans="1:10" hidden="1" x14ac:dyDescent="0.25">
      <c r="A282" s="20" t="s">
        <v>540</v>
      </c>
      <c r="B282" s="20" t="s">
        <v>191</v>
      </c>
      <c r="C282" s="21" t="s">
        <v>9</v>
      </c>
      <c r="D282" s="21" t="s">
        <v>10</v>
      </c>
      <c r="E282" s="21" t="s">
        <v>11</v>
      </c>
      <c r="F282" s="21" t="s">
        <v>171</v>
      </c>
      <c r="G282" s="21" t="s">
        <v>13</v>
      </c>
      <c r="H282" s="20" t="str">
        <f t="shared" si="13"/>
        <v>NI Wireless Certificate Web Services 15.0.0</v>
      </c>
      <c r="I282" s="20"/>
      <c r="J282" s="7"/>
    </row>
    <row r="283" spans="1:10" x14ac:dyDescent="0.25">
      <c r="A283" s="20" t="s">
        <v>540</v>
      </c>
      <c r="B283" s="20" t="s">
        <v>28</v>
      </c>
      <c r="C283" s="21" t="s">
        <v>97</v>
      </c>
      <c r="D283" s="21" t="s">
        <v>10</v>
      </c>
      <c r="E283" s="21" t="s">
        <v>119</v>
      </c>
      <c r="F283" s="21" t="s">
        <v>12</v>
      </c>
      <c r="G283" s="21" t="s">
        <v>13</v>
      </c>
      <c r="H283" s="20" t="str">
        <f t="shared" si="13"/>
        <v>NI-488.2 15.5.0</v>
      </c>
      <c r="I283" s="20"/>
      <c r="J283" s="7"/>
    </row>
    <row r="284" spans="1:10" x14ac:dyDescent="0.25">
      <c r="A284" s="20" t="s">
        <v>540</v>
      </c>
      <c r="B284" s="20" t="s">
        <v>28</v>
      </c>
      <c r="C284" s="21" t="s">
        <v>141</v>
      </c>
      <c r="D284" s="21" t="s">
        <v>10</v>
      </c>
      <c r="E284" s="21" t="s">
        <v>119</v>
      </c>
      <c r="F284" s="21" t="s">
        <v>24</v>
      </c>
      <c r="G284" s="21" t="s">
        <v>13</v>
      </c>
      <c r="H284" s="20" t="str">
        <f t="shared" si="13"/>
        <v>NI-488.2 19.5.0</v>
      </c>
      <c r="I284" s="20"/>
      <c r="J284" s="7"/>
    </row>
    <row r="285" spans="1:10" x14ac:dyDescent="0.25">
      <c r="A285" s="20" t="s">
        <v>540</v>
      </c>
      <c r="B285" s="20" t="s">
        <v>363</v>
      </c>
      <c r="C285" s="21" t="s">
        <v>30</v>
      </c>
      <c r="D285" s="21" t="s">
        <v>10</v>
      </c>
      <c r="E285" s="21">
        <v>2015</v>
      </c>
      <c r="F285" s="21" t="s">
        <v>12</v>
      </c>
      <c r="G285" s="21" t="s">
        <v>13</v>
      </c>
      <c r="H285" s="20" t="str">
        <f t="shared" si="13"/>
        <v>NI-CAN 15.0.0f0</v>
      </c>
      <c r="I285" s="20"/>
      <c r="J285" s="7"/>
    </row>
    <row r="286" spans="1:10" x14ac:dyDescent="0.25">
      <c r="A286" s="20" t="s">
        <v>540</v>
      </c>
      <c r="B286" s="20" t="s">
        <v>18</v>
      </c>
      <c r="C286" s="21" t="s">
        <v>156</v>
      </c>
      <c r="D286" s="21" t="s">
        <v>10</v>
      </c>
      <c r="E286" s="21" t="s">
        <v>130</v>
      </c>
      <c r="F286" s="21" t="s">
        <v>12</v>
      </c>
      <c r="G286" s="21" t="s">
        <v>13</v>
      </c>
      <c r="H286" s="20" t="str">
        <f t="shared" si="13"/>
        <v>NI-DAQmx ADE Support 18.5.0</v>
      </c>
      <c r="I286" s="20"/>
      <c r="J286" s="7"/>
    </row>
    <row r="287" spans="1:10" x14ac:dyDescent="0.25">
      <c r="A287" s="20" t="s">
        <v>540</v>
      </c>
      <c r="B287" s="20" t="s">
        <v>16</v>
      </c>
      <c r="C287" s="21" t="s">
        <v>117</v>
      </c>
      <c r="D287" s="21" t="s">
        <v>10</v>
      </c>
      <c r="E287" s="21" t="s">
        <v>119</v>
      </c>
      <c r="F287" s="21" t="s">
        <v>12</v>
      </c>
      <c r="G287" s="21" t="s">
        <v>13</v>
      </c>
      <c r="H287" s="20" t="str">
        <f t="shared" si="13"/>
        <v>NI-DAQmx Device Driver 19.5.0f0</v>
      </c>
      <c r="I287" s="20"/>
      <c r="J287" s="7"/>
    </row>
    <row r="288" spans="1:10" x14ac:dyDescent="0.25">
      <c r="A288" s="20" t="s">
        <v>540</v>
      </c>
      <c r="B288" s="20" t="s">
        <v>19</v>
      </c>
      <c r="C288" s="21" t="s">
        <v>156</v>
      </c>
      <c r="D288" s="21" t="s">
        <v>10</v>
      </c>
      <c r="E288" s="21" t="s">
        <v>130</v>
      </c>
      <c r="F288" s="21" t="s">
        <v>12</v>
      </c>
      <c r="G288" s="21" t="s">
        <v>13</v>
      </c>
      <c r="H288" s="20" t="str">
        <f t="shared" si="13"/>
        <v>NI-DAQmx MAX Configuration 18.5.0</v>
      </c>
      <c r="I288" s="20"/>
      <c r="J288" s="7"/>
    </row>
    <row r="289" spans="1:10" x14ac:dyDescent="0.25">
      <c r="A289" s="20" t="s">
        <v>540</v>
      </c>
      <c r="B289" s="20" t="s">
        <v>366</v>
      </c>
      <c r="C289" s="21" t="s">
        <v>141</v>
      </c>
      <c r="D289" s="21" t="s">
        <v>10</v>
      </c>
      <c r="E289" s="21" t="s">
        <v>119</v>
      </c>
      <c r="F289" s="21" t="s">
        <v>12</v>
      </c>
      <c r="G289" s="21" t="s">
        <v>13</v>
      </c>
      <c r="H289" s="20" t="str">
        <f t="shared" si="13"/>
        <v>NI-IMAQ 19.5.0</v>
      </c>
      <c r="I289" s="20"/>
      <c r="J289" s="7"/>
    </row>
    <row r="290" spans="1:10" x14ac:dyDescent="0.25">
      <c r="A290" s="20" t="s">
        <v>540</v>
      </c>
      <c r="B290" s="20" t="s">
        <v>366</v>
      </c>
      <c r="C290" s="21" t="s">
        <v>141</v>
      </c>
      <c r="D290" s="21" t="s">
        <v>10</v>
      </c>
      <c r="E290" s="21" t="s">
        <v>119</v>
      </c>
      <c r="F290" s="21" t="s">
        <v>24</v>
      </c>
      <c r="G290" s="21" t="s">
        <v>13</v>
      </c>
      <c r="H290" s="20" t="str">
        <f t="shared" si="13"/>
        <v>NI-IMAQ 19.5.0</v>
      </c>
      <c r="I290" s="20"/>
      <c r="J290" s="7"/>
    </row>
    <row r="291" spans="1:10" x14ac:dyDescent="0.25">
      <c r="A291" s="20" t="s">
        <v>540</v>
      </c>
      <c r="B291" s="20" t="s">
        <v>367</v>
      </c>
      <c r="C291" s="21" t="s">
        <v>156</v>
      </c>
      <c r="D291" s="21" t="s">
        <v>10</v>
      </c>
      <c r="E291" s="21" t="s">
        <v>130</v>
      </c>
      <c r="F291" s="21" t="s">
        <v>12</v>
      </c>
      <c r="G291" s="21" t="s">
        <v>13</v>
      </c>
      <c r="H291" s="20" t="str">
        <f t="shared" si="13"/>
        <v>NI-IMAQ Development Support 18.5.0</v>
      </c>
      <c r="I291" s="20"/>
      <c r="J291" s="7"/>
    </row>
    <row r="292" spans="1:10" x14ac:dyDescent="0.25">
      <c r="A292" s="20" t="s">
        <v>540</v>
      </c>
      <c r="B292" s="20" t="s">
        <v>368</v>
      </c>
      <c r="C292" s="21" t="s">
        <v>156</v>
      </c>
      <c r="D292" s="21" t="s">
        <v>10</v>
      </c>
      <c r="E292" s="21" t="s">
        <v>130</v>
      </c>
      <c r="F292" s="21" t="s">
        <v>12</v>
      </c>
      <c r="G292" s="21" t="s">
        <v>13</v>
      </c>
      <c r="H292" s="20" t="str">
        <f t="shared" si="13"/>
        <v>NI-IMAQ I/O 18.5.0</v>
      </c>
      <c r="I292" s="20"/>
      <c r="J292" s="7"/>
    </row>
    <row r="293" spans="1:10" x14ac:dyDescent="0.25">
      <c r="A293" s="20" t="s">
        <v>540</v>
      </c>
      <c r="B293" s="20" t="s">
        <v>368</v>
      </c>
      <c r="C293" s="21" t="s">
        <v>156</v>
      </c>
      <c r="D293" s="21" t="s">
        <v>10</v>
      </c>
      <c r="E293" s="21" t="s">
        <v>130</v>
      </c>
      <c r="F293" s="21" t="s">
        <v>24</v>
      </c>
      <c r="G293" s="21" t="s">
        <v>13</v>
      </c>
      <c r="H293" s="20" t="str">
        <f t="shared" si="13"/>
        <v>NI-IMAQ I/O 18.5.0</v>
      </c>
      <c r="I293" s="20"/>
      <c r="J293" s="7"/>
    </row>
    <row r="294" spans="1:10" x14ac:dyDescent="0.25">
      <c r="A294" s="20" t="s">
        <v>540</v>
      </c>
      <c r="B294" s="20" t="s">
        <v>369</v>
      </c>
      <c r="C294" s="21" t="s">
        <v>156</v>
      </c>
      <c r="D294" s="21" t="s">
        <v>10</v>
      </c>
      <c r="E294" s="21" t="s">
        <v>130</v>
      </c>
      <c r="F294" s="21" t="s">
        <v>12</v>
      </c>
      <c r="G294" s="21" t="s">
        <v>13</v>
      </c>
      <c r="H294" s="20" t="str">
        <f t="shared" si="13"/>
        <v>NI-IMAQ I/O Development Support 18.5.0</v>
      </c>
      <c r="I294" s="20"/>
      <c r="J294" s="7"/>
    </row>
    <row r="295" spans="1:10" x14ac:dyDescent="0.25">
      <c r="A295" s="20" t="s">
        <v>540</v>
      </c>
      <c r="B295" s="20" t="s">
        <v>382</v>
      </c>
      <c r="C295" s="21" t="s">
        <v>156</v>
      </c>
      <c r="D295" s="21" t="s">
        <v>10</v>
      </c>
      <c r="E295" s="21" t="s">
        <v>130</v>
      </c>
      <c r="F295" s="21" t="s">
        <v>12</v>
      </c>
      <c r="G295" s="21" t="s">
        <v>13</v>
      </c>
      <c r="H295" s="20" t="str">
        <f t="shared" si="13"/>
        <v>NI-IMAQdx 18.5.0</v>
      </c>
      <c r="I295" s="20"/>
      <c r="J295" s="7"/>
    </row>
    <row r="296" spans="1:10" x14ac:dyDescent="0.25">
      <c r="A296" s="20" t="s">
        <v>540</v>
      </c>
      <c r="B296" s="20" t="s">
        <v>382</v>
      </c>
      <c r="C296" s="21" t="s">
        <v>156</v>
      </c>
      <c r="D296" s="21" t="s">
        <v>10</v>
      </c>
      <c r="E296" s="21" t="s">
        <v>130</v>
      </c>
      <c r="F296" s="21" t="s">
        <v>24</v>
      </c>
      <c r="G296" s="21" t="s">
        <v>13</v>
      </c>
      <c r="H296" s="20" t="str">
        <f t="shared" si="13"/>
        <v>NI-IMAQdx 18.5.0</v>
      </c>
      <c r="I296" s="20"/>
      <c r="J296" s="7"/>
    </row>
    <row r="297" spans="1:10" x14ac:dyDescent="0.25">
      <c r="A297" s="20" t="s">
        <v>540</v>
      </c>
      <c r="B297" s="20" t="s">
        <v>383</v>
      </c>
      <c r="C297" s="21" t="s">
        <v>156</v>
      </c>
      <c r="D297" s="21" t="s">
        <v>10</v>
      </c>
      <c r="E297" s="21" t="s">
        <v>130</v>
      </c>
      <c r="F297" s="21" t="s">
        <v>12</v>
      </c>
      <c r="G297" s="21" t="s">
        <v>13</v>
      </c>
      <c r="H297" s="20" t="str">
        <f t="shared" si="13"/>
        <v>NI-IMAQdx Development Support 18.5.0</v>
      </c>
      <c r="I297" s="20"/>
      <c r="J297" s="7"/>
    </row>
    <row r="298" spans="1:10" x14ac:dyDescent="0.25">
      <c r="A298" s="20" t="s">
        <v>540</v>
      </c>
      <c r="B298" s="20" t="s">
        <v>143</v>
      </c>
      <c r="C298" s="21" t="s">
        <v>102</v>
      </c>
      <c r="D298" s="21" t="s">
        <v>10</v>
      </c>
      <c r="E298" s="21" t="s">
        <v>11</v>
      </c>
      <c r="F298" s="21" t="s">
        <v>12</v>
      </c>
      <c r="G298" s="21" t="s">
        <v>13</v>
      </c>
      <c r="H298" s="20" t="str">
        <f t="shared" si="13"/>
        <v>NI-Industrial Communications for EtherCAT 15.0</v>
      </c>
      <c r="I298" s="35" t="s">
        <v>415</v>
      </c>
      <c r="J298" s="7"/>
    </row>
    <row r="299" spans="1:10" hidden="1" x14ac:dyDescent="0.25">
      <c r="A299" s="20" t="s">
        <v>540</v>
      </c>
      <c r="B299" s="20" t="s">
        <v>143</v>
      </c>
      <c r="C299" s="21"/>
      <c r="D299" s="21" t="s">
        <v>10</v>
      </c>
      <c r="E299" s="21" t="s">
        <v>136</v>
      </c>
      <c r="F299" s="21" t="s">
        <v>171</v>
      </c>
      <c r="G299" s="21" t="s">
        <v>13</v>
      </c>
      <c r="H299" s="20" t="str">
        <f t="shared" si="13"/>
        <v xml:space="preserve">NI-Industrial Communications for EtherCAT </v>
      </c>
      <c r="I299" s="20"/>
      <c r="J299" s="7"/>
    </row>
    <row r="300" spans="1:10" x14ac:dyDescent="0.25">
      <c r="A300" s="20" t="s">
        <v>540</v>
      </c>
      <c r="B300" s="20" t="s">
        <v>143</v>
      </c>
      <c r="C300" s="21" t="s">
        <v>144</v>
      </c>
      <c r="D300" s="21" t="s">
        <v>10</v>
      </c>
      <c r="E300" s="21">
        <v>2015</v>
      </c>
      <c r="F300" s="21" t="s">
        <v>12</v>
      </c>
      <c r="G300" s="21" t="s">
        <v>13</v>
      </c>
      <c r="H300" s="20" t="str">
        <f t="shared" si="13"/>
        <v>NI-Industrial Communications for EtherCAT 15.0.0f3</v>
      </c>
      <c r="I300" s="35" t="s">
        <v>415</v>
      </c>
      <c r="J300" s="7"/>
    </row>
    <row r="301" spans="1:10" x14ac:dyDescent="0.25">
      <c r="A301" s="20" t="s">
        <v>540</v>
      </c>
      <c r="B301" s="20" t="s">
        <v>59</v>
      </c>
      <c r="C301" s="21" t="s">
        <v>135</v>
      </c>
      <c r="D301" s="21" t="s">
        <v>10</v>
      </c>
      <c r="E301" s="21" t="s">
        <v>119</v>
      </c>
      <c r="F301" s="21" t="s">
        <v>12</v>
      </c>
      <c r="G301" s="21" t="s">
        <v>13</v>
      </c>
      <c r="H301" s="20" t="str">
        <f t="shared" si="13"/>
        <v>NI-PAL Software 19.0.0</v>
      </c>
      <c r="I301" s="20"/>
      <c r="J301" s="7"/>
    </row>
    <row r="302" spans="1:10" hidden="1" x14ac:dyDescent="0.25">
      <c r="A302" s="20" t="s">
        <v>540</v>
      </c>
      <c r="B302" s="20" t="s">
        <v>54</v>
      </c>
      <c r="C302" s="21" t="s">
        <v>170</v>
      </c>
      <c r="D302" s="21" t="s">
        <v>10</v>
      </c>
      <c r="E302" s="21" t="s">
        <v>11</v>
      </c>
      <c r="F302" s="21" t="s">
        <v>171</v>
      </c>
      <c r="G302" s="21" t="s">
        <v>13</v>
      </c>
      <c r="H302" s="20" t="str">
        <f t="shared" si="13"/>
        <v>NI-RIO 15.5</v>
      </c>
      <c r="I302" s="20"/>
      <c r="J302" s="7"/>
    </row>
    <row r="303" spans="1:10" x14ac:dyDescent="0.25">
      <c r="A303" s="20" t="s">
        <v>540</v>
      </c>
      <c r="B303" s="20" t="s">
        <v>54</v>
      </c>
      <c r="C303" s="21" t="s">
        <v>156</v>
      </c>
      <c r="D303" s="21" t="s">
        <v>10</v>
      </c>
      <c r="E303" s="21" t="s">
        <v>130</v>
      </c>
      <c r="F303" s="21" t="s">
        <v>12</v>
      </c>
      <c r="G303" s="21" t="s">
        <v>13</v>
      </c>
      <c r="H303" s="20" t="str">
        <f t="shared" si="13"/>
        <v>NI-RIO 18.5.0</v>
      </c>
      <c r="I303" s="20"/>
      <c r="J303" s="7"/>
    </row>
    <row r="304" spans="1:10" x14ac:dyDescent="0.25">
      <c r="A304" s="20" t="s">
        <v>540</v>
      </c>
      <c r="B304" s="20" t="s">
        <v>54</v>
      </c>
      <c r="C304" s="21" t="s">
        <v>156</v>
      </c>
      <c r="D304" s="21" t="s">
        <v>10</v>
      </c>
      <c r="E304" s="21" t="s">
        <v>130</v>
      </c>
      <c r="F304" s="21" t="s">
        <v>12</v>
      </c>
      <c r="G304" s="21" t="s">
        <v>13</v>
      </c>
      <c r="H304" s="20" t="str">
        <f t="shared" si="13"/>
        <v>NI-RIO 18.5.0</v>
      </c>
      <c r="I304" s="20"/>
      <c r="J304" s="7"/>
    </row>
    <row r="305" spans="1:10" hidden="1" x14ac:dyDescent="0.25">
      <c r="A305" s="20" t="s">
        <v>540</v>
      </c>
      <c r="B305" s="20" t="s">
        <v>192</v>
      </c>
      <c r="C305" s="21" t="s">
        <v>170</v>
      </c>
      <c r="D305" s="21" t="s">
        <v>10</v>
      </c>
      <c r="E305" s="21" t="s">
        <v>11</v>
      </c>
      <c r="F305" s="21" t="s">
        <v>171</v>
      </c>
      <c r="G305" s="21" t="s">
        <v>13</v>
      </c>
      <c r="H305" s="20" t="str">
        <f t="shared" si="13"/>
        <v>NI-RIO IO Scan 15.5</v>
      </c>
      <c r="I305" s="20"/>
      <c r="J305" s="7"/>
    </row>
    <row r="306" spans="1:10" x14ac:dyDescent="0.25">
      <c r="A306" s="20" t="s">
        <v>540</v>
      </c>
      <c r="B306" s="20" t="s">
        <v>64</v>
      </c>
      <c r="C306" s="21" t="s">
        <v>146</v>
      </c>
      <c r="D306" s="21" t="s">
        <v>10</v>
      </c>
      <c r="E306" s="21" t="s">
        <v>130</v>
      </c>
      <c r="F306" s="21" t="s">
        <v>12</v>
      </c>
      <c r="G306" s="21" t="s">
        <v>13</v>
      </c>
      <c r="H306" s="20" t="str">
        <f t="shared" si="13"/>
        <v>NI-Serial Configuration 18.5.0f0</v>
      </c>
      <c r="I306" s="20"/>
      <c r="J306" s="7"/>
    </row>
    <row r="307" spans="1:10" x14ac:dyDescent="0.25">
      <c r="A307" s="20" t="s">
        <v>540</v>
      </c>
      <c r="B307" s="20" t="s">
        <v>129</v>
      </c>
      <c r="C307" s="21" t="s">
        <v>146</v>
      </c>
      <c r="D307" s="21" t="s">
        <v>10</v>
      </c>
      <c r="E307" s="21" t="s">
        <v>130</v>
      </c>
      <c r="F307" s="21" t="s">
        <v>24</v>
      </c>
      <c r="G307" s="21" t="s">
        <v>13</v>
      </c>
      <c r="H307" s="20" t="str">
        <f t="shared" si="13"/>
        <v>NI-Serial 18.5.0f0</v>
      </c>
      <c r="I307" s="20"/>
      <c r="J307" s="7"/>
    </row>
    <row r="308" spans="1:10" x14ac:dyDescent="0.25">
      <c r="A308" s="20" t="s">
        <v>540</v>
      </c>
      <c r="B308" s="20" t="s">
        <v>56</v>
      </c>
      <c r="C308" s="21" t="s">
        <v>147</v>
      </c>
      <c r="D308" s="21" t="s">
        <v>10</v>
      </c>
      <c r="E308" s="21" t="s">
        <v>11</v>
      </c>
      <c r="F308" s="21" t="s">
        <v>24</v>
      </c>
      <c r="G308" s="21" t="s">
        <v>13</v>
      </c>
      <c r="H308" s="20" t="str">
        <f t="shared" si="13"/>
        <v>NI-Sync 15.0.1f0</v>
      </c>
      <c r="I308" s="20"/>
      <c r="J308" s="7"/>
    </row>
    <row r="309" spans="1:10" x14ac:dyDescent="0.25">
      <c r="A309" s="20" t="s">
        <v>540</v>
      </c>
      <c r="B309" s="20" t="s">
        <v>56</v>
      </c>
      <c r="C309" s="21" t="s">
        <v>147</v>
      </c>
      <c r="D309" s="21" t="s">
        <v>10</v>
      </c>
      <c r="E309" s="21">
        <v>2015</v>
      </c>
      <c r="F309" s="21" t="s">
        <v>12</v>
      </c>
      <c r="G309" s="21" t="s">
        <v>13</v>
      </c>
      <c r="H309" s="20" t="str">
        <f t="shared" si="13"/>
        <v>NI-Sync 15.0.1f0</v>
      </c>
      <c r="I309" s="20"/>
      <c r="J309" s="7"/>
    </row>
    <row r="310" spans="1:10" x14ac:dyDescent="0.25">
      <c r="A310" s="20" t="s">
        <v>540</v>
      </c>
      <c r="B310" s="20" t="s">
        <v>57</v>
      </c>
      <c r="C310" s="21" t="s">
        <v>30</v>
      </c>
      <c r="D310" s="21" t="s">
        <v>10</v>
      </c>
      <c r="E310" s="21">
        <v>2015</v>
      </c>
      <c r="F310" s="21" t="s">
        <v>12</v>
      </c>
      <c r="G310" s="21" t="s">
        <v>13</v>
      </c>
      <c r="H310" s="20" t="str">
        <f t="shared" si="13"/>
        <v>NI-TimeSync 15.0.0f0</v>
      </c>
      <c r="I310" s="20"/>
      <c r="J310" s="7"/>
    </row>
    <row r="311" spans="1:10" x14ac:dyDescent="0.25">
      <c r="A311" s="20" t="s">
        <v>540</v>
      </c>
      <c r="B311" s="20" t="s">
        <v>46</v>
      </c>
      <c r="C311" s="21" t="s">
        <v>381</v>
      </c>
      <c r="D311" s="21" t="s">
        <v>10</v>
      </c>
      <c r="E311" s="21" t="s">
        <v>130</v>
      </c>
      <c r="F311" s="21" t="s">
        <v>12</v>
      </c>
      <c r="G311" s="21" t="s">
        <v>13</v>
      </c>
      <c r="H311" s="20" t="str">
        <f t="shared" ref="H311:H341" si="14">B311&amp;" "&amp;C311</f>
        <v>NI-USI 18.5.5.7372</v>
      </c>
      <c r="I311" s="20"/>
      <c r="J311" s="7"/>
    </row>
    <row r="312" spans="1:10" hidden="1" x14ac:dyDescent="0.25">
      <c r="A312" s="20" t="s">
        <v>540</v>
      </c>
      <c r="B312" s="20" t="s">
        <v>70</v>
      </c>
      <c r="C312" s="21" t="s">
        <v>97</v>
      </c>
      <c r="D312" s="21" t="s">
        <v>10</v>
      </c>
      <c r="E312" s="21" t="s">
        <v>11</v>
      </c>
      <c r="F312" s="21" t="s">
        <v>171</v>
      </c>
      <c r="G312" s="21" t="s">
        <v>13</v>
      </c>
      <c r="H312" s="20" t="str">
        <f t="shared" si="14"/>
        <v>NI-VISA 15.5.0</v>
      </c>
      <c r="I312" s="20"/>
      <c r="J312" s="7"/>
    </row>
    <row r="313" spans="1:10" x14ac:dyDescent="0.25">
      <c r="A313" s="20" t="s">
        <v>540</v>
      </c>
      <c r="B313" s="20" t="s">
        <v>70</v>
      </c>
      <c r="C313" s="21">
        <v>19.5</v>
      </c>
      <c r="D313" s="21" t="s">
        <v>10</v>
      </c>
      <c r="E313" s="21" t="s">
        <v>119</v>
      </c>
      <c r="F313" s="21" t="s">
        <v>12</v>
      </c>
      <c r="G313" s="21" t="s">
        <v>13</v>
      </c>
      <c r="H313" s="20" t="str">
        <f t="shared" si="14"/>
        <v>NI-VISA 19.5</v>
      </c>
      <c r="I313" s="20"/>
      <c r="J313" s="7"/>
    </row>
    <row r="314" spans="1:10" x14ac:dyDescent="0.25">
      <c r="A314" s="20" t="s">
        <v>540</v>
      </c>
      <c r="B314" s="20" t="s">
        <v>70</v>
      </c>
      <c r="C314" s="21">
        <v>19.5</v>
      </c>
      <c r="D314" s="21" t="s">
        <v>10</v>
      </c>
      <c r="E314" s="21" t="s">
        <v>119</v>
      </c>
      <c r="F314" s="21" t="s">
        <v>24</v>
      </c>
      <c r="G314" s="21" t="s">
        <v>13</v>
      </c>
      <c r="H314" s="20" t="str">
        <f t="shared" si="14"/>
        <v>NI-VISA 19.5</v>
      </c>
      <c r="I314" s="20"/>
      <c r="J314" s="7"/>
    </row>
    <row r="315" spans="1:10" x14ac:dyDescent="0.25">
      <c r="A315" s="20" t="s">
        <v>540</v>
      </c>
      <c r="B315" s="20" t="s">
        <v>73</v>
      </c>
      <c r="C315" s="21" t="s">
        <v>385</v>
      </c>
      <c r="D315" s="21" t="s">
        <v>10</v>
      </c>
      <c r="E315" s="21" t="s">
        <v>130</v>
      </c>
      <c r="F315" s="21" t="s">
        <v>12</v>
      </c>
      <c r="G315" s="21" t="s">
        <v>13</v>
      </c>
      <c r="H315" s="20" t="str">
        <f t="shared" si="14"/>
        <v>NIvisaic.exe 18.5.0.49152</v>
      </c>
      <c r="I315" s="30" t="s">
        <v>42</v>
      </c>
      <c r="J315" s="7"/>
    </row>
    <row r="316" spans="1:10" x14ac:dyDescent="0.25">
      <c r="A316" s="20" t="s">
        <v>540</v>
      </c>
      <c r="B316" s="20" t="s">
        <v>71</v>
      </c>
      <c r="C316" s="21" t="s">
        <v>72</v>
      </c>
      <c r="D316" s="21" t="s">
        <v>10</v>
      </c>
      <c r="E316" s="21">
        <v>2015</v>
      </c>
      <c r="F316" s="21" t="s">
        <v>12</v>
      </c>
      <c r="G316" s="21" t="s">
        <v>13</v>
      </c>
      <c r="H316" s="20" t="str">
        <f t="shared" si="14"/>
        <v>NiVisaServer.exe 15.0.0.49152</v>
      </c>
      <c r="I316" s="30" t="s">
        <v>42</v>
      </c>
      <c r="J316" s="7"/>
    </row>
    <row r="317" spans="1:10" hidden="1" x14ac:dyDescent="0.25">
      <c r="A317" s="20" t="s">
        <v>540</v>
      </c>
      <c r="B317" s="20" t="s">
        <v>194</v>
      </c>
      <c r="C317" s="21" t="s">
        <v>9</v>
      </c>
      <c r="D317" s="21" t="s">
        <v>10</v>
      </c>
      <c r="E317" s="21" t="s">
        <v>11</v>
      </c>
      <c r="F317" s="21" t="s">
        <v>171</v>
      </c>
      <c r="G317" s="21" t="s">
        <v>13</v>
      </c>
      <c r="H317" s="20" t="str">
        <f t="shared" si="14"/>
        <v>NI-Watchdog 15.0.0</v>
      </c>
      <c r="I317" s="20"/>
      <c r="J317" s="7"/>
    </row>
    <row r="318" spans="1:10" x14ac:dyDescent="0.25">
      <c r="A318" s="20" t="s">
        <v>540</v>
      </c>
      <c r="B318" s="20" t="s">
        <v>396</v>
      </c>
      <c r="C318" s="21" t="s">
        <v>146</v>
      </c>
      <c r="D318" s="21" t="s">
        <v>10</v>
      </c>
      <c r="E318" s="21" t="s">
        <v>130</v>
      </c>
      <c r="F318" s="21" t="s">
        <v>12</v>
      </c>
      <c r="G318" s="21" t="s">
        <v>13</v>
      </c>
      <c r="H318" s="20" t="str">
        <f t="shared" si="14"/>
        <v>NI-XNET 18.5.0f0</v>
      </c>
      <c r="I318" s="20"/>
      <c r="J318" s="7"/>
    </row>
    <row r="319" spans="1:10" x14ac:dyDescent="0.25">
      <c r="A319" s="20" t="s">
        <v>540</v>
      </c>
      <c r="B319" s="20" t="s">
        <v>396</v>
      </c>
      <c r="C319" s="21" t="s">
        <v>388</v>
      </c>
      <c r="D319" s="21" t="s">
        <v>10</v>
      </c>
      <c r="E319" s="21" t="s">
        <v>130</v>
      </c>
      <c r="F319" s="21" t="s">
        <v>24</v>
      </c>
      <c r="G319" s="21" t="s">
        <v>13</v>
      </c>
      <c r="H319" s="20" t="str">
        <f t="shared" si="14"/>
        <v>NI-XNET 18.5.0f1</v>
      </c>
      <c r="I319" s="20"/>
      <c r="J319" s="7"/>
    </row>
    <row r="320" spans="1:10" x14ac:dyDescent="0.25">
      <c r="A320" s="20" t="s">
        <v>540</v>
      </c>
      <c r="B320" s="20" t="s">
        <v>313</v>
      </c>
      <c r="C320" s="21" t="s">
        <v>314</v>
      </c>
      <c r="D320" s="21" t="s">
        <v>10</v>
      </c>
      <c r="E320" s="21" t="s">
        <v>136</v>
      </c>
      <c r="F320" s="21" t="s">
        <v>12</v>
      </c>
      <c r="G320" s="21" t="s">
        <v>315</v>
      </c>
      <c r="H320" s="20" t="str">
        <f t="shared" si="14"/>
        <v>OpenG Application Control Library 4.1.0.7</v>
      </c>
      <c r="I320" s="77" t="s">
        <v>202</v>
      </c>
      <c r="J320" s="7"/>
    </row>
    <row r="321" spans="1:10" x14ac:dyDescent="0.25">
      <c r="A321" s="20" t="s">
        <v>540</v>
      </c>
      <c r="B321" s="20" t="s">
        <v>316</v>
      </c>
      <c r="C321" s="21" t="s">
        <v>317</v>
      </c>
      <c r="D321" s="21" t="s">
        <v>10</v>
      </c>
      <c r="E321" s="21" t="s">
        <v>136</v>
      </c>
      <c r="F321" s="21" t="s">
        <v>12</v>
      </c>
      <c r="G321" s="21" t="s">
        <v>315</v>
      </c>
      <c r="H321" s="20" t="str">
        <f t="shared" si="14"/>
        <v>OpenG Array Library 4.1.1.14</v>
      </c>
      <c r="I321" s="77" t="s">
        <v>202</v>
      </c>
      <c r="J321" s="7"/>
    </row>
    <row r="322" spans="1:10" x14ac:dyDescent="0.25">
      <c r="A322" s="20" t="s">
        <v>540</v>
      </c>
      <c r="B322" s="20" t="s">
        <v>318</v>
      </c>
      <c r="C322" s="21" t="s">
        <v>319</v>
      </c>
      <c r="D322" s="21" t="s">
        <v>10</v>
      </c>
      <c r="E322" s="21" t="s">
        <v>136</v>
      </c>
      <c r="F322" s="21" t="s">
        <v>12</v>
      </c>
      <c r="G322" s="21" t="s">
        <v>315</v>
      </c>
      <c r="H322" s="20" t="str">
        <f t="shared" si="14"/>
        <v>OpenG Boolean Library 4.0.0.7</v>
      </c>
      <c r="I322" s="77" t="s">
        <v>202</v>
      </c>
      <c r="J322" s="7"/>
    </row>
    <row r="323" spans="1:10" x14ac:dyDescent="0.25">
      <c r="A323" s="20" t="s">
        <v>540</v>
      </c>
      <c r="B323" s="20" t="s">
        <v>320</v>
      </c>
      <c r="C323" s="21" t="s">
        <v>321</v>
      </c>
      <c r="D323" s="21" t="s">
        <v>10</v>
      </c>
      <c r="E323" s="21" t="s">
        <v>136</v>
      </c>
      <c r="F323" s="21" t="s">
        <v>12</v>
      </c>
      <c r="G323" s="21" t="s">
        <v>315</v>
      </c>
      <c r="H323" s="20" t="str">
        <f t="shared" si="14"/>
        <v>OpenG Builder 3.0.1-2</v>
      </c>
      <c r="I323" s="77" t="s">
        <v>202</v>
      </c>
      <c r="J323" s="7"/>
    </row>
    <row r="324" spans="1:10" x14ac:dyDescent="0.25">
      <c r="A324" s="20" t="s">
        <v>540</v>
      </c>
      <c r="B324" s="20" t="s">
        <v>322</v>
      </c>
      <c r="C324" s="21" t="s">
        <v>319</v>
      </c>
      <c r="D324" s="21" t="s">
        <v>10</v>
      </c>
      <c r="E324" s="21" t="s">
        <v>136</v>
      </c>
      <c r="F324" s="21" t="s">
        <v>12</v>
      </c>
      <c r="G324" s="21" t="s">
        <v>315</v>
      </c>
      <c r="H324" s="20" t="str">
        <f t="shared" si="14"/>
        <v>OpenG Buttons Library 4.0.0.7</v>
      </c>
      <c r="I324" s="77" t="s">
        <v>202</v>
      </c>
      <c r="J324" s="7"/>
    </row>
    <row r="325" spans="1:10" x14ac:dyDescent="0.25">
      <c r="A325" s="20" t="s">
        <v>540</v>
      </c>
      <c r="B325" s="20" t="s">
        <v>323</v>
      </c>
      <c r="C325" s="21" t="s">
        <v>324</v>
      </c>
      <c r="D325" s="21" t="s">
        <v>10</v>
      </c>
      <c r="E325" s="21" t="s">
        <v>136</v>
      </c>
      <c r="F325" s="21" t="s">
        <v>12</v>
      </c>
      <c r="G325" s="21" t="s">
        <v>315</v>
      </c>
      <c r="H325" s="20" t="str">
        <f t="shared" si="14"/>
        <v>OpenG Compare VI To Disk Tool 4.0.0.9</v>
      </c>
      <c r="I325" s="77" t="s">
        <v>202</v>
      </c>
      <c r="J325" s="7"/>
    </row>
    <row r="326" spans="1:10" x14ac:dyDescent="0.25">
      <c r="A326" s="20" t="s">
        <v>540</v>
      </c>
      <c r="B326" s="20" t="s">
        <v>325</v>
      </c>
      <c r="C326" s="21" t="s">
        <v>326</v>
      </c>
      <c r="D326" s="21" t="s">
        <v>10</v>
      </c>
      <c r="E326" s="21" t="s">
        <v>136</v>
      </c>
      <c r="F326" s="21" t="s">
        <v>12</v>
      </c>
      <c r="G326" s="21" t="s">
        <v>315</v>
      </c>
      <c r="H326" s="20" t="str">
        <f t="shared" si="14"/>
        <v>OpenG Comparison Library 4.0.0.3</v>
      </c>
      <c r="I326" s="77" t="s">
        <v>202</v>
      </c>
      <c r="J326" s="7"/>
    </row>
    <row r="327" spans="1:10" x14ac:dyDescent="0.25">
      <c r="A327" s="20" t="s">
        <v>540</v>
      </c>
      <c r="B327" s="20" t="s">
        <v>327</v>
      </c>
      <c r="C327" s="21" t="s">
        <v>328</v>
      </c>
      <c r="D327" s="21" t="s">
        <v>10</v>
      </c>
      <c r="E327" s="21" t="s">
        <v>136</v>
      </c>
      <c r="F327" s="21" t="s">
        <v>12</v>
      </c>
      <c r="G327" s="21" t="s">
        <v>315</v>
      </c>
      <c r="H327" s="20" t="str">
        <f t="shared" si="14"/>
        <v>OpenG Dictionary Library 4.0.0.4</v>
      </c>
      <c r="I327" s="77" t="s">
        <v>202</v>
      </c>
      <c r="J327" s="7"/>
    </row>
    <row r="328" spans="1:10" x14ac:dyDescent="0.25">
      <c r="A328" s="20" t="s">
        <v>540</v>
      </c>
      <c r="B328" s="20" t="s">
        <v>329</v>
      </c>
      <c r="C328" s="21" t="s">
        <v>330</v>
      </c>
      <c r="D328" s="21" t="s">
        <v>10</v>
      </c>
      <c r="E328" s="21" t="s">
        <v>136</v>
      </c>
      <c r="F328" s="21" t="s">
        <v>12</v>
      </c>
      <c r="G328" s="21" t="s">
        <v>315</v>
      </c>
      <c r="H328" s="20" t="str">
        <f t="shared" si="14"/>
        <v>OpenG Error Library 4.2.0.23</v>
      </c>
      <c r="I328" s="77" t="s">
        <v>202</v>
      </c>
      <c r="J328" s="7"/>
    </row>
    <row r="329" spans="1:10" x14ac:dyDescent="0.25">
      <c r="A329" s="20" t="s">
        <v>540</v>
      </c>
      <c r="B329" s="20" t="s">
        <v>331</v>
      </c>
      <c r="C329" s="21" t="s">
        <v>332</v>
      </c>
      <c r="D329" s="21" t="s">
        <v>10</v>
      </c>
      <c r="E329" s="21" t="s">
        <v>136</v>
      </c>
      <c r="F329" s="21" t="s">
        <v>12</v>
      </c>
      <c r="G329" s="21" t="s">
        <v>315</v>
      </c>
      <c r="H329" s="20" t="str">
        <f t="shared" si="14"/>
        <v>OpenG File Library 4.0.1.22</v>
      </c>
      <c r="I329" s="77" t="s">
        <v>202</v>
      </c>
      <c r="J329" s="7"/>
    </row>
    <row r="330" spans="1:10" x14ac:dyDescent="0.25">
      <c r="A330" s="20" t="s">
        <v>540</v>
      </c>
      <c r="B330" s="20" t="s">
        <v>333</v>
      </c>
      <c r="C330" s="21" t="s">
        <v>328</v>
      </c>
      <c r="D330" s="21" t="s">
        <v>10</v>
      </c>
      <c r="E330" s="21" t="s">
        <v>136</v>
      </c>
      <c r="F330" s="21" t="s">
        <v>12</v>
      </c>
      <c r="G330" s="21" t="s">
        <v>334</v>
      </c>
      <c r="H330" s="20" t="str">
        <f t="shared" si="14"/>
        <v>OpenG LabPython Library 4.0.0.4</v>
      </c>
      <c r="I330" s="77" t="s">
        <v>202</v>
      </c>
      <c r="J330" s="7"/>
    </row>
    <row r="331" spans="1:10" x14ac:dyDescent="0.25">
      <c r="A331" s="20" t="s">
        <v>540</v>
      </c>
      <c r="B331" s="20" t="s">
        <v>335</v>
      </c>
      <c r="C331" s="21" t="s">
        <v>336</v>
      </c>
      <c r="D331" s="21" t="s">
        <v>10</v>
      </c>
      <c r="E331" s="21" t="s">
        <v>136</v>
      </c>
      <c r="F331" s="21" t="s">
        <v>12</v>
      </c>
      <c r="G331" s="21" t="s">
        <v>539</v>
      </c>
      <c r="H331" s="20" t="str">
        <f t="shared" si="14"/>
        <v>OpenG LabVIEW Data Library 4.2.0.21</v>
      </c>
      <c r="I331" s="77" t="s">
        <v>202</v>
      </c>
      <c r="J331" s="7"/>
    </row>
    <row r="332" spans="1:10" x14ac:dyDescent="0.25">
      <c r="A332" s="20" t="s">
        <v>540</v>
      </c>
      <c r="B332" s="20" t="s">
        <v>337</v>
      </c>
      <c r="C332" s="21" t="s">
        <v>338</v>
      </c>
      <c r="D332" s="21" t="s">
        <v>10</v>
      </c>
      <c r="E332" s="21" t="s">
        <v>136</v>
      </c>
      <c r="F332" s="21" t="s">
        <v>12</v>
      </c>
      <c r="G332" s="21" t="s">
        <v>315</v>
      </c>
      <c r="H332" s="20" t="str">
        <f t="shared" si="14"/>
        <v>OpenG LabVIEW ZIP Library 4.0.0-2</v>
      </c>
      <c r="I332" s="77" t="s">
        <v>202</v>
      </c>
      <c r="J332" s="7"/>
    </row>
    <row r="333" spans="1:10" x14ac:dyDescent="0.25">
      <c r="A333" s="20" t="s">
        <v>540</v>
      </c>
      <c r="B333" s="20" t="s">
        <v>339</v>
      </c>
      <c r="C333" s="21" t="s">
        <v>326</v>
      </c>
      <c r="D333" s="21" t="s">
        <v>10</v>
      </c>
      <c r="E333" s="21" t="s">
        <v>136</v>
      </c>
      <c r="F333" s="21" t="s">
        <v>12</v>
      </c>
      <c r="G333" s="21" t="s">
        <v>315</v>
      </c>
      <c r="H333" s="20" t="str">
        <f t="shared" si="14"/>
        <v>OpenG Large File Library 4.0.0.3</v>
      </c>
      <c r="I333" s="77" t="s">
        <v>202</v>
      </c>
      <c r="J333" s="7"/>
    </row>
    <row r="334" spans="1:10" x14ac:dyDescent="0.25">
      <c r="A334" s="20" t="s">
        <v>540</v>
      </c>
      <c r="B334" s="20" t="s">
        <v>340</v>
      </c>
      <c r="C334" s="21" t="s">
        <v>319</v>
      </c>
      <c r="D334" s="21" t="s">
        <v>10</v>
      </c>
      <c r="E334" s="21" t="s">
        <v>136</v>
      </c>
      <c r="F334" s="21" t="s">
        <v>12</v>
      </c>
      <c r="G334" s="21" t="s">
        <v>315</v>
      </c>
      <c r="H334" s="20" t="str">
        <f t="shared" si="14"/>
        <v>OpenG Locate File In Project Tool 4.0.0.7</v>
      </c>
      <c r="I334" s="77" t="s">
        <v>202</v>
      </c>
      <c r="J334" s="7"/>
    </row>
    <row r="335" spans="1:10" x14ac:dyDescent="0.25">
      <c r="A335" s="20" t="s">
        <v>540</v>
      </c>
      <c r="B335" s="20" t="s">
        <v>341</v>
      </c>
      <c r="C335" s="21" t="s">
        <v>342</v>
      </c>
      <c r="D335" s="21" t="s">
        <v>10</v>
      </c>
      <c r="E335" s="21" t="s">
        <v>136</v>
      </c>
      <c r="F335" s="21" t="s">
        <v>12</v>
      </c>
      <c r="G335" s="21" t="s">
        <v>315</v>
      </c>
      <c r="H335" s="20" t="str">
        <f t="shared" si="14"/>
        <v>OpenG MD5 Digest Library 4.1.1.10</v>
      </c>
      <c r="I335" s="77" t="s">
        <v>202</v>
      </c>
      <c r="J335" s="7"/>
    </row>
    <row r="336" spans="1:10" x14ac:dyDescent="0.25">
      <c r="A336" s="20" t="s">
        <v>540</v>
      </c>
      <c r="B336" s="20" t="s">
        <v>343</v>
      </c>
      <c r="C336" s="21" t="s">
        <v>344</v>
      </c>
      <c r="D336" s="21" t="s">
        <v>10</v>
      </c>
      <c r="E336" s="21" t="s">
        <v>136</v>
      </c>
      <c r="F336" s="21" t="s">
        <v>12</v>
      </c>
      <c r="G336" s="21" t="s">
        <v>315</v>
      </c>
      <c r="H336" s="20" t="str">
        <f t="shared" si="14"/>
        <v>OpenG Message Queue Library 4.0.0.15</v>
      </c>
      <c r="I336" s="77" t="s">
        <v>202</v>
      </c>
      <c r="J336" s="7"/>
    </row>
    <row r="337" spans="1:10" x14ac:dyDescent="0.25">
      <c r="A337" s="20" t="s">
        <v>540</v>
      </c>
      <c r="B337" s="20" t="s">
        <v>345</v>
      </c>
      <c r="C337" s="21" t="s">
        <v>346</v>
      </c>
      <c r="D337" s="21" t="s">
        <v>10</v>
      </c>
      <c r="E337" s="21" t="s">
        <v>136</v>
      </c>
      <c r="F337" s="21" t="s">
        <v>12</v>
      </c>
      <c r="G337" s="21" t="s">
        <v>315</v>
      </c>
      <c r="H337" s="20" t="str">
        <f t="shared" si="14"/>
        <v>OpenG Numeric Library 4.1.0.8</v>
      </c>
      <c r="I337" s="77" t="s">
        <v>202</v>
      </c>
      <c r="J337" s="7"/>
    </row>
    <row r="338" spans="1:10" x14ac:dyDescent="0.25">
      <c r="A338" s="20" t="s">
        <v>540</v>
      </c>
      <c r="B338" s="20" t="s">
        <v>347</v>
      </c>
      <c r="C338" s="21" t="s">
        <v>348</v>
      </c>
      <c r="D338" s="21" t="s">
        <v>10</v>
      </c>
      <c r="E338" s="21" t="s">
        <v>136</v>
      </c>
      <c r="F338" s="21" t="s">
        <v>12</v>
      </c>
      <c r="G338" s="21" t="s">
        <v>315</v>
      </c>
      <c r="H338" s="20" t="str">
        <f t="shared" si="14"/>
        <v>OpenG Picture Library 4.0.0.13</v>
      </c>
      <c r="I338" s="77" t="s">
        <v>202</v>
      </c>
      <c r="J338" s="7"/>
    </row>
    <row r="339" spans="1:10" x14ac:dyDescent="0.25">
      <c r="A339" s="20" t="s">
        <v>540</v>
      </c>
      <c r="B339" s="20" t="s">
        <v>349</v>
      </c>
      <c r="C339" s="21" t="s">
        <v>338</v>
      </c>
      <c r="D339" s="21" t="s">
        <v>10</v>
      </c>
      <c r="E339" s="21" t="s">
        <v>136</v>
      </c>
      <c r="F339" s="21" t="s">
        <v>12</v>
      </c>
      <c r="G339" s="21" t="s">
        <v>315</v>
      </c>
      <c r="H339" s="20" t="str">
        <f t="shared" si="14"/>
        <v>OpenG Port IO 4.0.0-2</v>
      </c>
      <c r="I339" s="77" t="s">
        <v>202</v>
      </c>
      <c r="J339" s="7"/>
    </row>
    <row r="340" spans="1:10" x14ac:dyDescent="0.25">
      <c r="A340" s="20" t="s">
        <v>540</v>
      </c>
      <c r="B340" s="20" t="s">
        <v>350</v>
      </c>
      <c r="C340" s="21" t="s">
        <v>344</v>
      </c>
      <c r="D340" s="21" t="s">
        <v>10</v>
      </c>
      <c r="E340" s="21" t="s">
        <v>136</v>
      </c>
      <c r="F340" s="21" t="s">
        <v>12</v>
      </c>
      <c r="G340" s="21" t="s">
        <v>315</v>
      </c>
      <c r="H340" s="20" t="str">
        <f t="shared" si="14"/>
        <v>OpenG Rename Folder of VIs Tool 4.0.0.15</v>
      </c>
      <c r="I340" s="77" t="s">
        <v>202</v>
      </c>
      <c r="J340" s="7"/>
    </row>
    <row r="341" spans="1:10" x14ac:dyDescent="0.25">
      <c r="A341" s="20" t="s">
        <v>540</v>
      </c>
      <c r="B341" s="20" t="s">
        <v>351</v>
      </c>
      <c r="C341" s="21" t="s">
        <v>352</v>
      </c>
      <c r="D341" s="21" t="s">
        <v>10</v>
      </c>
      <c r="E341" s="21" t="s">
        <v>136</v>
      </c>
      <c r="F341" s="21" t="s">
        <v>12</v>
      </c>
      <c r="G341" s="21" t="s">
        <v>315</v>
      </c>
      <c r="H341" s="20" t="str">
        <f t="shared" si="14"/>
        <v>OpenG String Library 4.1.0.12</v>
      </c>
      <c r="I341" s="77" t="s">
        <v>202</v>
      </c>
      <c r="J341" s="7"/>
    </row>
    <row r="342" spans="1:10" x14ac:dyDescent="0.25">
      <c r="A342" s="20" t="s">
        <v>540</v>
      </c>
      <c r="B342" s="20" t="s">
        <v>353</v>
      </c>
      <c r="C342" s="21" t="s">
        <v>354</v>
      </c>
      <c r="D342" s="21" t="s">
        <v>10</v>
      </c>
      <c r="E342" s="21" t="s">
        <v>136</v>
      </c>
      <c r="F342" s="21" t="s">
        <v>12</v>
      </c>
      <c r="G342" s="21" t="s">
        <v>315</v>
      </c>
      <c r="H342" s="20" t="str">
        <f t="shared" ref="H342:H368" si="15">B342&amp;" "&amp;C342</f>
        <v>OpenG Time Library 4.0.1.3</v>
      </c>
      <c r="I342" s="77" t="s">
        <v>202</v>
      </c>
      <c r="J342" s="7"/>
    </row>
    <row r="343" spans="1:10" x14ac:dyDescent="0.25">
      <c r="A343" s="20" t="s">
        <v>540</v>
      </c>
      <c r="B343" s="20" t="s">
        <v>355</v>
      </c>
      <c r="C343" s="21" t="s">
        <v>356</v>
      </c>
      <c r="D343" s="21" t="s">
        <v>10</v>
      </c>
      <c r="E343" s="21" t="s">
        <v>136</v>
      </c>
      <c r="F343" s="21" t="s">
        <v>12</v>
      </c>
      <c r="G343" s="21" t="s">
        <v>315</v>
      </c>
      <c r="H343" s="20" t="str">
        <f t="shared" si="15"/>
        <v>OpenG Toolkit 4.0.1.9</v>
      </c>
      <c r="I343" s="77" t="s">
        <v>202</v>
      </c>
      <c r="J343" s="7"/>
    </row>
    <row r="344" spans="1:10" x14ac:dyDescent="0.25">
      <c r="A344" s="20" t="s">
        <v>540</v>
      </c>
      <c r="B344" s="20" t="s">
        <v>357</v>
      </c>
      <c r="C344" s="21" t="s">
        <v>358</v>
      </c>
      <c r="D344" s="21" t="s">
        <v>10</v>
      </c>
      <c r="E344" s="21" t="s">
        <v>136</v>
      </c>
      <c r="F344" s="21" t="s">
        <v>12</v>
      </c>
      <c r="G344" s="21" t="s">
        <v>315</v>
      </c>
      <c r="H344" s="20" t="str">
        <f t="shared" si="15"/>
        <v>OpenG Variant Configuration File Library 4.0.0.5</v>
      </c>
      <c r="I344" s="77" t="s">
        <v>202</v>
      </c>
      <c r="J344" s="7"/>
    </row>
    <row r="345" spans="1:10" x14ac:dyDescent="0.25">
      <c r="A345" s="20" t="s">
        <v>540</v>
      </c>
      <c r="B345" s="20" t="s">
        <v>167</v>
      </c>
      <c r="C345" s="21" t="s">
        <v>168</v>
      </c>
      <c r="D345" s="21" t="s">
        <v>10</v>
      </c>
      <c r="E345" s="21" t="s">
        <v>136</v>
      </c>
      <c r="F345" s="21" t="s">
        <v>12</v>
      </c>
      <c r="G345" s="21" t="s">
        <v>167</v>
      </c>
      <c r="H345" s="20" t="str">
        <f t="shared" si="15"/>
        <v>OpenGDS 1.1.17</v>
      </c>
      <c r="I345" s="77" t="s">
        <v>202</v>
      </c>
      <c r="J345" s="7"/>
    </row>
    <row r="346" spans="1:10" x14ac:dyDescent="0.25">
      <c r="A346" s="20" t="s">
        <v>540</v>
      </c>
      <c r="B346" s="20" t="s">
        <v>35</v>
      </c>
      <c r="C346" s="21" t="s">
        <v>92</v>
      </c>
      <c r="D346" s="21" t="s">
        <v>10</v>
      </c>
      <c r="E346" s="21" t="s">
        <v>11</v>
      </c>
      <c r="F346" s="21" t="s">
        <v>12</v>
      </c>
      <c r="G346" s="21" t="s">
        <v>13</v>
      </c>
      <c r="H346" s="20" t="str">
        <f t="shared" si="15"/>
        <v>Real-Time 15.0.1</v>
      </c>
      <c r="I346" s="34" t="s">
        <v>464</v>
      </c>
      <c r="J346" s="7"/>
    </row>
    <row r="347" spans="1:10" x14ac:dyDescent="0.25">
      <c r="A347" s="20" t="s">
        <v>540</v>
      </c>
      <c r="B347" s="20" t="s">
        <v>35</v>
      </c>
      <c r="C347" s="21" t="s">
        <v>92</v>
      </c>
      <c r="D347" s="21" t="s">
        <v>10</v>
      </c>
      <c r="E347" s="21">
        <v>2015</v>
      </c>
      <c r="F347" s="21" t="s">
        <v>12</v>
      </c>
      <c r="G347" s="21" t="s">
        <v>13</v>
      </c>
      <c r="H347" s="20" t="str">
        <f t="shared" si="15"/>
        <v>Real-Time 15.0.1</v>
      </c>
      <c r="I347" s="34" t="s">
        <v>464</v>
      </c>
      <c r="J347" s="7"/>
    </row>
    <row r="348" spans="1:10" x14ac:dyDescent="0.25">
      <c r="A348" s="20" t="s">
        <v>540</v>
      </c>
      <c r="B348" s="20" t="s">
        <v>36</v>
      </c>
      <c r="C348" s="21" t="s">
        <v>92</v>
      </c>
      <c r="D348" s="21" t="s">
        <v>10</v>
      </c>
      <c r="E348" s="21">
        <v>2015</v>
      </c>
      <c r="F348" s="21" t="s">
        <v>12</v>
      </c>
      <c r="G348" s="21" t="s">
        <v>13</v>
      </c>
      <c r="H348" s="20" t="str">
        <f t="shared" si="15"/>
        <v>Real-Time Trace Viewer - LabVIEW 2015 Support 15.0.1</v>
      </c>
      <c r="I348" s="20"/>
      <c r="J348" s="7"/>
    </row>
    <row r="349" spans="1:10" x14ac:dyDescent="0.25">
      <c r="A349" s="20" t="s">
        <v>540</v>
      </c>
      <c r="B349" s="20" t="s">
        <v>37</v>
      </c>
      <c r="C349" s="21" t="s">
        <v>9</v>
      </c>
      <c r="D349" s="21" t="s">
        <v>10</v>
      </c>
      <c r="E349" s="21">
        <v>2015</v>
      </c>
      <c r="F349" s="21" t="s">
        <v>12</v>
      </c>
      <c r="G349" s="21" t="s">
        <v>13</v>
      </c>
      <c r="H349" s="20" t="str">
        <f t="shared" si="15"/>
        <v>Report Generation Toolkit For Microsoft Office 15.0.0</v>
      </c>
      <c r="I349" s="30" t="s">
        <v>42</v>
      </c>
      <c r="J349" s="7"/>
    </row>
    <row r="350" spans="1:10" hidden="1" x14ac:dyDescent="0.25">
      <c r="A350" s="20" t="s">
        <v>540</v>
      </c>
      <c r="B350" s="20" t="s">
        <v>175</v>
      </c>
      <c r="C350" s="21" t="s">
        <v>9</v>
      </c>
      <c r="D350" s="21" t="s">
        <v>10</v>
      </c>
      <c r="E350" s="21" t="s">
        <v>11</v>
      </c>
      <c r="F350" s="21" t="s">
        <v>171</v>
      </c>
      <c r="G350" s="21" t="s">
        <v>13</v>
      </c>
      <c r="H350" s="20" t="str">
        <f t="shared" si="15"/>
        <v>Run-Time Enginer for Web Services 15.0.0</v>
      </c>
      <c r="I350" s="20"/>
      <c r="J350" s="7"/>
    </row>
    <row r="351" spans="1:10" hidden="1" x14ac:dyDescent="0.25">
      <c r="A351" s="20" t="s">
        <v>540</v>
      </c>
      <c r="B351" s="20" t="s">
        <v>189</v>
      </c>
      <c r="C351" s="21" t="s">
        <v>9</v>
      </c>
      <c r="D351" s="21" t="s">
        <v>10</v>
      </c>
      <c r="E351" s="21" t="s">
        <v>11</v>
      </c>
      <c r="F351" s="21" t="s">
        <v>171</v>
      </c>
      <c r="G351" s="21" t="s">
        <v>13</v>
      </c>
      <c r="H351" s="20" t="str">
        <f t="shared" si="15"/>
        <v>Software Management Web Support 15.0.0</v>
      </c>
      <c r="I351" s="20"/>
      <c r="J351" s="7"/>
    </row>
    <row r="352" spans="1:10" hidden="1" x14ac:dyDescent="0.25">
      <c r="A352" s="20" t="s">
        <v>540</v>
      </c>
      <c r="B352" s="20" t="s">
        <v>176</v>
      </c>
      <c r="C352" s="21" t="s">
        <v>9</v>
      </c>
      <c r="D352" s="21" t="s">
        <v>10</v>
      </c>
      <c r="E352" s="21" t="s">
        <v>11</v>
      </c>
      <c r="F352" s="21" t="s">
        <v>171</v>
      </c>
      <c r="G352" s="21" t="s">
        <v>13</v>
      </c>
      <c r="H352" s="20" t="str">
        <f t="shared" si="15"/>
        <v>SSL Support for LabVIEW 15.0.0</v>
      </c>
      <c r="I352" s="20"/>
      <c r="J352" s="7"/>
    </row>
    <row r="353" spans="1:10" x14ac:dyDescent="0.25">
      <c r="A353" s="20" t="s">
        <v>540</v>
      </c>
      <c r="B353" s="20" t="s">
        <v>359</v>
      </c>
      <c r="C353" s="21" t="s">
        <v>360</v>
      </c>
      <c r="D353" s="21" t="s">
        <v>10</v>
      </c>
      <c r="E353" s="21" t="s">
        <v>136</v>
      </c>
      <c r="F353" s="21" t="s">
        <v>12</v>
      </c>
      <c r="G353" s="21" t="s">
        <v>13</v>
      </c>
      <c r="H353" s="20" t="str">
        <f t="shared" si="15"/>
        <v>Structure Error Handler 2.1.10.1</v>
      </c>
      <c r="I353" s="78" t="s">
        <v>202</v>
      </c>
      <c r="J353" s="7"/>
    </row>
    <row r="354" spans="1:10" hidden="1" x14ac:dyDescent="0.25">
      <c r="A354" s="20" t="s">
        <v>540</v>
      </c>
      <c r="B354" s="20" t="s">
        <v>190</v>
      </c>
      <c r="C354" s="21" t="s">
        <v>9</v>
      </c>
      <c r="D354" s="21" t="s">
        <v>10</v>
      </c>
      <c r="E354" s="21" t="s">
        <v>11</v>
      </c>
      <c r="F354" s="21" t="s">
        <v>171</v>
      </c>
      <c r="G354" s="21" t="s">
        <v>13</v>
      </c>
      <c r="H354" s="20" t="str">
        <f t="shared" si="15"/>
        <v>Time Configuration Web Support 15.0.0</v>
      </c>
      <c r="I354" s="20"/>
      <c r="J354" s="7"/>
    </row>
    <row r="355" spans="1:10" x14ac:dyDescent="0.25">
      <c r="A355" s="20" t="s">
        <v>540</v>
      </c>
      <c r="B355" s="20" t="s">
        <v>361</v>
      </c>
      <c r="C355" s="21" t="s">
        <v>362</v>
      </c>
      <c r="D355" s="21" t="s">
        <v>10</v>
      </c>
      <c r="E355" s="21" t="s">
        <v>136</v>
      </c>
      <c r="F355" s="21" t="s">
        <v>12</v>
      </c>
      <c r="G355" s="21" t="s">
        <v>250</v>
      </c>
      <c r="H355" s="20" t="str">
        <f t="shared" si="15"/>
        <v>UI Tools 1.4.1.74</v>
      </c>
      <c r="I355" s="77" t="s">
        <v>202</v>
      </c>
      <c r="J355" s="7"/>
    </row>
    <row r="356" spans="1:10" x14ac:dyDescent="0.25">
      <c r="A356" s="20" t="s">
        <v>540</v>
      </c>
      <c r="B356" s="20" t="s">
        <v>384</v>
      </c>
      <c r="C356" s="21" t="s">
        <v>385</v>
      </c>
      <c r="D356" s="21" t="s">
        <v>10</v>
      </c>
      <c r="E356" s="21" t="s">
        <v>130</v>
      </c>
      <c r="F356" s="21" t="s">
        <v>12</v>
      </c>
      <c r="G356" s="21" t="s">
        <v>13</v>
      </c>
      <c r="H356" s="20" t="str">
        <f t="shared" si="15"/>
        <v>USB3 Vision Driver 18.5.0.49152</v>
      </c>
      <c r="I356" s="20"/>
      <c r="J356" s="7"/>
    </row>
    <row r="357" spans="1:10" hidden="1" x14ac:dyDescent="0.25">
      <c r="A357" s="20" t="s">
        <v>540</v>
      </c>
      <c r="B357" s="20" t="s">
        <v>195</v>
      </c>
      <c r="C357" s="21" t="s">
        <v>9</v>
      </c>
      <c r="D357" s="21" t="s">
        <v>10</v>
      </c>
      <c r="E357" s="21" t="s">
        <v>11</v>
      </c>
      <c r="F357" s="21" t="s">
        <v>171</v>
      </c>
      <c r="G357" s="21" t="s">
        <v>13</v>
      </c>
      <c r="H357" s="20" t="str">
        <f t="shared" si="15"/>
        <v>Variable Client Support for LabVIEW RT 15.0.0</v>
      </c>
      <c r="I357" s="20"/>
      <c r="J357" s="7"/>
    </row>
    <row r="358" spans="1:10" hidden="1" x14ac:dyDescent="0.25">
      <c r="A358" s="20" t="s">
        <v>540</v>
      </c>
      <c r="B358" s="20" t="s">
        <v>196</v>
      </c>
      <c r="C358" s="21" t="s">
        <v>197</v>
      </c>
      <c r="D358" s="21" t="s">
        <v>10</v>
      </c>
      <c r="E358" s="21" t="s">
        <v>11</v>
      </c>
      <c r="F358" s="21" t="s">
        <v>171</v>
      </c>
      <c r="G358" s="21" t="s">
        <v>13</v>
      </c>
      <c r="H358" s="20" t="str">
        <f t="shared" si="15"/>
        <v>Variable Legacy Protocol Support 5.7.1</v>
      </c>
      <c r="I358" s="20"/>
      <c r="J358" s="7"/>
    </row>
    <row r="359" spans="1:10" hidden="1" x14ac:dyDescent="0.25">
      <c r="A359" s="20" t="s">
        <v>540</v>
      </c>
      <c r="B359" s="20" t="s">
        <v>198</v>
      </c>
      <c r="C359" s="21" t="s">
        <v>197</v>
      </c>
      <c r="D359" s="21" t="s">
        <v>10</v>
      </c>
      <c r="E359" s="21" t="s">
        <v>11</v>
      </c>
      <c r="F359" s="21" t="s">
        <v>171</v>
      </c>
      <c r="G359" s="21" t="s">
        <v>13</v>
      </c>
      <c r="H359" s="20" t="str">
        <f t="shared" si="15"/>
        <v>Variable Legacy Server Support 5.7.1</v>
      </c>
      <c r="I359" s="20"/>
      <c r="J359" s="7"/>
    </row>
    <row r="360" spans="1:10" x14ac:dyDescent="0.25">
      <c r="A360" s="20" t="s">
        <v>540</v>
      </c>
      <c r="B360" s="20" t="s">
        <v>395</v>
      </c>
      <c r="C360" s="21" t="s">
        <v>156</v>
      </c>
      <c r="D360" s="21" t="s">
        <v>10</v>
      </c>
      <c r="E360" s="21" t="s">
        <v>130</v>
      </c>
      <c r="F360" s="21" t="s">
        <v>12</v>
      </c>
      <c r="G360" s="21" t="s">
        <v>13</v>
      </c>
      <c r="H360" s="20" t="str">
        <f t="shared" si="15"/>
        <v>Vision Assistant 18.5.0</v>
      </c>
      <c r="I360" s="20"/>
      <c r="J360" s="7"/>
    </row>
    <row r="361" spans="1:10" x14ac:dyDescent="0.25">
      <c r="A361" s="20" t="s">
        <v>540</v>
      </c>
      <c r="B361" s="20" t="s">
        <v>395</v>
      </c>
      <c r="C361" s="21" t="s">
        <v>156</v>
      </c>
      <c r="D361" s="21" t="s">
        <v>107</v>
      </c>
      <c r="E361" s="21" t="s">
        <v>130</v>
      </c>
      <c r="F361" s="21" t="s">
        <v>12</v>
      </c>
      <c r="G361" s="21" t="s">
        <v>13</v>
      </c>
      <c r="H361" s="20" t="str">
        <f t="shared" si="15"/>
        <v>Vision Assistant 18.5.0</v>
      </c>
      <c r="I361" s="20"/>
      <c r="J361" s="7"/>
    </row>
    <row r="362" spans="1:10" x14ac:dyDescent="0.25">
      <c r="A362" s="20" t="s">
        <v>540</v>
      </c>
      <c r="B362" s="20" t="s">
        <v>370</v>
      </c>
      <c r="C362" s="21" t="s">
        <v>141</v>
      </c>
      <c r="D362" s="21" t="s">
        <v>10</v>
      </c>
      <c r="E362" s="21" t="s">
        <v>119</v>
      </c>
      <c r="F362" s="21" t="s">
        <v>12</v>
      </c>
      <c r="G362" s="21" t="s">
        <v>13</v>
      </c>
      <c r="H362" s="20" t="str">
        <f t="shared" si="15"/>
        <v>Vision Common Resources 19.5.0</v>
      </c>
      <c r="I362" s="20"/>
      <c r="J362" s="7"/>
    </row>
    <row r="363" spans="1:10" x14ac:dyDescent="0.25">
      <c r="A363" s="20" t="s">
        <v>540</v>
      </c>
      <c r="B363" s="20" t="s">
        <v>390</v>
      </c>
      <c r="C363" s="21" t="s">
        <v>156</v>
      </c>
      <c r="D363" s="21" t="s">
        <v>10</v>
      </c>
      <c r="E363" s="21" t="s">
        <v>130</v>
      </c>
      <c r="F363" s="21" t="s">
        <v>12</v>
      </c>
      <c r="G363" s="21" t="s">
        <v>13</v>
      </c>
      <c r="H363" s="20" t="str">
        <f t="shared" si="15"/>
        <v>Vision Development Module 18.5.0</v>
      </c>
      <c r="I363" s="20"/>
      <c r="J363" s="7"/>
    </row>
    <row r="364" spans="1:10" x14ac:dyDescent="0.25">
      <c r="A364" s="20" t="s">
        <v>540</v>
      </c>
      <c r="B364" s="20" t="s">
        <v>390</v>
      </c>
      <c r="C364" s="21" t="s">
        <v>141</v>
      </c>
      <c r="D364" s="21" t="s">
        <v>10</v>
      </c>
      <c r="E364" s="21" t="s">
        <v>119</v>
      </c>
      <c r="F364" s="21" t="s">
        <v>12</v>
      </c>
      <c r="G364" s="21" t="s">
        <v>13</v>
      </c>
      <c r="H364" s="20" t="str">
        <f t="shared" si="15"/>
        <v>Vision Development Module 19.5.0</v>
      </c>
      <c r="I364" s="20"/>
      <c r="J364" s="7"/>
    </row>
    <row r="365" spans="1:10" x14ac:dyDescent="0.25">
      <c r="A365" s="20" t="s">
        <v>540</v>
      </c>
      <c r="B365" s="20" t="s">
        <v>393</v>
      </c>
      <c r="C365" s="21" t="s">
        <v>394</v>
      </c>
      <c r="D365" s="21" t="s">
        <v>10</v>
      </c>
      <c r="E365" s="21" t="s">
        <v>130</v>
      </c>
      <c r="F365" s="21" t="s">
        <v>12</v>
      </c>
      <c r="G365" s="21" t="s">
        <v>13</v>
      </c>
      <c r="H365" s="20" t="str">
        <f t="shared" si="15"/>
        <v>Vision Development Module Development Support 18.5.0 SP1</v>
      </c>
      <c r="I365" s="20"/>
      <c r="J365" s="7"/>
    </row>
    <row r="366" spans="1:10" x14ac:dyDescent="0.25">
      <c r="A366" s="20" t="s">
        <v>540</v>
      </c>
      <c r="B366" s="20" t="s">
        <v>391</v>
      </c>
      <c r="C366" s="21" t="s">
        <v>392</v>
      </c>
      <c r="D366" s="21" t="s">
        <v>10</v>
      </c>
      <c r="E366" s="21" t="s">
        <v>119</v>
      </c>
      <c r="F366" s="21" t="s">
        <v>24</v>
      </c>
      <c r="G366" s="21" t="s">
        <v>13</v>
      </c>
      <c r="H366" s="20" t="str">
        <f t="shared" si="15"/>
        <v>Vision Development Module Support 19.5.0 SP1</v>
      </c>
      <c r="I366" s="20"/>
      <c r="J366" s="7"/>
    </row>
    <row r="367" spans="1:10" hidden="1" x14ac:dyDescent="0.25">
      <c r="A367" s="20" t="s">
        <v>540</v>
      </c>
      <c r="B367" s="20" t="s">
        <v>199</v>
      </c>
      <c r="C367" s="21" t="s">
        <v>9</v>
      </c>
      <c r="D367" s="21" t="s">
        <v>10</v>
      </c>
      <c r="E367" s="21" t="s">
        <v>11</v>
      </c>
      <c r="F367" s="21" t="s">
        <v>171</v>
      </c>
      <c r="G367" s="21" t="s">
        <v>13</v>
      </c>
      <c r="H367" s="20" t="str">
        <f t="shared" si="15"/>
        <v>WebDAV Cleitn with SSL Support 15.0.0</v>
      </c>
      <c r="I367" s="20"/>
      <c r="J367" s="7"/>
    </row>
    <row r="368" spans="1:10" hidden="1" x14ac:dyDescent="0.25">
      <c r="A368" s="20" t="s">
        <v>540</v>
      </c>
      <c r="B368" s="20" t="s">
        <v>177</v>
      </c>
      <c r="C368" s="21" t="s">
        <v>9</v>
      </c>
      <c r="D368" s="21" t="s">
        <v>10</v>
      </c>
      <c r="E368" s="21" t="s">
        <v>11</v>
      </c>
      <c r="F368" s="21" t="s">
        <v>171</v>
      </c>
      <c r="G368" s="21" t="s">
        <v>13</v>
      </c>
      <c r="H368" s="20" t="str">
        <f t="shared" si="15"/>
        <v>WebDAV Server 15.0.0</v>
      </c>
      <c r="I368" s="20"/>
      <c r="J368" s="7"/>
    </row>
    <row r="369" spans="1:10" x14ac:dyDescent="0.25">
      <c r="A369" s="38" t="s">
        <v>502</v>
      </c>
      <c r="B369" s="38" t="s">
        <v>14</v>
      </c>
      <c r="C369" s="39" t="s">
        <v>477</v>
      </c>
      <c r="D369" s="39" t="s">
        <v>10</v>
      </c>
      <c r="E369" s="39" t="s">
        <v>130</v>
      </c>
      <c r="F369" s="39" t="s">
        <v>12</v>
      </c>
      <c r="G369" s="39" t="s">
        <v>13</v>
      </c>
      <c r="H369" s="38" t="str">
        <f t="shared" ref="H369:H370" si="16">B369&amp;" "&amp;C369</f>
        <v>CompactRIO 18.1.0</v>
      </c>
      <c r="I369" s="41" t="s">
        <v>476</v>
      </c>
      <c r="J369" s="7"/>
    </row>
    <row r="370" spans="1:10" x14ac:dyDescent="0.25">
      <c r="A370" s="38" t="s">
        <v>502</v>
      </c>
      <c r="B370" s="38" t="s">
        <v>33</v>
      </c>
      <c r="C370" s="39" t="s">
        <v>9</v>
      </c>
      <c r="D370" s="39" t="s">
        <v>10</v>
      </c>
      <c r="E370" s="39" t="s">
        <v>11</v>
      </c>
      <c r="F370" s="39" t="s">
        <v>12</v>
      </c>
      <c r="G370" s="39" t="s">
        <v>13</v>
      </c>
      <c r="H370" s="38" t="str">
        <f t="shared" si="16"/>
        <v>Database Connectivity Toolkit 15.0.0</v>
      </c>
      <c r="I370" s="38"/>
      <c r="J370" s="7"/>
    </row>
    <row r="371" spans="1:10" x14ac:dyDescent="0.25">
      <c r="A371" s="38" t="s">
        <v>502</v>
      </c>
      <c r="B371" s="38" t="s">
        <v>32</v>
      </c>
      <c r="C371" s="39" t="s">
        <v>105</v>
      </c>
      <c r="D371" s="39" t="s">
        <v>10</v>
      </c>
      <c r="E371" s="39" t="s">
        <v>106</v>
      </c>
      <c r="F371" s="39" t="s">
        <v>24</v>
      </c>
      <c r="G371" s="39" t="s">
        <v>13</v>
      </c>
      <c r="H371" s="38" t="str">
        <f t="shared" ref="H371:H377" si="17">B371&amp;" "&amp;E371&amp;" "&amp;C371</f>
        <v>LabVIEW 2012 SP1 f9 12.0.1</v>
      </c>
      <c r="I371" s="30" t="s">
        <v>42</v>
      </c>
      <c r="J371" s="7"/>
    </row>
    <row r="372" spans="1:10" x14ac:dyDescent="0.25">
      <c r="A372" s="38" t="s">
        <v>502</v>
      </c>
      <c r="B372" s="38" t="s">
        <v>32</v>
      </c>
      <c r="C372" s="39" t="s">
        <v>110</v>
      </c>
      <c r="D372" s="39" t="s">
        <v>10</v>
      </c>
      <c r="E372" s="39" t="s">
        <v>109</v>
      </c>
      <c r="F372" s="39" t="s">
        <v>24</v>
      </c>
      <c r="G372" s="39" t="s">
        <v>13</v>
      </c>
      <c r="H372" s="38" t="str">
        <f t="shared" si="17"/>
        <v>LabVIEW 2014 SP1 f11 14.0.1</v>
      </c>
      <c r="I372" s="34" t="s">
        <v>464</v>
      </c>
      <c r="J372" s="7"/>
    </row>
    <row r="373" spans="1:10" x14ac:dyDescent="0.25">
      <c r="A373" s="38" t="s">
        <v>502</v>
      </c>
      <c r="B373" s="38" t="s">
        <v>32</v>
      </c>
      <c r="C373" s="39" t="s">
        <v>404</v>
      </c>
      <c r="D373" s="39" t="s">
        <v>10</v>
      </c>
      <c r="E373" s="39" t="s">
        <v>467</v>
      </c>
      <c r="F373" s="39" t="s">
        <v>24</v>
      </c>
      <c r="G373" s="39" t="s">
        <v>13</v>
      </c>
      <c r="H373" s="38" t="str">
        <f t="shared" si="17"/>
        <v>LabVIEW 2016 f5 16.0.0</v>
      </c>
      <c r="I373" s="41" t="s">
        <v>476</v>
      </c>
      <c r="J373" s="7"/>
    </row>
    <row r="374" spans="1:10" x14ac:dyDescent="0.25">
      <c r="A374" s="38" t="s">
        <v>502</v>
      </c>
      <c r="B374" s="38" t="s">
        <v>32</v>
      </c>
      <c r="C374" s="39" t="s">
        <v>406</v>
      </c>
      <c r="D374" s="39" t="s">
        <v>10</v>
      </c>
      <c r="E374" s="39" t="s">
        <v>407</v>
      </c>
      <c r="F374" s="39" t="s">
        <v>24</v>
      </c>
      <c r="G374" s="39" t="s">
        <v>13</v>
      </c>
      <c r="H374" s="38" t="str">
        <f t="shared" si="17"/>
        <v>LabVIEW 2017 SP1 f3 17.0.1</v>
      </c>
      <c r="I374" s="38"/>
      <c r="J374" s="7"/>
    </row>
    <row r="375" spans="1:10" x14ac:dyDescent="0.25">
      <c r="A375" s="38" t="s">
        <v>502</v>
      </c>
      <c r="B375" s="38" t="s">
        <v>32</v>
      </c>
      <c r="C375" s="39" t="s">
        <v>492</v>
      </c>
      <c r="D375" s="39" t="s">
        <v>10</v>
      </c>
      <c r="E375" s="39" t="s">
        <v>468</v>
      </c>
      <c r="F375" s="39" t="s">
        <v>24</v>
      </c>
      <c r="G375" s="39" t="s">
        <v>13</v>
      </c>
      <c r="H375" s="38" t="str">
        <f t="shared" si="17"/>
        <v>LabVIEW 2018 f2 18.0.0</v>
      </c>
      <c r="I375" s="38"/>
      <c r="J375" s="7"/>
    </row>
    <row r="376" spans="1:10" x14ac:dyDescent="0.25">
      <c r="A376" s="38" t="s">
        <v>502</v>
      </c>
      <c r="B376" s="38" t="s">
        <v>32</v>
      </c>
      <c r="C376" s="39" t="s">
        <v>92</v>
      </c>
      <c r="D376" s="39" t="s">
        <v>10</v>
      </c>
      <c r="E376" s="39" t="s">
        <v>413</v>
      </c>
      <c r="F376" s="39" t="s">
        <v>12</v>
      </c>
      <c r="G376" s="39" t="s">
        <v>13</v>
      </c>
      <c r="H376" s="38" t="str">
        <f t="shared" si="17"/>
        <v>LabVIEW 2015 SP1 F10 15.0.1</v>
      </c>
      <c r="I376" s="38"/>
      <c r="J376" s="7"/>
    </row>
    <row r="377" spans="1:10" x14ac:dyDescent="0.25">
      <c r="A377" s="38" t="s">
        <v>502</v>
      </c>
      <c r="B377" s="38" t="s">
        <v>32</v>
      </c>
      <c r="C377" s="39" t="s">
        <v>92</v>
      </c>
      <c r="D377" s="39" t="s">
        <v>10</v>
      </c>
      <c r="E377" s="39" t="s">
        <v>103</v>
      </c>
      <c r="F377" s="39" t="s">
        <v>24</v>
      </c>
      <c r="G377" s="39" t="s">
        <v>13</v>
      </c>
      <c r="H377" s="38" t="str">
        <f t="shared" si="17"/>
        <v>LabVIEW 2015 SP1 f10 15.0.1</v>
      </c>
      <c r="I377" s="38"/>
      <c r="J377" s="7"/>
    </row>
    <row r="378" spans="1:10" x14ac:dyDescent="0.25">
      <c r="A378" s="38" t="s">
        <v>502</v>
      </c>
      <c r="B378" s="38" t="s">
        <v>469</v>
      </c>
      <c r="C378" s="39"/>
      <c r="D378" s="39" t="s">
        <v>10</v>
      </c>
      <c r="E378" s="39" t="s">
        <v>470</v>
      </c>
      <c r="F378" s="39" t="s">
        <v>24</v>
      </c>
      <c r="G378" s="39" t="s">
        <v>13</v>
      </c>
      <c r="H378" s="38" t="str">
        <f t="shared" ref="H378:H399" si="18">B378&amp;" "&amp;C378</f>
        <v xml:space="preserve">LabWindows/CVI  </v>
      </c>
      <c r="I378" s="38"/>
      <c r="J378" s="7"/>
    </row>
    <row r="379" spans="1:10" x14ac:dyDescent="0.25">
      <c r="A379" s="38" t="s">
        <v>502</v>
      </c>
      <c r="B379" s="38" t="s">
        <v>41</v>
      </c>
      <c r="C379" s="39" t="s">
        <v>471</v>
      </c>
      <c r="D379" s="39" t="s">
        <v>10</v>
      </c>
      <c r="E379" s="39" t="s">
        <v>130</v>
      </c>
      <c r="F379" s="39" t="s">
        <v>12</v>
      </c>
      <c r="G379" s="39" t="s">
        <v>13</v>
      </c>
      <c r="H379" s="38" t="str">
        <f t="shared" si="18"/>
        <v>Measurement &amp; Automation Explorer 18.0</v>
      </c>
      <c r="I379" s="41" t="s">
        <v>476</v>
      </c>
      <c r="J379" s="7"/>
    </row>
    <row r="380" spans="1:10" x14ac:dyDescent="0.25">
      <c r="A380" s="38" t="s">
        <v>502</v>
      </c>
      <c r="B380" s="38" t="s">
        <v>29</v>
      </c>
      <c r="C380" s="39" t="s">
        <v>466</v>
      </c>
      <c r="D380" s="39" t="s">
        <v>10</v>
      </c>
      <c r="E380" s="39" t="s">
        <v>130</v>
      </c>
      <c r="F380" s="39" t="s">
        <v>12</v>
      </c>
      <c r="G380" s="39" t="s">
        <v>13</v>
      </c>
      <c r="H380" s="38" t="str">
        <f t="shared" si="18"/>
        <v>NI I/O Trace 18.1</v>
      </c>
      <c r="I380" s="38"/>
      <c r="J380" s="7"/>
    </row>
    <row r="381" spans="1:10" x14ac:dyDescent="0.25">
      <c r="A381" s="38" t="s">
        <v>502</v>
      </c>
      <c r="B381" s="38" t="s">
        <v>140</v>
      </c>
      <c r="C381" s="39" t="s">
        <v>471</v>
      </c>
      <c r="D381" s="39" t="s">
        <v>10</v>
      </c>
      <c r="E381" s="39" t="s">
        <v>130</v>
      </c>
      <c r="F381" s="39" t="s">
        <v>24</v>
      </c>
      <c r="G381" s="39" t="s">
        <v>13</v>
      </c>
      <c r="H381" s="38" t="str">
        <f t="shared" si="18"/>
        <v>NI PXI Platform Services 18.0</v>
      </c>
      <c r="I381" s="41" t="s">
        <v>476</v>
      </c>
      <c r="J381" s="7"/>
    </row>
    <row r="382" spans="1:10" x14ac:dyDescent="0.25">
      <c r="A382" s="38" t="s">
        <v>502</v>
      </c>
      <c r="B382" s="38" t="s">
        <v>52</v>
      </c>
      <c r="C382" s="39" t="s">
        <v>471</v>
      </c>
      <c r="D382" s="39" t="s">
        <v>10</v>
      </c>
      <c r="E382" s="39" t="s">
        <v>130</v>
      </c>
      <c r="F382" s="39" t="s">
        <v>12</v>
      </c>
      <c r="G382" s="39" t="s">
        <v>13</v>
      </c>
      <c r="H382" s="38" t="str">
        <f t="shared" si="18"/>
        <v>NI PXI Platform Services Configuration 18.0</v>
      </c>
      <c r="I382" s="41" t="s">
        <v>476</v>
      </c>
      <c r="J382" s="7"/>
    </row>
    <row r="383" spans="1:10" x14ac:dyDescent="0.25">
      <c r="A383" s="38" t="s">
        <v>502</v>
      </c>
      <c r="B383" s="38" t="s">
        <v>474</v>
      </c>
      <c r="C383" s="39" t="s">
        <v>473</v>
      </c>
      <c r="D383" s="39" t="s">
        <v>10</v>
      </c>
      <c r="E383" s="39" t="s">
        <v>153</v>
      </c>
      <c r="F383" s="39" t="s">
        <v>24</v>
      </c>
      <c r="G383" s="39" t="s">
        <v>13</v>
      </c>
      <c r="H383" s="38" t="str">
        <f t="shared" si="18"/>
        <v>NI Serial 17.5</v>
      </c>
      <c r="I383" s="38"/>
      <c r="J383" s="7"/>
    </row>
    <row r="384" spans="1:10" x14ac:dyDescent="0.25">
      <c r="A384" s="38" t="s">
        <v>502</v>
      </c>
      <c r="B384" s="38" t="s">
        <v>68</v>
      </c>
      <c r="C384" s="39" t="s">
        <v>466</v>
      </c>
      <c r="D384" s="39" t="s">
        <v>10</v>
      </c>
      <c r="E384" s="39" t="s">
        <v>130</v>
      </c>
      <c r="F384" s="39" t="s">
        <v>12</v>
      </c>
      <c r="G384" s="39" t="s">
        <v>13</v>
      </c>
      <c r="H384" s="38" t="str">
        <f t="shared" si="18"/>
        <v>NI System Configuration 18.1</v>
      </c>
      <c r="I384" s="38"/>
      <c r="J384" s="7"/>
    </row>
    <row r="385" spans="1:10" x14ac:dyDescent="0.25">
      <c r="A385" s="38" t="s">
        <v>502</v>
      </c>
      <c r="B385" s="38" t="s">
        <v>28</v>
      </c>
      <c r="C385" s="39" t="s">
        <v>170</v>
      </c>
      <c r="D385" s="39" t="s">
        <v>10</v>
      </c>
      <c r="E385" s="39" t="s">
        <v>11</v>
      </c>
      <c r="F385" s="39" t="s">
        <v>24</v>
      </c>
      <c r="G385" s="39" t="s">
        <v>13</v>
      </c>
      <c r="H385" s="38" t="str">
        <f t="shared" si="18"/>
        <v>NI-488.2 15.5</v>
      </c>
      <c r="I385" s="38"/>
      <c r="J385" s="7"/>
    </row>
    <row r="386" spans="1:10" x14ac:dyDescent="0.25">
      <c r="A386" s="38" t="s">
        <v>502</v>
      </c>
      <c r="B386" s="38" t="s">
        <v>18</v>
      </c>
      <c r="C386" s="39" t="s">
        <v>466</v>
      </c>
      <c r="D386" s="39" t="s">
        <v>10</v>
      </c>
      <c r="E386" s="39" t="s">
        <v>130</v>
      </c>
      <c r="F386" s="39" t="s">
        <v>12</v>
      </c>
      <c r="G386" s="39" t="s">
        <v>13</v>
      </c>
      <c r="H386" s="38" t="str">
        <f t="shared" si="18"/>
        <v>NI-DAQmx ADE Support 18.1</v>
      </c>
      <c r="I386" s="41" t="s">
        <v>476</v>
      </c>
      <c r="J386" s="7"/>
    </row>
    <row r="387" spans="1:10" x14ac:dyDescent="0.25">
      <c r="A387" s="38" t="s">
        <v>502</v>
      </c>
      <c r="B387" s="38" t="s">
        <v>16</v>
      </c>
      <c r="C387" s="39" t="s">
        <v>466</v>
      </c>
      <c r="D387" s="39" t="s">
        <v>10</v>
      </c>
      <c r="E387" s="39" t="s">
        <v>130</v>
      </c>
      <c r="F387" s="39" t="s">
        <v>12</v>
      </c>
      <c r="G387" s="39" t="s">
        <v>13</v>
      </c>
      <c r="H387" s="38" t="str">
        <f t="shared" si="18"/>
        <v>NI-DAQmx Device Driver 18.1</v>
      </c>
      <c r="I387" s="41" t="s">
        <v>476</v>
      </c>
      <c r="J387" s="7"/>
    </row>
    <row r="388" spans="1:10" x14ac:dyDescent="0.25">
      <c r="A388" s="38" t="s">
        <v>502</v>
      </c>
      <c r="B388" s="38" t="s">
        <v>19</v>
      </c>
      <c r="C388" s="39" t="s">
        <v>466</v>
      </c>
      <c r="D388" s="39" t="s">
        <v>10</v>
      </c>
      <c r="E388" s="39" t="s">
        <v>130</v>
      </c>
      <c r="F388" s="39" t="s">
        <v>12</v>
      </c>
      <c r="G388" s="39" t="s">
        <v>13</v>
      </c>
      <c r="H388" s="38" t="str">
        <f t="shared" si="18"/>
        <v>NI-DAQmx MAX Configuration 18.1</v>
      </c>
      <c r="I388" s="41" t="s">
        <v>476</v>
      </c>
      <c r="J388" s="7"/>
    </row>
    <row r="389" spans="1:10" x14ac:dyDescent="0.25">
      <c r="A389" s="38" t="s">
        <v>502</v>
      </c>
      <c r="B389" s="38" t="s">
        <v>143</v>
      </c>
      <c r="C389" s="39" t="s">
        <v>471</v>
      </c>
      <c r="D389" s="39" t="s">
        <v>10</v>
      </c>
      <c r="E389" s="39" t="s">
        <v>130</v>
      </c>
      <c r="F389" s="39" t="s">
        <v>12</v>
      </c>
      <c r="G389" s="39" t="s">
        <v>13</v>
      </c>
      <c r="H389" s="38" t="str">
        <f t="shared" si="18"/>
        <v>NI-Industrial Communications for EtherCAT 18.0</v>
      </c>
      <c r="I389" s="38"/>
      <c r="J389" s="7"/>
    </row>
    <row r="390" spans="1:10" x14ac:dyDescent="0.25">
      <c r="A390" s="38" t="s">
        <v>502</v>
      </c>
      <c r="B390" s="38" t="s">
        <v>145</v>
      </c>
      <c r="C390" s="39" t="s">
        <v>472</v>
      </c>
      <c r="D390" s="39" t="s">
        <v>10</v>
      </c>
      <c r="E390" s="39" t="s">
        <v>130</v>
      </c>
      <c r="F390" s="39" t="s">
        <v>12</v>
      </c>
      <c r="G390" s="39" t="s">
        <v>13</v>
      </c>
      <c r="H390" s="38" t="str">
        <f t="shared" si="18"/>
        <v>NI-PAL 18.2</v>
      </c>
      <c r="I390" s="38"/>
      <c r="J390" s="7"/>
    </row>
    <row r="391" spans="1:10" x14ac:dyDescent="0.25">
      <c r="A391" s="38" t="s">
        <v>502</v>
      </c>
      <c r="B391" s="38" t="s">
        <v>54</v>
      </c>
      <c r="C391" s="39" t="s">
        <v>471</v>
      </c>
      <c r="D391" s="39" t="s">
        <v>10</v>
      </c>
      <c r="E391" s="39" t="s">
        <v>130</v>
      </c>
      <c r="F391" s="39" t="s">
        <v>12</v>
      </c>
      <c r="G391" s="39" t="s">
        <v>13</v>
      </c>
      <c r="H391" s="38" t="str">
        <f t="shared" si="18"/>
        <v>NI-RIO 18.0</v>
      </c>
      <c r="I391" s="38"/>
      <c r="J391" s="7"/>
    </row>
    <row r="392" spans="1:10" x14ac:dyDescent="0.25">
      <c r="A392" s="38" t="s">
        <v>502</v>
      </c>
      <c r="B392" s="38" t="s">
        <v>64</v>
      </c>
      <c r="C392" s="39" t="s">
        <v>473</v>
      </c>
      <c r="D392" s="39" t="s">
        <v>10</v>
      </c>
      <c r="E392" s="39" t="s">
        <v>153</v>
      </c>
      <c r="F392" s="39" t="s">
        <v>12</v>
      </c>
      <c r="G392" s="39" t="s">
        <v>13</v>
      </c>
      <c r="H392" s="38" t="str">
        <f t="shared" si="18"/>
        <v>NI-Serial Configuration 17.5</v>
      </c>
      <c r="I392" s="41" t="s">
        <v>476</v>
      </c>
      <c r="J392" s="7"/>
    </row>
    <row r="393" spans="1:10" x14ac:dyDescent="0.25">
      <c r="A393" s="38" t="s">
        <v>502</v>
      </c>
      <c r="B393" s="38" t="s">
        <v>46</v>
      </c>
      <c r="C393" s="39" t="s">
        <v>406</v>
      </c>
      <c r="D393" s="39" t="s">
        <v>10</v>
      </c>
      <c r="E393" s="39" t="s">
        <v>130</v>
      </c>
      <c r="F393" s="39" t="s">
        <v>12</v>
      </c>
      <c r="G393" s="39" t="s">
        <v>13</v>
      </c>
      <c r="H393" s="38" t="str">
        <f t="shared" si="18"/>
        <v>NI-USI 17.0.1</v>
      </c>
      <c r="I393" s="38"/>
      <c r="J393" s="7"/>
    </row>
    <row r="394" spans="1:10" x14ac:dyDescent="0.25">
      <c r="A394" s="38" t="s">
        <v>502</v>
      </c>
      <c r="B394" s="38" t="s">
        <v>70</v>
      </c>
      <c r="C394" s="39" t="s">
        <v>471</v>
      </c>
      <c r="D394" s="39" t="s">
        <v>10</v>
      </c>
      <c r="E394" s="39" t="s">
        <v>130</v>
      </c>
      <c r="F394" s="39" t="s">
        <v>12</v>
      </c>
      <c r="G394" s="39" t="s">
        <v>13</v>
      </c>
      <c r="H394" s="38" t="str">
        <f t="shared" si="18"/>
        <v>NI-VISA 18.0</v>
      </c>
      <c r="I394" s="38"/>
      <c r="J394" s="7"/>
    </row>
    <row r="395" spans="1:10" x14ac:dyDescent="0.25">
      <c r="A395" s="38" t="s">
        <v>502</v>
      </c>
      <c r="B395" s="38" t="s">
        <v>70</v>
      </c>
      <c r="C395" s="39" t="s">
        <v>471</v>
      </c>
      <c r="D395" s="39" t="s">
        <v>475</v>
      </c>
      <c r="E395" s="39" t="s">
        <v>130</v>
      </c>
      <c r="F395" s="39" t="s">
        <v>24</v>
      </c>
      <c r="G395" s="39" t="s">
        <v>13</v>
      </c>
      <c r="H395" s="38" t="str">
        <f t="shared" si="18"/>
        <v>NI-VISA 18.0</v>
      </c>
      <c r="I395" s="38"/>
      <c r="J395" s="7"/>
    </row>
    <row r="396" spans="1:10" x14ac:dyDescent="0.25">
      <c r="A396" s="38" t="s">
        <v>502</v>
      </c>
      <c r="B396" s="38" t="s">
        <v>73</v>
      </c>
      <c r="C396" s="39" t="s">
        <v>72</v>
      </c>
      <c r="D396" s="39" t="s">
        <v>10</v>
      </c>
      <c r="E396" s="39" t="s">
        <v>130</v>
      </c>
      <c r="F396" s="39" t="s">
        <v>12</v>
      </c>
      <c r="G396" s="39" t="s">
        <v>13</v>
      </c>
      <c r="H396" s="38" t="str">
        <f t="shared" si="18"/>
        <v>NIvisaic.exe 15.0.0.49152</v>
      </c>
      <c r="I396" s="38"/>
      <c r="J396" s="7"/>
    </row>
    <row r="397" spans="1:10" x14ac:dyDescent="0.25">
      <c r="A397" s="38" t="s">
        <v>502</v>
      </c>
      <c r="B397" s="38" t="s">
        <v>35</v>
      </c>
      <c r="C397" s="39" t="s">
        <v>92</v>
      </c>
      <c r="D397" s="39" t="s">
        <v>10</v>
      </c>
      <c r="E397" s="39" t="s">
        <v>11</v>
      </c>
      <c r="F397" s="39" t="s">
        <v>12</v>
      </c>
      <c r="G397" s="39" t="s">
        <v>13</v>
      </c>
      <c r="H397" s="38" t="str">
        <f t="shared" si="18"/>
        <v>Real-Time 15.0.1</v>
      </c>
      <c r="I397" s="38"/>
      <c r="J397" s="7"/>
    </row>
    <row r="398" spans="1:10" x14ac:dyDescent="0.25">
      <c r="A398" s="38" t="s">
        <v>502</v>
      </c>
      <c r="B398" s="38" t="s">
        <v>36</v>
      </c>
      <c r="C398" s="39" t="s">
        <v>92</v>
      </c>
      <c r="D398" s="39" t="s">
        <v>10</v>
      </c>
      <c r="E398" s="39" t="s">
        <v>11</v>
      </c>
      <c r="F398" s="39" t="s">
        <v>12</v>
      </c>
      <c r="G398" s="39" t="s">
        <v>13</v>
      </c>
      <c r="H398" s="38" t="str">
        <f t="shared" si="18"/>
        <v>Real-Time Trace Viewer - LabVIEW 2015 Support 15.0.1</v>
      </c>
      <c r="I398" s="38"/>
      <c r="J398" s="7"/>
    </row>
    <row r="399" spans="1:10" x14ac:dyDescent="0.25">
      <c r="A399" s="38" t="s">
        <v>502</v>
      </c>
      <c r="B399" s="38" t="s">
        <v>37</v>
      </c>
      <c r="C399" s="39" t="s">
        <v>9</v>
      </c>
      <c r="D399" s="39" t="s">
        <v>10</v>
      </c>
      <c r="E399" s="39" t="s">
        <v>11</v>
      </c>
      <c r="F399" s="39" t="s">
        <v>12</v>
      </c>
      <c r="G399" s="39" t="s">
        <v>13</v>
      </c>
      <c r="H399" s="38" t="str">
        <f t="shared" si="18"/>
        <v>Report Generation Toolkit For Microsoft Office 15.0.0</v>
      </c>
      <c r="I399" s="38"/>
      <c r="J399" s="7"/>
    </row>
    <row r="400" spans="1:10" x14ac:dyDescent="0.25">
      <c r="J400" s="7"/>
    </row>
    <row r="401" spans="10:10" x14ac:dyDescent="0.25">
      <c r="J401" s="7"/>
    </row>
    <row r="402" spans="10:10" x14ac:dyDescent="0.25">
      <c r="J402" s="7"/>
    </row>
    <row r="403" spans="10:10" x14ac:dyDescent="0.25">
      <c r="J403" s="7"/>
    </row>
    <row r="404" spans="10:10" x14ac:dyDescent="0.25">
      <c r="J404" s="7"/>
    </row>
    <row r="405" spans="10:10" x14ac:dyDescent="0.25">
      <c r="J405" s="7"/>
    </row>
    <row r="406" spans="10:10" x14ac:dyDescent="0.25">
      <c r="J406" s="7"/>
    </row>
    <row r="407" spans="10:10" x14ac:dyDescent="0.25">
      <c r="J407" s="7"/>
    </row>
    <row r="408" spans="10:10" x14ac:dyDescent="0.25">
      <c r="J408" s="7"/>
    </row>
    <row r="409" spans="10:10" x14ac:dyDescent="0.25">
      <c r="J409" s="7"/>
    </row>
    <row r="410" spans="10:10" x14ac:dyDescent="0.25">
      <c r="J410" s="7"/>
    </row>
    <row r="411" spans="10:10" x14ac:dyDescent="0.25">
      <c r="J411" s="7"/>
    </row>
    <row r="412" spans="10:10" x14ac:dyDescent="0.25">
      <c r="J412" s="7"/>
    </row>
    <row r="413" spans="10:10" x14ac:dyDescent="0.25">
      <c r="J413" s="7"/>
    </row>
    <row r="414" spans="10:10" x14ac:dyDescent="0.25">
      <c r="J414" s="7"/>
    </row>
    <row r="415" spans="10:10" x14ac:dyDescent="0.25">
      <c r="J415" s="7"/>
    </row>
    <row r="416" spans="10:10" x14ac:dyDescent="0.25">
      <c r="J416" s="7"/>
    </row>
    <row r="417" spans="10:10" x14ac:dyDescent="0.25">
      <c r="J417" s="7"/>
    </row>
    <row r="418" spans="10:10" x14ac:dyDescent="0.25">
      <c r="J418" s="7"/>
    </row>
    <row r="419" spans="10:10" x14ac:dyDescent="0.25">
      <c r="J419" s="7"/>
    </row>
    <row r="420" spans="10:10" x14ac:dyDescent="0.25">
      <c r="J420" s="7"/>
    </row>
    <row r="421" spans="10:10" x14ac:dyDescent="0.25">
      <c r="J421" s="7"/>
    </row>
    <row r="422" spans="10:10" x14ac:dyDescent="0.25">
      <c r="J422" s="7"/>
    </row>
    <row r="423" spans="10:10" x14ac:dyDescent="0.25">
      <c r="J423" s="7"/>
    </row>
    <row r="424" spans="10:10" x14ac:dyDescent="0.25">
      <c r="J424" s="7"/>
    </row>
    <row r="425" spans="10:10" x14ac:dyDescent="0.25">
      <c r="J425" s="7"/>
    </row>
    <row r="426" spans="10:10" x14ac:dyDescent="0.25">
      <c r="J426" s="7"/>
    </row>
    <row r="427" spans="10:10" x14ac:dyDescent="0.25">
      <c r="J427" s="7"/>
    </row>
    <row r="428" spans="10:10" x14ac:dyDescent="0.25">
      <c r="J428" s="7"/>
    </row>
    <row r="429" spans="10:10" x14ac:dyDescent="0.25">
      <c r="J429" s="7"/>
    </row>
    <row r="430" spans="10:10" x14ac:dyDescent="0.25">
      <c r="J430" s="7"/>
    </row>
    <row r="431" spans="10:10" x14ac:dyDescent="0.25">
      <c r="J431" s="7"/>
    </row>
    <row r="432" spans="10:10" x14ac:dyDescent="0.25">
      <c r="J432" s="7"/>
    </row>
    <row r="433" spans="10:10" x14ac:dyDescent="0.25">
      <c r="J433" s="7"/>
    </row>
    <row r="434" spans="10:10" x14ac:dyDescent="0.25">
      <c r="J434" s="7"/>
    </row>
    <row r="435" spans="10:10" x14ac:dyDescent="0.25">
      <c r="J435" s="7"/>
    </row>
    <row r="436" spans="10:10" x14ac:dyDescent="0.25">
      <c r="J436" s="7"/>
    </row>
    <row r="437" spans="10:10" x14ac:dyDescent="0.25">
      <c r="J437" s="7"/>
    </row>
    <row r="438" spans="10:10" x14ac:dyDescent="0.25">
      <c r="J438" s="7"/>
    </row>
    <row r="439" spans="10:10" x14ac:dyDescent="0.25">
      <c r="J439" s="7"/>
    </row>
    <row r="440" spans="10:10" x14ac:dyDescent="0.25">
      <c r="J440" s="7"/>
    </row>
    <row r="441" spans="10:10" x14ac:dyDescent="0.25">
      <c r="J441" s="7"/>
    </row>
    <row r="442" spans="10:10" x14ac:dyDescent="0.25">
      <c r="J442" s="7"/>
    </row>
    <row r="443" spans="10:10" x14ac:dyDescent="0.25">
      <c r="J443" s="7"/>
    </row>
    <row r="444" spans="10:10" x14ac:dyDescent="0.25">
      <c r="J444" s="7"/>
    </row>
    <row r="445" spans="10:10" x14ac:dyDescent="0.25">
      <c r="J445" s="7"/>
    </row>
    <row r="446" spans="10:10" x14ac:dyDescent="0.25">
      <c r="J446" s="7"/>
    </row>
    <row r="447" spans="10:10" x14ac:dyDescent="0.25">
      <c r="J447" s="7"/>
    </row>
    <row r="448" spans="10:10" x14ac:dyDescent="0.25">
      <c r="J448" s="7"/>
    </row>
    <row r="449" spans="10:10" x14ac:dyDescent="0.25">
      <c r="J449" s="7"/>
    </row>
    <row r="450" spans="10:10" x14ac:dyDescent="0.25">
      <c r="J450" s="7"/>
    </row>
    <row r="451" spans="10:10" x14ac:dyDescent="0.25">
      <c r="J451" s="7"/>
    </row>
    <row r="452" spans="10:10" x14ac:dyDescent="0.25">
      <c r="J452" s="7"/>
    </row>
    <row r="453" spans="10:10" x14ac:dyDescent="0.25">
      <c r="J453" s="7"/>
    </row>
    <row r="454" spans="10:10" x14ac:dyDescent="0.25">
      <c r="J454" s="7"/>
    </row>
    <row r="455" spans="10:10" x14ac:dyDescent="0.25">
      <c r="J455" s="7"/>
    </row>
    <row r="456" spans="10:10" x14ac:dyDescent="0.25">
      <c r="J456" s="7"/>
    </row>
  </sheetData>
  <autoFilter ref="A3:I399" xr:uid="{F7F44E2F-0633-42B7-8978-CE6606F45AA2}">
    <filterColumn colId="5">
      <filters>
        <filter val="Development"/>
        <filter val="Runtime"/>
      </filters>
    </filterColumn>
    <sortState xmlns:xlrd2="http://schemas.microsoft.com/office/spreadsheetml/2017/richdata2" ref="A4:I399">
      <sortCondition ref="A3:A399"/>
    </sortState>
  </autoFilter>
  <mergeCells count="1">
    <mergeCell ref="A1:I2"/>
  </mergeCells>
  <hyperlinks>
    <hyperlink ref="G320" r:id="rId1" display="http://openg.org/" xr:uid="{6E81D95D-CECE-42A5-B263-B7E0631FFB7E}"/>
    <hyperlink ref="G321" r:id="rId2" display="http://openg.org/" xr:uid="{558FD0B1-052C-40EC-A3F8-0219B7DBA0DC}"/>
    <hyperlink ref="G322" r:id="rId3" display="http://openg.org/" xr:uid="{B0F1E2BE-165B-4F15-AB20-B9F3A888E281}"/>
    <hyperlink ref="G323" r:id="rId4" display="http://openg.org/" xr:uid="{755FC467-5BD8-4FF9-8648-2AC3FCA3CF0D}"/>
    <hyperlink ref="G324" r:id="rId5" display="http://openg.org/" xr:uid="{7794F16A-2ACE-40B4-AF21-80597693A15B}"/>
    <hyperlink ref="G325" r:id="rId6" display="http://openg.org/" xr:uid="{5DE9ADD4-C251-4694-A878-06A49418A54F}"/>
    <hyperlink ref="G326" r:id="rId7" display="http://openg.org/" xr:uid="{875AE913-FB97-4EBF-BEEB-85619864F271}"/>
    <hyperlink ref="G327" r:id="rId8" display="http://openg.org/" xr:uid="{28B99E20-9E8C-4131-A4E9-33DB2539FB84}"/>
    <hyperlink ref="G328" r:id="rId9" display="http://openg.org/" xr:uid="{FA93AD93-7F8F-4B61-BB29-2C6CEE23FE73}"/>
    <hyperlink ref="G329" r:id="rId10" display="http://openg.org/" xr:uid="{5BB5B801-6B6B-426C-B0D9-36301CF18014}"/>
    <hyperlink ref="G332" r:id="rId11" display="http://openg.org/" xr:uid="{9FCD2A5C-286B-42EC-9A37-8D3F7CE408E7}"/>
    <hyperlink ref="G333" r:id="rId12" display="http://openg.org/" xr:uid="{962ED6B3-C457-4AE8-A729-15A88261BB91}"/>
    <hyperlink ref="G334" r:id="rId13" display="http://openg.org/" xr:uid="{D436587B-9322-4955-91B0-9C6F5B1BB2B6}"/>
    <hyperlink ref="G335" r:id="rId14" display="http://openg.org/" xr:uid="{C118761F-CFC7-4E41-B5FF-3D8DD1C838E4}"/>
    <hyperlink ref="G336" r:id="rId15" display="http://openg.org/" xr:uid="{7D94FB85-8413-4770-835A-47A52981549C}"/>
    <hyperlink ref="G337" r:id="rId16" display="http://openg.org/" xr:uid="{7628EA18-DBA8-4E62-B9EE-3515AF717C95}"/>
    <hyperlink ref="G338" r:id="rId17" display="http://openg.org/" xr:uid="{595C2BF7-4EDC-4D16-A5BC-DF54E1C05D45}"/>
    <hyperlink ref="G339" r:id="rId18" display="http://openg.org/" xr:uid="{F799727E-512B-406D-A3E2-01F3ED85D1B5}"/>
    <hyperlink ref="G340" r:id="rId19" display="http://openg.org/" xr:uid="{FCD1FDFB-5FEA-47B0-A069-B09EA9C5A7E4}"/>
    <hyperlink ref="G341" r:id="rId20" display="http://openg.org/" xr:uid="{21EFF205-5C16-4938-86CE-FE0D43E6A3BD}"/>
    <hyperlink ref="G343" r:id="rId21" display="http://openg.org/" xr:uid="{AC577CEB-1AA7-45DF-B4FE-B39E831E1813}"/>
    <hyperlink ref="G344" r:id="rId22" display="http://openg.org/" xr:uid="{C323D7C2-8C43-40A2-8394-E393C1B4DBA5}"/>
    <hyperlink ref="G342" r:id="rId23" display="http://openg.org/" xr:uid="{7B5A791E-9034-4FC8-BD3F-EC19A0C02923}"/>
  </hyperlinks>
  <pageMargins left="0.7" right="0.7" top="0.75" bottom="0.75" header="0.3" footer="0.3"/>
  <pageSetup orientation="portrait" r:id="rId2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DC796-7071-452F-8BC3-C23E72D83204}">
  <sheetPr codeName="Sheet2"/>
  <dimension ref="A1:J208"/>
  <sheetViews>
    <sheetView zoomScaleNormal="100" workbookViewId="0">
      <pane ySplit="3" topLeftCell="A4" activePane="bottomLeft" state="frozen"/>
      <selection activeCell="A4" sqref="A4"/>
      <selection pane="bottomLeft" activeCell="A209" sqref="A209"/>
    </sheetView>
  </sheetViews>
  <sheetFormatPr defaultColWidth="9.85546875" defaultRowHeight="13.5" x14ac:dyDescent="0.25"/>
  <cols>
    <col min="1" max="1" width="9.7109375" style="5" bestFit="1" customWidth="1"/>
    <col min="2" max="2" width="44.140625" style="5" bestFit="1" customWidth="1"/>
    <col min="3" max="3" width="12.42578125" style="12" bestFit="1" customWidth="1"/>
    <col min="4" max="4" width="12.28515625" style="5" bestFit="1" customWidth="1"/>
    <col min="5" max="5" width="11.140625" style="5" bestFit="1" customWidth="1"/>
    <col min="6" max="6" width="26.7109375" style="12" bestFit="1" customWidth="1"/>
    <col min="7" max="7" width="15.28515625" style="12" bestFit="1" customWidth="1"/>
    <col min="8" max="8" width="51" style="5" bestFit="1" customWidth="1"/>
    <col min="9" max="9" width="44" style="5" bestFit="1" customWidth="1"/>
    <col min="10" max="16384" width="9.85546875" style="5"/>
  </cols>
  <sheetData>
    <row r="1" spans="1:10" x14ac:dyDescent="0.25">
      <c r="A1" s="98" t="s">
        <v>495</v>
      </c>
      <c r="B1" s="99"/>
      <c r="C1" s="99"/>
      <c r="D1" s="99"/>
      <c r="E1" s="99"/>
      <c r="F1" s="99"/>
      <c r="G1" s="99"/>
      <c r="H1" s="99"/>
      <c r="I1" s="100"/>
    </row>
    <row r="2" spans="1:10" ht="14.25" thickBot="1" x14ac:dyDescent="0.3">
      <c r="A2" s="101"/>
      <c r="B2" s="101"/>
      <c r="C2" s="101"/>
      <c r="D2" s="101"/>
      <c r="E2" s="101"/>
      <c r="F2" s="101"/>
      <c r="G2" s="101"/>
      <c r="H2" s="101"/>
      <c r="I2" s="102"/>
    </row>
    <row r="3" spans="1:10" ht="15" x14ac:dyDescent="0.25">
      <c r="A3" s="13" t="s">
        <v>98</v>
      </c>
      <c r="B3" s="1" t="s">
        <v>99</v>
      </c>
      <c r="C3" s="1" t="s">
        <v>3</v>
      </c>
      <c r="D3" s="3" t="s">
        <v>4</v>
      </c>
      <c r="E3" s="3" t="s">
        <v>5</v>
      </c>
      <c r="F3" s="1" t="s">
        <v>100</v>
      </c>
      <c r="G3" s="1" t="s">
        <v>6</v>
      </c>
      <c r="H3" s="3" t="s">
        <v>101</v>
      </c>
      <c r="I3" s="4" t="s">
        <v>7</v>
      </c>
    </row>
    <row r="4" spans="1:10" x14ac:dyDescent="0.25">
      <c r="A4" s="36" t="s">
        <v>541</v>
      </c>
      <c r="B4" s="36" t="s">
        <v>8</v>
      </c>
      <c r="C4" s="36" t="s">
        <v>9</v>
      </c>
      <c r="D4" s="36">
        <v>32</v>
      </c>
      <c r="E4" s="36">
        <v>2015</v>
      </c>
      <c r="F4" s="36" t="s">
        <v>12</v>
      </c>
      <c r="G4" s="36" t="s">
        <v>13</v>
      </c>
      <c r="H4" s="36" t="str">
        <f>B4&amp;" "&amp;C4</f>
        <v>Advanced Signal Processing Toolkit 15.0.0</v>
      </c>
      <c r="I4" s="30" t="s">
        <v>42</v>
      </c>
      <c r="J4" s="7"/>
    </row>
    <row r="5" spans="1:10" x14ac:dyDescent="0.25">
      <c r="A5" s="36" t="s">
        <v>541</v>
      </c>
      <c r="B5" s="36" t="s">
        <v>15</v>
      </c>
      <c r="C5" s="36" t="s">
        <v>477</v>
      </c>
      <c r="D5" s="36" t="s">
        <v>10</v>
      </c>
      <c r="E5" s="36" t="s">
        <v>130</v>
      </c>
      <c r="F5" s="36" t="s">
        <v>12</v>
      </c>
      <c r="G5" s="36" t="s">
        <v>13</v>
      </c>
      <c r="H5" s="36" t="s">
        <v>486</v>
      </c>
      <c r="I5" s="41" t="s">
        <v>476</v>
      </c>
      <c r="J5" s="7"/>
    </row>
    <row r="6" spans="1:10" x14ac:dyDescent="0.25">
      <c r="A6" s="36" t="s">
        <v>541</v>
      </c>
      <c r="B6" s="75" t="s">
        <v>200</v>
      </c>
      <c r="C6" s="76" t="s">
        <v>201</v>
      </c>
      <c r="D6" s="75" t="s">
        <v>10</v>
      </c>
      <c r="E6" s="75" t="s">
        <v>136</v>
      </c>
      <c r="F6" s="76" t="s">
        <v>12</v>
      </c>
      <c r="G6" s="76" t="s">
        <v>158</v>
      </c>
      <c r="H6" s="75" t="str">
        <f>B6&amp;" "&amp;C6</f>
        <v>Caraya Unit Test Framework 0.6.3.54</v>
      </c>
      <c r="I6" s="89" t="s">
        <v>202</v>
      </c>
      <c r="J6" s="7"/>
    </row>
    <row r="7" spans="1:10" x14ac:dyDescent="0.25">
      <c r="A7" s="36" t="s">
        <v>541</v>
      </c>
      <c r="B7" s="36" t="s">
        <v>14</v>
      </c>
      <c r="C7" s="36" t="s">
        <v>477</v>
      </c>
      <c r="D7" s="36" t="s">
        <v>10</v>
      </c>
      <c r="E7" s="36" t="s">
        <v>130</v>
      </c>
      <c r="F7" s="36" t="s">
        <v>12</v>
      </c>
      <c r="G7" s="36" t="s">
        <v>13</v>
      </c>
      <c r="H7" s="36" t="s">
        <v>476</v>
      </c>
      <c r="I7" s="41" t="s">
        <v>476</v>
      </c>
      <c r="J7" s="7"/>
    </row>
    <row r="8" spans="1:10" x14ac:dyDescent="0.25">
      <c r="A8" s="36" t="s">
        <v>541</v>
      </c>
      <c r="B8" s="36" t="s">
        <v>75</v>
      </c>
      <c r="C8" s="36" t="s">
        <v>9</v>
      </c>
      <c r="D8" s="36">
        <v>32</v>
      </c>
      <c r="E8" s="36">
        <v>2015</v>
      </c>
      <c r="F8" s="36" t="s">
        <v>12</v>
      </c>
      <c r="G8" s="36" t="s">
        <v>13</v>
      </c>
      <c r="H8" s="36" t="str">
        <f t="shared" ref="H8:H20" si="0">B8&amp;" "&amp;C8</f>
        <v>CVI 15.0.0</v>
      </c>
      <c r="I8" s="30" t="s">
        <v>42</v>
      </c>
      <c r="J8" s="7"/>
    </row>
    <row r="9" spans="1:10" x14ac:dyDescent="0.25">
      <c r="A9" s="36" t="s">
        <v>541</v>
      </c>
      <c r="B9" s="36" t="s">
        <v>75</v>
      </c>
      <c r="C9" s="36" t="s">
        <v>87</v>
      </c>
      <c r="D9" s="36">
        <v>32</v>
      </c>
      <c r="E9" s="36">
        <v>2015</v>
      </c>
      <c r="F9" s="36" t="s">
        <v>24</v>
      </c>
      <c r="G9" s="36" t="s">
        <v>13</v>
      </c>
      <c r="H9" s="36" t="str">
        <f t="shared" si="0"/>
        <v>CVI 15.0.0.408</v>
      </c>
      <c r="I9" s="31" t="s">
        <v>91</v>
      </c>
      <c r="J9" s="7"/>
    </row>
    <row r="10" spans="1:10" x14ac:dyDescent="0.25">
      <c r="A10" s="36" t="s">
        <v>541</v>
      </c>
      <c r="B10" s="36" t="s">
        <v>76</v>
      </c>
      <c r="C10" s="36"/>
      <c r="D10" s="36">
        <v>32</v>
      </c>
      <c r="E10" s="36">
        <v>2015</v>
      </c>
      <c r="F10" s="36" t="s">
        <v>12</v>
      </c>
      <c r="G10" s="36" t="s">
        <v>13</v>
      </c>
      <c r="H10" s="36" t="str">
        <f t="shared" si="0"/>
        <v xml:space="preserve">CVI AddOns </v>
      </c>
      <c r="I10" s="30" t="s">
        <v>42</v>
      </c>
      <c r="J10" s="7"/>
    </row>
    <row r="11" spans="1:10" x14ac:dyDescent="0.25">
      <c r="A11" s="36" t="s">
        <v>541</v>
      </c>
      <c r="B11" s="36" t="s">
        <v>33</v>
      </c>
      <c r="C11" s="36" t="s">
        <v>9</v>
      </c>
      <c r="D11" s="36">
        <v>32</v>
      </c>
      <c r="E11" s="36">
        <v>2015</v>
      </c>
      <c r="F11" s="36" t="s">
        <v>12</v>
      </c>
      <c r="G11" s="36" t="s">
        <v>13</v>
      </c>
      <c r="H11" s="36" t="str">
        <f t="shared" si="0"/>
        <v>Database Connectivity Toolkit 15.0.0</v>
      </c>
      <c r="I11" s="30" t="s">
        <v>42</v>
      </c>
      <c r="J11" s="7"/>
    </row>
    <row r="12" spans="1:10" x14ac:dyDescent="0.25">
      <c r="A12" s="36" t="s">
        <v>541</v>
      </c>
      <c r="B12" s="36" t="s">
        <v>88</v>
      </c>
      <c r="C12" s="36" t="s">
        <v>89</v>
      </c>
      <c r="D12" s="36">
        <v>32</v>
      </c>
      <c r="E12" s="36">
        <v>2015</v>
      </c>
      <c r="F12" s="36" t="s">
        <v>12</v>
      </c>
      <c r="G12" s="36" t="s">
        <v>13</v>
      </c>
      <c r="H12" s="36" t="str">
        <f t="shared" si="0"/>
        <v>DataFinder Toolkit 15.0.06020</v>
      </c>
      <c r="I12" s="30" t="s">
        <v>42</v>
      </c>
      <c r="J12" s="7"/>
    </row>
    <row r="13" spans="1:10" x14ac:dyDescent="0.25">
      <c r="A13" s="36" t="s">
        <v>541</v>
      </c>
      <c r="B13" s="75" t="s">
        <v>203</v>
      </c>
      <c r="C13" s="76" t="s">
        <v>204</v>
      </c>
      <c r="D13" s="75" t="s">
        <v>10</v>
      </c>
      <c r="E13" s="75" t="s">
        <v>136</v>
      </c>
      <c r="F13" s="76" t="s">
        <v>12</v>
      </c>
      <c r="G13" s="76" t="s">
        <v>538</v>
      </c>
      <c r="H13" s="75" t="str">
        <f t="shared" si="0"/>
        <v>Delacor QMH 4.0.0.28</v>
      </c>
      <c r="I13" s="89" t="s">
        <v>202</v>
      </c>
      <c r="J13" s="7"/>
    </row>
    <row r="14" spans="1:10" x14ac:dyDescent="0.25">
      <c r="A14" s="36" t="s">
        <v>541</v>
      </c>
      <c r="B14" s="75" t="s">
        <v>205</v>
      </c>
      <c r="C14" s="76" t="s">
        <v>535</v>
      </c>
      <c r="D14" s="75" t="s">
        <v>10</v>
      </c>
      <c r="E14" s="75" t="s">
        <v>136</v>
      </c>
      <c r="F14" s="76" t="s">
        <v>12</v>
      </c>
      <c r="G14" s="76" t="s">
        <v>538</v>
      </c>
      <c r="H14" s="75" t="str">
        <f t="shared" si="0"/>
        <v>Delacor QMH Event Scripter 4.0.0.68</v>
      </c>
      <c r="I14" s="89" t="s">
        <v>202</v>
      </c>
      <c r="J14" s="7"/>
    </row>
    <row r="15" spans="1:10" x14ac:dyDescent="0.25">
      <c r="A15" s="36" t="s">
        <v>541</v>
      </c>
      <c r="B15" s="75" t="s">
        <v>206</v>
      </c>
      <c r="C15" s="76" t="s">
        <v>207</v>
      </c>
      <c r="D15" s="75" t="s">
        <v>10</v>
      </c>
      <c r="E15" s="75" t="s">
        <v>136</v>
      </c>
      <c r="F15" s="76" t="s">
        <v>12</v>
      </c>
      <c r="G15" s="76" t="s">
        <v>538</v>
      </c>
      <c r="H15" s="75" t="str">
        <f t="shared" si="0"/>
        <v>Delacor QMH Palette 3.0.0.1</v>
      </c>
      <c r="I15" s="89" t="s">
        <v>202</v>
      </c>
      <c r="J15" s="7"/>
    </row>
    <row r="16" spans="1:10" x14ac:dyDescent="0.25">
      <c r="A16" s="36" t="s">
        <v>541</v>
      </c>
      <c r="B16" s="75" t="s">
        <v>208</v>
      </c>
      <c r="C16" s="76" t="s">
        <v>209</v>
      </c>
      <c r="D16" s="75" t="s">
        <v>10</v>
      </c>
      <c r="E16" s="75" t="s">
        <v>136</v>
      </c>
      <c r="F16" s="76" t="s">
        <v>12</v>
      </c>
      <c r="G16" s="76" t="s">
        <v>538</v>
      </c>
      <c r="H16" s="75" t="str">
        <f t="shared" si="0"/>
        <v>Delacor QMH Project Template 4.0.0.47</v>
      </c>
      <c r="I16" s="89" t="s">
        <v>202</v>
      </c>
      <c r="J16" s="7"/>
    </row>
    <row r="17" spans="1:10" x14ac:dyDescent="0.25">
      <c r="A17" s="36" t="s">
        <v>541</v>
      </c>
      <c r="B17" s="75" t="s">
        <v>210</v>
      </c>
      <c r="C17" s="76" t="s">
        <v>211</v>
      </c>
      <c r="D17" s="75" t="s">
        <v>10</v>
      </c>
      <c r="E17" s="75" t="s">
        <v>136</v>
      </c>
      <c r="F17" s="76" t="s">
        <v>12</v>
      </c>
      <c r="G17" s="76" t="s">
        <v>538</v>
      </c>
      <c r="H17" s="75" t="str">
        <f t="shared" si="0"/>
        <v>Delacor QMH Thermal Chamber Examples 4.0.0.21</v>
      </c>
      <c r="I17" s="89" t="s">
        <v>202</v>
      </c>
      <c r="J17" s="7"/>
    </row>
    <row r="18" spans="1:10" x14ac:dyDescent="0.25">
      <c r="A18" s="36" t="s">
        <v>541</v>
      </c>
      <c r="B18" s="36" t="s">
        <v>34</v>
      </c>
      <c r="C18" s="36" t="s">
        <v>9</v>
      </c>
      <c r="D18" s="36">
        <v>32</v>
      </c>
      <c r="E18" s="36">
        <v>2015</v>
      </c>
      <c r="F18" s="36" t="s">
        <v>12</v>
      </c>
      <c r="G18" s="36" t="s">
        <v>13</v>
      </c>
      <c r="H18" s="36" t="str">
        <f t="shared" si="0"/>
        <v>Digital Filter Design Toolkit 15.0.0</v>
      </c>
      <c r="I18" s="30" t="s">
        <v>42</v>
      </c>
      <c r="J18" s="7"/>
    </row>
    <row r="19" spans="1:10" x14ac:dyDescent="0.25">
      <c r="A19" s="36" t="s">
        <v>541</v>
      </c>
      <c r="B19" s="36" t="s">
        <v>212</v>
      </c>
      <c r="C19" s="36" t="s">
        <v>213</v>
      </c>
      <c r="D19" s="36" t="s">
        <v>10</v>
      </c>
      <c r="E19" s="36" t="s">
        <v>11</v>
      </c>
      <c r="F19" s="36"/>
      <c r="G19" s="36"/>
      <c r="H19" s="36" t="str">
        <f t="shared" si="0"/>
        <v>DMC UX Toolkit 1.0.0.2</v>
      </c>
      <c r="I19" s="89" t="s">
        <v>202</v>
      </c>
      <c r="J19" s="7"/>
    </row>
    <row r="20" spans="1:10" x14ac:dyDescent="0.25">
      <c r="A20" s="36" t="s">
        <v>541</v>
      </c>
      <c r="B20" s="36" t="s">
        <v>58</v>
      </c>
      <c r="C20" s="36" t="s">
        <v>30</v>
      </c>
      <c r="D20" s="36">
        <v>32</v>
      </c>
      <c r="E20" s="36">
        <v>2015</v>
      </c>
      <c r="F20" s="36" t="s">
        <v>12</v>
      </c>
      <c r="G20" s="36" t="s">
        <v>13</v>
      </c>
      <c r="H20" s="36" t="str">
        <f t="shared" si="0"/>
        <v>FlexRIO 15.0.0f0</v>
      </c>
      <c r="I20" s="30" t="s">
        <v>42</v>
      </c>
      <c r="J20" s="7"/>
    </row>
    <row r="21" spans="1:10" x14ac:dyDescent="0.25">
      <c r="A21" s="36" t="s">
        <v>541</v>
      </c>
      <c r="B21" s="36" t="s">
        <v>437</v>
      </c>
      <c r="C21" s="36" t="s">
        <v>438</v>
      </c>
      <c r="D21" s="36" t="s">
        <v>10</v>
      </c>
      <c r="E21" s="36" t="s">
        <v>119</v>
      </c>
      <c r="F21" s="36" t="s">
        <v>12</v>
      </c>
      <c r="G21" s="36" t="s">
        <v>13</v>
      </c>
      <c r="H21" s="36" t="s">
        <v>452</v>
      </c>
      <c r="I21" s="33" t="s">
        <v>424</v>
      </c>
      <c r="J21" s="7"/>
    </row>
    <row r="22" spans="1:10" x14ac:dyDescent="0.25">
      <c r="A22" s="36" t="s">
        <v>541</v>
      </c>
      <c r="B22" s="75" t="s">
        <v>215</v>
      </c>
      <c r="C22" s="76" t="s">
        <v>216</v>
      </c>
      <c r="D22" s="75" t="s">
        <v>10</v>
      </c>
      <c r="E22" s="75" t="s">
        <v>136</v>
      </c>
      <c r="F22" s="76" t="s">
        <v>12</v>
      </c>
      <c r="G22" s="76" t="s">
        <v>217</v>
      </c>
      <c r="H22" s="75" t="str">
        <f t="shared" ref="H22:H40" si="1">B22&amp;" "&amp;C22</f>
        <v>GPower All Toolsets 2017.0.0.11</v>
      </c>
      <c r="I22" s="89" t="s">
        <v>202</v>
      </c>
      <c r="J22" s="7"/>
    </row>
    <row r="23" spans="1:10" x14ac:dyDescent="0.25">
      <c r="A23" s="36" t="s">
        <v>541</v>
      </c>
      <c r="B23" s="75" t="s">
        <v>218</v>
      </c>
      <c r="C23" s="76" t="s">
        <v>162</v>
      </c>
      <c r="D23" s="75" t="s">
        <v>10</v>
      </c>
      <c r="E23" s="75" t="s">
        <v>136</v>
      </c>
      <c r="F23" s="76" t="s">
        <v>12</v>
      </c>
      <c r="G23" s="76" t="s">
        <v>217</v>
      </c>
      <c r="H23" s="75" t="str">
        <f t="shared" si="1"/>
        <v>GPower Array 2016.2.0.27</v>
      </c>
      <c r="I23" s="89" t="s">
        <v>202</v>
      </c>
      <c r="J23" s="7"/>
    </row>
    <row r="24" spans="1:10" x14ac:dyDescent="0.25">
      <c r="A24" s="36" t="s">
        <v>541</v>
      </c>
      <c r="B24" s="75" t="s">
        <v>219</v>
      </c>
      <c r="C24" s="76" t="s">
        <v>220</v>
      </c>
      <c r="D24" s="75" t="s">
        <v>10</v>
      </c>
      <c r="E24" s="75" t="s">
        <v>136</v>
      </c>
      <c r="F24" s="76" t="s">
        <v>12</v>
      </c>
      <c r="G24" s="76" t="s">
        <v>217</v>
      </c>
      <c r="H24" s="75" t="str">
        <f t="shared" si="1"/>
        <v>GPower Comparison 2016.0.0.4</v>
      </c>
      <c r="I24" s="89" t="s">
        <v>202</v>
      </c>
      <c r="J24" s="7"/>
    </row>
    <row r="25" spans="1:10" x14ac:dyDescent="0.25">
      <c r="A25" s="36" t="s">
        <v>541</v>
      </c>
      <c r="B25" s="75" t="s">
        <v>221</v>
      </c>
      <c r="C25" s="76" t="s">
        <v>222</v>
      </c>
      <c r="D25" s="75" t="s">
        <v>10</v>
      </c>
      <c r="E25" s="75" t="s">
        <v>136</v>
      </c>
      <c r="F25" s="76" t="s">
        <v>12</v>
      </c>
      <c r="G25" s="76" t="s">
        <v>217</v>
      </c>
      <c r="H25" s="75" t="str">
        <f t="shared" si="1"/>
        <v>GPower Error &amp; Warning 2014.0.0.38</v>
      </c>
      <c r="I25" s="89" t="s">
        <v>202</v>
      </c>
      <c r="J25" s="7"/>
    </row>
    <row r="26" spans="1:10" x14ac:dyDescent="0.25">
      <c r="A26" s="36" t="s">
        <v>541</v>
      </c>
      <c r="B26" s="75" t="s">
        <v>223</v>
      </c>
      <c r="C26" s="76" t="s">
        <v>224</v>
      </c>
      <c r="D26" s="75" t="s">
        <v>10</v>
      </c>
      <c r="E26" s="75" t="s">
        <v>136</v>
      </c>
      <c r="F26" s="76" t="s">
        <v>12</v>
      </c>
      <c r="G26" s="76" t="s">
        <v>217</v>
      </c>
      <c r="H26" s="75" t="str">
        <f t="shared" si="1"/>
        <v>GPower Events 2012.0.0.7</v>
      </c>
      <c r="I26" s="89" t="s">
        <v>202</v>
      </c>
      <c r="J26" s="7"/>
    </row>
    <row r="27" spans="1:10" x14ac:dyDescent="0.25">
      <c r="A27" s="36" t="s">
        <v>541</v>
      </c>
      <c r="B27" s="75" t="s">
        <v>225</v>
      </c>
      <c r="C27" s="76" t="s">
        <v>226</v>
      </c>
      <c r="D27" s="75" t="s">
        <v>10</v>
      </c>
      <c r="E27" s="75" t="s">
        <v>136</v>
      </c>
      <c r="F27" s="76" t="s">
        <v>12</v>
      </c>
      <c r="G27" s="76" t="s">
        <v>217</v>
      </c>
      <c r="H27" s="75" t="str">
        <f t="shared" si="1"/>
        <v>GPower Math 2012.1.0.6</v>
      </c>
      <c r="I27" s="89" t="s">
        <v>202</v>
      </c>
      <c r="J27" s="7"/>
    </row>
    <row r="28" spans="1:10" x14ac:dyDescent="0.25">
      <c r="A28" s="36" t="s">
        <v>541</v>
      </c>
      <c r="B28" s="75" t="s">
        <v>227</v>
      </c>
      <c r="C28" s="76" t="s">
        <v>228</v>
      </c>
      <c r="D28" s="75" t="s">
        <v>10</v>
      </c>
      <c r="E28" s="75" t="s">
        <v>136</v>
      </c>
      <c r="F28" s="76" t="s">
        <v>12</v>
      </c>
      <c r="G28" s="76" t="s">
        <v>217</v>
      </c>
      <c r="H28" s="75" t="str">
        <f t="shared" si="1"/>
        <v>GPower Numeric 2016.2.0.14</v>
      </c>
      <c r="I28" s="89" t="s">
        <v>202</v>
      </c>
      <c r="J28" s="7"/>
    </row>
    <row r="29" spans="1:10" x14ac:dyDescent="0.25">
      <c r="A29" s="36" t="s">
        <v>541</v>
      </c>
      <c r="B29" s="75" t="s">
        <v>229</v>
      </c>
      <c r="C29" s="76" t="s">
        <v>230</v>
      </c>
      <c r="D29" s="75" t="s">
        <v>10</v>
      </c>
      <c r="E29" s="75" t="s">
        <v>136</v>
      </c>
      <c r="F29" s="76" t="s">
        <v>12</v>
      </c>
      <c r="G29" s="76" t="s">
        <v>217</v>
      </c>
      <c r="H29" s="75" t="str">
        <f t="shared" si="1"/>
        <v>GPower Overflow 2014.0.0.4</v>
      </c>
      <c r="I29" s="89" t="s">
        <v>202</v>
      </c>
      <c r="J29" s="7"/>
    </row>
    <row r="30" spans="1:10" x14ac:dyDescent="0.25">
      <c r="A30" s="36" t="s">
        <v>541</v>
      </c>
      <c r="B30" s="75" t="s">
        <v>231</v>
      </c>
      <c r="C30" s="76" t="s">
        <v>232</v>
      </c>
      <c r="D30" s="75" t="s">
        <v>10</v>
      </c>
      <c r="E30" s="75" t="s">
        <v>136</v>
      </c>
      <c r="F30" s="76" t="s">
        <v>12</v>
      </c>
      <c r="G30" s="76" t="s">
        <v>217</v>
      </c>
      <c r="H30" s="75" t="str">
        <f t="shared" si="1"/>
        <v>GPower String 2016.1.0.11</v>
      </c>
      <c r="I30" s="89" t="s">
        <v>202</v>
      </c>
      <c r="J30" s="7"/>
    </row>
    <row r="31" spans="1:10" x14ac:dyDescent="0.25">
      <c r="A31" s="36" t="s">
        <v>541</v>
      </c>
      <c r="B31" s="75" t="s">
        <v>233</v>
      </c>
      <c r="C31" s="76" t="s">
        <v>234</v>
      </c>
      <c r="D31" s="75" t="s">
        <v>10</v>
      </c>
      <c r="E31" s="75" t="s">
        <v>136</v>
      </c>
      <c r="F31" s="76" t="s">
        <v>12</v>
      </c>
      <c r="G31" s="76" t="s">
        <v>217</v>
      </c>
      <c r="H31" s="75" t="str">
        <f t="shared" si="1"/>
        <v>GPower Timing 2017.0.0.26</v>
      </c>
      <c r="I31" s="89" t="s">
        <v>202</v>
      </c>
      <c r="J31" s="7"/>
    </row>
    <row r="32" spans="1:10" x14ac:dyDescent="0.25">
      <c r="A32" s="36" t="s">
        <v>541</v>
      </c>
      <c r="B32" s="75" t="s">
        <v>235</v>
      </c>
      <c r="C32" s="76" t="s">
        <v>236</v>
      </c>
      <c r="D32" s="75" t="s">
        <v>10</v>
      </c>
      <c r="E32" s="75" t="s">
        <v>136</v>
      </c>
      <c r="F32" s="76" t="s">
        <v>12</v>
      </c>
      <c r="G32" s="76" t="s">
        <v>217</v>
      </c>
      <c r="H32" s="75" t="str">
        <f t="shared" si="1"/>
        <v>GPower VI Launcher 2012.2.0.26</v>
      </c>
      <c r="I32" s="89" t="s">
        <v>202</v>
      </c>
      <c r="J32" s="7"/>
    </row>
    <row r="33" spans="1:10" x14ac:dyDescent="0.25">
      <c r="A33" s="36" t="s">
        <v>541</v>
      </c>
      <c r="B33" s="75" t="s">
        <v>237</v>
      </c>
      <c r="C33" s="76" t="s">
        <v>238</v>
      </c>
      <c r="D33" s="75" t="s">
        <v>10</v>
      </c>
      <c r="E33" s="75" t="s">
        <v>136</v>
      </c>
      <c r="F33" s="76" t="s">
        <v>12</v>
      </c>
      <c r="G33" s="76" t="s">
        <v>217</v>
      </c>
      <c r="H33" s="75" t="str">
        <f t="shared" si="1"/>
        <v>GPower VI Register 2016.0.0.31</v>
      </c>
      <c r="I33" s="89" t="s">
        <v>202</v>
      </c>
      <c r="J33" s="7"/>
    </row>
    <row r="34" spans="1:10" x14ac:dyDescent="0.25">
      <c r="A34" s="36" t="s">
        <v>541</v>
      </c>
      <c r="B34" s="36" t="s">
        <v>371</v>
      </c>
      <c r="C34" s="36" t="s">
        <v>372</v>
      </c>
      <c r="D34" s="36" t="s">
        <v>10</v>
      </c>
      <c r="E34" s="36" t="s">
        <v>119</v>
      </c>
      <c r="F34" s="36" t="s">
        <v>12</v>
      </c>
      <c r="G34" s="36" t="s">
        <v>13</v>
      </c>
      <c r="H34" s="36" t="str">
        <f t="shared" si="1"/>
        <v>Image Processing and Machine Vision 19.5.0.49152</v>
      </c>
      <c r="I34" s="33" t="s">
        <v>424</v>
      </c>
      <c r="J34" s="7"/>
    </row>
    <row r="35" spans="1:10" x14ac:dyDescent="0.25">
      <c r="A35" s="36" t="s">
        <v>541</v>
      </c>
      <c r="B35" s="36" t="s">
        <v>373</v>
      </c>
      <c r="C35" s="36" t="s">
        <v>372</v>
      </c>
      <c r="D35" s="36" t="s">
        <v>10</v>
      </c>
      <c r="E35" s="36" t="s">
        <v>119</v>
      </c>
      <c r="F35" s="36" t="s">
        <v>12</v>
      </c>
      <c r="G35" s="36" t="s">
        <v>13</v>
      </c>
      <c r="H35" s="36" t="str">
        <f t="shared" si="1"/>
        <v>Image Services 19.5.0.49152</v>
      </c>
      <c r="I35" s="33" t="s">
        <v>424</v>
      </c>
      <c r="J35" s="7"/>
    </row>
    <row r="36" spans="1:10" x14ac:dyDescent="0.25">
      <c r="A36" s="36" t="s">
        <v>541</v>
      </c>
      <c r="B36" s="36" t="s">
        <v>31</v>
      </c>
      <c r="C36" s="37" t="s">
        <v>102</v>
      </c>
      <c r="D36" s="36">
        <v>32</v>
      </c>
      <c r="E36" s="36">
        <v>2015</v>
      </c>
      <c r="F36" s="36" t="s">
        <v>12</v>
      </c>
      <c r="G36" s="36" t="s">
        <v>13</v>
      </c>
      <c r="H36" s="36" t="str">
        <f t="shared" si="1"/>
        <v>IVI Compliance Package 15.0</v>
      </c>
      <c r="I36" s="30" t="s">
        <v>42</v>
      </c>
      <c r="J36" s="7"/>
    </row>
    <row r="37" spans="1:10" x14ac:dyDescent="0.25">
      <c r="A37" s="36" t="s">
        <v>541</v>
      </c>
      <c r="B37" s="75" t="s">
        <v>239</v>
      </c>
      <c r="C37" s="75" t="s">
        <v>240</v>
      </c>
      <c r="D37" s="75" t="s">
        <v>10</v>
      </c>
      <c r="E37" s="75" t="s">
        <v>136</v>
      </c>
      <c r="F37" s="76" t="s">
        <v>12</v>
      </c>
      <c r="G37" s="76" t="s">
        <v>158</v>
      </c>
      <c r="H37" s="75" t="str">
        <f t="shared" si="1"/>
        <v>JKI State Machine 3.0.0.8</v>
      </c>
      <c r="I37" s="89" t="s">
        <v>202</v>
      </c>
      <c r="J37" s="7"/>
    </row>
    <row r="38" spans="1:10" x14ac:dyDescent="0.25">
      <c r="A38" s="36" t="s">
        <v>541</v>
      </c>
      <c r="B38" s="75" t="s">
        <v>241</v>
      </c>
      <c r="C38" s="76" t="s">
        <v>242</v>
      </c>
      <c r="D38" s="75" t="s">
        <v>10</v>
      </c>
      <c r="E38" s="75" t="s">
        <v>136</v>
      </c>
      <c r="F38" s="76" t="s">
        <v>12</v>
      </c>
      <c r="G38" s="76" t="s">
        <v>158</v>
      </c>
      <c r="H38" s="75" t="str">
        <f t="shared" si="1"/>
        <v>JKI State Machine Editor 2013.6.3.239</v>
      </c>
      <c r="I38" s="89" t="s">
        <v>202</v>
      </c>
      <c r="J38" s="7"/>
    </row>
    <row r="39" spans="1:10" x14ac:dyDescent="0.25">
      <c r="A39" s="36" t="s">
        <v>541</v>
      </c>
      <c r="B39" s="75" t="s">
        <v>243</v>
      </c>
      <c r="C39" s="76" t="s">
        <v>244</v>
      </c>
      <c r="D39" s="75" t="s">
        <v>10</v>
      </c>
      <c r="E39" s="75" t="s">
        <v>136</v>
      </c>
      <c r="F39" s="76" t="s">
        <v>12</v>
      </c>
      <c r="G39" s="76" t="s">
        <v>158</v>
      </c>
      <c r="H39" s="75" t="str">
        <f t="shared" si="1"/>
        <v>JKI State Machine Objects (SMO) 1.3.0.56</v>
      </c>
      <c r="I39" s="89" t="s">
        <v>202</v>
      </c>
      <c r="J39" s="7"/>
    </row>
    <row r="40" spans="1:10" x14ac:dyDescent="0.25">
      <c r="A40" s="36" t="s">
        <v>541</v>
      </c>
      <c r="B40" s="75" t="s">
        <v>245</v>
      </c>
      <c r="C40" s="76" t="s">
        <v>246</v>
      </c>
      <c r="D40" s="75" t="s">
        <v>10</v>
      </c>
      <c r="E40" s="75" t="s">
        <v>136</v>
      </c>
      <c r="F40" s="76" t="s">
        <v>12</v>
      </c>
      <c r="G40" s="76" t="s">
        <v>247</v>
      </c>
      <c r="H40" s="75" t="str">
        <f t="shared" si="1"/>
        <v>jki_rsc_toolkits_palette 1.1-1</v>
      </c>
      <c r="I40" s="89" t="s">
        <v>202</v>
      </c>
      <c r="J40" s="7"/>
    </row>
    <row r="41" spans="1:10" x14ac:dyDescent="0.25">
      <c r="A41" s="36" t="s">
        <v>541</v>
      </c>
      <c r="B41" s="36" t="s">
        <v>32</v>
      </c>
      <c r="C41" s="36" t="s">
        <v>92</v>
      </c>
      <c r="D41" s="36">
        <v>32</v>
      </c>
      <c r="E41" s="36" t="s">
        <v>111</v>
      </c>
      <c r="F41" s="36" t="s">
        <v>12</v>
      </c>
      <c r="G41" s="36" t="s">
        <v>13</v>
      </c>
      <c r="H41" s="36" t="str">
        <f t="shared" ref="H41:H47" si="2">B41&amp;" "&amp;E41&amp;" "&amp;C41</f>
        <v>LabVIEW 2015 SP1 15.0.1</v>
      </c>
      <c r="I41" s="31" t="s">
        <v>91</v>
      </c>
      <c r="J41" s="7"/>
    </row>
    <row r="42" spans="1:10" x14ac:dyDescent="0.25">
      <c r="A42" s="36" t="s">
        <v>541</v>
      </c>
      <c r="B42" s="36" t="s">
        <v>32</v>
      </c>
      <c r="C42" s="36" t="s">
        <v>9</v>
      </c>
      <c r="D42" s="36">
        <v>64</v>
      </c>
      <c r="E42" s="36">
        <v>2015</v>
      </c>
      <c r="F42" s="36" t="s">
        <v>12</v>
      </c>
      <c r="G42" s="36" t="s">
        <v>13</v>
      </c>
      <c r="H42" s="36" t="str">
        <f t="shared" si="2"/>
        <v>LabVIEW 2015 15.0.0</v>
      </c>
      <c r="I42" s="30" t="s">
        <v>42</v>
      </c>
      <c r="J42" s="7"/>
    </row>
    <row r="43" spans="1:10" x14ac:dyDescent="0.25">
      <c r="A43" s="36" t="s">
        <v>541</v>
      </c>
      <c r="B43" s="36" t="s">
        <v>32</v>
      </c>
      <c r="C43" s="36" t="s">
        <v>105</v>
      </c>
      <c r="D43" s="36">
        <v>32</v>
      </c>
      <c r="E43" s="36" t="s">
        <v>106</v>
      </c>
      <c r="F43" s="36" t="s">
        <v>24</v>
      </c>
      <c r="G43" s="36" t="s">
        <v>13</v>
      </c>
      <c r="H43" s="36" t="str">
        <f t="shared" si="2"/>
        <v>LabVIEW 2012 SP1 f9 12.0.1</v>
      </c>
      <c r="I43" s="30" t="s">
        <v>42</v>
      </c>
      <c r="J43" s="7"/>
    </row>
    <row r="44" spans="1:10" x14ac:dyDescent="0.25">
      <c r="A44" s="36" t="s">
        <v>541</v>
      </c>
      <c r="B44" s="36" t="s">
        <v>32</v>
      </c>
      <c r="C44" s="36" t="s">
        <v>105</v>
      </c>
      <c r="D44" s="36">
        <v>64</v>
      </c>
      <c r="E44" s="36" t="s">
        <v>106</v>
      </c>
      <c r="F44" s="36" t="s">
        <v>24</v>
      </c>
      <c r="G44" s="36" t="s">
        <v>13</v>
      </c>
      <c r="H44" s="36" t="str">
        <f t="shared" si="2"/>
        <v>LabVIEW 2012 SP1 f9 12.0.1</v>
      </c>
      <c r="I44" s="30" t="s">
        <v>42</v>
      </c>
      <c r="J44" s="7"/>
    </row>
    <row r="45" spans="1:10" x14ac:dyDescent="0.25">
      <c r="A45" s="36" t="s">
        <v>541</v>
      </c>
      <c r="B45" s="36" t="s">
        <v>32</v>
      </c>
      <c r="C45" s="36" t="s">
        <v>137</v>
      </c>
      <c r="D45" s="36">
        <v>32</v>
      </c>
      <c r="E45" s="36" t="s">
        <v>108</v>
      </c>
      <c r="F45" s="36" t="s">
        <v>24</v>
      </c>
      <c r="G45" s="36" t="s">
        <v>13</v>
      </c>
      <c r="H45" s="36" t="str">
        <f t="shared" si="2"/>
        <v>LabVIEW 2013 SP1 f6 13.0.1</v>
      </c>
      <c r="I45" s="30" t="s">
        <v>42</v>
      </c>
      <c r="J45" s="7"/>
    </row>
    <row r="46" spans="1:10" x14ac:dyDescent="0.25">
      <c r="A46" s="36" t="s">
        <v>541</v>
      </c>
      <c r="B46" s="36" t="s">
        <v>32</v>
      </c>
      <c r="C46" s="36" t="s">
        <v>110</v>
      </c>
      <c r="D46" s="36">
        <v>32</v>
      </c>
      <c r="E46" s="36" t="s">
        <v>109</v>
      </c>
      <c r="F46" s="36" t="s">
        <v>24</v>
      </c>
      <c r="G46" s="36" t="s">
        <v>13</v>
      </c>
      <c r="H46" s="36" t="str">
        <f t="shared" si="2"/>
        <v>LabVIEW 2014 SP1 f11 14.0.1</v>
      </c>
      <c r="I46" s="34" t="s">
        <v>464</v>
      </c>
      <c r="J46" s="7"/>
    </row>
    <row r="47" spans="1:10" x14ac:dyDescent="0.25">
      <c r="A47" s="36" t="s">
        <v>541</v>
      </c>
      <c r="B47" s="36" t="s">
        <v>32</v>
      </c>
      <c r="C47" s="36" t="s">
        <v>92</v>
      </c>
      <c r="D47" s="36">
        <v>32</v>
      </c>
      <c r="E47" s="36" t="s">
        <v>111</v>
      </c>
      <c r="F47" s="36" t="s">
        <v>24</v>
      </c>
      <c r="G47" s="36" t="s">
        <v>13</v>
      </c>
      <c r="H47" s="36" t="str">
        <f t="shared" si="2"/>
        <v>LabVIEW 2015 SP1 15.0.1</v>
      </c>
      <c r="I47" s="31" t="s">
        <v>91</v>
      </c>
      <c r="J47" s="7"/>
    </row>
    <row r="48" spans="1:10" x14ac:dyDescent="0.25">
      <c r="A48" s="36" t="s">
        <v>541</v>
      </c>
      <c r="B48" s="36" t="s">
        <v>32</v>
      </c>
      <c r="C48" s="36" t="s">
        <v>135</v>
      </c>
      <c r="D48" s="36" t="s">
        <v>10</v>
      </c>
      <c r="E48" s="36" t="s">
        <v>119</v>
      </c>
      <c r="F48" s="36" t="s">
        <v>24</v>
      </c>
      <c r="G48" s="36" t="s">
        <v>13</v>
      </c>
      <c r="H48" s="36" t="s">
        <v>455</v>
      </c>
      <c r="I48" s="33" t="s">
        <v>424</v>
      </c>
      <c r="J48" s="7"/>
    </row>
    <row r="49" spans="1:10" x14ac:dyDescent="0.25">
      <c r="A49" s="36" t="s">
        <v>541</v>
      </c>
      <c r="B49" s="36" t="s">
        <v>32</v>
      </c>
      <c r="C49" s="36" t="s">
        <v>402</v>
      </c>
      <c r="D49" s="36" t="s">
        <v>10</v>
      </c>
      <c r="E49" s="36" t="s">
        <v>456</v>
      </c>
      <c r="F49" s="36" t="s">
        <v>24</v>
      </c>
      <c r="G49" s="36" t="s">
        <v>13</v>
      </c>
      <c r="H49" s="36" t="s">
        <v>454</v>
      </c>
      <c r="I49" s="33" t="s">
        <v>424</v>
      </c>
      <c r="J49" s="7"/>
    </row>
    <row r="50" spans="1:10" x14ac:dyDescent="0.25">
      <c r="A50" s="36" t="s">
        <v>541</v>
      </c>
      <c r="B50" s="36" t="s">
        <v>32</v>
      </c>
      <c r="C50" s="36" t="s">
        <v>110</v>
      </c>
      <c r="D50" s="36">
        <v>64</v>
      </c>
      <c r="E50" s="36" t="s">
        <v>109</v>
      </c>
      <c r="F50" s="36" t="s">
        <v>24</v>
      </c>
      <c r="G50" s="36" t="s">
        <v>13</v>
      </c>
      <c r="H50" s="36" t="str">
        <f>B50&amp;" "&amp;E50&amp;" "&amp;C50</f>
        <v>LabVIEW 2014 SP1 f11 14.0.1</v>
      </c>
      <c r="I50" s="34" t="s">
        <v>464</v>
      </c>
      <c r="J50" s="7"/>
    </row>
    <row r="51" spans="1:10" x14ac:dyDescent="0.25">
      <c r="A51" s="36" t="s">
        <v>541</v>
      </c>
      <c r="B51" s="36" t="s">
        <v>32</v>
      </c>
      <c r="C51" s="36" t="s">
        <v>9</v>
      </c>
      <c r="D51" s="36">
        <v>64</v>
      </c>
      <c r="E51" s="36" t="s">
        <v>414</v>
      </c>
      <c r="F51" s="36" t="s">
        <v>24</v>
      </c>
      <c r="G51" s="36" t="s">
        <v>13</v>
      </c>
      <c r="H51" s="36" t="str">
        <f>B51&amp;" "&amp;E51&amp;" "&amp;C51</f>
        <v>LabVIEW 2015 f2 15.0.0</v>
      </c>
      <c r="I51" s="34" t="s">
        <v>464</v>
      </c>
      <c r="J51" s="7"/>
    </row>
    <row r="52" spans="1:10" x14ac:dyDescent="0.25">
      <c r="A52" s="36" t="s">
        <v>541</v>
      </c>
      <c r="B52" s="36" t="s">
        <v>32</v>
      </c>
      <c r="C52" s="36" t="s">
        <v>404</v>
      </c>
      <c r="D52" s="36" t="s">
        <v>10</v>
      </c>
      <c r="E52" s="36" t="s">
        <v>467</v>
      </c>
      <c r="F52" s="36" t="s">
        <v>24</v>
      </c>
      <c r="G52" s="36" t="s">
        <v>13</v>
      </c>
      <c r="H52" s="36" t="str">
        <f>B52&amp;" "&amp;E52&amp;" "&amp;C52</f>
        <v>LabVIEW 2016 f5 16.0.0</v>
      </c>
      <c r="I52" s="41" t="s">
        <v>476</v>
      </c>
      <c r="J52" s="7"/>
    </row>
    <row r="53" spans="1:10" ht="15" x14ac:dyDescent="0.25">
      <c r="A53" s="36" t="s">
        <v>541</v>
      </c>
      <c r="B53" s="36" t="s">
        <v>32</v>
      </c>
      <c r="C53" s="36" t="s">
        <v>406</v>
      </c>
      <c r="D53" s="36" t="s">
        <v>10</v>
      </c>
      <c r="E53" s="36" t="s">
        <v>407</v>
      </c>
      <c r="F53" s="36" t="s">
        <v>24</v>
      </c>
      <c r="G53" s="36" t="s">
        <v>13</v>
      </c>
      <c r="H53" s="36" t="str">
        <f>B53&amp;" "&amp;E53&amp;" "&amp;C53</f>
        <v>LabVIEW 2017 SP1 f3 17.0.1</v>
      </c>
      <c r="I53" s="55" t="s">
        <v>497</v>
      </c>
      <c r="J53" s="7"/>
    </row>
    <row r="54" spans="1:10" x14ac:dyDescent="0.25">
      <c r="A54" s="36" t="s">
        <v>541</v>
      </c>
      <c r="B54" s="75" t="s">
        <v>248</v>
      </c>
      <c r="C54" s="76" t="s">
        <v>249</v>
      </c>
      <c r="D54" s="75" t="s">
        <v>10</v>
      </c>
      <c r="E54" s="75" t="s">
        <v>136</v>
      </c>
      <c r="F54" s="76" t="s">
        <v>12</v>
      </c>
      <c r="G54" s="76" t="s">
        <v>250</v>
      </c>
      <c r="H54" s="75" t="str">
        <f>B54&amp;" "&amp;C54</f>
        <v>LAVA Palette 1.0.0.1</v>
      </c>
      <c r="I54" s="89" t="s">
        <v>202</v>
      </c>
      <c r="J54" s="7"/>
    </row>
    <row r="55" spans="1:10" x14ac:dyDescent="0.25">
      <c r="A55" s="36" t="s">
        <v>541</v>
      </c>
      <c r="B55" s="36" t="s">
        <v>104</v>
      </c>
      <c r="C55" s="36" t="s">
        <v>9</v>
      </c>
      <c r="D55" s="36">
        <v>32</v>
      </c>
      <c r="E55" s="36">
        <v>2015</v>
      </c>
      <c r="F55" s="36" t="s">
        <v>12</v>
      </c>
      <c r="G55" s="36" t="s">
        <v>13</v>
      </c>
      <c r="H55" s="36" t="str">
        <f>B55&amp;" "&amp;C55</f>
        <v>MathScript RT Module 15.0.0</v>
      </c>
      <c r="I55" s="30" t="s">
        <v>42</v>
      </c>
      <c r="J55" s="7"/>
    </row>
    <row r="56" spans="1:10" x14ac:dyDescent="0.25">
      <c r="A56" s="36" t="s">
        <v>541</v>
      </c>
      <c r="B56" s="36" t="s">
        <v>41</v>
      </c>
      <c r="C56" s="36" t="s">
        <v>478</v>
      </c>
      <c r="D56" s="36" t="s">
        <v>10</v>
      </c>
      <c r="E56" s="36" t="s">
        <v>130</v>
      </c>
      <c r="F56" s="36" t="s">
        <v>12</v>
      </c>
      <c r="G56" s="36" t="s">
        <v>13</v>
      </c>
      <c r="H56" s="36" t="s">
        <v>489</v>
      </c>
      <c r="I56" s="41" t="s">
        <v>476</v>
      </c>
      <c r="J56" s="7"/>
    </row>
    <row r="57" spans="1:10" x14ac:dyDescent="0.25">
      <c r="A57" s="36" t="s">
        <v>541</v>
      </c>
      <c r="B57" s="36" t="s">
        <v>43</v>
      </c>
      <c r="C57" s="36"/>
      <c r="D57" s="36">
        <v>32</v>
      </c>
      <c r="E57" s="36">
        <v>2010</v>
      </c>
      <c r="F57" s="36" t="s">
        <v>12</v>
      </c>
      <c r="G57" s="36" t="s">
        <v>13</v>
      </c>
      <c r="H57" s="36" t="str">
        <f t="shared" ref="H57:H91" si="3">B57&amp;" "&amp;C57</f>
        <v xml:space="preserve">Measurement Studio </v>
      </c>
      <c r="I57" s="30" t="s">
        <v>42</v>
      </c>
      <c r="J57" s="7"/>
    </row>
    <row r="58" spans="1:10" x14ac:dyDescent="0.25">
      <c r="A58" s="36" t="s">
        <v>541</v>
      </c>
      <c r="B58" s="36" t="s">
        <v>116</v>
      </c>
      <c r="C58" s="36" t="s">
        <v>45</v>
      </c>
      <c r="D58" s="36">
        <v>32</v>
      </c>
      <c r="E58" s="36">
        <v>2015</v>
      </c>
      <c r="F58" s="36" t="s">
        <v>12</v>
      </c>
      <c r="G58" s="36" t="s">
        <v>13</v>
      </c>
      <c r="H58" s="36" t="str">
        <f t="shared" si="3"/>
        <v>Measurement Studio Common 15.0.40.49154</v>
      </c>
      <c r="I58" s="30" t="s">
        <v>42</v>
      </c>
      <c r="J58" s="7"/>
    </row>
    <row r="59" spans="1:10" x14ac:dyDescent="0.25">
      <c r="A59" s="36" t="s">
        <v>541</v>
      </c>
      <c r="B59" s="36" t="s">
        <v>116</v>
      </c>
      <c r="C59" s="36" t="s">
        <v>45</v>
      </c>
      <c r="D59" s="36">
        <v>64</v>
      </c>
      <c r="E59" s="36">
        <v>2015</v>
      </c>
      <c r="F59" s="36" t="s">
        <v>12</v>
      </c>
      <c r="G59" s="36" t="s">
        <v>13</v>
      </c>
      <c r="H59" s="36" t="str">
        <f t="shared" si="3"/>
        <v>Measurement Studio Common 15.0.40.49154</v>
      </c>
      <c r="I59" s="30" t="s">
        <v>42</v>
      </c>
      <c r="J59" s="7"/>
    </row>
    <row r="60" spans="1:10" x14ac:dyDescent="0.25">
      <c r="A60" s="36" t="s">
        <v>541</v>
      </c>
      <c r="B60" s="36" t="s">
        <v>115</v>
      </c>
      <c r="C60" s="36"/>
      <c r="D60" s="36">
        <v>32</v>
      </c>
      <c r="E60" s="36">
        <v>2010</v>
      </c>
      <c r="F60" s="36" t="s">
        <v>12</v>
      </c>
      <c r="G60" s="36" t="s">
        <v>13</v>
      </c>
      <c r="H60" s="36" t="str">
        <f t="shared" si="3"/>
        <v xml:space="preserve">Measurement Studio DotNET </v>
      </c>
      <c r="I60" s="30" t="s">
        <v>42</v>
      </c>
      <c r="J60" s="7"/>
    </row>
    <row r="61" spans="1:10" x14ac:dyDescent="0.25">
      <c r="A61" s="36" t="s">
        <v>541</v>
      </c>
      <c r="B61" s="75" t="s">
        <v>251</v>
      </c>
      <c r="C61" s="76" t="s">
        <v>252</v>
      </c>
      <c r="D61" s="75" t="s">
        <v>10</v>
      </c>
      <c r="E61" s="75" t="s">
        <v>136</v>
      </c>
      <c r="F61" s="76" t="s">
        <v>12</v>
      </c>
      <c r="G61" s="76" t="s">
        <v>253</v>
      </c>
      <c r="H61" s="75" t="str">
        <f t="shared" si="3"/>
        <v>MGI 1D Array 1.0.2.3</v>
      </c>
      <c r="I61" s="89" t="s">
        <v>202</v>
      </c>
      <c r="J61" s="7"/>
    </row>
    <row r="62" spans="1:10" x14ac:dyDescent="0.25">
      <c r="A62" s="36" t="s">
        <v>541</v>
      </c>
      <c r="B62" s="75" t="s">
        <v>254</v>
      </c>
      <c r="C62" s="76" t="s">
        <v>255</v>
      </c>
      <c r="D62" s="75" t="s">
        <v>10</v>
      </c>
      <c r="E62" s="75" t="s">
        <v>136</v>
      </c>
      <c r="F62" s="76" t="s">
        <v>12</v>
      </c>
      <c r="G62" s="76" t="s">
        <v>253</v>
      </c>
      <c r="H62" s="75" t="str">
        <f t="shared" si="3"/>
        <v>MGI 2D Array 1.1.1.5</v>
      </c>
      <c r="I62" s="89" t="s">
        <v>202</v>
      </c>
      <c r="J62" s="7"/>
    </row>
    <row r="63" spans="1:10" x14ac:dyDescent="0.25">
      <c r="A63" s="36" t="s">
        <v>541</v>
      </c>
      <c r="B63" s="75" t="s">
        <v>256</v>
      </c>
      <c r="C63" s="76" t="s">
        <v>257</v>
      </c>
      <c r="D63" s="75" t="s">
        <v>10</v>
      </c>
      <c r="E63" s="75" t="s">
        <v>136</v>
      </c>
      <c r="F63" s="76" t="s">
        <v>12</v>
      </c>
      <c r="G63" s="76" t="s">
        <v>253</v>
      </c>
      <c r="H63" s="75" t="str">
        <f t="shared" si="3"/>
        <v>MGI Actor Framework Message Maker 1.0.1.6</v>
      </c>
      <c r="I63" s="89" t="s">
        <v>202</v>
      </c>
      <c r="J63" s="7"/>
    </row>
    <row r="64" spans="1:10" x14ac:dyDescent="0.25">
      <c r="A64" s="36" t="s">
        <v>541</v>
      </c>
      <c r="B64" s="75" t="s">
        <v>258</v>
      </c>
      <c r="C64" s="76" t="s">
        <v>259</v>
      </c>
      <c r="D64" s="75" t="s">
        <v>10</v>
      </c>
      <c r="E64" s="75" t="s">
        <v>136</v>
      </c>
      <c r="F64" s="76" t="s">
        <v>12</v>
      </c>
      <c r="G64" s="76" t="s">
        <v>253</v>
      </c>
      <c r="H64" s="75" t="str">
        <f t="shared" si="3"/>
        <v>MGI Application Control 1.1.1.10</v>
      </c>
      <c r="I64" s="89" t="s">
        <v>202</v>
      </c>
      <c r="J64" s="7"/>
    </row>
    <row r="65" spans="1:10" x14ac:dyDescent="0.25">
      <c r="A65" s="36" t="s">
        <v>541</v>
      </c>
      <c r="B65" s="75" t="s">
        <v>260</v>
      </c>
      <c r="C65" s="76" t="s">
        <v>261</v>
      </c>
      <c r="D65" s="75" t="s">
        <v>10</v>
      </c>
      <c r="E65" s="75" t="s">
        <v>136</v>
      </c>
      <c r="F65" s="76" t="s">
        <v>12</v>
      </c>
      <c r="G65" s="76" t="s">
        <v>253</v>
      </c>
      <c r="H65" s="75" t="str">
        <f t="shared" si="3"/>
        <v>MGI Bezier 1.1.1.2</v>
      </c>
      <c r="I65" s="89" t="s">
        <v>202</v>
      </c>
      <c r="J65" s="7"/>
    </row>
    <row r="66" spans="1:10" x14ac:dyDescent="0.25">
      <c r="A66" s="36" t="s">
        <v>541</v>
      </c>
      <c r="B66" s="75" t="s">
        <v>262</v>
      </c>
      <c r="C66" s="76" t="s">
        <v>263</v>
      </c>
      <c r="D66" s="75" t="s">
        <v>10</v>
      </c>
      <c r="E66" s="75" t="s">
        <v>136</v>
      </c>
      <c r="F66" s="76" t="s">
        <v>12</v>
      </c>
      <c r="G66" s="76" t="s">
        <v>253</v>
      </c>
      <c r="H66" s="75" t="str">
        <f t="shared" si="3"/>
        <v>MGI Boolean 1.0.1.3</v>
      </c>
      <c r="I66" s="89" t="s">
        <v>202</v>
      </c>
      <c r="J66" s="7"/>
    </row>
    <row r="67" spans="1:10" x14ac:dyDescent="0.25">
      <c r="A67" s="36" t="s">
        <v>541</v>
      </c>
      <c r="B67" s="75" t="s">
        <v>264</v>
      </c>
      <c r="C67" s="76" t="s">
        <v>265</v>
      </c>
      <c r="D67" s="75" t="s">
        <v>10</v>
      </c>
      <c r="E67" s="75" t="s">
        <v>136</v>
      </c>
      <c r="F67" s="76" t="s">
        <v>12</v>
      </c>
      <c r="G67" s="76" t="s">
        <v>253</v>
      </c>
      <c r="H67" s="75" t="str">
        <f t="shared" si="3"/>
        <v>MGI Class Method Browser 1.0.0.20</v>
      </c>
      <c r="I67" s="89" t="s">
        <v>202</v>
      </c>
      <c r="J67" s="7"/>
    </row>
    <row r="68" spans="1:10" x14ac:dyDescent="0.25">
      <c r="A68" s="36" t="s">
        <v>541</v>
      </c>
      <c r="B68" s="75" t="s">
        <v>266</v>
      </c>
      <c r="C68" s="76" t="s">
        <v>267</v>
      </c>
      <c r="D68" s="75" t="s">
        <v>10</v>
      </c>
      <c r="E68" s="75" t="s">
        <v>136</v>
      </c>
      <c r="F68" s="76" t="s">
        <v>12</v>
      </c>
      <c r="G68" s="76" t="s">
        <v>253</v>
      </c>
      <c r="H68" s="75" t="str">
        <f t="shared" si="3"/>
        <v>MGI Cluster 1.1.0.1</v>
      </c>
      <c r="I68" s="89" t="s">
        <v>202</v>
      </c>
      <c r="J68" s="7"/>
    </row>
    <row r="69" spans="1:10" x14ac:dyDescent="0.25">
      <c r="A69" s="36" t="s">
        <v>541</v>
      </c>
      <c r="B69" s="75" t="s">
        <v>268</v>
      </c>
      <c r="C69" s="76" t="s">
        <v>261</v>
      </c>
      <c r="D69" s="75" t="s">
        <v>10</v>
      </c>
      <c r="E69" s="75" t="s">
        <v>136</v>
      </c>
      <c r="F69" s="76" t="s">
        <v>12</v>
      </c>
      <c r="G69" s="76" t="s">
        <v>253</v>
      </c>
      <c r="H69" s="75" t="str">
        <f t="shared" si="3"/>
        <v>MGI Coordinates 1.1.1.2</v>
      </c>
      <c r="I69" s="89" t="s">
        <v>202</v>
      </c>
      <c r="J69" s="7"/>
    </row>
    <row r="70" spans="1:10" x14ac:dyDescent="0.25">
      <c r="A70" s="36" t="s">
        <v>541</v>
      </c>
      <c r="B70" s="75" t="s">
        <v>269</v>
      </c>
      <c r="C70" s="76" t="s">
        <v>270</v>
      </c>
      <c r="D70" s="75" t="s">
        <v>10</v>
      </c>
      <c r="E70" s="75" t="s">
        <v>136</v>
      </c>
      <c r="F70" s="76" t="s">
        <v>12</v>
      </c>
      <c r="G70" s="76" t="s">
        <v>253</v>
      </c>
      <c r="H70" s="75" t="str">
        <f t="shared" si="3"/>
        <v>MGI Error Handling 1.1.1.3</v>
      </c>
      <c r="I70" s="89" t="s">
        <v>202</v>
      </c>
      <c r="J70" s="7"/>
    </row>
    <row r="71" spans="1:10" x14ac:dyDescent="0.25">
      <c r="A71" s="36" t="s">
        <v>541</v>
      </c>
      <c r="B71" s="75" t="s">
        <v>271</v>
      </c>
      <c r="C71" s="76" t="s">
        <v>272</v>
      </c>
      <c r="D71" s="75" t="s">
        <v>10</v>
      </c>
      <c r="E71" s="75" t="s">
        <v>136</v>
      </c>
      <c r="F71" s="76" t="s">
        <v>12</v>
      </c>
      <c r="G71" s="76" t="s">
        <v>253</v>
      </c>
      <c r="H71" s="75" t="str">
        <f t="shared" si="3"/>
        <v>MGI Error Reporter 1.0.2.5</v>
      </c>
      <c r="I71" s="89" t="s">
        <v>202</v>
      </c>
      <c r="J71" s="7"/>
    </row>
    <row r="72" spans="1:10" x14ac:dyDescent="0.25">
      <c r="A72" s="36" t="s">
        <v>541</v>
      </c>
      <c r="B72" s="75" t="s">
        <v>273</v>
      </c>
      <c r="C72" s="76" t="s">
        <v>274</v>
      </c>
      <c r="D72" s="75" t="s">
        <v>10</v>
      </c>
      <c r="E72" s="75" t="s">
        <v>136</v>
      </c>
      <c r="F72" s="76" t="s">
        <v>12</v>
      </c>
      <c r="G72" s="76" t="s">
        <v>253</v>
      </c>
      <c r="H72" s="75" t="str">
        <f t="shared" si="3"/>
        <v>MGI File 1.1.0.4</v>
      </c>
      <c r="I72" s="89" t="s">
        <v>202</v>
      </c>
      <c r="J72" s="7"/>
    </row>
    <row r="73" spans="1:10" x14ac:dyDescent="0.25">
      <c r="A73" s="36" t="s">
        <v>541</v>
      </c>
      <c r="B73" s="75" t="s">
        <v>275</v>
      </c>
      <c r="C73" s="76" t="s">
        <v>276</v>
      </c>
      <c r="D73" s="75" t="s">
        <v>10</v>
      </c>
      <c r="E73" s="75" t="s">
        <v>136</v>
      </c>
      <c r="F73" s="76" t="s">
        <v>12</v>
      </c>
      <c r="G73" s="76" t="s">
        <v>253</v>
      </c>
      <c r="H73" s="75" t="str">
        <f t="shared" si="3"/>
        <v>MGI Graph 1.0.2.6</v>
      </c>
      <c r="I73" s="89" t="s">
        <v>202</v>
      </c>
      <c r="J73" s="7"/>
    </row>
    <row r="74" spans="1:10" x14ac:dyDescent="0.25">
      <c r="A74" s="36" t="s">
        <v>541</v>
      </c>
      <c r="B74" s="75" t="s">
        <v>277</v>
      </c>
      <c r="C74" s="76" t="s">
        <v>278</v>
      </c>
      <c r="D74" s="75" t="s">
        <v>10</v>
      </c>
      <c r="E74" s="75" t="s">
        <v>136</v>
      </c>
      <c r="F74" s="76" t="s">
        <v>12</v>
      </c>
      <c r="G74" s="76" t="s">
        <v>253</v>
      </c>
      <c r="H74" s="75" t="str">
        <f t="shared" si="3"/>
        <v>MGI Library 1.2.0.4</v>
      </c>
      <c r="I74" s="89" t="s">
        <v>202</v>
      </c>
      <c r="J74" s="7"/>
    </row>
    <row r="75" spans="1:10" x14ac:dyDescent="0.25">
      <c r="A75" s="36" t="s">
        <v>541</v>
      </c>
      <c r="B75" s="75" t="s">
        <v>279</v>
      </c>
      <c r="C75" s="76" t="s">
        <v>267</v>
      </c>
      <c r="D75" s="75" t="s">
        <v>10</v>
      </c>
      <c r="E75" s="75" t="s">
        <v>136</v>
      </c>
      <c r="F75" s="76" t="s">
        <v>12</v>
      </c>
      <c r="G75" s="76" t="s">
        <v>253</v>
      </c>
      <c r="H75" s="75" t="str">
        <f t="shared" si="3"/>
        <v>MGI Matrix &amp; Vector 1.1.0.1</v>
      </c>
      <c r="I75" s="89" t="s">
        <v>202</v>
      </c>
      <c r="J75" s="7"/>
    </row>
    <row r="76" spans="1:10" x14ac:dyDescent="0.25">
      <c r="A76" s="36" t="s">
        <v>541</v>
      </c>
      <c r="B76" s="75" t="s">
        <v>280</v>
      </c>
      <c r="C76" s="76" t="s">
        <v>281</v>
      </c>
      <c r="D76" s="75" t="s">
        <v>10</v>
      </c>
      <c r="E76" s="75" t="s">
        <v>136</v>
      </c>
      <c r="F76" s="76" t="s">
        <v>12</v>
      </c>
      <c r="G76" s="76" t="s">
        <v>253</v>
      </c>
      <c r="H76" s="75" t="str">
        <f t="shared" si="3"/>
        <v>MGI Menu Building 1.0.1.4</v>
      </c>
      <c r="I76" s="89" t="s">
        <v>202</v>
      </c>
      <c r="J76" s="7"/>
    </row>
    <row r="77" spans="1:10" x14ac:dyDescent="0.25">
      <c r="A77" s="36" t="s">
        <v>541</v>
      </c>
      <c r="B77" s="75" t="s">
        <v>282</v>
      </c>
      <c r="C77" s="76" t="s">
        <v>283</v>
      </c>
      <c r="D77" s="75" t="s">
        <v>10</v>
      </c>
      <c r="E77" s="75" t="s">
        <v>136</v>
      </c>
      <c r="F77" s="76" t="s">
        <v>12</v>
      </c>
      <c r="G77" s="76" t="s">
        <v>253</v>
      </c>
      <c r="H77" s="75" t="str">
        <f t="shared" si="3"/>
        <v>MGI Monitored Actor 2.0.0.23</v>
      </c>
      <c r="I77" s="89" t="s">
        <v>202</v>
      </c>
      <c r="J77" s="7"/>
    </row>
    <row r="78" spans="1:10" x14ac:dyDescent="0.25">
      <c r="A78" s="36" t="s">
        <v>541</v>
      </c>
      <c r="B78" s="75" t="s">
        <v>284</v>
      </c>
      <c r="C78" s="76" t="s">
        <v>285</v>
      </c>
      <c r="D78" s="75" t="s">
        <v>10</v>
      </c>
      <c r="E78" s="75" t="s">
        <v>136</v>
      </c>
      <c r="F78" s="76" t="s">
        <v>12</v>
      </c>
      <c r="G78" s="76" t="s">
        <v>253</v>
      </c>
      <c r="H78" s="75" t="str">
        <f t="shared" si="3"/>
        <v>MGI Numeric 1.1.0.2</v>
      </c>
      <c r="I78" s="89" t="s">
        <v>202</v>
      </c>
      <c r="J78" s="7"/>
    </row>
    <row r="79" spans="1:10" x14ac:dyDescent="0.25">
      <c r="A79" s="36" t="s">
        <v>541</v>
      </c>
      <c r="B79" s="75" t="s">
        <v>286</v>
      </c>
      <c r="C79" s="76" t="s">
        <v>281</v>
      </c>
      <c r="D79" s="75" t="s">
        <v>10</v>
      </c>
      <c r="E79" s="75" t="s">
        <v>136</v>
      </c>
      <c r="F79" s="76" t="s">
        <v>12</v>
      </c>
      <c r="G79" s="76" t="s">
        <v>253</v>
      </c>
      <c r="H79" s="75" t="str">
        <f t="shared" si="3"/>
        <v>MGI Panel Manager 1.0.1.4</v>
      </c>
      <c r="I79" s="89" t="s">
        <v>202</v>
      </c>
      <c r="J79" s="7"/>
    </row>
    <row r="80" spans="1:10" x14ac:dyDescent="0.25">
      <c r="A80" s="36" t="s">
        <v>541</v>
      </c>
      <c r="B80" s="75" t="s">
        <v>287</v>
      </c>
      <c r="C80" s="76" t="s">
        <v>257</v>
      </c>
      <c r="D80" s="75" t="s">
        <v>10</v>
      </c>
      <c r="E80" s="75" t="s">
        <v>136</v>
      </c>
      <c r="F80" s="76" t="s">
        <v>12</v>
      </c>
      <c r="G80" s="76" t="s">
        <v>253</v>
      </c>
      <c r="H80" s="75" t="str">
        <f t="shared" si="3"/>
        <v>MGI Panel Manager - DQMH Panels 1.0.1.6</v>
      </c>
      <c r="I80" s="89" t="s">
        <v>202</v>
      </c>
      <c r="J80" s="7"/>
    </row>
    <row r="81" spans="1:10" x14ac:dyDescent="0.25">
      <c r="A81" s="36" t="s">
        <v>541</v>
      </c>
      <c r="B81" s="75" t="s">
        <v>288</v>
      </c>
      <c r="C81" s="76" t="s">
        <v>289</v>
      </c>
      <c r="D81" s="75" t="s">
        <v>10</v>
      </c>
      <c r="E81" s="75" t="s">
        <v>136</v>
      </c>
      <c r="F81" s="76" t="s">
        <v>12</v>
      </c>
      <c r="G81" s="76" t="s">
        <v>253</v>
      </c>
      <c r="H81" s="75" t="str">
        <f t="shared" si="3"/>
        <v>MGI Picture &amp; Image 1.0.2.1</v>
      </c>
      <c r="I81" s="89" t="s">
        <v>202</v>
      </c>
      <c r="J81" s="7"/>
    </row>
    <row r="82" spans="1:10" x14ac:dyDescent="0.25">
      <c r="A82" s="36" t="s">
        <v>541</v>
      </c>
      <c r="B82" s="75" t="s">
        <v>290</v>
      </c>
      <c r="C82" s="76" t="s">
        <v>291</v>
      </c>
      <c r="D82" s="75" t="s">
        <v>10</v>
      </c>
      <c r="E82" s="75" t="s">
        <v>136</v>
      </c>
      <c r="F82" s="76" t="s">
        <v>12</v>
      </c>
      <c r="G82" s="76" t="s">
        <v>253</v>
      </c>
      <c r="H82" s="75" t="str">
        <f t="shared" si="3"/>
        <v>MGI Read/Write Anything 2.1.4.4</v>
      </c>
      <c r="I82" s="89" t="s">
        <v>202</v>
      </c>
      <c r="J82" s="7"/>
    </row>
    <row r="83" spans="1:10" x14ac:dyDescent="0.25">
      <c r="A83" s="36" t="s">
        <v>541</v>
      </c>
      <c r="B83" s="75" t="s">
        <v>292</v>
      </c>
      <c r="C83" s="76" t="s">
        <v>293</v>
      </c>
      <c r="D83" s="75" t="s">
        <v>10</v>
      </c>
      <c r="E83" s="75" t="s">
        <v>136</v>
      </c>
      <c r="F83" s="76" t="s">
        <v>12</v>
      </c>
      <c r="G83" s="76" t="s">
        <v>253</v>
      </c>
      <c r="H83" s="75" t="str">
        <f t="shared" si="3"/>
        <v>MGI Robust XML 1.0.3.4</v>
      </c>
      <c r="I83" s="89" t="s">
        <v>202</v>
      </c>
      <c r="J83" s="7"/>
    </row>
    <row r="84" spans="1:10" x14ac:dyDescent="0.25">
      <c r="A84" s="36" t="s">
        <v>541</v>
      </c>
      <c r="B84" s="75" t="s">
        <v>294</v>
      </c>
      <c r="C84" s="76" t="s">
        <v>267</v>
      </c>
      <c r="D84" s="75" t="s">
        <v>10</v>
      </c>
      <c r="E84" s="75" t="s">
        <v>136</v>
      </c>
      <c r="F84" s="76" t="s">
        <v>12</v>
      </c>
      <c r="G84" s="76" t="s">
        <v>253</v>
      </c>
      <c r="H84" s="75" t="str">
        <f t="shared" si="3"/>
        <v>MGI Spline 1.1.0.1</v>
      </c>
      <c r="I84" s="89" t="s">
        <v>202</v>
      </c>
      <c r="J84" s="7"/>
    </row>
    <row r="85" spans="1:10" x14ac:dyDescent="0.25">
      <c r="A85" s="36" t="s">
        <v>541</v>
      </c>
      <c r="B85" s="75" t="s">
        <v>295</v>
      </c>
      <c r="C85" s="76" t="s">
        <v>255</v>
      </c>
      <c r="D85" s="75" t="s">
        <v>10</v>
      </c>
      <c r="E85" s="75" t="s">
        <v>136</v>
      </c>
      <c r="F85" s="76" t="s">
        <v>12</v>
      </c>
      <c r="G85" s="76" t="s">
        <v>253</v>
      </c>
      <c r="H85" s="75" t="str">
        <f t="shared" si="3"/>
        <v>MGI String 1.1.1.5</v>
      </c>
      <c r="I85" s="89" t="s">
        <v>202</v>
      </c>
      <c r="J85" s="7"/>
    </row>
    <row r="86" spans="1:10" x14ac:dyDescent="0.25">
      <c r="A86" s="36" t="s">
        <v>541</v>
      </c>
      <c r="B86" s="75" t="s">
        <v>296</v>
      </c>
      <c r="C86" s="76" t="s">
        <v>285</v>
      </c>
      <c r="D86" s="75" t="s">
        <v>10</v>
      </c>
      <c r="E86" s="75" t="s">
        <v>136</v>
      </c>
      <c r="F86" s="76" t="s">
        <v>12</v>
      </c>
      <c r="G86" s="76" t="s">
        <v>253</v>
      </c>
      <c r="H86" s="75" t="str">
        <f t="shared" si="3"/>
        <v>MGI Timing 1.1.0.2</v>
      </c>
      <c r="I86" s="89" t="s">
        <v>202</v>
      </c>
      <c r="J86" s="7"/>
    </row>
    <row r="87" spans="1:10" x14ac:dyDescent="0.25">
      <c r="A87" s="36" t="s">
        <v>541</v>
      </c>
      <c r="B87" s="75" t="s">
        <v>297</v>
      </c>
      <c r="C87" s="76" t="s">
        <v>298</v>
      </c>
      <c r="D87" s="75" t="s">
        <v>10</v>
      </c>
      <c r="E87" s="75" t="s">
        <v>136</v>
      </c>
      <c r="F87" s="76" t="s">
        <v>12</v>
      </c>
      <c r="G87" s="76" t="s">
        <v>253</v>
      </c>
      <c r="H87" s="75" t="str">
        <f t="shared" si="3"/>
        <v>MGI Tools 1.0.0.4</v>
      </c>
      <c r="I87" s="89" t="s">
        <v>202</v>
      </c>
      <c r="J87" s="7"/>
    </row>
    <row r="88" spans="1:10" x14ac:dyDescent="0.25">
      <c r="A88" s="36" t="s">
        <v>541</v>
      </c>
      <c r="B88" s="75" t="s">
        <v>299</v>
      </c>
      <c r="C88" s="76" t="s">
        <v>300</v>
      </c>
      <c r="D88" s="75" t="s">
        <v>10</v>
      </c>
      <c r="E88" s="75" t="s">
        <v>136</v>
      </c>
      <c r="F88" s="76" t="s">
        <v>12</v>
      </c>
      <c r="G88" s="76" t="s">
        <v>253</v>
      </c>
      <c r="H88" s="75" t="str">
        <f t="shared" si="3"/>
        <v>MGI Tree 1.0.4.4</v>
      </c>
      <c r="I88" s="89" t="s">
        <v>202</v>
      </c>
      <c r="J88" s="7"/>
    </row>
    <row r="89" spans="1:10" x14ac:dyDescent="0.25">
      <c r="A89" s="36" t="s">
        <v>541</v>
      </c>
      <c r="B89" s="75" t="s">
        <v>301</v>
      </c>
      <c r="C89" s="76" t="s">
        <v>302</v>
      </c>
      <c r="D89" s="75" t="s">
        <v>10</v>
      </c>
      <c r="E89" s="75" t="s">
        <v>136</v>
      </c>
      <c r="F89" s="76" t="s">
        <v>12</v>
      </c>
      <c r="G89" s="76" t="s">
        <v>253</v>
      </c>
      <c r="H89" s="75" t="str">
        <f t="shared" si="3"/>
        <v>MGI User Interface 1.0.1.11</v>
      </c>
      <c r="I89" s="89" t="s">
        <v>202</v>
      </c>
      <c r="J89" s="7"/>
    </row>
    <row r="90" spans="1:10" x14ac:dyDescent="0.25">
      <c r="A90" s="36" t="s">
        <v>541</v>
      </c>
      <c r="B90" s="75" t="s">
        <v>303</v>
      </c>
      <c r="C90" s="76" t="s">
        <v>304</v>
      </c>
      <c r="D90" s="75" t="s">
        <v>10</v>
      </c>
      <c r="E90" s="75" t="s">
        <v>136</v>
      </c>
      <c r="F90" s="76" t="s">
        <v>12</v>
      </c>
      <c r="G90" s="76" t="s">
        <v>253</v>
      </c>
      <c r="H90" s="75" t="str">
        <f t="shared" si="3"/>
        <v>MGI WSA Framework 1.0.0.27</v>
      </c>
      <c r="I90" s="89" t="s">
        <v>202</v>
      </c>
      <c r="J90" s="7"/>
    </row>
    <row r="91" spans="1:10" x14ac:dyDescent="0.25">
      <c r="A91" s="36" t="s">
        <v>541</v>
      </c>
      <c r="B91" s="36" t="s">
        <v>398</v>
      </c>
      <c r="C91" s="36" t="s">
        <v>30</v>
      </c>
      <c r="D91" s="36">
        <v>32</v>
      </c>
      <c r="E91" s="36">
        <v>2015</v>
      </c>
      <c r="F91" s="36" t="s">
        <v>12</v>
      </c>
      <c r="G91" s="36" t="s">
        <v>13</v>
      </c>
      <c r="H91" s="36" t="str">
        <f t="shared" si="3"/>
        <v>NI 1588-2008 Network Management 15.0.0 15.0.0f0</v>
      </c>
      <c r="I91" s="30" t="s">
        <v>42</v>
      </c>
      <c r="J91" s="7"/>
    </row>
    <row r="92" spans="1:10" x14ac:dyDescent="0.25">
      <c r="A92" s="36" t="s">
        <v>541</v>
      </c>
      <c r="B92" s="75" t="s">
        <v>305</v>
      </c>
      <c r="C92" s="76" t="s">
        <v>306</v>
      </c>
      <c r="D92" s="75" t="s">
        <v>10</v>
      </c>
      <c r="E92" s="75" t="s">
        <v>136</v>
      </c>
      <c r="F92" s="76" t="s">
        <v>12</v>
      </c>
      <c r="G92" s="76" t="s">
        <v>13</v>
      </c>
      <c r="H92" s="75" t="s">
        <v>536</v>
      </c>
      <c r="I92" s="89" t="s">
        <v>202</v>
      </c>
      <c r="J92" s="7"/>
    </row>
    <row r="93" spans="1:10" x14ac:dyDescent="0.25">
      <c r="A93" s="36" t="s">
        <v>541</v>
      </c>
      <c r="B93" s="75" t="s">
        <v>165</v>
      </c>
      <c r="C93" s="76" t="s">
        <v>166</v>
      </c>
      <c r="D93" s="75" t="s">
        <v>10</v>
      </c>
      <c r="E93" s="75" t="s">
        <v>11</v>
      </c>
      <c r="F93" s="76" t="s">
        <v>12</v>
      </c>
      <c r="G93" s="76" t="s">
        <v>13</v>
      </c>
      <c r="H93" s="75" t="s">
        <v>537</v>
      </c>
      <c r="I93" s="89" t="s">
        <v>202</v>
      </c>
      <c r="J93" s="7"/>
    </row>
    <row r="94" spans="1:10" x14ac:dyDescent="0.25">
      <c r="A94" s="36" t="s">
        <v>541</v>
      </c>
      <c r="B94" s="75" t="s">
        <v>307</v>
      </c>
      <c r="C94" s="76" t="s">
        <v>308</v>
      </c>
      <c r="D94" s="75" t="s">
        <v>10</v>
      </c>
      <c r="E94" s="75" t="s">
        <v>136</v>
      </c>
      <c r="F94" s="76" t="s">
        <v>12</v>
      </c>
      <c r="G94" s="76" t="s">
        <v>13</v>
      </c>
      <c r="H94" s="75" t="str">
        <f t="shared" ref="H94:H107" si="4">B94&amp;" "&amp;C94</f>
        <v>NI GXML 1.4.2.8</v>
      </c>
      <c r="I94" s="89" t="s">
        <v>202</v>
      </c>
      <c r="J94" s="7"/>
    </row>
    <row r="95" spans="1:10" x14ac:dyDescent="0.25">
      <c r="A95" s="36" t="s">
        <v>541</v>
      </c>
      <c r="B95" s="75" t="s">
        <v>309</v>
      </c>
      <c r="C95" s="75" t="s">
        <v>310</v>
      </c>
      <c r="D95" s="75" t="s">
        <v>10</v>
      </c>
      <c r="E95" s="75" t="s">
        <v>136</v>
      </c>
      <c r="F95" s="76" t="s">
        <v>12</v>
      </c>
      <c r="G95" s="76" t="s">
        <v>13</v>
      </c>
      <c r="H95" s="75" t="str">
        <f t="shared" si="4"/>
        <v>NI Keyed Array Library 2.0.0.11</v>
      </c>
      <c r="I95" s="89" t="s">
        <v>202</v>
      </c>
      <c r="J95" s="7"/>
    </row>
    <row r="96" spans="1:10" x14ac:dyDescent="0.25">
      <c r="A96" s="36" t="s">
        <v>541</v>
      </c>
      <c r="B96" s="36" t="s">
        <v>29</v>
      </c>
      <c r="C96" s="36" t="s">
        <v>430</v>
      </c>
      <c r="D96" s="36">
        <v>32</v>
      </c>
      <c r="E96" s="36">
        <v>2019</v>
      </c>
      <c r="F96" s="36" t="s">
        <v>12</v>
      </c>
      <c r="G96" s="36" t="s">
        <v>13</v>
      </c>
      <c r="H96" s="36" t="str">
        <f t="shared" si="4"/>
        <v>NI I/O Trace 19.0.0f0</v>
      </c>
      <c r="I96" s="30" t="s">
        <v>42</v>
      </c>
      <c r="J96" s="7"/>
    </row>
    <row r="97" spans="1:10" x14ac:dyDescent="0.25">
      <c r="A97" s="36" t="s">
        <v>541</v>
      </c>
      <c r="B97" s="75" t="s">
        <v>311</v>
      </c>
      <c r="C97" s="76" t="s">
        <v>312</v>
      </c>
      <c r="D97" s="75" t="s">
        <v>10</v>
      </c>
      <c r="E97" s="75" t="s">
        <v>136</v>
      </c>
      <c r="F97" s="76" t="s">
        <v>12</v>
      </c>
      <c r="G97" s="76" t="s">
        <v>13</v>
      </c>
      <c r="H97" s="75" t="str">
        <f t="shared" si="4"/>
        <v>NI Modbus Library 1.2.1.42</v>
      </c>
      <c r="I97" s="89" t="s">
        <v>202</v>
      </c>
      <c r="J97" s="7"/>
    </row>
    <row r="98" spans="1:10" x14ac:dyDescent="0.25">
      <c r="A98" s="36" t="s">
        <v>541</v>
      </c>
      <c r="B98" s="75" t="s">
        <v>159</v>
      </c>
      <c r="C98" s="75" t="s">
        <v>160</v>
      </c>
      <c r="D98" s="75" t="s">
        <v>10</v>
      </c>
      <c r="E98" s="75" t="s">
        <v>136</v>
      </c>
      <c r="F98" s="76" t="s">
        <v>12</v>
      </c>
      <c r="G98" s="76" t="s">
        <v>13</v>
      </c>
      <c r="H98" s="75" t="str">
        <f t="shared" si="4"/>
        <v>NI String Tools Library 2.0.0.5</v>
      </c>
      <c r="I98" s="89" t="s">
        <v>202</v>
      </c>
      <c r="J98" s="7"/>
    </row>
    <row r="99" spans="1:10" x14ac:dyDescent="0.25">
      <c r="A99" s="36" t="s">
        <v>541</v>
      </c>
      <c r="B99" s="36" t="s">
        <v>140</v>
      </c>
      <c r="C99" s="36" t="s">
        <v>53</v>
      </c>
      <c r="D99" s="36">
        <v>32</v>
      </c>
      <c r="E99" s="36">
        <v>2015</v>
      </c>
      <c r="F99" s="36" t="s">
        <v>24</v>
      </c>
      <c r="G99" s="36" t="s">
        <v>13</v>
      </c>
      <c r="H99" s="36" t="str">
        <f t="shared" si="4"/>
        <v>NI PXI Platform Services 15.0.0f1</v>
      </c>
      <c r="I99" s="30" t="s">
        <v>42</v>
      </c>
      <c r="J99" s="7"/>
    </row>
    <row r="100" spans="1:10" x14ac:dyDescent="0.25">
      <c r="A100" s="36" t="s">
        <v>541</v>
      </c>
      <c r="B100" s="36" t="s">
        <v>52</v>
      </c>
      <c r="C100" s="36" t="s">
        <v>478</v>
      </c>
      <c r="D100" s="36" t="s">
        <v>10</v>
      </c>
      <c r="E100" s="36" t="s">
        <v>130</v>
      </c>
      <c r="F100" s="36" t="s">
        <v>12</v>
      </c>
      <c r="G100" s="36" t="s">
        <v>13</v>
      </c>
      <c r="H100" s="36" t="str">
        <f t="shared" si="4"/>
        <v>NI PXI Platform Services Configuration 18.0.0f0</v>
      </c>
      <c r="I100" s="41" t="s">
        <v>476</v>
      </c>
      <c r="J100" s="7"/>
    </row>
    <row r="101" spans="1:10" x14ac:dyDescent="0.25">
      <c r="A101" s="36" t="s">
        <v>541</v>
      </c>
      <c r="B101" s="36" t="s">
        <v>55</v>
      </c>
      <c r="C101" s="36" t="s">
        <v>9</v>
      </c>
      <c r="D101" s="36">
        <v>32</v>
      </c>
      <c r="E101" s="36">
        <v>2015</v>
      </c>
      <c r="F101" s="36" t="s">
        <v>12</v>
      </c>
      <c r="G101" s="36" t="s">
        <v>13</v>
      </c>
      <c r="H101" s="36" t="str">
        <f t="shared" si="4"/>
        <v>NI R Series Multifunction RIO 15.0.0</v>
      </c>
      <c r="I101" s="30" t="s">
        <v>42</v>
      </c>
      <c r="J101" s="7"/>
    </row>
    <row r="102" spans="1:10" x14ac:dyDescent="0.25">
      <c r="A102" s="36" t="s">
        <v>541</v>
      </c>
      <c r="B102" s="36" t="s">
        <v>20</v>
      </c>
      <c r="C102" s="37" t="s">
        <v>118</v>
      </c>
      <c r="D102" s="36">
        <v>32</v>
      </c>
      <c r="E102" s="36">
        <v>2014</v>
      </c>
      <c r="F102" s="36" t="s">
        <v>12</v>
      </c>
      <c r="G102" s="36" t="s">
        <v>13</v>
      </c>
      <c r="H102" s="36" t="str">
        <f t="shared" si="4"/>
        <v>NI Script Editor 14.0</v>
      </c>
      <c r="I102" s="30" t="s">
        <v>42</v>
      </c>
      <c r="J102" s="7"/>
    </row>
    <row r="103" spans="1:10" x14ac:dyDescent="0.25">
      <c r="A103" s="36" t="s">
        <v>541</v>
      </c>
      <c r="B103" s="36" t="s">
        <v>65</v>
      </c>
      <c r="C103" s="37" t="s">
        <v>102</v>
      </c>
      <c r="D103" s="36">
        <v>32</v>
      </c>
      <c r="E103" s="36">
        <v>2015</v>
      </c>
      <c r="F103" s="36" t="s">
        <v>12</v>
      </c>
      <c r="G103" s="36" t="s">
        <v>13</v>
      </c>
      <c r="H103" s="36" t="str">
        <f t="shared" si="4"/>
        <v>NI SignalExpress 15.0</v>
      </c>
      <c r="I103" s="30" t="s">
        <v>42</v>
      </c>
      <c r="J103" s="7"/>
    </row>
    <row r="104" spans="1:10" x14ac:dyDescent="0.25">
      <c r="A104" s="36" t="s">
        <v>541</v>
      </c>
      <c r="B104" s="36" t="s">
        <v>68</v>
      </c>
      <c r="C104" s="36" t="s">
        <v>430</v>
      </c>
      <c r="D104" s="36">
        <v>32</v>
      </c>
      <c r="E104" s="36">
        <v>2019</v>
      </c>
      <c r="F104" s="36" t="s">
        <v>12</v>
      </c>
      <c r="G104" s="36" t="s">
        <v>13</v>
      </c>
      <c r="H104" s="36" t="str">
        <f t="shared" si="4"/>
        <v>NI System Configuration 19.0.0f0</v>
      </c>
      <c r="I104" s="33" t="s">
        <v>424</v>
      </c>
      <c r="J104" s="7"/>
    </row>
    <row r="105" spans="1:10" x14ac:dyDescent="0.25">
      <c r="A105" s="36" t="s">
        <v>541</v>
      </c>
      <c r="B105" s="36" t="s">
        <v>28</v>
      </c>
      <c r="C105" s="36" t="s">
        <v>135</v>
      </c>
      <c r="D105" s="36">
        <v>32</v>
      </c>
      <c r="E105" s="36">
        <v>2019</v>
      </c>
      <c r="F105" s="36" t="s">
        <v>24</v>
      </c>
      <c r="G105" s="36" t="s">
        <v>13</v>
      </c>
      <c r="H105" s="36" t="str">
        <f t="shared" si="4"/>
        <v>NI-488.2 19.0.0</v>
      </c>
      <c r="I105" s="33" t="s">
        <v>424</v>
      </c>
      <c r="J105" s="7"/>
    </row>
    <row r="106" spans="1:10" x14ac:dyDescent="0.25">
      <c r="A106" s="36" t="s">
        <v>541</v>
      </c>
      <c r="B106" s="36" t="s">
        <v>28</v>
      </c>
      <c r="C106" s="36" t="s">
        <v>9</v>
      </c>
      <c r="D106" s="36">
        <v>32</v>
      </c>
      <c r="E106" s="36">
        <v>2015</v>
      </c>
      <c r="F106" s="36" t="s">
        <v>12</v>
      </c>
      <c r="G106" s="36" t="s">
        <v>13</v>
      </c>
      <c r="H106" s="36" t="str">
        <f t="shared" si="4"/>
        <v>NI-488.2 15.0.0</v>
      </c>
      <c r="I106" s="30" t="s">
        <v>42</v>
      </c>
      <c r="J106" s="7"/>
    </row>
    <row r="107" spans="1:10" x14ac:dyDescent="0.25">
      <c r="A107" s="36" t="s">
        <v>541</v>
      </c>
      <c r="B107" s="75" t="s">
        <v>363</v>
      </c>
      <c r="C107" s="76" t="s">
        <v>30</v>
      </c>
      <c r="D107" s="76" t="s">
        <v>10</v>
      </c>
      <c r="E107" s="76">
        <v>2015</v>
      </c>
      <c r="F107" s="76" t="s">
        <v>12</v>
      </c>
      <c r="G107" s="76" t="s">
        <v>13</v>
      </c>
      <c r="H107" s="75" t="str">
        <f t="shared" si="4"/>
        <v>NI-CAN 15.0.0f0</v>
      </c>
      <c r="I107" s="91" t="s">
        <v>543</v>
      </c>
      <c r="J107" s="7"/>
    </row>
    <row r="108" spans="1:10" x14ac:dyDescent="0.25">
      <c r="A108" s="36" t="s">
        <v>541</v>
      </c>
      <c r="B108" s="36" t="s">
        <v>18</v>
      </c>
      <c r="C108" s="36" t="s">
        <v>477</v>
      </c>
      <c r="D108" s="36" t="s">
        <v>10</v>
      </c>
      <c r="E108" s="36" t="s">
        <v>130</v>
      </c>
      <c r="F108" s="36" t="s">
        <v>12</v>
      </c>
      <c r="G108" s="36" t="s">
        <v>13</v>
      </c>
      <c r="H108" s="36" t="s">
        <v>487</v>
      </c>
      <c r="I108" s="41" t="s">
        <v>476</v>
      </c>
      <c r="J108" s="7"/>
    </row>
    <row r="109" spans="1:10" x14ac:dyDescent="0.25">
      <c r="A109" s="36" t="s">
        <v>541</v>
      </c>
      <c r="B109" s="36" t="s">
        <v>16</v>
      </c>
      <c r="C109" s="36" t="s">
        <v>450</v>
      </c>
      <c r="D109" s="36">
        <v>32</v>
      </c>
      <c r="E109" s="36">
        <v>2019</v>
      </c>
      <c r="F109" s="36" t="s">
        <v>12</v>
      </c>
      <c r="G109" s="36" t="s">
        <v>13</v>
      </c>
      <c r="H109" s="36" t="str">
        <f t="shared" ref="H109:H145" si="5">B109&amp;" "&amp;C109</f>
        <v>NI-DAQmx Device Driver 19.0.0.f1</v>
      </c>
      <c r="I109" s="33" t="s">
        <v>424</v>
      </c>
      <c r="J109" s="7"/>
    </row>
    <row r="110" spans="1:10" x14ac:dyDescent="0.25">
      <c r="A110" s="36" t="s">
        <v>541</v>
      </c>
      <c r="B110" s="36" t="s">
        <v>19</v>
      </c>
      <c r="C110" s="36" t="s">
        <v>477</v>
      </c>
      <c r="D110" s="36" t="s">
        <v>10</v>
      </c>
      <c r="E110" s="36" t="s">
        <v>130</v>
      </c>
      <c r="F110" s="36" t="s">
        <v>12</v>
      </c>
      <c r="G110" s="36" t="s">
        <v>13</v>
      </c>
      <c r="H110" s="36" t="str">
        <f t="shared" si="5"/>
        <v>NI-DAQmx MAX Configuration 18.1.0</v>
      </c>
      <c r="I110" s="41" t="s">
        <v>476</v>
      </c>
      <c r="J110" s="7"/>
    </row>
    <row r="111" spans="1:10" x14ac:dyDescent="0.25">
      <c r="A111" s="36" t="s">
        <v>541</v>
      </c>
      <c r="B111" s="36" t="s">
        <v>48</v>
      </c>
      <c r="C111" s="36"/>
      <c r="D111" s="36">
        <v>32</v>
      </c>
      <c r="E111" s="36">
        <v>2015</v>
      </c>
      <c r="F111" s="36" t="s">
        <v>12</v>
      </c>
      <c r="G111" s="36" t="s">
        <v>13</v>
      </c>
      <c r="H111" s="36" t="str">
        <f t="shared" si="5"/>
        <v xml:space="preserve">NI-DCPower </v>
      </c>
      <c r="I111" s="30" t="s">
        <v>42</v>
      </c>
      <c r="J111" s="7"/>
    </row>
    <row r="112" spans="1:10" x14ac:dyDescent="0.25">
      <c r="A112" s="36" t="s">
        <v>541</v>
      </c>
      <c r="B112" s="36" t="s">
        <v>48</v>
      </c>
      <c r="C112" s="37" t="s">
        <v>102</v>
      </c>
      <c r="D112" s="36">
        <v>32</v>
      </c>
      <c r="E112" s="36">
        <v>2015</v>
      </c>
      <c r="F112" s="36" t="s">
        <v>24</v>
      </c>
      <c r="G112" s="36" t="s">
        <v>13</v>
      </c>
      <c r="H112" s="36" t="str">
        <f t="shared" si="5"/>
        <v>NI-DCPower 15.0</v>
      </c>
      <c r="I112" s="30" t="s">
        <v>42</v>
      </c>
      <c r="J112" s="7"/>
    </row>
    <row r="113" spans="1:10" x14ac:dyDescent="0.25">
      <c r="A113" s="36" t="s">
        <v>541</v>
      </c>
      <c r="B113" s="36" t="s">
        <v>121</v>
      </c>
      <c r="C113" s="37" t="s">
        <v>102</v>
      </c>
      <c r="D113" s="36">
        <v>32</v>
      </c>
      <c r="E113" s="36">
        <v>2015</v>
      </c>
      <c r="F113" s="36" t="s">
        <v>12</v>
      </c>
      <c r="G113" s="36" t="s">
        <v>13</v>
      </c>
      <c r="H113" s="36" t="str">
        <f t="shared" si="5"/>
        <v>NI-DCPower Configuration Support 15.0</v>
      </c>
      <c r="I113" s="30" t="s">
        <v>42</v>
      </c>
      <c r="J113" s="7"/>
    </row>
    <row r="114" spans="1:10" x14ac:dyDescent="0.25">
      <c r="A114" s="36" t="s">
        <v>541</v>
      </c>
      <c r="B114" s="36" t="s">
        <v>122</v>
      </c>
      <c r="C114" s="37" t="s">
        <v>102</v>
      </c>
      <c r="D114" s="36">
        <v>32</v>
      </c>
      <c r="E114" s="36">
        <v>2015</v>
      </c>
      <c r="F114" s="36" t="s">
        <v>12</v>
      </c>
      <c r="G114" s="36" t="s">
        <v>13</v>
      </c>
      <c r="H114" s="36" t="str">
        <f t="shared" si="5"/>
        <v>NI-DCPower Development Support 15.0</v>
      </c>
      <c r="I114" s="30" t="s">
        <v>42</v>
      </c>
      <c r="J114" s="7"/>
    </row>
    <row r="115" spans="1:10" x14ac:dyDescent="0.25">
      <c r="A115" s="36" t="s">
        <v>541</v>
      </c>
      <c r="B115" s="36" t="s">
        <v>49</v>
      </c>
      <c r="C115" s="37" t="s">
        <v>102</v>
      </c>
      <c r="D115" s="36">
        <v>32</v>
      </c>
      <c r="E115" s="36">
        <v>2015</v>
      </c>
      <c r="F115" s="36" t="s">
        <v>12</v>
      </c>
      <c r="G115" s="36" t="s">
        <v>13</v>
      </c>
      <c r="H115" s="36" t="str">
        <f t="shared" si="5"/>
        <v>NI-DCPower Soft Front Panel 15.0</v>
      </c>
      <c r="I115" s="30" t="s">
        <v>42</v>
      </c>
      <c r="J115" s="7"/>
    </row>
    <row r="116" spans="1:10" x14ac:dyDescent="0.25">
      <c r="A116" s="36" t="s">
        <v>541</v>
      </c>
      <c r="B116" s="36" t="s">
        <v>21</v>
      </c>
      <c r="C116" s="36"/>
      <c r="D116" s="36">
        <v>32</v>
      </c>
      <c r="E116" s="36">
        <v>2015</v>
      </c>
      <c r="F116" s="36" t="s">
        <v>12</v>
      </c>
      <c r="G116" s="36" t="s">
        <v>13</v>
      </c>
      <c r="H116" s="36" t="str">
        <f t="shared" si="5"/>
        <v xml:space="preserve">NI-DMM </v>
      </c>
      <c r="I116" s="30" t="s">
        <v>42</v>
      </c>
      <c r="J116" s="7"/>
    </row>
    <row r="117" spans="1:10" x14ac:dyDescent="0.25">
      <c r="A117" s="36" t="s">
        <v>541</v>
      </c>
      <c r="B117" s="36" t="s">
        <v>21</v>
      </c>
      <c r="C117" s="37" t="s">
        <v>102</v>
      </c>
      <c r="D117" s="36">
        <v>32</v>
      </c>
      <c r="E117" s="36">
        <v>2015</v>
      </c>
      <c r="F117" s="36" t="s">
        <v>24</v>
      </c>
      <c r="G117" s="36" t="s">
        <v>13</v>
      </c>
      <c r="H117" s="36" t="str">
        <f t="shared" si="5"/>
        <v>NI-DMM 15.0</v>
      </c>
      <c r="I117" s="30" t="s">
        <v>42</v>
      </c>
      <c r="J117" s="7"/>
    </row>
    <row r="118" spans="1:10" x14ac:dyDescent="0.25">
      <c r="A118" s="36" t="s">
        <v>541</v>
      </c>
      <c r="B118" s="36" t="s">
        <v>123</v>
      </c>
      <c r="C118" s="37" t="s">
        <v>102</v>
      </c>
      <c r="D118" s="36">
        <v>32</v>
      </c>
      <c r="E118" s="36">
        <v>2015</v>
      </c>
      <c r="F118" s="36" t="s">
        <v>12</v>
      </c>
      <c r="G118" s="36" t="s">
        <v>13</v>
      </c>
      <c r="H118" s="36" t="str">
        <f t="shared" si="5"/>
        <v>NI-DMM Configuration Support 15.0</v>
      </c>
      <c r="I118" s="30" t="s">
        <v>42</v>
      </c>
      <c r="J118" s="7"/>
    </row>
    <row r="119" spans="1:10" x14ac:dyDescent="0.25">
      <c r="A119" s="36" t="s">
        <v>541</v>
      </c>
      <c r="B119" s="36" t="s">
        <v>124</v>
      </c>
      <c r="C119" s="37" t="s">
        <v>102</v>
      </c>
      <c r="D119" s="36">
        <v>32</v>
      </c>
      <c r="E119" s="36">
        <v>2015</v>
      </c>
      <c r="F119" s="36" t="s">
        <v>12</v>
      </c>
      <c r="G119" s="36" t="s">
        <v>13</v>
      </c>
      <c r="H119" s="36" t="str">
        <f t="shared" si="5"/>
        <v>NI-DMM Development Support 15.0</v>
      </c>
      <c r="I119" s="30" t="s">
        <v>42</v>
      </c>
      <c r="J119" s="7"/>
    </row>
    <row r="120" spans="1:10" x14ac:dyDescent="0.25">
      <c r="A120" s="36" t="s">
        <v>541</v>
      </c>
      <c r="B120" s="36" t="s">
        <v>399</v>
      </c>
      <c r="C120" s="37" t="s">
        <v>102</v>
      </c>
      <c r="D120" s="36">
        <v>32</v>
      </c>
      <c r="E120" s="36">
        <v>2015</v>
      </c>
      <c r="F120" s="36" t="s">
        <v>12</v>
      </c>
      <c r="G120" s="36" t="s">
        <v>13</v>
      </c>
      <c r="H120" s="36" t="str">
        <f t="shared" si="5"/>
        <v>NI-DMM Soft Front Panel 15.0</v>
      </c>
      <c r="I120" s="30" t="s">
        <v>42</v>
      </c>
      <c r="J120" s="7"/>
    </row>
    <row r="121" spans="1:10" x14ac:dyDescent="0.25">
      <c r="A121" s="36" t="s">
        <v>541</v>
      </c>
      <c r="B121" s="36" t="s">
        <v>26</v>
      </c>
      <c r="C121" s="36"/>
      <c r="D121" s="36">
        <v>32</v>
      </c>
      <c r="E121" s="36">
        <v>2015</v>
      </c>
      <c r="F121" s="36" t="s">
        <v>12</v>
      </c>
      <c r="G121" s="36" t="s">
        <v>13</v>
      </c>
      <c r="H121" s="36" t="str">
        <f t="shared" si="5"/>
        <v xml:space="preserve">NI-FGEN </v>
      </c>
      <c r="I121" s="30" t="s">
        <v>42</v>
      </c>
      <c r="J121" s="7"/>
    </row>
    <row r="122" spans="1:10" x14ac:dyDescent="0.25">
      <c r="A122" s="36" t="s">
        <v>541</v>
      </c>
      <c r="B122" s="36" t="s">
        <v>26</v>
      </c>
      <c r="C122" s="37" t="s">
        <v>102</v>
      </c>
      <c r="D122" s="36">
        <v>32</v>
      </c>
      <c r="E122" s="36">
        <v>2015</v>
      </c>
      <c r="F122" s="36" t="s">
        <v>24</v>
      </c>
      <c r="G122" s="36" t="s">
        <v>13</v>
      </c>
      <c r="H122" s="36" t="str">
        <f t="shared" si="5"/>
        <v>NI-FGEN 15.0</v>
      </c>
      <c r="I122" s="30" t="s">
        <v>42</v>
      </c>
      <c r="J122" s="7"/>
    </row>
    <row r="123" spans="1:10" x14ac:dyDescent="0.25">
      <c r="A123" s="36" t="s">
        <v>541</v>
      </c>
      <c r="B123" s="36" t="s">
        <v>125</v>
      </c>
      <c r="C123" s="37" t="s">
        <v>102</v>
      </c>
      <c r="D123" s="36">
        <v>32</v>
      </c>
      <c r="E123" s="36">
        <v>2015</v>
      </c>
      <c r="F123" s="36" t="s">
        <v>12</v>
      </c>
      <c r="G123" s="36" t="s">
        <v>13</v>
      </c>
      <c r="H123" s="36" t="str">
        <f t="shared" si="5"/>
        <v>NI-FGEN Configuration Support 15.0</v>
      </c>
      <c r="I123" s="30" t="s">
        <v>42</v>
      </c>
      <c r="J123" s="7"/>
    </row>
    <row r="124" spans="1:10" x14ac:dyDescent="0.25">
      <c r="A124" s="36" t="s">
        <v>541</v>
      </c>
      <c r="B124" s="36" t="s">
        <v>126</v>
      </c>
      <c r="C124" s="37" t="s">
        <v>102</v>
      </c>
      <c r="D124" s="36">
        <v>32</v>
      </c>
      <c r="E124" s="36">
        <v>2015</v>
      </c>
      <c r="F124" s="36" t="s">
        <v>12</v>
      </c>
      <c r="G124" s="36" t="s">
        <v>13</v>
      </c>
      <c r="H124" s="36" t="str">
        <f t="shared" si="5"/>
        <v>NI-FGEN Development Support 15.0</v>
      </c>
      <c r="I124" s="30" t="s">
        <v>42</v>
      </c>
      <c r="J124" s="7"/>
    </row>
    <row r="125" spans="1:10" x14ac:dyDescent="0.25">
      <c r="A125" s="36" t="s">
        <v>541</v>
      </c>
      <c r="B125" s="36" t="s">
        <v>401</v>
      </c>
      <c r="C125" s="37" t="s">
        <v>102</v>
      </c>
      <c r="D125" s="36">
        <v>32</v>
      </c>
      <c r="E125" s="36">
        <v>2015</v>
      </c>
      <c r="F125" s="36" t="s">
        <v>12</v>
      </c>
      <c r="G125" s="36" t="s">
        <v>13</v>
      </c>
      <c r="H125" s="36" t="str">
        <f t="shared" si="5"/>
        <v>NI-FGEN Soft Front Panel 15.0</v>
      </c>
      <c r="I125" s="30" t="s">
        <v>42</v>
      </c>
      <c r="J125" s="7"/>
    </row>
    <row r="126" spans="1:10" x14ac:dyDescent="0.25">
      <c r="A126" s="36" t="s">
        <v>541</v>
      </c>
      <c r="B126" s="36" t="s">
        <v>50</v>
      </c>
      <c r="C126" s="36"/>
      <c r="D126" s="36">
        <v>32</v>
      </c>
      <c r="E126" s="36">
        <v>2015</v>
      </c>
      <c r="F126" s="36" t="s">
        <v>12</v>
      </c>
      <c r="G126" s="36" t="s">
        <v>13</v>
      </c>
      <c r="H126" s="36" t="str">
        <f t="shared" si="5"/>
        <v xml:space="preserve">NI-HSDIO </v>
      </c>
      <c r="I126" s="30" t="s">
        <v>42</v>
      </c>
      <c r="J126" s="7"/>
    </row>
    <row r="127" spans="1:10" x14ac:dyDescent="0.25">
      <c r="A127" s="36" t="s">
        <v>541</v>
      </c>
      <c r="B127" s="36" t="s">
        <v>50</v>
      </c>
      <c r="C127" s="37" t="s">
        <v>102</v>
      </c>
      <c r="D127" s="36">
        <v>32</v>
      </c>
      <c r="E127" s="36">
        <v>2015</v>
      </c>
      <c r="F127" s="36" t="s">
        <v>24</v>
      </c>
      <c r="G127" s="36" t="s">
        <v>13</v>
      </c>
      <c r="H127" s="36" t="str">
        <f t="shared" si="5"/>
        <v>NI-HSDIO 15.0</v>
      </c>
      <c r="I127" s="30" t="s">
        <v>42</v>
      </c>
      <c r="J127" s="7"/>
    </row>
    <row r="128" spans="1:10" x14ac:dyDescent="0.25">
      <c r="A128" s="36" t="s">
        <v>541</v>
      </c>
      <c r="B128" s="36" t="s">
        <v>150</v>
      </c>
      <c r="C128" s="37" t="s">
        <v>102</v>
      </c>
      <c r="D128" s="36">
        <v>32</v>
      </c>
      <c r="E128" s="36">
        <v>2015</v>
      </c>
      <c r="F128" s="36" t="s">
        <v>12</v>
      </c>
      <c r="G128" s="36" t="s">
        <v>13</v>
      </c>
      <c r="H128" s="36" t="str">
        <f t="shared" si="5"/>
        <v>NI-HSDIO Configuration Support 15.0</v>
      </c>
      <c r="I128" s="30" t="s">
        <v>42</v>
      </c>
      <c r="J128" s="7"/>
    </row>
    <row r="129" spans="1:10" x14ac:dyDescent="0.25">
      <c r="A129" s="36" t="s">
        <v>541</v>
      </c>
      <c r="B129" s="36" t="s">
        <v>142</v>
      </c>
      <c r="C129" s="37" t="s">
        <v>102</v>
      </c>
      <c r="D129" s="36">
        <v>32</v>
      </c>
      <c r="E129" s="36">
        <v>2015</v>
      </c>
      <c r="F129" s="36" t="s">
        <v>12</v>
      </c>
      <c r="G129" s="36" t="s">
        <v>13</v>
      </c>
      <c r="H129" s="36" t="str">
        <f t="shared" si="5"/>
        <v>NI-HSDIO Development Support 15.0</v>
      </c>
      <c r="I129" s="30" t="s">
        <v>42</v>
      </c>
      <c r="J129" s="7"/>
    </row>
    <row r="130" spans="1:10" x14ac:dyDescent="0.25">
      <c r="A130" s="36" t="s">
        <v>541</v>
      </c>
      <c r="B130" s="36" t="s">
        <v>51</v>
      </c>
      <c r="C130" s="36" t="s">
        <v>9</v>
      </c>
      <c r="D130" s="36">
        <v>32</v>
      </c>
      <c r="E130" s="36">
        <v>2015</v>
      </c>
      <c r="F130" s="36" t="s">
        <v>12</v>
      </c>
      <c r="G130" s="36" t="s">
        <v>13</v>
      </c>
      <c r="H130" s="36" t="str">
        <f t="shared" si="5"/>
        <v>NI-HWS 15.0.0</v>
      </c>
      <c r="I130" s="30" t="s">
        <v>42</v>
      </c>
      <c r="J130" s="7"/>
    </row>
    <row r="131" spans="1:10" x14ac:dyDescent="0.25">
      <c r="A131" s="36" t="s">
        <v>541</v>
      </c>
      <c r="B131" s="36" t="s">
        <v>366</v>
      </c>
      <c r="C131" s="36" t="s">
        <v>135</v>
      </c>
      <c r="D131" s="36" t="s">
        <v>10</v>
      </c>
      <c r="E131" s="36" t="s">
        <v>119</v>
      </c>
      <c r="F131" s="36" t="s">
        <v>12</v>
      </c>
      <c r="G131" s="36" t="s">
        <v>13</v>
      </c>
      <c r="H131" s="36" t="str">
        <f t="shared" si="5"/>
        <v>NI-IMAQ 19.0.0</v>
      </c>
      <c r="I131" s="33" t="s">
        <v>424</v>
      </c>
      <c r="J131" s="7"/>
    </row>
    <row r="132" spans="1:10" x14ac:dyDescent="0.25">
      <c r="A132" s="36" t="s">
        <v>541</v>
      </c>
      <c r="B132" s="36" t="s">
        <v>366</v>
      </c>
      <c r="C132" s="36" t="s">
        <v>135</v>
      </c>
      <c r="D132" s="36" t="s">
        <v>10</v>
      </c>
      <c r="E132" s="36" t="s">
        <v>119</v>
      </c>
      <c r="F132" s="36" t="s">
        <v>24</v>
      </c>
      <c r="G132" s="36" t="s">
        <v>13</v>
      </c>
      <c r="H132" s="36" t="str">
        <f t="shared" si="5"/>
        <v>NI-IMAQ 19.0.0</v>
      </c>
      <c r="I132" s="33" t="s">
        <v>424</v>
      </c>
      <c r="J132" s="7"/>
    </row>
    <row r="133" spans="1:10" x14ac:dyDescent="0.25">
      <c r="A133" s="36" t="s">
        <v>541</v>
      </c>
      <c r="B133" s="36" t="s">
        <v>368</v>
      </c>
      <c r="C133" s="36" t="s">
        <v>135</v>
      </c>
      <c r="D133" s="36" t="s">
        <v>10</v>
      </c>
      <c r="E133" s="36" t="s">
        <v>119</v>
      </c>
      <c r="F133" s="36" t="s">
        <v>12</v>
      </c>
      <c r="G133" s="36" t="s">
        <v>13</v>
      </c>
      <c r="H133" s="36" t="str">
        <f t="shared" si="5"/>
        <v>NI-IMAQ I/O 19.0.0</v>
      </c>
      <c r="I133" s="33" t="s">
        <v>424</v>
      </c>
      <c r="J133" s="7"/>
    </row>
    <row r="134" spans="1:10" x14ac:dyDescent="0.25">
      <c r="A134" s="36" t="s">
        <v>541</v>
      </c>
      <c r="B134" s="36" t="s">
        <v>368</v>
      </c>
      <c r="C134" s="36" t="s">
        <v>135</v>
      </c>
      <c r="D134" s="36" t="s">
        <v>10</v>
      </c>
      <c r="E134" s="36" t="s">
        <v>119</v>
      </c>
      <c r="F134" s="36" t="s">
        <v>24</v>
      </c>
      <c r="G134" s="36" t="s">
        <v>13</v>
      </c>
      <c r="H134" s="36" t="str">
        <f t="shared" si="5"/>
        <v>NI-IMAQ I/O 19.0.0</v>
      </c>
      <c r="I134" s="33" t="s">
        <v>424</v>
      </c>
      <c r="J134" s="7"/>
    </row>
    <row r="135" spans="1:10" x14ac:dyDescent="0.25">
      <c r="A135" s="36" t="s">
        <v>541</v>
      </c>
      <c r="B135" s="36" t="s">
        <v>382</v>
      </c>
      <c r="C135" s="36" t="s">
        <v>135</v>
      </c>
      <c r="D135" s="36" t="s">
        <v>10</v>
      </c>
      <c r="E135" s="36" t="s">
        <v>119</v>
      </c>
      <c r="F135" s="36" t="s">
        <v>12</v>
      </c>
      <c r="G135" s="36" t="s">
        <v>13</v>
      </c>
      <c r="H135" s="36" t="str">
        <f t="shared" si="5"/>
        <v>NI-IMAQdx 19.0.0</v>
      </c>
      <c r="I135" s="33" t="s">
        <v>424</v>
      </c>
      <c r="J135" s="7"/>
    </row>
    <row r="136" spans="1:10" x14ac:dyDescent="0.25">
      <c r="A136" s="36" t="s">
        <v>541</v>
      </c>
      <c r="B136" s="36" t="s">
        <v>382</v>
      </c>
      <c r="C136" s="36" t="s">
        <v>135</v>
      </c>
      <c r="D136" s="36" t="s">
        <v>10</v>
      </c>
      <c r="E136" s="36" t="s">
        <v>119</v>
      </c>
      <c r="F136" s="36" t="s">
        <v>24</v>
      </c>
      <c r="G136" s="36" t="s">
        <v>13</v>
      </c>
      <c r="H136" s="36" t="str">
        <f t="shared" si="5"/>
        <v>NI-IMAQdx 19.0.0</v>
      </c>
      <c r="I136" s="33" t="s">
        <v>424</v>
      </c>
      <c r="J136" s="7"/>
    </row>
    <row r="137" spans="1:10" x14ac:dyDescent="0.25">
      <c r="A137" s="36" t="s">
        <v>541</v>
      </c>
      <c r="B137" s="36" t="s">
        <v>143</v>
      </c>
      <c r="C137" s="36" t="s">
        <v>493</v>
      </c>
      <c r="D137" s="36">
        <v>32</v>
      </c>
      <c r="E137" s="36">
        <v>2015</v>
      </c>
      <c r="F137" s="36" t="s">
        <v>12</v>
      </c>
      <c r="G137" s="36" t="s">
        <v>13</v>
      </c>
      <c r="H137" s="36" t="str">
        <f t="shared" si="5"/>
        <v>NI-Industrial Communications for EtherCAT 18.0.0f1</v>
      </c>
      <c r="I137" s="35" t="s">
        <v>415</v>
      </c>
      <c r="J137" s="7"/>
    </row>
    <row r="138" spans="1:10" x14ac:dyDescent="0.25">
      <c r="A138" s="36" t="s">
        <v>541</v>
      </c>
      <c r="B138" s="36" t="s">
        <v>59</v>
      </c>
      <c r="C138" s="36" t="s">
        <v>135</v>
      </c>
      <c r="D138" s="36">
        <v>32</v>
      </c>
      <c r="E138" s="36">
        <v>2019</v>
      </c>
      <c r="F138" s="36" t="s">
        <v>12</v>
      </c>
      <c r="G138" s="36" t="s">
        <v>13</v>
      </c>
      <c r="H138" s="36" t="str">
        <f t="shared" si="5"/>
        <v>NI-PAL Software 19.0.0</v>
      </c>
      <c r="I138" s="33" t="s">
        <v>424</v>
      </c>
      <c r="J138" s="7"/>
    </row>
    <row r="139" spans="1:10" x14ac:dyDescent="0.25">
      <c r="A139" s="36" t="s">
        <v>541</v>
      </c>
      <c r="B139" s="36" t="s">
        <v>54</v>
      </c>
      <c r="C139" s="36" t="s">
        <v>9</v>
      </c>
      <c r="D139" s="36">
        <v>32</v>
      </c>
      <c r="E139" s="36">
        <v>2015</v>
      </c>
      <c r="F139" s="36" t="s">
        <v>12</v>
      </c>
      <c r="G139" s="36" t="s">
        <v>13</v>
      </c>
      <c r="H139" s="36" t="str">
        <f t="shared" si="5"/>
        <v>NI-RIO 15.0.0</v>
      </c>
      <c r="I139" s="30" t="s">
        <v>42</v>
      </c>
      <c r="J139" s="7"/>
    </row>
    <row r="140" spans="1:10" x14ac:dyDescent="0.25">
      <c r="A140" s="36" t="s">
        <v>541</v>
      </c>
      <c r="B140" s="36" t="s">
        <v>61</v>
      </c>
      <c r="C140" s="36" t="s">
        <v>102</v>
      </c>
      <c r="D140" s="36">
        <v>32</v>
      </c>
      <c r="E140" s="36">
        <v>2015</v>
      </c>
      <c r="F140" s="36" t="s">
        <v>12</v>
      </c>
      <c r="G140" s="36" t="s">
        <v>13</v>
      </c>
      <c r="H140" s="36" t="str">
        <f t="shared" si="5"/>
        <v>NI-SCOPE 15.0</v>
      </c>
      <c r="I140" s="30" t="s">
        <v>42</v>
      </c>
      <c r="J140" s="7"/>
    </row>
    <row r="141" spans="1:10" x14ac:dyDescent="0.25">
      <c r="A141" s="36" t="s">
        <v>541</v>
      </c>
      <c r="B141" s="36" t="s">
        <v>61</v>
      </c>
      <c r="C141" s="37" t="s">
        <v>102</v>
      </c>
      <c r="D141" s="36">
        <v>32</v>
      </c>
      <c r="E141" s="36">
        <v>2015</v>
      </c>
      <c r="F141" s="36" t="s">
        <v>24</v>
      </c>
      <c r="G141" s="36" t="s">
        <v>13</v>
      </c>
      <c r="H141" s="36" t="str">
        <f t="shared" si="5"/>
        <v>NI-SCOPE 15.0</v>
      </c>
      <c r="I141" s="30" t="s">
        <v>42</v>
      </c>
      <c r="J141" s="7"/>
    </row>
    <row r="142" spans="1:10" x14ac:dyDescent="0.25">
      <c r="A142" s="36" t="s">
        <v>541</v>
      </c>
      <c r="B142" s="36" t="s">
        <v>151</v>
      </c>
      <c r="C142" s="37" t="s">
        <v>102</v>
      </c>
      <c r="D142" s="36">
        <v>32</v>
      </c>
      <c r="E142" s="36">
        <v>2015</v>
      </c>
      <c r="F142" s="36" t="s">
        <v>12</v>
      </c>
      <c r="G142" s="36" t="s">
        <v>13</v>
      </c>
      <c r="H142" s="36" t="str">
        <f t="shared" si="5"/>
        <v>NI-SCOPE Configuration Support 15.0</v>
      </c>
      <c r="I142" s="30" t="s">
        <v>42</v>
      </c>
      <c r="J142" s="7"/>
    </row>
    <row r="143" spans="1:10" x14ac:dyDescent="0.25">
      <c r="A143" s="36" t="s">
        <v>541</v>
      </c>
      <c r="B143" s="36" t="s">
        <v>128</v>
      </c>
      <c r="C143" s="37" t="s">
        <v>102</v>
      </c>
      <c r="D143" s="36">
        <v>32</v>
      </c>
      <c r="E143" s="36">
        <v>2015</v>
      </c>
      <c r="F143" s="36" t="s">
        <v>12</v>
      </c>
      <c r="G143" s="36" t="s">
        <v>13</v>
      </c>
      <c r="H143" s="36" t="str">
        <f t="shared" si="5"/>
        <v>NI-SCOPE Development Support 15.0</v>
      </c>
      <c r="I143" s="30" t="s">
        <v>42</v>
      </c>
      <c r="J143" s="7"/>
    </row>
    <row r="144" spans="1:10" x14ac:dyDescent="0.25">
      <c r="A144" s="36" t="s">
        <v>541</v>
      </c>
      <c r="B144" s="36" t="s">
        <v>400</v>
      </c>
      <c r="C144" s="37" t="s">
        <v>102</v>
      </c>
      <c r="D144" s="36">
        <v>32</v>
      </c>
      <c r="E144" s="36">
        <v>2015</v>
      </c>
      <c r="F144" s="36" t="s">
        <v>12</v>
      </c>
      <c r="G144" s="36" t="s">
        <v>13</v>
      </c>
      <c r="H144" s="36" t="str">
        <f t="shared" si="5"/>
        <v>NI-SCOPE Soft Front Panel 15.0</v>
      </c>
      <c r="I144" s="30" t="s">
        <v>42</v>
      </c>
      <c r="J144" s="7"/>
    </row>
    <row r="145" spans="1:10" x14ac:dyDescent="0.25">
      <c r="A145" s="36" t="s">
        <v>541</v>
      </c>
      <c r="B145" s="36" t="s">
        <v>129</v>
      </c>
      <c r="C145" s="36" t="s">
        <v>430</v>
      </c>
      <c r="D145" s="36">
        <v>32</v>
      </c>
      <c r="E145" s="36">
        <v>2019</v>
      </c>
      <c r="F145" s="36" t="s">
        <v>24</v>
      </c>
      <c r="G145" s="36" t="s">
        <v>13</v>
      </c>
      <c r="H145" s="36" t="str">
        <f t="shared" si="5"/>
        <v>NI-Serial 19.0.0f0</v>
      </c>
      <c r="I145" s="33" t="s">
        <v>424</v>
      </c>
      <c r="J145" s="7"/>
    </row>
    <row r="146" spans="1:10" x14ac:dyDescent="0.25">
      <c r="A146" s="36" t="s">
        <v>541</v>
      </c>
      <c r="B146" s="36" t="s">
        <v>64</v>
      </c>
      <c r="C146" s="36" t="s">
        <v>480</v>
      </c>
      <c r="D146" s="36" t="s">
        <v>10</v>
      </c>
      <c r="E146" s="36" t="s">
        <v>153</v>
      </c>
      <c r="F146" s="36" t="s">
        <v>12</v>
      </c>
      <c r="G146" s="36" t="s">
        <v>13</v>
      </c>
      <c r="H146" s="36" t="s">
        <v>488</v>
      </c>
      <c r="I146" s="41" t="s">
        <v>476</v>
      </c>
      <c r="J146" s="7"/>
    </row>
    <row r="147" spans="1:10" x14ac:dyDescent="0.25">
      <c r="A147" s="36" t="s">
        <v>541</v>
      </c>
      <c r="B147" s="36" t="s">
        <v>66</v>
      </c>
      <c r="C147" s="37" t="s">
        <v>102</v>
      </c>
      <c r="D147" s="36">
        <v>32</v>
      </c>
      <c r="E147" s="36">
        <v>2015</v>
      </c>
      <c r="F147" s="36" t="s">
        <v>12</v>
      </c>
      <c r="G147" s="36" t="s">
        <v>13</v>
      </c>
      <c r="H147" s="36" t="str">
        <f>B147&amp;" "&amp;C147</f>
        <v>NI-SWITCH 15.0</v>
      </c>
      <c r="I147" s="30" t="s">
        <v>42</v>
      </c>
      <c r="J147" s="7"/>
    </row>
    <row r="148" spans="1:10" x14ac:dyDescent="0.25">
      <c r="A148" s="36" t="s">
        <v>541</v>
      </c>
      <c r="B148" s="36" t="s">
        <v>66</v>
      </c>
      <c r="C148" s="37" t="s">
        <v>102</v>
      </c>
      <c r="D148" s="36">
        <v>32</v>
      </c>
      <c r="E148" s="36">
        <v>2015</v>
      </c>
      <c r="F148" s="36" t="s">
        <v>24</v>
      </c>
      <c r="G148" s="36" t="s">
        <v>13</v>
      </c>
      <c r="H148" s="36" t="str">
        <f>B148&amp;" "&amp;C148</f>
        <v>NI-SWITCH 15.0</v>
      </c>
      <c r="I148" s="30" t="s">
        <v>42</v>
      </c>
      <c r="J148" s="7"/>
    </row>
    <row r="149" spans="1:10" x14ac:dyDescent="0.25">
      <c r="A149" s="36" t="s">
        <v>541</v>
      </c>
      <c r="B149" s="36" t="s">
        <v>131</v>
      </c>
      <c r="C149" s="37" t="s">
        <v>102</v>
      </c>
      <c r="D149" s="36">
        <v>32</v>
      </c>
      <c r="E149" s="36">
        <v>2015</v>
      </c>
      <c r="F149" s="36" t="s">
        <v>12</v>
      </c>
      <c r="G149" s="36" t="s">
        <v>13</v>
      </c>
      <c r="H149" s="36" t="str">
        <f>B149&amp;" "&amp;C149</f>
        <v>NI-SWITCH Configuration Support 15.0</v>
      </c>
      <c r="I149" s="30" t="s">
        <v>42</v>
      </c>
      <c r="J149" s="7"/>
    </row>
    <row r="150" spans="1:10" x14ac:dyDescent="0.25">
      <c r="A150" s="36" t="s">
        <v>541</v>
      </c>
      <c r="B150" s="36" t="s">
        <v>132</v>
      </c>
      <c r="C150" s="37" t="s">
        <v>102</v>
      </c>
      <c r="D150" s="36">
        <v>32</v>
      </c>
      <c r="E150" s="36">
        <v>2015</v>
      </c>
      <c r="F150" s="36" t="s">
        <v>12</v>
      </c>
      <c r="G150" s="36" t="s">
        <v>13</v>
      </c>
      <c r="H150" s="36" t="str">
        <f>B150&amp;" "&amp;C150</f>
        <v>NI-SWITCH Development Support 15.0</v>
      </c>
      <c r="I150" s="30" t="s">
        <v>42</v>
      </c>
      <c r="J150" s="7"/>
    </row>
    <row r="151" spans="1:10" x14ac:dyDescent="0.25">
      <c r="A151" s="36" t="s">
        <v>541</v>
      </c>
      <c r="B151" s="36" t="s">
        <v>67</v>
      </c>
      <c r="C151" s="37" t="s">
        <v>477</v>
      </c>
      <c r="D151" s="36" t="s">
        <v>10</v>
      </c>
      <c r="E151" s="36" t="s">
        <v>130</v>
      </c>
      <c r="F151" s="36" t="s">
        <v>12</v>
      </c>
      <c r="G151" s="36" t="s">
        <v>13</v>
      </c>
      <c r="H151" s="36" t="s">
        <v>490</v>
      </c>
      <c r="I151" s="41" t="s">
        <v>476</v>
      </c>
      <c r="J151" s="7"/>
    </row>
    <row r="152" spans="1:10" x14ac:dyDescent="0.25">
      <c r="A152" s="36" t="s">
        <v>541</v>
      </c>
      <c r="B152" s="36" t="s">
        <v>56</v>
      </c>
      <c r="C152" s="37" t="s">
        <v>479</v>
      </c>
      <c r="D152" s="36" t="s">
        <v>10</v>
      </c>
      <c r="E152" s="36" t="s">
        <v>130</v>
      </c>
      <c r="F152" s="36" t="s">
        <v>12</v>
      </c>
      <c r="G152" s="36" t="s">
        <v>13</v>
      </c>
      <c r="H152" s="36" t="s">
        <v>491</v>
      </c>
      <c r="I152" s="41" t="s">
        <v>476</v>
      </c>
      <c r="J152" s="7"/>
    </row>
    <row r="153" spans="1:10" x14ac:dyDescent="0.25">
      <c r="A153" s="36" t="s">
        <v>541</v>
      </c>
      <c r="B153" s="36" t="s">
        <v>69</v>
      </c>
      <c r="C153" s="37" t="s">
        <v>102</v>
      </c>
      <c r="D153" s="36">
        <v>32</v>
      </c>
      <c r="E153" s="36">
        <v>2015</v>
      </c>
      <c r="F153" s="36" t="s">
        <v>12</v>
      </c>
      <c r="G153" s="36" t="s">
        <v>13</v>
      </c>
      <c r="H153" s="36" t="str">
        <f t="shared" ref="H153:H159" si="6">B153&amp;" "&amp;C153</f>
        <v>NI-TClk 15.0</v>
      </c>
      <c r="I153" s="30" t="s">
        <v>42</v>
      </c>
      <c r="J153" s="7"/>
    </row>
    <row r="154" spans="1:10" x14ac:dyDescent="0.25">
      <c r="A154" s="36" t="s">
        <v>541</v>
      </c>
      <c r="B154" s="36" t="s">
        <v>57</v>
      </c>
      <c r="C154" s="37" t="s">
        <v>30</v>
      </c>
      <c r="D154" s="36">
        <v>32</v>
      </c>
      <c r="E154" s="36">
        <v>2015</v>
      </c>
      <c r="F154" s="36" t="s">
        <v>12</v>
      </c>
      <c r="G154" s="36" t="s">
        <v>13</v>
      </c>
      <c r="H154" s="36" t="str">
        <f t="shared" si="6"/>
        <v>NI-TimeSync 15.0.0f0</v>
      </c>
      <c r="I154" s="30" t="s">
        <v>42</v>
      </c>
      <c r="J154" s="7"/>
    </row>
    <row r="155" spans="1:10" x14ac:dyDescent="0.25">
      <c r="A155" s="36" t="s">
        <v>541</v>
      </c>
      <c r="B155" s="36" t="s">
        <v>46</v>
      </c>
      <c r="C155" s="37" t="s">
        <v>95</v>
      </c>
      <c r="D155" s="36">
        <v>32</v>
      </c>
      <c r="E155" s="36">
        <v>2015</v>
      </c>
      <c r="F155" s="36" t="s">
        <v>12</v>
      </c>
      <c r="G155" s="36" t="s">
        <v>13</v>
      </c>
      <c r="H155" s="36" t="str">
        <f t="shared" si="6"/>
        <v>NI-USI 15.0.1.6118</v>
      </c>
      <c r="I155" s="31" t="s">
        <v>91</v>
      </c>
      <c r="J155" s="7"/>
    </row>
    <row r="156" spans="1:10" x14ac:dyDescent="0.25">
      <c r="A156" s="36" t="s">
        <v>541</v>
      </c>
      <c r="B156" s="36" t="s">
        <v>70</v>
      </c>
      <c r="C156" s="37" t="s">
        <v>170</v>
      </c>
      <c r="D156" s="36">
        <v>32</v>
      </c>
      <c r="E156" s="36">
        <v>2015</v>
      </c>
      <c r="F156" s="36" t="s">
        <v>12</v>
      </c>
      <c r="G156" s="36" t="s">
        <v>13</v>
      </c>
      <c r="H156" s="36" t="str">
        <f t="shared" si="6"/>
        <v>NI-VISA 15.5</v>
      </c>
      <c r="I156" s="34" t="s">
        <v>464</v>
      </c>
      <c r="J156" s="7"/>
    </row>
    <row r="157" spans="1:10" x14ac:dyDescent="0.25">
      <c r="A157" s="36" t="s">
        <v>541</v>
      </c>
      <c r="B157" s="36" t="s">
        <v>70</v>
      </c>
      <c r="C157" s="37" t="s">
        <v>170</v>
      </c>
      <c r="D157" s="36">
        <v>32</v>
      </c>
      <c r="E157" s="36">
        <v>2015</v>
      </c>
      <c r="F157" s="36" t="s">
        <v>24</v>
      </c>
      <c r="G157" s="36" t="s">
        <v>13</v>
      </c>
      <c r="H157" s="36" t="str">
        <f t="shared" si="6"/>
        <v>NI-VISA 15.5</v>
      </c>
      <c r="I157" s="34" t="s">
        <v>464</v>
      </c>
      <c r="J157" s="7"/>
    </row>
    <row r="158" spans="1:10" x14ac:dyDescent="0.25">
      <c r="A158" s="36" t="s">
        <v>541</v>
      </c>
      <c r="B158" s="36" t="s">
        <v>73</v>
      </c>
      <c r="C158" s="36" t="s">
        <v>72</v>
      </c>
      <c r="D158" s="36">
        <v>32</v>
      </c>
      <c r="E158" s="36">
        <v>2015</v>
      </c>
      <c r="F158" s="36" t="s">
        <v>12</v>
      </c>
      <c r="G158" s="36" t="s">
        <v>13</v>
      </c>
      <c r="H158" s="36" t="str">
        <f t="shared" si="6"/>
        <v>NIvisaic.exe 15.0.0.49152</v>
      </c>
      <c r="I158" s="30" t="s">
        <v>42</v>
      </c>
      <c r="J158" s="7"/>
    </row>
    <row r="159" spans="1:10" x14ac:dyDescent="0.25">
      <c r="A159" s="36" t="s">
        <v>541</v>
      </c>
      <c r="B159" s="36" t="s">
        <v>71</v>
      </c>
      <c r="C159" s="36" t="s">
        <v>72</v>
      </c>
      <c r="D159" s="36">
        <v>32</v>
      </c>
      <c r="E159" s="36">
        <v>2015</v>
      </c>
      <c r="F159" s="36" t="s">
        <v>12</v>
      </c>
      <c r="G159" s="36" t="s">
        <v>13</v>
      </c>
      <c r="H159" s="36" t="str">
        <f t="shared" si="6"/>
        <v>NiVisaServer.exe 15.0.0.49152</v>
      </c>
      <c r="I159" s="30" t="s">
        <v>42</v>
      </c>
      <c r="J159" s="7"/>
    </row>
    <row r="160" spans="1:10" x14ac:dyDescent="0.25">
      <c r="A160" s="36" t="s">
        <v>541</v>
      </c>
      <c r="B160" s="36" t="s">
        <v>396</v>
      </c>
      <c r="C160" s="36" t="s">
        <v>426</v>
      </c>
      <c r="D160" s="36" t="s">
        <v>10</v>
      </c>
      <c r="E160" s="36" t="s">
        <v>119</v>
      </c>
      <c r="F160" s="36" t="s">
        <v>24</v>
      </c>
      <c r="G160" s="36" t="s">
        <v>13</v>
      </c>
      <c r="H160" s="36" t="s">
        <v>453</v>
      </c>
      <c r="I160" s="35" t="s">
        <v>424</v>
      </c>
      <c r="J160" s="7"/>
    </row>
    <row r="161" spans="1:10" x14ac:dyDescent="0.25">
      <c r="A161" s="36" t="s">
        <v>541</v>
      </c>
      <c r="B161" s="75" t="s">
        <v>546</v>
      </c>
      <c r="C161" s="76" t="s">
        <v>547</v>
      </c>
      <c r="D161" s="75" t="s">
        <v>10</v>
      </c>
      <c r="E161" s="75" t="s">
        <v>136</v>
      </c>
      <c r="F161" s="76" t="s">
        <v>12</v>
      </c>
      <c r="G161" s="76" t="s">
        <v>315</v>
      </c>
      <c r="H161" s="36" t="str">
        <f>B161&amp;" "&amp;C161</f>
        <v>Open Source GOOP Development Suite 1.1.17.56</v>
      </c>
      <c r="I161" s="89" t="s">
        <v>202</v>
      </c>
      <c r="J161" s="7"/>
    </row>
    <row r="162" spans="1:10" x14ac:dyDescent="0.25">
      <c r="A162" s="36" t="s">
        <v>541</v>
      </c>
      <c r="B162" s="75" t="s">
        <v>313</v>
      </c>
      <c r="C162" s="76" t="s">
        <v>314</v>
      </c>
      <c r="D162" s="75" t="s">
        <v>10</v>
      </c>
      <c r="E162" s="75" t="s">
        <v>136</v>
      </c>
      <c r="F162" s="76" t="s">
        <v>12</v>
      </c>
      <c r="G162" s="76" t="s">
        <v>315</v>
      </c>
      <c r="H162" s="36" t="str">
        <f t="shared" ref="H162:H186" si="7">B162&amp;" "&amp;C162</f>
        <v>OpenG Application Control Library 4.1.0.7</v>
      </c>
      <c r="I162" s="89" t="s">
        <v>202</v>
      </c>
      <c r="J162" s="7"/>
    </row>
    <row r="163" spans="1:10" x14ac:dyDescent="0.25">
      <c r="A163" s="36" t="s">
        <v>541</v>
      </c>
      <c r="B163" s="75" t="s">
        <v>316</v>
      </c>
      <c r="C163" s="76" t="s">
        <v>317</v>
      </c>
      <c r="D163" s="75" t="s">
        <v>10</v>
      </c>
      <c r="E163" s="75" t="s">
        <v>136</v>
      </c>
      <c r="F163" s="76" t="s">
        <v>12</v>
      </c>
      <c r="G163" s="76" t="s">
        <v>315</v>
      </c>
      <c r="H163" s="36" t="str">
        <f t="shared" si="7"/>
        <v>OpenG Array Library 4.1.1.14</v>
      </c>
      <c r="I163" s="89" t="s">
        <v>202</v>
      </c>
      <c r="J163" s="7"/>
    </row>
    <row r="164" spans="1:10" x14ac:dyDescent="0.25">
      <c r="A164" s="36" t="s">
        <v>541</v>
      </c>
      <c r="B164" s="75" t="s">
        <v>318</v>
      </c>
      <c r="C164" s="76" t="s">
        <v>319</v>
      </c>
      <c r="D164" s="75" t="s">
        <v>10</v>
      </c>
      <c r="E164" s="75" t="s">
        <v>136</v>
      </c>
      <c r="F164" s="76" t="s">
        <v>12</v>
      </c>
      <c r="G164" s="76" t="s">
        <v>315</v>
      </c>
      <c r="H164" s="36" t="str">
        <f t="shared" si="7"/>
        <v>OpenG Boolean Library 4.0.0.7</v>
      </c>
      <c r="I164" s="89" t="s">
        <v>202</v>
      </c>
      <c r="J164" s="7"/>
    </row>
    <row r="165" spans="1:10" x14ac:dyDescent="0.25">
      <c r="A165" s="36" t="s">
        <v>541</v>
      </c>
      <c r="B165" s="75" t="s">
        <v>320</v>
      </c>
      <c r="C165" s="76" t="s">
        <v>321</v>
      </c>
      <c r="D165" s="75" t="s">
        <v>10</v>
      </c>
      <c r="E165" s="75" t="s">
        <v>136</v>
      </c>
      <c r="F165" s="76" t="s">
        <v>12</v>
      </c>
      <c r="G165" s="76" t="s">
        <v>315</v>
      </c>
      <c r="H165" s="36" t="str">
        <f t="shared" si="7"/>
        <v>OpenG Builder 3.0.1-2</v>
      </c>
      <c r="I165" s="89" t="s">
        <v>202</v>
      </c>
      <c r="J165" s="7"/>
    </row>
    <row r="166" spans="1:10" x14ac:dyDescent="0.25">
      <c r="A166" s="36" t="s">
        <v>541</v>
      </c>
      <c r="B166" s="75" t="s">
        <v>322</v>
      </c>
      <c r="C166" s="76" t="s">
        <v>319</v>
      </c>
      <c r="D166" s="75" t="s">
        <v>10</v>
      </c>
      <c r="E166" s="75" t="s">
        <v>136</v>
      </c>
      <c r="F166" s="76" t="s">
        <v>12</v>
      </c>
      <c r="G166" s="76" t="s">
        <v>315</v>
      </c>
      <c r="H166" s="36" t="str">
        <f t="shared" si="7"/>
        <v>OpenG Buttons Library 4.0.0.7</v>
      </c>
      <c r="I166" s="89" t="s">
        <v>202</v>
      </c>
      <c r="J166" s="7"/>
    </row>
    <row r="167" spans="1:10" x14ac:dyDescent="0.25">
      <c r="A167" s="36" t="s">
        <v>541</v>
      </c>
      <c r="B167" s="75" t="s">
        <v>323</v>
      </c>
      <c r="C167" s="76" t="s">
        <v>324</v>
      </c>
      <c r="D167" s="75" t="s">
        <v>10</v>
      </c>
      <c r="E167" s="75" t="s">
        <v>136</v>
      </c>
      <c r="F167" s="76" t="s">
        <v>12</v>
      </c>
      <c r="G167" s="76" t="s">
        <v>315</v>
      </c>
      <c r="H167" s="36" t="str">
        <f t="shared" si="7"/>
        <v>OpenG Compare VI To Disk Tool 4.0.0.9</v>
      </c>
      <c r="I167" s="89" t="s">
        <v>202</v>
      </c>
      <c r="J167" s="7"/>
    </row>
    <row r="168" spans="1:10" x14ac:dyDescent="0.25">
      <c r="A168" s="36" t="s">
        <v>541</v>
      </c>
      <c r="B168" s="75" t="s">
        <v>325</v>
      </c>
      <c r="C168" s="76" t="s">
        <v>326</v>
      </c>
      <c r="D168" s="75" t="s">
        <v>10</v>
      </c>
      <c r="E168" s="75" t="s">
        <v>136</v>
      </c>
      <c r="F168" s="76" t="s">
        <v>12</v>
      </c>
      <c r="G168" s="76" t="s">
        <v>315</v>
      </c>
      <c r="H168" s="36" t="str">
        <f t="shared" si="7"/>
        <v>OpenG Comparison Library 4.0.0.3</v>
      </c>
      <c r="I168" s="89" t="s">
        <v>202</v>
      </c>
      <c r="J168" s="7"/>
    </row>
    <row r="169" spans="1:10" x14ac:dyDescent="0.25">
      <c r="A169" s="36" t="s">
        <v>541</v>
      </c>
      <c r="B169" s="75" t="s">
        <v>327</v>
      </c>
      <c r="C169" s="76" t="s">
        <v>328</v>
      </c>
      <c r="D169" s="75" t="s">
        <v>10</v>
      </c>
      <c r="E169" s="75" t="s">
        <v>136</v>
      </c>
      <c r="F169" s="76" t="s">
        <v>12</v>
      </c>
      <c r="G169" s="76" t="s">
        <v>315</v>
      </c>
      <c r="H169" s="36" t="str">
        <f t="shared" si="7"/>
        <v>OpenG Dictionary Library 4.0.0.4</v>
      </c>
      <c r="I169" s="89" t="s">
        <v>202</v>
      </c>
      <c r="J169" s="7"/>
    </row>
    <row r="170" spans="1:10" x14ac:dyDescent="0.25">
      <c r="A170" s="36" t="s">
        <v>541</v>
      </c>
      <c r="B170" s="75" t="s">
        <v>329</v>
      </c>
      <c r="C170" s="76" t="s">
        <v>330</v>
      </c>
      <c r="D170" s="75" t="s">
        <v>10</v>
      </c>
      <c r="E170" s="75" t="s">
        <v>136</v>
      </c>
      <c r="F170" s="76" t="s">
        <v>12</v>
      </c>
      <c r="G170" s="76" t="s">
        <v>315</v>
      </c>
      <c r="H170" s="36" t="str">
        <f t="shared" si="7"/>
        <v>OpenG Error Library 4.2.0.23</v>
      </c>
      <c r="I170" s="89" t="s">
        <v>202</v>
      </c>
      <c r="J170" s="7"/>
    </row>
    <row r="171" spans="1:10" x14ac:dyDescent="0.25">
      <c r="A171" s="36" t="s">
        <v>541</v>
      </c>
      <c r="B171" s="75" t="s">
        <v>331</v>
      </c>
      <c r="C171" s="76" t="s">
        <v>332</v>
      </c>
      <c r="D171" s="75" t="s">
        <v>10</v>
      </c>
      <c r="E171" s="75" t="s">
        <v>136</v>
      </c>
      <c r="F171" s="76" t="s">
        <v>12</v>
      </c>
      <c r="G171" s="76" t="s">
        <v>315</v>
      </c>
      <c r="H171" s="36" t="str">
        <f t="shared" si="7"/>
        <v>OpenG File Library 4.0.1.22</v>
      </c>
      <c r="I171" s="89" t="s">
        <v>202</v>
      </c>
      <c r="J171" s="7"/>
    </row>
    <row r="172" spans="1:10" x14ac:dyDescent="0.25">
      <c r="A172" s="36" t="s">
        <v>541</v>
      </c>
      <c r="B172" s="75" t="s">
        <v>333</v>
      </c>
      <c r="C172" s="76" t="s">
        <v>328</v>
      </c>
      <c r="D172" s="75" t="s">
        <v>10</v>
      </c>
      <c r="E172" s="75" t="s">
        <v>136</v>
      </c>
      <c r="F172" s="76" t="s">
        <v>12</v>
      </c>
      <c r="G172" s="76" t="s">
        <v>334</v>
      </c>
      <c r="H172" s="36" t="str">
        <f t="shared" si="7"/>
        <v>OpenG LabPython Library 4.0.0.4</v>
      </c>
      <c r="I172" s="89" t="s">
        <v>202</v>
      </c>
      <c r="J172" s="7"/>
    </row>
    <row r="173" spans="1:10" x14ac:dyDescent="0.25">
      <c r="A173" s="36" t="s">
        <v>541</v>
      </c>
      <c r="B173" s="75" t="s">
        <v>335</v>
      </c>
      <c r="C173" s="76" t="s">
        <v>336</v>
      </c>
      <c r="D173" s="75" t="s">
        <v>10</v>
      </c>
      <c r="E173" s="75" t="s">
        <v>136</v>
      </c>
      <c r="F173" s="76" t="s">
        <v>12</v>
      </c>
      <c r="G173" s="76" t="s">
        <v>250</v>
      </c>
      <c r="H173" s="36" t="str">
        <f t="shared" si="7"/>
        <v>OpenG LabVIEW Data Library 4.2.0.21</v>
      </c>
      <c r="I173" s="89" t="s">
        <v>202</v>
      </c>
      <c r="J173" s="7"/>
    </row>
    <row r="174" spans="1:10" x14ac:dyDescent="0.25">
      <c r="A174" s="36" t="s">
        <v>541</v>
      </c>
      <c r="B174" s="75" t="s">
        <v>337</v>
      </c>
      <c r="C174" s="76" t="s">
        <v>338</v>
      </c>
      <c r="D174" s="75" t="s">
        <v>10</v>
      </c>
      <c r="E174" s="75" t="s">
        <v>136</v>
      </c>
      <c r="F174" s="76" t="s">
        <v>12</v>
      </c>
      <c r="G174" s="76" t="s">
        <v>315</v>
      </c>
      <c r="H174" s="36" t="str">
        <f t="shared" si="7"/>
        <v>OpenG LabVIEW ZIP Library 4.0.0-2</v>
      </c>
      <c r="I174" s="89" t="s">
        <v>202</v>
      </c>
      <c r="J174" s="7"/>
    </row>
    <row r="175" spans="1:10" x14ac:dyDescent="0.25">
      <c r="A175" s="36" t="s">
        <v>541</v>
      </c>
      <c r="B175" s="75" t="s">
        <v>339</v>
      </c>
      <c r="C175" s="76" t="s">
        <v>326</v>
      </c>
      <c r="D175" s="75" t="s">
        <v>10</v>
      </c>
      <c r="E175" s="75" t="s">
        <v>136</v>
      </c>
      <c r="F175" s="76" t="s">
        <v>12</v>
      </c>
      <c r="G175" s="76" t="s">
        <v>315</v>
      </c>
      <c r="H175" s="36" t="str">
        <f t="shared" si="7"/>
        <v>OpenG Large File Library 4.0.0.3</v>
      </c>
      <c r="I175" s="89" t="s">
        <v>202</v>
      </c>
      <c r="J175" s="7"/>
    </row>
    <row r="176" spans="1:10" x14ac:dyDescent="0.25">
      <c r="A176" s="36" t="s">
        <v>541</v>
      </c>
      <c r="B176" s="75" t="s">
        <v>340</v>
      </c>
      <c r="C176" s="76" t="s">
        <v>319</v>
      </c>
      <c r="D176" s="75" t="s">
        <v>10</v>
      </c>
      <c r="E176" s="75" t="s">
        <v>136</v>
      </c>
      <c r="F176" s="76" t="s">
        <v>12</v>
      </c>
      <c r="G176" s="76" t="s">
        <v>315</v>
      </c>
      <c r="H176" s="36" t="str">
        <f t="shared" si="7"/>
        <v>OpenG Locate File In Project Tool 4.0.0.7</v>
      </c>
      <c r="I176" s="89" t="s">
        <v>202</v>
      </c>
      <c r="J176" s="7"/>
    </row>
    <row r="177" spans="1:10" x14ac:dyDescent="0.25">
      <c r="A177" s="36" t="s">
        <v>541</v>
      </c>
      <c r="B177" s="75" t="s">
        <v>341</v>
      </c>
      <c r="C177" s="76" t="s">
        <v>342</v>
      </c>
      <c r="D177" s="75" t="s">
        <v>10</v>
      </c>
      <c r="E177" s="75" t="s">
        <v>136</v>
      </c>
      <c r="F177" s="76" t="s">
        <v>12</v>
      </c>
      <c r="G177" s="76" t="s">
        <v>315</v>
      </c>
      <c r="H177" s="36" t="str">
        <f t="shared" si="7"/>
        <v>OpenG MD5 Digest Library 4.1.1.10</v>
      </c>
      <c r="I177" s="89" t="s">
        <v>202</v>
      </c>
      <c r="J177" s="7"/>
    </row>
    <row r="178" spans="1:10" x14ac:dyDescent="0.25">
      <c r="A178" s="36" t="s">
        <v>541</v>
      </c>
      <c r="B178" s="75" t="s">
        <v>343</v>
      </c>
      <c r="C178" s="76" t="s">
        <v>344</v>
      </c>
      <c r="D178" s="75" t="s">
        <v>10</v>
      </c>
      <c r="E178" s="75" t="s">
        <v>136</v>
      </c>
      <c r="F178" s="76" t="s">
        <v>12</v>
      </c>
      <c r="G178" s="76" t="s">
        <v>315</v>
      </c>
      <c r="H178" s="36" t="str">
        <f t="shared" si="7"/>
        <v>OpenG Message Queue Library 4.0.0.15</v>
      </c>
      <c r="I178" s="89" t="s">
        <v>202</v>
      </c>
      <c r="J178" s="7"/>
    </row>
    <row r="179" spans="1:10" x14ac:dyDescent="0.25">
      <c r="A179" s="36" t="s">
        <v>541</v>
      </c>
      <c r="B179" s="75" t="s">
        <v>345</v>
      </c>
      <c r="C179" s="76" t="s">
        <v>346</v>
      </c>
      <c r="D179" s="75" t="s">
        <v>10</v>
      </c>
      <c r="E179" s="75" t="s">
        <v>136</v>
      </c>
      <c r="F179" s="76" t="s">
        <v>12</v>
      </c>
      <c r="G179" s="76" t="s">
        <v>315</v>
      </c>
      <c r="H179" s="36" t="str">
        <f t="shared" si="7"/>
        <v>OpenG Numeric Library 4.1.0.8</v>
      </c>
      <c r="I179" s="89" t="s">
        <v>202</v>
      </c>
      <c r="J179" s="7"/>
    </row>
    <row r="180" spans="1:10" x14ac:dyDescent="0.25">
      <c r="A180" s="36" t="s">
        <v>541</v>
      </c>
      <c r="B180" s="75" t="s">
        <v>347</v>
      </c>
      <c r="C180" s="76" t="s">
        <v>348</v>
      </c>
      <c r="D180" s="75" t="s">
        <v>10</v>
      </c>
      <c r="E180" s="75" t="s">
        <v>136</v>
      </c>
      <c r="F180" s="76" t="s">
        <v>12</v>
      </c>
      <c r="G180" s="76" t="s">
        <v>315</v>
      </c>
      <c r="H180" s="36" t="str">
        <f t="shared" si="7"/>
        <v>OpenG Picture Library 4.0.0.13</v>
      </c>
      <c r="I180" s="89" t="s">
        <v>202</v>
      </c>
      <c r="J180" s="7"/>
    </row>
    <row r="181" spans="1:10" x14ac:dyDescent="0.25">
      <c r="A181" s="36" t="s">
        <v>541</v>
      </c>
      <c r="B181" s="75" t="s">
        <v>349</v>
      </c>
      <c r="C181" s="76" t="s">
        <v>338</v>
      </c>
      <c r="D181" s="75" t="s">
        <v>10</v>
      </c>
      <c r="E181" s="75" t="s">
        <v>136</v>
      </c>
      <c r="F181" s="76" t="s">
        <v>12</v>
      </c>
      <c r="G181" s="76" t="s">
        <v>315</v>
      </c>
      <c r="H181" s="36" t="str">
        <f t="shared" si="7"/>
        <v>OpenG Port IO 4.0.0-2</v>
      </c>
      <c r="I181" s="89" t="s">
        <v>202</v>
      </c>
      <c r="J181" s="7"/>
    </row>
    <row r="182" spans="1:10" x14ac:dyDescent="0.25">
      <c r="A182" s="36" t="s">
        <v>541</v>
      </c>
      <c r="B182" s="75" t="s">
        <v>350</v>
      </c>
      <c r="C182" s="76" t="s">
        <v>344</v>
      </c>
      <c r="D182" s="75" t="s">
        <v>10</v>
      </c>
      <c r="E182" s="75" t="s">
        <v>136</v>
      </c>
      <c r="F182" s="76" t="s">
        <v>12</v>
      </c>
      <c r="G182" s="76" t="s">
        <v>315</v>
      </c>
      <c r="H182" s="36" t="str">
        <f t="shared" si="7"/>
        <v>OpenG Rename Folder of VIs Tool 4.0.0.15</v>
      </c>
      <c r="I182" s="89" t="s">
        <v>202</v>
      </c>
      <c r="J182" s="7"/>
    </row>
    <row r="183" spans="1:10" x14ac:dyDescent="0.25">
      <c r="A183" s="36" t="s">
        <v>541</v>
      </c>
      <c r="B183" s="75" t="s">
        <v>351</v>
      </c>
      <c r="C183" s="76" t="s">
        <v>352</v>
      </c>
      <c r="D183" s="75" t="s">
        <v>10</v>
      </c>
      <c r="E183" s="75" t="s">
        <v>136</v>
      </c>
      <c r="F183" s="76" t="s">
        <v>12</v>
      </c>
      <c r="G183" s="76" t="s">
        <v>315</v>
      </c>
      <c r="H183" s="36" t="str">
        <f t="shared" si="7"/>
        <v>OpenG String Library 4.1.0.12</v>
      </c>
      <c r="I183" s="89" t="s">
        <v>202</v>
      </c>
      <c r="J183" s="7"/>
    </row>
    <row r="184" spans="1:10" x14ac:dyDescent="0.25">
      <c r="A184" s="36" t="s">
        <v>541</v>
      </c>
      <c r="B184" s="75" t="s">
        <v>355</v>
      </c>
      <c r="C184" s="76" t="s">
        <v>356</v>
      </c>
      <c r="D184" s="75" t="s">
        <v>10</v>
      </c>
      <c r="E184" s="75" t="s">
        <v>136</v>
      </c>
      <c r="F184" s="76" t="s">
        <v>12</v>
      </c>
      <c r="G184" s="76" t="s">
        <v>315</v>
      </c>
      <c r="H184" s="36" t="str">
        <f t="shared" si="7"/>
        <v>OpenG Toolkit 4.0.1.9</v>
      </c>
      <c r="I184" s="89" t="s">
        <v>202</v>
      </c>
      <c r="J184" s="7"/>
    </row>
    <row r="185" spans="1:10" x14ac:dyDescent="0.25">
      <c r="A185" s="36" t="s">
        <v>541</v>
      </c>
      <c r="B185" s="75" t="s">
        <v>357</v>
      </c>
      <c r="C185" s="76" t="s">
        <v>358</v>
      </c>
      <c r="D185" s="75" t="s">
        <v>10</v>
      </c>
      <c r="E185" s="75" t="s">
        <v>136</v>
      </c>
      <c r="F185" s="76" t="s">
        <v>12</v>
      </c>
      <c r="G185" s="76" t="s">
        <v>315</v>
      </c>
      <c r="H185" s="36" t="str">
        <f t="shared" si="7"/>
        <v>OpenG Variant Configuration File Library 4.0.0.5</v>
      </c>
      <c r="I185" s="89" t="s">
        <v>202</v>
      </c>
      <c r="J185" s="7"/>
    </row>
    <row r="186" spans="1:10" x14ac:dyDescent="0.25">
      <c r="A186" s="36" t="s">
        <v>541</v>
      </c>
      <c r="B186" s="75" t="s">
        <v>167</v>
      </c>
      <c r="C186" s="76" t="s">
        <v>168</v>
      </c>
      <c r="D186" s="75" t="s">
        <v>10</v>
      </c>
      <c r="E186" s="75" t="s">
        <v>136</v>
      </c>
      <c r="F186" s="76" t="s">
        <v>12</v>
      </c>
      <c r="G186" s="76" t="s">
        <v>167</v>
      </c>
      <c r="H186" s="36" t="str">
        <f t="shared" si="7"/>
        <v>OpenGDS 1.1.17</v>
      </c>
      <c r="I186" s="89" t="s">
        <v>202</v>
      </c>
      <c r="J186" s="7"/>
    </row>
    <row r="187" spans="1:10" x14ac:dyDescent="0.25">
      <c r="A187" s="36" t="s">
        <v>541</v>
      </c>
      <c r="B187" s="36" t="s">
        <v>78</v>
      </c>
      <c r="C187" s="36" t="s">
        <v>79</v>
      </c>
      <c r="D187" s="36">
        <v>32</v>
      </c>
      <c r="E187" s="36">
        <v>2015</v>
      </c>
      <c r="F187" s="36" t="s">
        <v>12</v>
      </c>
      <c r="G187" s="36" t="s">
        <v>13</v>
      </c>
      <c r="H187" s="36" t="str">
        <f t="shared" ref="H187:H208" si="8">B187&amp;" "&amp;C187</f>
        <v>PID Toolkit 2.1.0</v>
      </c>
      <c r="I187" s="30" t="s">
        <v>42</v>
      </c>
      <c r="J187" s="7"/>
    </row>
    <row r="188" spans="1:10" x14ac:dyDescent="0.25">
      <c r="A188" s="36" t="s">
        <v>541</v>
      </c>
      <c r="B188" s="36" t="s">
        <v>80</v>
      </c>
      <c r="C188" s="36" t="s">
        <v>81</v>
      </c>
      <c r="D188" s="36">
        <v>32</v>
      </c>
      <c r="E188" s="36">
        <v>2015</v>
      </c>
      <c r="F188" s="36" t="s">
        <v>12</v>
      </c>
      <c r="G188" s="36" t="s">
        <v>13</v>
      </c>
      <c r="H188" s="36" t="str">
        <f t="shared" si="8"/>
        <v>Profiler Toolkit 1.0.0</v>
      </c>
      <c r="I188" s="30" t="s">
        <v>42</v>
      </c>
      <c r="J188" s="7"/>
    </row>
    <row r="189" spans="1:10" x14ac:dyDescent="0.25">
      <c r="A189" s="36" t="s">
        <v>541</v>
      </c>
      <c r="B189" s="36" t="s">
        <v>35</v>
      </c>
      <c r="C189" s="36" t="s">
        <v>9</v>
      </c>
      <c r="D189" s="36">
        <v>32</v>
      </c>
      <c r="E189" s="36">
        <v>2015</v>
      </c>
      <c r="F189" s="36" t="s">
        <v>12</v>
      </c>
      <c r="G189" s="36" t="s">
        <v>13</v>
      </c>
      <c r="H189" s="36" t="str">
        <f t="shared" si="8"/>
        <v>Real-Time 15.0.0</v>
      </c>
      <c r="I189" s="30" t="s">
        <v>42</v>
      </c>
      <c r="J189" s="7"/>
    </row>
    <row r="190" spans="1:10" x14ac:dyDescent="0.25">
      <c r="A190" s="36" t="s">
        <v>541</v>
      </c>
      <c r="B190" s="36" t="s">
        <v>35</v>
      </c>
      <c r="C190" s="36" t="s">
        <v>92</v>
      </c>
      <c r="D190" s="36">
        <v>32</v>
      </c>
      <c r="E190" s="36">
        <v>2015</v>
      </c>
      <c r="F190" s="36" t="s">
        <v>12</v>
      </c>
      <c r="G190" s="36" t="s">
        <v>13</v>
      </c>
      <c r="H190" s="36" t="str">
        <f t="shared" si="8"/>
        <v>Real-Time 15.0.1</v>
      </c>
      <c r="I190" s="34" t="s">
        <v>464</v>
      </c>
      <c r="J190" s="7"/>
    </row>
    <row r="191" spans="1:10" x14ac:dyDescent="0.25">
      <c r="A191" s="36" t="s">
        <v>541</v>
      </c>
      <c r="B191" s="36" t="s">
        <v>82</v>
      </c>
      <c r="C191" s="36" t="s">
        <v>9</v>
      </c>
      <c r="D191" s="36">
        <v>32</v>
      </c>
      <c r="E191" s="36">
        <v>2015</v>
      </c>
      <c r="F191" s="36" t="s">
        <v>12</v>
      </c>
      <c r="G191" s="36" t="s">
        <v>13</v>
      </c>
      <c r="H191" s="36" t="str">
        <f t="shared" si="8"/>
        <v>Real-Time Trace Viewer - CVI Support 15.0.0</v>
      </c>
      <c r="I191" s="30" t="s">
        <v>42</v>
      </c>
      <c r="J191" s="7"/>
    </row>
    <row r="192" spans="1:10" x14ac:dyDescent="0.25">
      <c r="A192" s="36" t="s">
        <v>541</v>
      </c>
      <c r="B192" s="36" t="s">
        <v>36</v>
      </c>
      <c r="C192" s="36" t="s">
        <v>92</v>
      </c>
      <c r="D192" s="36">
        <v>32</v>
      </c>
      <c r="E192" s="36">
        <v>2015</v>
      </c>
      <c r="F192" s="36" t="s">
        <v>12</v>
      </c>
      <c r="G192" s="36" t="s">
        <v>13</v>
      </c>
      <c r="H192" s="36" t="str">
        <f t="shared" si="8"/>
        <v>Real-Time Trace Viewer - LabVIEW 2015 Support 15.0.1</v>
      </c>
      <c r="I192" s="34" t="s">
        <v>464</v>
      </c>
      <c r="J192" s="7"/>
    </row>
    <row r="193" spans="1:10" x14ac:dyDescent="0.25">
      <c r="A193" s="36" t="s">
        <v>541</v>
      </c>
      <c r="B193" s="36" t="s">
        <v>37</v>
      </c>
      <c r="C193" s="36" t="s">
        <v>9</v>
      </c>
      <c r="D193" s="36">
        <v>32</v>
      </c>
      <c r="E193" s="36">
        <v>2015</v>
      </c>
      <c r="F193" s="36" t="s">
        <v>12</v>
      </c>
      <c r="G193" s="36" t="s">
        <v>13</v>
      </c>
      <c r="H193" s="36" t="str">
        <f t="shared" si="8"/>
        <v>Report Generation Toolkit For Microsoft Office 15.0.0</v>
      </c>
      <c r="I193" s="30" t="s">
        <v>42</v>
      </c>
      <c r="J193" s="7"/>
    </row>
    <row r="194" spans="1:10" x14ac:dyDescent="0.25">
      <c r="A194" s="36" t="s">
        <v>541</v>
      </c>
      <c r="B194" s="36" t="s">
        <v>83</v>
      </c>
      <c r="C194" s="36" t="s">
        <v>84</v>
      </c>
      <c r="D194" s="36">
        <v>32</v>
      </c>
      <c r="E194" s="36">
        <v>2015</v>
      </c>
      <c r="F194" s="36" t="s">
        <v>12</v>
      </c>
      <c r="G194" s="36" t="s">
        <v>13</v>
      </c>
      <c r="H194" s="36" t="str">
        <f t="shared" si="8"/>
        <v>Signal Processing Toolkit 7.0.2</v>
      </c>
      <c r="I194" s="30" t="s">
        <v>42</v>
      </c>
      <c r="J194" s="7"/>
    </row>
    <row r="195" spans="1:10" x14ac:dyDescent="0.25">
      <c r="A195" s="36" t="s">
        <v>541</v>
      </c>
      <c r="B195" s="36" t="s">
        <v>85</v>
      </c>
      <c r="C195" s="36" t="s">
        <v>86</v>
      </c>
      <c r="D195" s="36">
        <v>32</v>
      </c>
      <c r="E195" s="36">
        <v>2015</v>
      </c>
      <c r="F195" s="36" t="s">
        <v>12</v>
      </c>
      <c r="G195" s="36" t="s">
        <v>13</v>
      </c>
      <c r="H195" s="36" t="str">
        <f t="shared" si="8"/>
        <v>SQL Toolkit 2.3.0</v>
      </c>
      <c r="I195" s="30" t="s">
        <v>42</v>
      </c>
      <c r="J195" s="7"/>
    </row>
    <row r="196" spans="1:10" x14ac:dyDescent="0.25">
      <c r="A196" s="36" t="s">
        <v>541</v>
      </c>
      <c r="B196" s="36" t="s">
        <v>38</v>
      </c>
      <c r="C196" s="36" t="s">
        <v>9</v>
      </c>
      <c r="D196" s="36">
        <v>32</v>
      </c>
      <c r="E196" s="36">
        <v>2015</v>
      </c>
      <c r="F196" s="36" t="s">
        <v>12</v>
      </c>
      <c r="G196" s="36" t="s">
        <v>13</v>
      </c>
      <c r="H196" s="36" t="str">
        <f t="shared" si="8"/>
        <v>Statechart Module 15.0.0</v>
      </c>
      <c r="I196" s="30" t="s">
        <v>42</v>
      </c>
      <c r="J196" s="7"/>
    </row>
    <row r="197" spans="1:10" x14ac:dyDescent="0.25">
      <c r="A197" s="36" t="s">
        <v>541</v>
      </c>
      <c r="B197" s="75" t="s">
        <v>359</v>
      </c>
      <c r="C197" s="76" t="s">
        <v>360</v>
      </c>
      <c r="D197" s="75" t="s">
        <v>10</v>
      </c>
      <c r="E197" s="75" t="s">
        <v>136</v>
      </c>
      <c r="F197" s="76" t="s">
        <v>12</v>
      </c>
      <c r="G197" s="76" t="s">
        <v>13</v>
      </c>
      <c r="H197" s="75" t="str">
        <f t="shared" si="8"/>
        <v>Structure Error Handler 2.1.10.1</v>
      </c>
      <c r="I197" s="89" t="s">
        <v>202</v>
      </c>
      <c r="J197" s="7"/>
    </row>
    <row r="198" spans="1:10" x14ac:dyDescent="0.25">
      <c r="A198" s="36" t="s">
        <v>541</v>
      </c>
      <c r="B198" s="36" t="s">
        <v>39</v>
      </c>
      <c r="C198" s="36" t="s">
        <v>9</v>
      </c>
      <c r="D198" s="36">
        <v>32</v>
      </c>
      <c r="E198" s="36">
        <v>2015</v>
      </c>
      <c r="F198" s="36" t="s">
        <v>12</v>
      </c>
      <c r="G198" s="36" t="s">
        <v>13</v>
      </c>
      <c r="H198" s="36" t="str">
        <f t="shared" si="8"/>
        <v>Unit Test Framework Toolkit 15.0.0</v>
      </c>
      <c r="I198" s="30" t="s">
        <v>42</v>
      </c>
      <c r="J198" s="7"/>
    </row>
    <row r="199" spans="1:10" x14ac:dyDescent="0.25">
      <c r="A199" s="36" t="s">
        <v>541</v>
      </c>
      <c r="B199" s="36" t="s">
        <v>384</v>
      </c>
      <c r="C199" s="36" t="s">
        <v>429</v>
      </c>
      <c r="D199" s="36" t="s">
        <v>10</v>
      </c>
      <c r="E199" s="36" t="s">
        <v>119</v>
      </c>
      <c r="F199" s="36" t="s">
        <v>12</v>
      </c>
      <c r="G199" s="36" t="s">
        <v>13</v>
      </c>
      <c r="H199" s="36" t="str">
        <f t="shared" si="8"/>
        <v>USB3 Vision Driver 19.0.0.49152</v>
      </c>
      <c r="I199" s="33" t="s">
        <v>424</v>
      </c>
      <c r="J199" s="7"/>
    </row>
    <row r="200" spans="1:10" x14ac:dyDescent="0.25">
      <c r="A200" s="36" t="s">
        <v>541</v>
      </c>
      <c r="B200" s="36" t="s">
        <v>40</v>
      </c>
      <c r="C200" s="36" t="s">
        <v>9</v>
      </c>
      <c r="D200" s="36">
        <v>32</v>
      </c>
      <c r="E200" s="36">
        <v>2015</v>
      </c>
      <c r="F200" s="36" t="s">
        <v>12</v>
      </c>
      <c r="G200" s="36" t="s">
        <v>13</v>
      </c>
      <c r="H200" s="36" t="str">
        <f t="shared" si="8"/>
        <v>VI Analyzer Toolkit 15.0.0</v>
      </c>
      <c r="I200" s="97" t="s">
        <v>42</v>
      </c>
      <c r="J200" s="7"/>
    </row>
    <row r="201" spans="1:10" x14ac:dyDescent="0.25">
      <c r="A201" s="36" t="s">
        <v>541</v>
      </c>
      <c r="B201" s="36" t="s">
        <v>370</v>
      </c>
      <c r="C201" s="36" t="s">
        <v>135</v>
      </c>
      <c r="D201" s="36" t="s">
        <v>10</v>
      </c>
      <c r="E201" s="36" t="s">
        <v>119</v>
      </c>
      <c r="F201" s="36" t="s">
        <v>12</v>
      </c>
      <c r="G201" s="36" t="s">
        <v>13</v>
      </c>
      <c r="H201" s="90" t="str">
        <f t="shared" si="8"/>
        <v>Vision Common Resources 19.0.0</v>
      </c>
      <c r="I201" s="33" t="s">
        <v>424</v>
      </c>
      <c r="J201" s="7"/>
    </row>
    <row r="202" spans="1:10" x14ac:dyDescent="0.25">
      <c r="A202" s="36" t="s">
        <v>541</v>
      </c>
      <c r="B202" s="36" t="s">
        <v>390</v>
      </c>
      <c r="C202" s="36" t="s">
        <v>135</v>
      </c>
      <c r="D202" s="36" t="s">
        <v>10</v>
      </c>
      <c r="E202" s="36" t="s">
        <v>119</v>
      </c>
      <c r="F202" s="36" t="s">
        <v>12</v>
      </c>
      <c r="G202" s="36" t="s">
        <v>13</v>
      </c>
      <c r="H202" s="90" t="str">
        <f t="shared" si="8"/>
        <v>Vision Development Module 19.0.0</v>
      </c>
      <c r="I202" s="33" t="s">
        <v>424</v>
      </c>
    </row>
    <row r="203" spans="1:10" x14ac:dyDescent="0.25">
      <c r="A203" s="36" t="s">
        <v>541</v>
      </c>
      <c r="B203" s="36" t="s">
        <v>391</v>
      </c>
      <c r="C203" s="36" t="s">
        <v>135</v>
      </c>
      <c r="D203" s="36" t="s">
        <v>10</v>
      </c>
      <c r="E203" s="36" t="s">
        <v>119</v>
      </c>
      <c r="F203" s="36" t="s">
        <v>24</v>
      </c>
      <c r="G203" s="36" t="s">
        <v>13</v>
      </c>
      <c r="H203" s="90" t="str">
        <f t="shared" si="8"/>
        <v>Vision Development Module Support 19.0.0</v>
      </c>
      <c r="I203" s="33" t="s">
        <v>424</v>
      </c>
    </row>
    <row r="204" spans="1:10" x14ac:dyDescent="0.25">
      <c r="A204" s="36" t="s">
        <v>541</v>
      </c>
      <c r="B204" s="75" t="s">
        <v>361</v>
      </c>
      <c r="C204" s="75" t="s">
        <v>362</v>
      </c>
      <c r="D204" s="75" t="s">
        <v>10</v>
      </c>
      <c r="E204" s="75" t="s">
        <v>136</v>
      </c>
      <c r="F204" s="76" t="s">
        <v>12</v>
      </c>
      <c r="G204" s="76" t="s">
        <v>13</v>
      </c>
      <c r="H204" s="75" t="str">
        <f t="shared" si="8"/>
        <v>UI Tools 1.4.1.74</v>
      </c>
      <c r="I204" s="89" t="s">
        <v>202</v>
      </c>
    </row>
    <row r="205" spans="1:10" x14ac:dyDescent="0.25">
      <c r="A205" s="36" t="s">
        <v>541</v>
      </c>
      <c r="B205" s="75" t="s">
        <v>363</v>
      </c>
      <c r="C205" s="75" t="s">
        <v>30</v>
      </c>
      <c r="D205" s="75">
        <v>32</v>
      </c>
      <c r="E205" s="75">
        <v>2015</v>
      </c>
      <c r="F205" s="76" t="s">
        <v>12</v>
      </c>
      <c r="G205" s="76" t="s">
        <v>13</v>
      </c>
      <c r="H205" s="75" t="str">
        <f t="shared" si="8"/>
        <v>NI-CAN 15.0.0f0</v>
      </c>
      <c r="I205" s="166" t="s">
        <v>555</v>
      </c>
    </row>
    <row r="206" spans="1:10" x14ac:dyDescent="0.25">
      <c r="A206" s="36" t="s">
        <v>541</v>
      </c>
      <c r="B206" s="75" t="s">
        <v>396</v>
      </c>
      <c r="C206" s="75" t="s">
        <v>146</v>
      </c>
      <c r="D206" s="75" t="s">
        <v>10</v>
      </c>
      <c r="E206" s="75" t="s">
        <v>130</v>
      </c>
      <c r="F206" s="76" t="s">
        <v>12</v>
      </c>
      <c r="G206" s="76" t="s">
        <v>13</v>
      </c>
      <c r="H206" s="75" t="str">
        <f t="shared" si="8"/>
        <v>NI-XNET 18.5.0f0</v>
      </c>
      <c r="I206" s="167" t="s">
        <v>554</v>
      </c>
    </row>
    <row r="207" spans="1:10" x14ac:dyDescent="0.25">
      <c r="A207" s="36" t="s">
        <v>541</v>
      </c>
      <c r="B207" s="75" t="s">
        <v>365</v>
      </c>
      <c r="C207" s="75">
        <v>15</v>
      </c>
      <c r="D207" s="75">
        <v>32</v>
      </c>
      <c r="E207" s="75">
        <v>2015</v>
      </c>
      <c r="F207" s="76" t="s">
        <v>12</v>
      </c>
      <c r="G207" s="76" t="s">
        <v>13</v>
      </c>
      <c r="H207" s="75" t="str">
        <f t="shared" si="8"/>
        <v>FieldPoint 15</v>
      </c>
      <c r="I207" s="168" t="s">
        <v>556</v>
      </c>
    </row>
    <row r="208" spans="1:10" x14ac:dyDescent="0.25">
      <c r="A208" s="36" t="s">
        <v>541</v>
      </c>
      <c r="B208" s="75" t="s">
        <v>553</v>
      </c>
      <c r="C208" s="75">
        <v>15</v>
      </c>
      <c r="D208" s="75">
        <v>32</v>
      </c>
      <c r="E208" s="75">
        <v>2015</v>
      </c>
      <c r="F208" s="76" t="s">
        <v>12</v>
      </c>
      <c r="G208" s="76" t="s">
        <v>13</v>
      </c>
      <c r="H208" s="75" t="str">
        <f t="shared" si="8"/>
        <v>LabVIEW Interface 15</v>
      </c>
      <c r="I208" s="168" t="s">
        <v>556</v>
      </c>
    </row>
  </sheetData>
  <autoFilter ref="A3:I204" xr:uid="{F7F44E2F-0633-42B7-8978-CE6606F45AA2}">
    <sortState xmlns:xlrd2="http://schemas.microsoft.com/office/spreadsheetml/2017/richdata2" ref="A4:I203">
      <sortCondition ref="B3:B201"/>
    </sortState>
  </autoFilter>
  <mergeCells count="1">
    <mergeCell ref="A1:I2"/>
  </mergeCells>
  <phoneticPr fontId="11" type="noConversion"/>
  <hyperlinks>
    <hyperlink ref="G162" r:id="rId1" display="http://openg.org/" xr:uid="{94DE825F-40B6-4387-9F1C-951610EE4F8C}"/>
    <hyperlink ref="G163" r:id="rId2" display="http://openg.org/" xr:uid="{EC864293-D4B6-440C-92F2-E872DCE7F5EA}"/>
    <hyperlink ref="G164" r:id="rId3" display="http://openg.org/" xr:uid="{59926EC3-CCF4-4382-BF24-5D6957296D07}"/>
    <hyperlink ref="G165" r:id="rId4" display="http://openg.org/" xr:uid="{9C65155C-ABD2-420D-98E0-1AF047922082}"/>
    <hyperlink ref="G166" r:id="rId5" display="http://openg.org/" xr:uid="{9067E9C6-C468-498D-9061-A8BF6CFC9A17}"/>
    <hyperlink ref="G167" r:id="rId6" display="http://openg.org/" xr:uid="{FE6117BC-4981-48CF-A505-E29D04BB793C}"/>
    <hyperlink ref="G168" r:id="rId7" display="http://openg.org/" xr:uid="{93E65643-0CA7-486F-B28B-F9627208B269}"/>
    <hyperlink ref="G169" r:id="rId8" display="http://openg.org/" xr:uid="{B0CC4F5B-CDAF-4F0A-9EBB-05EE260E63E9}"/>
    <hyperlink ref="G170" r:id="rId9" display="http://openg.org/" xr:uid="{B00C33B9-481E-411C-B359-7B94C6327F21}"/>
    <hyperlink ref="G171" r:id="rId10" display="http://openg.org/" xr:uid="{6920A437-0038-4AAA-B76B-D2E62C680F6E}"/>
    <hyperlink ref="G174" r:id="rId11" display="http://openg.org/" xr:uid="{53120ABC-DD9C-4D9D-848A-50323FAD5B45}"/>
    <hyperlink ref="G175" r:id="rId12" display="http://openg.org/" xr:uid="{5E14D255-D0ED-452E-8F71-27A08007DDFC}"/>
    <hyperlink ref="G176" r:id="rId13" display="http://openg.org/" xr:uid="{CDAEF7E2-09B1-4EE7-90A7-7EF1E88858D5}"/>
    <hyperlink ref="G177" r:id="rId14" display="http://openg.org/" xr:uid="{4DD43253-860F-4470-BF5C-0174B9451262}"/>
    <hyperlink ref="G178" r:id="rId15" display="http://openg.org/" xr:uid="{E67E3B58-E38E-4895-BDDA-504251B6DFD9}"/>
    <hyperlink ref="G179" r:id="rId16" display="http://openg.org/" xr:uid="{832FC967-DEAC-40E0-94A0-6A47A8DDD64D}"/>
    <hyperlink ref="G180" r:id="rId17" display="http://openg.org/" xr:uid="{E055781F-D0E1-4D3B-AC3A-145833888C6B}"/>
    <hyperlink ref="G181" r:id="rId18" display="http://openg.org/" xr:uid="{AF0FB1F7-C1AE-4E39-9955-2C1FC9EF7F19}"/>
    <hyperlink ref="G182" r:id="rId19" display="http://openg.org/" xr:uid="{2906DFDA-015E-4631-A934-B0CDE2A5B82B}"/>
    <hyperlink ref="G183" r:id="rId20" display="http://openg.org/" xr:uid="{6362BA8C-A9A3-4616-9F30-86912C5AAF23}"/>
    <hyperlink ref="G184" r:id="rId21" display="http://openg.org/" xr:uid="{2CAE8D70-C655-4B7C-8F0A-439D83EE0F22}"/>
    <hyperlink ref="G185" r:id="rId22" display="http://openg.org/" xr:uid="{7E6C4E7C-31ED-4338-BBB3-0B490FE7FE38}"/>
    <hyperlink ref="G161" r:id="rId23" display="http://openg.org/" xr:uid="{0A753B69-547E-47A0-9F68-FD1C4FA17AC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7DAF1-67F4-4979-B49F-B59086354299}">
  <sheetPr codeName="Sheet7" filterMode="1"/>
  <dimension ref="A1:I604"/>
  <sheetViews>
    <sheetView showZeros="0" workbookViewId="0">
      <pane ySplit="3" topLeftCell="A29" activePane="bottomLeft" state="frozen"/>
      <selection pane="bottomLeft" activeCell="B122" sqref="B122:E133"/>
    </sheetView>
  </sheetViews>
  <sheetFormatPr defaultRowHeight="13.5" x14ac:dyDescent="0.25"/>
  <cols>
    <col min="1" max="1" width="9.140625" style="74"/>
    <col min="2" max="2" width="44.140625" style="74" bestFit="1" customWidth="1"/>
    <col min="3" max="3" width="12.28515625" style="74" bestFit="1" customWidth="1"/>
    <col min="4" max="4" width="9" style="74" bestFit="1" customWidth="1"/>
    <col min="5" max="5" width="11.140625" style="74" bestFit="1" customWidth="1"/>
    <col min="6" max="6" width="21.28515625" style="74" bestFit="1" customWidth="1"/>
    <col min="7" max="7" width="10" style="74" bestFit="1" customWidth="1"/>
    <col min="8" max="8" width="51" style="74" bestFit="1" customWidth="1"/>
    <col min="9" max="9" width="42.85546875" style="74" bestFit="1" customWidth="1"/>
    <col min="10" max="16384" width="9.140625" style="74"/>
  </cols>
  <sheetData>
    <row r="1" spans="1:9" x14ac:dyDescent="0.25">
      <c r="B1" s="98"/>
      <c r="C1" s="98"/>
      <c r="D1" s="98"/>
      <c r="E1" s="98"/>
      <c r="F1" s="98"/>
      <c r="G1" s="98"/>
      <c r="H1" s="98"/>
      <c r="I1" s="103"/>
    </row>
    <row r="2" spans="1:9" ht="14.25" thickBot="1" x14ac:dyDescent="0.3">
      <c r="B2" s="104"/>
      <c r="C2" s="104"/>
      <c r="D2" s="104"/>
      <c r="E2" s="104"/>
      <c r="F2" s="104"/>
      <c r="G2" s="104"/>
      <c r="H2" s="104"/>
      <c r="I2" s="105"/>
    </row>
    <row r="3" spans="1:9" x14ac:dyDescent="0.25">
      <c r="A3" s="58" t="s">
        <v>557</v>
      </c>
      <c r="B3" s="58" t="s">
        <v>99</v>
      </c>
      <c r="C3" s="58" t="s">
        <v>3</v>
      </c>
      <c r="D3" s="58" t="s">
        <v>4</v>
      </c>
      <c r="E3" s="58" t="s">
        <v>5</v>
      </c>
      <c r="F3" s="58" t="s">
        <v>100</v>
      </c>
      <c r="G3" s="58" t="s">
        <v>6</v>
      </c>
      <c r="H3" s="59" t="s">
        <v>101</v>
      </c>
      <c r="I3" s="60" t="s">
        <v>7</v>
      </c>
    </row>
    <row r="4" spans="1:9" x14ac:dyDescent="0.25">
      <c r="A4" s="74" t="str">
        <f>Originals!A4</f>
        <v>1-Corey</v>
      </c>
      <c r="B4" s="74" t="str">
        <f>Originals!B4</f>
        <v>Advanced Signal Processing Toolkit</v>
      </c>
      <c r="C4" s="74" t="str">
        <f>Originals!C4</f>
        <v>15.0.0</v>
      </c>
      <c r="D4" s="74" t="str">
        <f>Originals!D4</f>
        <v>32</v>
      </c>
      <c r="E4" s="74" t="str">
        <f>Originals!E4</f>
        <v>2015</v>
      </c>
      <c r="F4" s="74" t="str">
        <f>Originals!F4</f>
        <v>Development</v>
      </c>
      <c r="G4" s="74" t="str">
        <f>Originals!G4</f>
        <v>NI</v>
      </c>
      <c r="H4" s="74" t="str">
        <f>Originals!H4</f>
        <v>Advanced Signal Processing Toolkit 15.0.0</v>
      </c>
      <c r="I4" s="74" t="str">
        <f>Originals!I4</f>
        <v>NI Developer Suite 2015 DS2 Install</v>
      </c>
    </row>
    <row r="5" spans="1:9" x14ac:dyDescent="0.25">
      <c r="A5" s="74" t="str">
        <f>Originals!A83</f>
        <v>2-Spencer</v>
      </c>
      <c r="B5" s="74" t="str">
        <f>Originals!B83</f>
        <v>Advanced Signal Processing Toolkit</v>
      </c>
      <c r="C5" s="74" t="str">
        <f>Originals!C83</f>
        <v>15.0.0</v>
      </c>
      <c r="D5" s="74" t="str">
        <f>Originals!D83</f>
        <v>32</v>
      </c>
      <c r="E5" s="74" t="str">
        <f>Originals!E83</f>
        <v>2015</v>
      </c>
      <c r="F5" s="74" t="str">
        <f>Originals!F83</f>
        <v>Development</v>
      </c>
      <c r="G5" s="74" t="str">
        <f>Originals!G83</f>
        <v>NI</v>
      </c>
      <c r="H5" s="74" t="str">
        <f>Originals!H83</f>
        <v>Advanced Signal Processing Toolkit 15.0.0</v>
      </c>
      <c r="I5" s="74" t="str">
        <f>Originals!I83</f>
        <v>NI Developer Suite 2015 DS2 Install</v>
      </c>
    </row>
    <row r="6" spans="1:9" x14ac:dyDescent="0.25">
      <c r="A6" s="74" t="str">
        <f>Scott!A4</f>
        <v>3-Scott</v>
      </c>
      <c r="B6" s="74" t="str">
        <f>Scott!B4</f>
        <v>Advanced Signal Processing Toolkit</v>
      </c>
      <c r="C6" s="74" t="str">
        <f>Scott!C4</f>
        <v>15.0.0</v>
      </c>
      <c r="D6" s="74">
        <f>Scott!D4</f>
        <v>32</v>
      </c>
      <c r="E6" s="74">
        <f>Scott!E4</f>
        <v>2015</v>
      </c>
      <c r="F6" s="74" t="str">
        <f>Scott!F4</f>
        <v>Development</v>
      </c>
      <c r="G6" s="74" t="str">
        <f>Scott!G4</f>
        <v>NI</v>
      </c>
      <c r="H6" s="74" t="str">
        <f>Scott!H4</f>
        <v>Advanced Signal Processing Toolkit 15.0.0</v>
      </c>
      <c r="I6" s="74" t="str">
        <f>Scott!I4</f>
        <v>NI Developer Suite 2015 DS2 Install</v>
      </c>
    </row>
    <row r="7" spans="1:9" x14ac:dyDescent="0.25">
      <c r="A7" s="74" t="str">
        <f>Originals!A5</f>
        <v>1-Corey</v>
      </c>
      <c r="B7" s="74" t="str">
        <f>Originals!B5</f>
        <v>C Series Module Support</v>
      </c>
      <c r="C7" s="74" t="str">
        <f>Originals!C5</f>
        <v>15.0.0</v>
      </c>
      <c r="D7" s="74" t="str">
        <f>Originals!D5</f>
        <v>32</v>
      </c>
      <c r="E7" s="74" t="str">
        <f>Originals!E5</f>
        <v>2015</v>
      </c>
      <c r="F7" s="74" t="str">
        <f>Originals!F5</f>
        <v>Development</v>
      </c>
      <c r="G7" s="74" t="str">
        <f>Originals!G5</f>
        <v>NI</v>
      </c>
      <c r="H7" s="74" t="str">
        <f>Originals!H5</f>
        <v>C Series Module Support 15.0.0</v>
      </c>
      <c r="I7" s="74" t="str">
        <f>Originals!I5</f>
        <v>NI Developer Suite 2015 DS2 Install</v>
      </c>
    </row>
    <row r="8" spans="1:9" x14ac:dyDescent="0.25">
      <c r="A8" s="74" t="str">
        <f>Originals!A84</f>
        <v>2-Spencer</v>
      </c>
      <c r="B8" s="74" t="str">
        <f>Originals!B84</f>
        <v>C Series Module Support</v>
      </c>
      <c r="C8" s="74" t="str">
        <f>Originals!C84</f>
        <v>15.0.0</v>
      </c>
      <c r="D8" s="74" t="str">
        <f>Originals!D84</f>
        <v>32</v>
      </c>
      <c r="E8" s="74" t="str">
        <f>Originals!E84</f>
        <v>2015</v>
      </c>
      <c r="F8" s="74" t="str">
        <f>Originals!F84</f>
        <v>Development</v>
      </c>
      <c r="G8" s="74" t="str">
        <f>Originals!G84</f>
        <v>NI</v>
      </c>
      <c r="H8" s="74" t="str">
        <f>Originals!H84</f>
        <v>C Series Module Support 15.0.0</v>
      </c>
      <c r="I8" s="74" t="str">
        <f>Originals!I84</f>
        <v>NI Developer Suite 2015 DS2 Install</v>
      </c>
    </row>
    <row r="9" spans="1:9" x14ac:dyDescent="0.25">
      <c r="A9" s="74" t="str">
        <f>Originals!A166</f>
        <v>4-Vinnie</v>
      </c>
      <c r="B9" s="74" t="str">
        <f>Originals!B166</f>
        <v>C Series Module Support</v>
      </c>
      <c r="C9" s="74" t="str">
        <f>Originals!C166</f>
        <v>15.5.0</v>
      </c>
      <c r="D9" s="74" t="str">
        <f>Originals!D166</f>
        <v>32</v>
      </c>
      <c r="E9" s="74">
        <f>Originals!E166</f>
        <v>2015</v>
      </c>
      <c r="F9" s="74" t="str">
        <f>Originals!F166</f>
        <v>Development</v>
      </c>
      <c r="G9" s="74" t="str">
        <f>Originals!G166</f>
        <v>NI</v>
      </c>
      <c r="H9" s="74" t="str">
        <f>Originals!H166</f>
        <v>C Series Module Support 15.5.0</v>
      </c>
      <c r="I9" s="74">
        <f>Originals!I166</f>
        <v>0</v>
      </c>
    </row>
    <row r="10" spans="1:9" x14ac:dyDescent="0.25">
      <c r="A10" s="74" t="str">
        <f>Scott!A5</f>
        <v>3-Scott</v>
      </c>
      <c r="B10" s="74" t="str">
        <f>Scott!B5</f>
        <v>C Series Module Support</v>
      </c>
      <c r="C10" s="74" t="str">
        <f>Scott!C5</f>
        <v>18.1.0</v>
      </c>
      <c r="D10" s="74" t="str">
        <f>Scott!D5</f>
        <v>32</v>
      </c>
      <c r="E10" s="74" t="str">
        <f>Scott!E5</f>
        <v>2018</v>
      </c>
      <c r="F10" s="74" t="str">
        <f>Scott!F5</f>
        <v>Development</v>
      </c>
      <c r="G10" s="74" t="str">
        <f>Scott!G5</f>
        <v>NI</v>
      </c>
      <c r="H10" s="74" t="str">
        <f>Scott!H5</f>
        <v>C Series Module Support 18.1.0</v>
      </c>
      <c r="I10" s="74" t="str">
        <f>Scott!I5</f>
        <v>CompactRIO 18.1.0</v>
      </c>
    </row>
    <row r="11" spans="1:9" hidden="1" x14ac:dyDescent="0.25">
      <c r="A11" s="74" t="str">
        <f>Originals!A167</f>
        <v>4-Vinnie</v>
      </c>
      <c r="B11" s="74" t="str">
        <f>Originals!B167</f>
        <v>Caraya Unit Test Framework</v>
      </c>
      <c r="C11" s="74" t="str">
        <f>Originals!C167</f>
        <v>0.6.3.54</v>
      </c>
      <c r="D11" s="74" t="str">
        <f>Originals!D167</f>
        <v>32</v>
      </c>
      <c r="E11" s="74" t="str">
        <f>Originals!E167</f>
        <v>N/A</v>
      </c>
      <c r="F11" s="74" t="str">
        <f>Originals!F167</f>
        <v>Development</v>
      </c>
      <c r="G11" s="74" t="str">
        <f>Originals!G167</f>
        <v>JKI</v>
      </c>
      <c r="H11" s="74" t="str">
        <f>Originals!H167</f>
        <v>Caraya Unit Test Framework 0.6.3.54</v>
      </c>
      <c r="I11" s="74" t="str">
        <f>Originals!I167</f>
        <v>VIPM Community</v>
      </c>
    </row>
    <row r="12" spans="1:9" hidden="1" x14ac:dyDescent="0.25">
      <c r="A12" s="74" t="str">
        <f>Scott!A6</f>
        <v>3-Scott</v>
      </c>
      <c r="B12" s="74" t="str">
        <f>Scott!B6</f>
        <v>Caraya Unit Test Framework</v>
      </c>
      <c r="C12" s="74" t="str">
        <f>Scott!C6</f>
        <v>0.6.3.54</v>
      </c>
      <c r="D12" s="74" t="str">
        <f>Scott!D6</f>
        <v>32</v>
      </c>
      <c r="E12" s="74" t="str">
        <f>Scott!E6</f>
        <v>N/A</v>
      </c>
      <c r="F12" s="74" t="str">
        <f>Scott!F6</f>
        <v>Development</v>
      </c>
      <c r="G12" s="74" t="str">
        <f>Scott!G6</f>
        <v>JKI</v>
      </c>
      <c r="H12" s="74" t="str">
        <f>Scott!H6</f>
        <v>Caraya Unit Test Framework 0.6.3.54</v>
      </c>
      <c r="I12" s="74" t="str">
        <f>Scott!I6</f>
        <v>VIPM Community</v>
      </c>
    </row>
    <row r="13" spans="1:9" x14ac:dyDescent="0.25">
      <c r="A13" s="74" t="str">
        <f>Originals!A6</f>
        <v>1-Corey</v>
      </c>
      <c r="B13" s="74" t="str">
        <f>Originals!B6</f>
        <v>CompactRIO</v>
      </c>
      <c r="C13" s="74" t="str">
        <f>Originals!C6</f>
        <v>15.0.0</v>
      </c>
      <c r="D13" s="74" t="str">
        <f>Originals!D6</f>
        <v>32</v>
      </c>
      <c r="E13" s="74" t="str">
        <f>Originals!E6</f>
        <v>2015</v>
      </c>
      <c r="F13" s="74" t="str">
        <f>Originals!F6</f>
        <v>Development</v>
      </c>
      <c r="G13" s="74" t="str">
        <f>Originals!G6</f>
        <v>NI</v>
      </c>
      <c r="H13" s="74" t="str">
        <f>Originals!H6</f>
        <v>CompactRIO 15.0.0</v>
      </c>
      <c r="I13" s="74" t="str">
        <f>Originals!I6</f>
        <v>NI Developer Suite 2015 DS2 Install</v>
      </c>
    </row>
    <row r="14" spans="1:9" x14ac:dyDescent="0.25">
      <c r="A14" s="74" t="str">
        <f>Originals!A85</f>
        <v>2-Spencer</v>
      </c>
      <c r="B14" s="74" t="str">
        <f>Originals!B85</f>
        <v>CompactRIO</v>
      </c>
      <c r="C14" s="74" t="str">
        <f>Originals!C85</f>
        <v>15.0.0</v>
      </c>
      <c r="D14" s="74" t="str">
        <f>Originals!D85</f>
        <v>32</v>
      </c>
      <c r="E14" s="74" t="str">
        <f>Originals!E85</f>
        <v>2015</v>
      </c>
      <c r="F14" s="74" t="str">
        <f>Originals!F85</f>
        <v>Development</v>
      </c>
      <c r="G14" s="74" t="str">
        <f>Originals!G85</f>
        <v>NI</v>
      </c>
      <c r="H14" s="74" t="str">
        <f>Originals!H85</f>
        <v>CompactRIO 15.0.0</v>
      </c>
      <c r="I14" s="74" t="str">
        <f>Originals!I85</f>
        <v>NI Developer Suite 2015 DS2 Install</v>
      </c>
    </row>
    <row r="15" spans="1:9" x14ac:dyDescent="0.25">
      <c r="A15" s="74" t="str">
        <f>Originals!A168</f>
        <v>4-Vinnie</v>
      </c>
      <c r="B15" s="74" t="str">
        <f>Originals!B168</f>
        <v>CompactRIO</v>
      </c>
      <c r="C15" s="74" t="str">
        <f>Originals!C168</f>
        <v>15.5.0</v>
      </c>
      <c r="D15" s="74" t="str">
        <f>Originals!D168</f>
        <v>32</v>
      </c>
      <c r="E15" s="74">
        <f>Originals!E168</f>
        <v>2015</v>
      </c>
      <c r="F15" s="74" t="str">
        <f>Originals!F168</f>
        <v>Development</v>
      </c>
      <c r="G15" s="74" t="str">
        <f>Originals!G168</f>
        <v>NI</v>
      </c>
      <c r="H15" s="74" t="str">
        <f>Originals!H168</f>
        <v>CompactRIO 15.5.0</v>
      </c>
      <c r="I15" s="74">
        <f>Originals!I168</f>
        <v>0</v>
      </c>
    </row>
    <row r="16" spans="1:9" x14ac:dyDescent="0.25">
      <c r="A16" s="74" t="str">
        <f>Originals!A369</f>
        <v>5-Confluence</v>
      </c>
      <c r="B16" s="74" t="str">
        <f>Originals!B369</f>
        <v>CompactRIO</v>
      </c>
      <c r="C16" s="74" t="str">
        <f>Originals!C369</f>
        <v>18.1.0</v>
      </c>
      <c r="D16" s="74" t="str">
        <f>Originals!D369</f>
        <v>32</v>
      </c>
      <c r="E16" s="74" t="str">
        <f>Originals!E369</f>
        <v>2018</v>
      </c>
      <c r="F16" s="74" t="str">
        <f>Originals!F369</f>
        <v>Development</v>
      </c>
      <c r="G16" s="74" t="str">
        <f>Originals!G369</f>
        <v>NI</v>
      </c>
      <c r="H16" s="74" t="str">
        <f>Originals!H369</f>
        <v>CompactRIO 18.1.0</v>
      </c>
      <c r="I16" s="74" t="str">
        <f>Originals!I369</f>
        <v>CompactRIO 18.1.0</v>
      </c>
    </row>
    <row r="17" spans="1:9" x14ac:dyDescent="0.25">
      <c r="A17" s="74" t="str">
        <f>Scott!A7</f>
        <v>3-Scott</v>
      </c>
      <c r="B17" s="74" t="str">
        <f>Scott!B7</f>
        <v>CompactRIO</v>
      </c>
      <c r="C17" s="74" t="str">
        <f>Scott!C7</f>
        <v>18.1.0</v>
      </c>
      <c r="D17" s="74" t="str">
        <f>Scott!D7</f>
        <v>32</v>
      </c>
      <c r="E17" s="74" t="str">
        <f>Scott!E7</f>
        <v>2018</v>
      </c>
      <c r="F17" s="74" t="str">
        <f>Scott!F7</f>
        <v>Development</v>
      </c>
      <c r="G17" s="74" t="str">
        <f>Scott!G7</f>
        <v>NI</v>
      </c>
      <c r="H17" s="74" t="str">
        <f>Scott!H7</f>
        <v>CompactRIO 18.1.0</v>
      </c>
      <c r="I17" s="74" t="str">
        <f>Scott!I7</f>
        <v>CompactRIO 18.1.0</v>
      </c>
    </row>
    <row r="18" spans="1:9" hidden="1" x14ac:dyDescent="0.25">
      <c r="A18" s="74" t="str">
        <f>Originals!A169</f>
        <v>4-Vinnie</v>
      </c>
      <c r="B18" s="74" t="str">
        <f>Originals!B169</f>
        <v>CompactRIO Suport</v>
      </c>
      <c r="C18" s="74" t="str">
        <f>Originals!C169</f>
        <v>15.5</v>
      </c>
      <c r="D18" s="74" t="str">
        <f>Originals!D169</f>
        <v>32</v>
      </c>
      <c r="E18" s="74" t="str">
        <f>Originals!E169</f>
        <v>2015</v>
      </c>
      <c r="F18" s="74" t="str">
        <f>Originals!F169</f>
        <v>C-RIO</v>
      </c>
      <c r="G18" s="74" t="str">
        <f>Originals!G169</f>
        <v>NI</v>
      </c>
      <c r="H18" s="74" t="str">
        <f>Originals!H169</f>
        <v>CompactRIO Suport 15.5</v>
      </c>
      <c r="I18" s="74">
        <f>Originals!I169</f>
        <v>0</v>
      </c>
    </row>
    <row r="19" spans="1:9" x14ac:dyDescent="0.25">
      <c r="A19" s="74" t="str">
        <f>Scott!A8</f>
        <v>3-Scott</v>
      </c>
      <c r="B19" s="74" t="str">
        <f>Scott!B8</f>
        <v>CVI</v>
      </c>
      <c r="C19" s="74" t="str">
        <f>Scott!C8</f>
        <v>15.0.0</v>
      </c>
      <c r="D19" s="74">
        <f>Scott!D8</f>
        <v>32</v>
      </c>
      <c r="E19" s="74">
        <f>Scott!E8</f>
        <v>2015</v>
      </c>
      <c r="F19" s="74" t="str">
        <f>Scott!F8</f>
        <v>Development</v>
      </c>
      <c r="G19" s="74" t="str">
        <f>Scott!G8</f>
        <v>NI</v>
      </c>
      <c r="H19" s="74" t="str">
        <f>Scott!H8</f>
        <v>CVI 15.0.0</v>
      </c>
      <c r="I19" s="74" t="str">
        <f>Scott!I8</f>
        <v>NI Developer Suite 2015 DS2 Install</v>
      </c>
    </row>
    <row r="20" spans="1:9" hidden="1" x14ac:dyDescent="0.25">
      <c r="A20" s="74" t="str">
        <f>Originals!A7</f>
        <v>1-Corey</v>
      </c>
      <c r="B20" s="74" t="str">
        <f>Originals!B7</f>
        <v>CVI</v>
      </c>
      <c r="C20" s="74" t="str">
        <f>Originals!C7</f>
        <v>15.0.0.408</v>
      </c>
      <c r="D20" s="74" t="str">
        <f>Originals!D7</f>
        <v>32</v>
      </c>
      <c r="E20" s="74" t="str">
        <f>Originals!E7</f>
        <v>2015</v>
      </c>
      <c r="F20" s="74" t="str">
        <f>Originals!F7</f>
        <v>Runtime</v>
      </c>
      <c r="G20" s="74" t="str">
        <f>Originals!G7</f>
        <v>NI</v>
      </c>
      <c r="H20" s="74" t="str">
        <f>Originals!H7</f>
        <v>CVI 15.0.0.408</v>
      </c>
      <c r="I20" s="74" t="str">
        <f>Originals!I7</f>
        <v>LabVIEW 2015 SP1</v>
      </c>
    </row>
    <row r="21" spans="1:9" hidden="1" x14ac:dyDescent="0.25">
      <c r="A21" s="74" t="str">
        <f>Originals!A86</f>
        <v>2-Spencer</v>
      </c>
      <c r="B21" s="74" t="str">
        <f>Originals!B86</f>
        <v>CVI</v>
      </c>
      <c r="C21" s="74" t="str">
        <f>Originals!C86</f>
        <v>15.0.0.408</v>
      </c>
      <c r="D21" s="74" t="str">
        <f>Originals!D86</f>
        <v>32</v>
      </c>
      <c r="E21" s="74" t="str">
        <f>Originals!E86</f>
        <v>2015</v>
      </c>
      <c r="F21" s="74" t="str">
        <f>Originals!F86</f>
        <v>Runtime</v>
      </c>
      <c r="G21" s="74" t="str">
        <f>Originals!G86</f>
        <v>NI</v>
      </c>
      <c r="H21" s="74" t="str">
        <f>Originals!H86</f>
        <v>CVI 15.0.0.408</v>
      </c>
      <c r="I21" s="74" t="str">
        <f>Originals!I86</f>
        <v>LabVIEW 2015 SP1</v>
      </c>
    </row>
    <row r="22" spans="1:9" hidden="1" x14ac:dyDescent="0.25">
      <c r="A22" s="74" t="str">
        <f>Scott!A9</f>
        <v>3-Scott</v>
      </c>
      <c r="B22" s="74" t="str">
        <f>Scott!B9</f>
        <v>CVI</v>
      </c>
      <c r="C22" s="74" t="str">
        <f>Scott!C9</f>
        <v>15.0.0.408</v>
      </c>
      <c r="D22" s="74">
        <f>Scott!D9</f>
        <v>32</v>
      </c>
      <c r="E22" s="74">
        <f>Scott!E9</f>
        <v>2015</v>
      </c>
      <c r="F22" s="74" t="str">
        <f>Scott!F9</f>
        <v>Runtime</v>
      </c>
      <c r="G22" s="74" t="str">
        <f>Scott!G9</f>
        <v>NI</v>
      </c>
      <c r="H22" s="74" t="str">
        <f>Scott!H9</f>
        <v>CVI 15.0.0.408</v>
      </c>
      <c r="I22" s="74" t="str">
        <f>Scott!I9</f>
        <v>LabVIEW 2015 SP1</v>
      </c>
    </row>
    <row r="23" spans="1:9" hidden="1" x14ac:dyDescent="0.25">
      <c r="A23" s="74" t="str">
        <f>Originals!A170</f>
        <v>4-Vinnie</v>
      </c>
      <c r="B23" s="74" t="str">
        <f>Originals!B170</f>
        <v>CVI</v>
      </c>
      <c r="C23" s="74" t="str">
        <f>Originals!C170</f>
        <v>19.0.0.49154</v>
      </c>
      <c r="D23" s="74" t="str">
        <f>Originals!D170</f>
        <v>32</v>
      </c>
      <c r="E23" s="74" t="str">
        <f>Originals!E170</f>
        <v>2019</v>
      </c>
      <c r="F23" s="74" t="str">
        <f>Originals!F170</f>
        <v>Runtime</v>
      </c>
      <c r="G23" s="74" t="str">
        <f>Originals!G170</f>
        <v>NI</v>
      </c>
      <c r="H23" s="74" t="str">
        <f>Originals!H170</f>
        <v>CVI 19.0.0.49154</v>
      </c>
      <c r="I23" s="74">
        <f>Originals!I170</f>
        <v>0</v>
      </c>
    </row>
    <row r="24" spans="1:9" x14ac:dyDescent="0.25">
      <c r="A24" s="74" t="str">
        <f>Scott!A10</f>
        <v>3-Scott</v>
      </c>
      <c r="B24" s="74" t="str">
        <f>Scott!B10</f>
        <v>CVI AddOns</v>
      </c>
      <c r="C24" s="74">
        <f>Scott!C10</f>
        <v>0</v>
      </c>
      <c r="D24" s="74">
        <f>Scott!D10</f>
        <v>32</v>
      </c>
      <c r="E24" s="74">
        <f>Scott!E10</f>
        <v>2015</v>
      </c>
      <c r="F24" s="74" t="str">
        <f>Scott!F10</f>
        <v>Development</v>
      </c>
      <c r="G24" s="74" t="str">
        <f>Scott!G10</f>
        <v>NI</v>
      </c>
      <c r="H24" s="74" t="str">
        <f>Scott!H10</f>
        <v xml:space="preserve">CVI AddOns </v>
      </c>
      <c r="I24" s="74" t="str">
        <f>Scott!I10</f>
        <v>NI Developer Suite 2015 DS2 Install</v>
      </c>
    </row>
    <row r="25" spans="1:9" x14ac:dyDescent="0.25">
      <c r="A25" s="74" t="str">
        <f>Originals!A8</f>
        <v>1-Corey</v>
      </c>
      <c r="B25" s="74" t="str">
        <f>Originals!B8</f>
        <v>Database Connectivity Toolkit</v>
      </c>
      <c r="C25" s="74" t="str">
        <f>Originals!C8</f>
        <v>15.0.0</v>
      </c>
      <c r="D25" s="74" t="str">
        <f>Originals!D8</f>
        <v>32</v>
      </c>
      <c r="E25" s="74" t="str">
        <f>Originals!E8</f>
        <v>2015</v>
      </c>
      <c r="F25" s="74" t="str">
        <f>Originals!F8</f>
        <v>Development</v>
      </c>
      <c r="G25" s="74" t="str">
        <f>Originals!G8</f>
        <v>NI</v>
      </c>
      <c r="H25" s="74" t="str">
        <f>Originals!H8</f>
        <v>Database Connectivity Toolkit 15.0.0</v>
      </c>
      <c r="I25" s="74" t="str">
        <f>Originals!I8</f>
        <v>NI Developer Suite 2015 DS2 Install</v>
      </c>
    </row>
    <row r="26" spans="1:9" x14ac:dyDescent="0.25">
      <c r="A26" s="74" t="str">
        <f>Originals!A87</f>
        <v>2-Spencer</v>
      </c>
      <c r="B26" s="74" t="str">
        <f>Originals!B87</f>
        <v>Database Connectivity Toolkit</v>
      </c>
      <c r="C26" s="74" t="str">
        <f>Originals!C87</f>
        <v>15.0.0</v>
      </c>
      <c r="D26" s="74" t="str">
        <f>Originals!D87</f>
        <v>32</v>
      </c>
      <c r="E26" s="74" t="str">
        <f>Originals!E87</f>
        <v>2015</v>
      </c>
      <c r="F26" s="74" t="str">
        <f>Originals!F87</f>
        <v>Development</v>
      </c>
      <c r="G26" s="74" t="str">
        <f>Originals!G87</f>
        <v>NI</v>
      </c>
      <c r="H26" s="74" t="str">
        <f>Originals!H87</f>
        <v>Database Connectivity Toolkit 15.0.0</v>
      </c>
      <c r="I26" s="74" t="str">
        <f>Originals!I87</f>
        <v>NI Developer Suite 2015 DS2 Install</v>
      </c>
    </row>
    <row r="27" spans="1:9" x14ac:dyDescent="0.25">
      <c r="A27" s="74" t="str">
        <f>Originals!A171</f>
        <v>4-Vinnie</v>
      </c>
      <c r="B27" s="74" t="str">
        <f>Originals!B171</f>
        <v>Database Connectivity Toolkit</v>
      </c>
      <c r="C27" s="74" t="str">
        <f>Originals!C171</f>
        <v>15.0.0</v>
      </c>
      <c r="D27" s="74" t="str">
        <f>Originals!D171</f>
        <v>32</v>
      </c>
      <c r="E27" s="74">
        <f>Originals!E171</f>
        <v>2015</v>
      </c>
      <c r="F27" s="74" t="str">
        <f>Originals!F171</f>
        <v>Development</v>
      </c>
      <c r="G27" s="74" t="str">
        <f>Originals!G171</f>
        <v>NI</v>
      </c>
      <c r="H27" s="74" t="str">
        <f>Originals!H171</f>
        <v>Database Connectivity Toolkit 15.0.0</v>
      </c>
      <c r="I27" s="74" t="str">
        <f>Originals!I171</f>
        <v>NI Developer Suite 2015 DS2 Install</v>
      </c>
    </row>
    <row r="28" spans="1:9" x14ac:dyDescent="0.25">
      <c r="A28" s="74" t="str">
        <f>Originals!A370</f>
        <v>5-Confluence</v>
      </c>
      <c r="B28" s="74" t="str">
        <f>Originals!B370</f>
        <v>Database Connectivity Toolkit</v>
      </c>
      <c r="C28" s="74" t="str">
        <f>Originals!C370</f>
        <v>15.0.0</v>
      </c>
      <c r="D28" s="74" t="str">
        <f>Originals!D370</f>
        <v>32</v>
      </c>
      <c r="E28" s="74" t="str">
        <f>Originals!E370</f>
        <v>2015</v>
      </c>
      <c r="F28" s="74" t="str">
        <f>Originals!F370</f>
        <v>Development</v>
      </c>
      <c r="G28" s="74" t="str">
        <f>Originals!G370</f>
        <v>NI</v>
      </c>
      <c r="H28" s="74" t="str">
        <f>Originals!H370</f>
        <v>Database Connectivity Toolkit 15.0.0</v>
      </c>
      <c r="I28" s="74">
        <f>Originals!I370</f>
        <v>0</v>
      </c>
    </row>
    <row r="29" spans="1:9" x14ac:dyDescent="0.25">
      <c r="A29" s="74" t="str">
        <f>Scott!A11</f>
        <v>3-Scott</v>
      </c>
      <c r="B29" s="74" t="str">
        <f>Scott!B11</f>
        <v>Database Connectivity Toolkit</v>
      </c>
      <c r="C29" s="74" t="str">
        <f>Scott!C11</f>
        <v>15.0.0</v>
      </c>
      <c r="D29" s="74">
        <f>Scott!D11</f>
        <v>32</v>
      </c>
      <c r="E29" s="74">
        <f>Scott!E11</f>
        <v>2015</v>
      </c>
      <c r="F29" s="74" t="str">
        <f>Scott!F11</f>
        <v>Development</v>
      </c>
      <c r="G29" s="74" t="str">
        <f>Scott!G11</f>
        <v>NI</v>
      </c>
      <c r="H29" s="74" t="str">
        <f>Scott!H11</f>
        <v>Database Connectivity Toolkit 15.0.0</v>
      </c>
      <c r="I29" s="74" t="str">
        <f>Scott!I11</f>
        <v>NI Developer Suite 2015 DS2 Install</v>
      </c>
    </row>
    <row r="30" spans="1:9" x14ac:dyDescent="0.25">
      <c r="A30" s="74" t="str">
        <f>Originals!A9</f>
        <v>1-Corey</v>
      </c>
      <c r="B30" s="74" t="str">
        <f>Originals!B9</f>
        <v>DataFinder Toolkit</v>
      </c>
      <c r="C30" s="74" t="str">
        <f>Originals!C9</f>
        <v>15.0.06020</v>
      </c>
      <c r="D30" s="74" t="str">
        <f>Originals!D9</f>
        <v>32</v>
      </c>
      <c r="E30" s="74" t="str">
        <f>Originals!E9</f>
        <v>2015</v>
      </c>
      <c r="F30" s="74" t="str">
        <f>Originals!F9</f>
        <v>Development</v>
      </c>
      <c r="G30" s="74" t="str">
        <f>Originals!G9</f>
        <v>NI</v>
      </c>
      <c r="H30" s="74" t="str">
        <f>Originals!H9</f>
        <v>DataFinder Toolkit 15.0.06020</v>
      </c>
      <c r="I30" s="74" t="str">
        <f>Originals!I9</f>
        <v>NI Developer Suite 2015 DS2 Install</v>
      </c>
    </row>
    <row r="31" spans="1:9" x14ac:dyDescent="0.25">
      <c r="A31" s="74" t="str">
        <f>Originals!A88</f>
        <v>2-Spencer</v>
      </c>
      <c r="B31" s="74" t="str">
        <f>Originals!B88</f>
        <v>DataFinder Toolkit</v>
      </c>
      <c r="C31" s="74" t="str">
        <f>Originals!C88</f>
        <v>15.0.06020</v>
      </c>
      <c r="D31" s="74" t="str">
        <f>Originals!D88</f>
        <v>32</v>
      </c>
      <c r="E31" s="74" t="str">
        <f>Originals!E88</f>
        <v>2015</v>
      </c>
      <c r="F31" s="74" t="str">
        <f>Originals!F88</f>
        <v>Development</v>
      </c>
      <c r="G31" s="74" t="str">
        <f>Originals!G88</f>
        <v>NI</v>
      </c>
      <c r="H31" s="74" t="str">
        <f>Originals!H88</f>
        <v>DataFinder Toolkit 15.0.06020</v>
      </c>
      <c r="I31" s="74" t="str">
        <f>Originals!I88</f>
        <v>NI Developer Suite 2015 DS2 Install</v>
      </c>
    </row>
    <row r="32" spans="1:9" x14ac:dyDescent="0.25">
      <c r="A32" s="74" t="str">
        <f>Scott!A12</f>
        <v>3-Scott</v>
      </c>
      <c r="B32" s="74" t="str">
        <f>Scott!B12</f>
        <v>DataFinder Toolkit</v>
      </c>
      <c r="C32" s="74" t="str">
        <f>Scott!C12</f>
        <v>15.0.06020</v>
      </c>
      <c r="D32" s="74">
        <f>Scott!D12</f>
        <v>32</v>
      </c>
      <c r="E32" s="74">
        <f>Scott!E12</f>
        <v>2015</v>
      </c>
      <c r="F32" s="74" t="str">
        <f>Scott!F12</f>
        <v>Development</v>
      </c>
      <c r="G32" s="74" t="str">
        <f>Scott!G12</f>
        <v>NI</v>
      </c>
      <c r="H32" s="74" t="str">
        <f>Scott!H12</f>
        <v>DataFinder Toolkit 15.0.06020</v>
      </c>
      <c r="I32" s="74" t="str">
        <f>Scott!I12</f>
        <v>NI Developer Suite 2015 DS2 Install</v>
      </c>
    </row>
    <row r="33" spans="1:9" hidden="1" x14ac:dyDescent="0.25">
      <c r="A33" s="74" t="str">
        <f>Originals!A172</f>
        <v>4-Vinnie</v>
      </c>
      <c r="B33" s="74" t="str">
        <f>Originals!B172</f>
        <v>Delacor QMH</v>
      </c>
      <c r="C33" s="74" t="str">
        <f>Originals!C172</f>
        <v>4.0.0.28</v>
      </c>
      <c r="D33" s="74" t="str">
        <f>Originals!D172</f>
        <v>32</v>
      </c>
      <c r="E33" s="74" t="str">
        <f>Originals!E172</f>
        <v>N/A</v>
      </c>
      <c r="F33" s="74" t="str">
        <f>Originals!F172</f>
        <v>Development</v>
      </c>
      <c r="G33" s="74" t="str">
        <f>Originals!G172</f>
        <v>DQMH Consortium</v>
      </c>
      <c r="H33" s="74" t="str">
        <f>Originals!H172</f>
        <v>Delacor QMH 4.0.0.28</v>
      </c>
      <c r="I33" s="74" t="str">
        <f>Originals!I172</f>
        <v>VIPM Community</v>
      </c>
    </row>
    <row r="34" spans="1:9" hidden="1" x14ac:dyDescent="0.25">
      <c r="A34" s="74" t="str">
        <f>Scott!A13</f>
        <v>3-Scott</v>
      </c>
      <c r="B34" s="74" t="str">
        <f>Scott!B13</f>
        <v>Delacor QMH</v>
      </c>
      <c r="C34" s="74" t="str">
        <f>Scott!C13</f>
        <v>4.0.0.28</v>
      </c>
      <c r="D34" s="74" t="str">
        <f>Scott!D13</f>
        <v>32</v>
      </c>
      <c r="E34" s="74" t="str">
        <f>Scott!E13</f>
        <v>N/A</v>
      </c>
      <c r="F34" s="74" t="str">
        <f>Scott!F13</f>
        <v>Development</v>
      </c>
      <c r="G34" s="74" t="str">
        <f>Scott!G13</f>
        <v>DQMH Consortium</v>
      </c>
      <c r="H34" s="74" t="str">
        <f>Scott!H13</f>
        <v>Delacor QMH 4.0.0.28</v>
      </c>
      <c r="I34" s="74" t="str">
        <f>Scott!I13</f>
        <v>VIPM Community</v>
      </c>
    </row>
    <row r="35" spans="1:9" hidden="1" x14ac:dyDescent="0.25">
      <c r="A35" s="74" t="str">
        <f>Originals!A173</f>
        <v>4-Vinnie</v>
      </c>
      <c r="B35" s="74" t="str">
        <f>Originals!B173</f>
        <v>Delacor QMH Event Scripter</v>
      </c>
      <c r="C35" s="74" t="str">
        <f>Originals!C173</f>
        <v>4.0.0.68</v>
      </c>
      <c r="D35" s="74" t="str">
        <f>Originals!D173</f>
        <v>32</v>
      </c>
      <c r="E35" s="74" t="str">
        <f>Originals!E173</f>
        <v>N/A</v>
      </c>
      <c r="F35" s="74" t="str">
        <f>Originals!F173</f>
        <v>Development</v>
      </c>
      <c r="G35" s="74" t="str">
        <f>Originals!G173</f>
        <v>DQMH Consortium</v>
      </c>
      <c r="H35" s="74" t="str">
        <f>Originals!H173</f>
        <v>Delacor QMH Event Scripter 4.0.0.68</v>
      </c>
      <c r="I35" s="74" t="str">
        <f>Originals!I173</f>
        <v>VIPM Community</v>
      </c>
    </row>
    <row r="36" spans="1:9" hidden="1" x14ac:dyDescent="0.25">
      <c r="A36" s="74" t="str">
        <f>Scott!A14</f>
        <v>3-Scott</v>
      </c>
      <c r="B36" s="74" t="str">
        <f>Scott!B14</f>
        <v>Delacor QMH Event Scripter</v>
      </c>
      <c r="C36" s="74" t="str">
        <f>Scott!C14</f>
        <v>4.0.0.68</v>
      </c>
      <c r="D36" s="74" t="str">
        <f>Scott!D14</f>
        <v>32</v>
      </c>
      <c r="E36" s="74" t="str">
        <f>Scott!E14</f>
        <v>N/A</v>
      </c>
      <c r="F36" s="74" t="str">
        <f>Scott!F14</f>
        <v>Development</v>
      </c>
      <c r="G36" s="74" t="str">
        <f>Scott!G14</f>
        <v>DQMH Consortium</v>
      </c>
      <c r="H36" s="74" t="str">
        <f>Scott!H14</f>
        <v>Delacor QMH Event Scripter 4.0.0.68</v>
      </c>
      <c r="I36" s="74" t="str">
        <f>Scott!I14</f>
        <v>VIPM Community</v>
      </c>
    </row>
    <row r="37" spans="1:9" hidden="1" x14ac:dyDescent="0.25">
      <c r="A37" s="74" t="str">
        <f>Originals!A174</f>
        <v>4-Vinnie</v>
      </c>
      <c r="B37" s="74" t="str">
        <f>Originals!B174</f>
        <v>Delacor QMH Palette</v>
      </c>
      <c r="C37" s="74" t="str">
        <f>Originals!C174</f>
        <v>3.0.0.1</v>
      </c>
      <c r="D37" s="74" t="str">
        <f>Originals!D174</f>
        <v>32</v>
      </c>
      <c r="E37" s="74" t="str">
        <f>Originals!E174</f>
        <v>N/A</v>
      </c>
      <c r="F37" s="74" t="str">
        <f>Originals!F174</f>
        <v>Development</v>
      </c>
      <c r="G37" s="74" t="str">
        <f>Originals!G174</f>
        <v>DQMH Consortium</v>
      </c>
      <c r="H37" s="74" t="str">
        <f>Originals!H174</f>
        <v>Delacor QMH Palette 3.0.0.1</v>
      </c>
      <c r="I37" s="74" t="str">
        <f>Originals!I174</f>
        <v>VIPM Community</v>
      </c>
    </row>
    <row r="38" spans="1:9" hidden="1" x14ac:dyDescent="0.25">
      <c r="A38" s="74" t="str">
        <f>Scott!A15</f>
        <v>3-Scott</v>
      </c>
      <c r="B38" s="74" t="str">
        <f>Scott!B15</f>
        <v>Delacor QMH Palette</v>
      </c>
      <c r="C38" s="74" t="str">
        <f>Scott!C15</f>
        <v>3.0.0.1</v>
      </c>
      <c r="D38" s="74" t="str">
        <f>Scott!D15</f>
        <v>32</v>
      </c>
      <c r="E38" s="74" t="str">
        <f>Scott!E15</f>
        <v>N/A</v>
      </c>
      <c r="F38" s="74" t="str">
        <f>Scott!F15</f>
        <v>Development</v>
      </c>
      <c r="G38" s="74" t="str">
        <f>Scott!G15</f>
        <v>DQMH Consortium</v>
      </c>
      <c r="H38" s="74" t="str">
        <f>Scott!H15</f>
        <v>Delacor QMH Palette 3.0.0.1</v>
      </c>
      <c r="I38" s="74" t="str">
        <f>Scott!I15</f>
        <v>VIPM Community</v>
      </c>
    </row>
    <row r="39" spans="1:9" hidden="1" x14ac:dyDescent="0.25">
      <c r="A39" s="74" t="str">
        <f>Originals!A175</f>
        <v>4-Vinnie</v>
      </c>
      <c r="B39" s="74" t="str">
        <f>Originals!B175</f>
        <v>Delacor QMH Project Template</v>
      </c>
      <c r="C39" s="74" t="str">
        <f>Originals!C175</f>
        <v>4.0.0.47</v>
      </c>
      <c r="D39" s="74" t="str">
        <f>Originals!D175</f>
        <v>32</v>
      </c>
      <c r="E39" s="74" t="str">
        <f>Originals!E175</f>
        <v>N/A</v>
      </c>
      <c r="F39" s="74" t="str">
        <f>Originals!F175</f>
        <v>Development</v>
      </c>
      <c r="G39" s="74" t="str">
        <f>Originals!G175</f>
        <v>DQMH Consortium</v>
      </c>
      <c r="H39" s="74" t="str">
        <f>Originals!H175</f>
        <v>Delacor QMH Project Template 4.0.0.47</v>
      </c>
      <c r="I39" s="74" t="str">
        <f>Originals!I175</f>
        <v>VIPM Community</v>
      </c>
    </row>
    <row r="40" spans="1:9" hidden="1" x14ac:dyDescent="0.25">
      <c r="A40" s="74" t="str">
        <f>Scott!A16</f>
        <v>3-Scott</v>
      </c>
      <c r="B40" s="74" t="str">
        <f>Scott!B16</f>
        <v>Delacor QMH Project Template</v>
      </c>
      <c r="C40" s="74" t="str">
        <f>Scott!C16</f>
        <v>4.0.0.47</v>
      </c>
      <c r="D40" s="74" t="str">
        <f>Scott!D16</f>
        <v>32</v>
      </c>
      <c r="E40" s="74" t="str">
        <f>Scott!E16</f>
        <v>N/A</v>
      </c>
      <c r="F40" s="74" t="str">
        <f>Scott!F16</f>
        <v>Development</v>
      </c>
      <c r="G40" s="74" t="str">
        <f>Scott!G16</f>
        <v>DQMH Consortium</v>
      </c>
      <c r="H40" s="74" t="str">
        <f>Scott!H16</f>
        <v>Delacor QMH Project Template 4.0.0.47</v>
      </c>
      <c r="I40" s="74" t="str">
        <f>Scott!I16</f>
        <v>VIPM Community</v>
      </c>
    </row>
    <row r="41" spans="1:9" hidden="1" x14ac:dyDescent="0.25">
      <c r="A41" s="74" t="str">
        <f>Originals!A176</f>
        <v>4-Vinnie</v>
      </c>
      <c r="B41" s="74" t="str">
        <f>Originals!B176</f>
        <v>Delacor QMH Thermal Chamber Examples</v>
      </c>
      <c r="C41" s="74" t="str">
        <f>Originals!C176</f>
        <v>4.0.0.21</v>
      </c>
      <c r="D41" s="74" t="str">
        <f>Originals!D176</f>
        <v>32</v>
      </c>
      <c r="E41" s="74" t="str">
        <f>Originals!E176</f>
        <v>N/A</v>
      </c>
      <c r="F41" s="74" t="str">
        <f>Originals!F176</f>
        <v>Development</v>
      </c>
      <c r="G41" s="74" t="str">
        <f>Originals!G176</f>
        <v>DQMH Consortium</v>
      </c>
      <c r="H41" s="74" t="str">
        <f>Originals!H176</f>
        <v>Delacor QMH Thermal Chamber Examples 4.0.0.21</v>
      </c>
      <c r="I41" s="74" t="str">
        <f>Originals!I176</f>
        <v>VIPM Community</v>
      </c>
    </row>
    <row r="42" spans="1:9" hidden="1" x14ac:dyDescent="0.25">
      <c r="A42" s="74" t="str">
        <f>Scott!A17</f>
        <v>3-Scott</v>
      </c>
      <c r="B42" s="74" t="str">
        <f>Scott!B17</f>
        <v>Delacor QMH Thermal Chamber Examples</v>
      </c>
      <c r="C42" s="74" t="str">
        <f>Scott!C17</f>
        <v>4.0.0.21</v>
      </c>
      <c r="D42" s="74" t="str">
        <f>Scott!D17</f>
        <v>32</v>
      </c>
      <c r="E42" s="74" t="str">
        <f>Scott!E17</f>
        <v>N/A</v>
      </c>
      <c r="F42" s="74" t="str">
        <f>Scott!F17</f>
        <v>Development</v>
      </c>
      <c r="G42" s="74" t="str">
        <f>Scott!G17</f>
        <v>DQMH Consortium</v>
      </c>
      <c r="H42" s="74" t="str">
        <f>Scott!H17</f>
        <v>Delacor QMH Thermal Chamber Examples 4.0.0.21</v>
      </c>
      <c r="I42" s="74" t="str">
        <f>Scott!I17</f>
        <v>VIPM Community</v>
      </c>
    </row>
    <row r="43" spans="1:9" x14ac:dyDescent="0.25">
      <c r="A43" s="74" t="str">
        <f>Originals!A10</f>
        <v>1-Corey</v>
      </c>
      <c r="B43" s="74" t="str">
        <f>Originals!B10</f>
        <v>Digital Filter Design Toolkit</v>
      </c>
      <c r="C43" s="74" t="str">
        <f>Originals!C10</f>
        <v>15.0.0</v>
      </c>
      <c r="D43" s="74" t="str">
        <f>Originals!D10</f>
        <v>32</v>
      </c>
      <c r="E43" s="74" t="str">
        <f>Originals!E10</f>
        <v>2015</v>
      </c>
      <c r="F43" s="74" t="str">
        <f>Originals!F10</f>
        <v>Development</v>
      </c>
      <c r="G43" s="74" t="str">
        <f>Originals!G10</f>
        <v>NI</v>
      </c>
      <c r="H43" s="74" t="str">
        <f>Originals!H10</f>
        <v>Digital Filter Design Toolkit 15.0.0</v>
      </c>
      <c r="I43" s="74" t="str">
        <f>Originals!I10</f>
        <v>NI Developer Suite 2015 DS2 Install</v>
      </c>
    </row>
    <row r="44" spans="1:9" x14ac:dyDescent="0.25">
      <c r="A44" s="74" t="str">
        <f>Originals!A89</f>
        <v>2-Spencer</v>
      </c>
      <c r="B44" s="74" t="str">
        <f>Originals!B89</f>
        <v>Digital Filter Design Toolkit</v>
      </c>
      <c r="C44" s="74" t="str">
        <f>Originals!C89</f>
        <v>15.0.0</v>
      </c>
      <c r="D44" s="74" t="str">
        <f>Originals!D89</f>
        <v>32</v>
      </c>
      <c r="E44" s="74" t="str">
        <f>Originals!E89</f>
        <v>2015</v>
      </c>
      <c r="F44" s="74" t="str">
        <f>Originals!F89</f>
        <v>Development</v>
      </c>
      <c r="G44" s="74" t="str">
        <f>Originals!G89</f>
        <v>NI</v>
      </c>
      <c r="H44" s="74" t="str">
        <f>Originals!H89</f>
        <v>Digital Filter Design Toolkit 15.0.0</v>
      </c>
      <c r="I44" s="74" t="str">
        <f>Originals!I89</f>
        <v>NI Developer Suite 2015 DS2 Install</v>
      </c>
    </row>
    <row r="45" spans="1:9" x14ac:dyDescent="0.25">
      <c r="A45" s="74" t="str">
        <f>Scott!A18</f>
        <v>3-Scott</v>
      </c>
      <c r="B45" s="74" t="str">
        <f>Scott!B18</f>
        <v>Digital Filter Design Toolkit</v>
      </c>
      <c r="C45" s="74" t="str">
        <f>Scott!C18</f>
        <v>15.0.0</v>
      </c>
      <c r="D45" s="74">
        <f>Scott!D18</f>
        <v>32</v>
      </c>
      <c r="E45" s="74">
        <f>Scott!E18</f>
        <v>2015</v>
      </c>
      <c r="F45" s="74" t="str">
        <f>Scott!F18</f>
        <v>Development</v>
      </c>
      <c r="G45" s="74" t="str">
        <f>Scott!G18</f>
        <v>NI</v>
      </c>
      <c r="H45" s="74" t="str">
        <f>Scott!H18</f>
        <v>Digital Filter Design Toolkit 15.0.0</v>
      </c>
      <c r="I45" s="74" t="str">
        <f>Scott!I18</f>
        <v>NI Developer Suite 2015 DS2 Install</v>
      </c>
    </row>
    <row r="46" spans="1:9" hidden="1" x14ac:dyDescent="0.25">
      <c r="A46" s="74" t="str">
        <f>Originals!A177</f>
        <v>4-Vinnie</v>
      </c>
      <c r="B46" s="74" t="str">
        <f>Originals!B177</f>
        <v>DMC UX Toolkit</v>
      </c>
      <c r="C46" s="74" t="str">
        <f>Originals!C177</f>
        <v>1.0.0.2</v>
      </c>
      <c r="D46" s="74" t="str">
        <f>Originals!D177</f>
        <v>32</v>
      </c>
      <c r="E46" s="74" t="str">
        <f>Originals!E177</f>
        <v>N/A</v>
      </c>
      <c r="F46" s="74" t="str">
        <f>Originals!F177</f>
        <v>Development</v>
      </c>
      <c r="G46" s="74" t="str">
        <f>Originals!G177</f>
        <v>DMC</v>
      </c>
      <c r="H46" s="74" t="str">
        <f>Originals!H177</f>
        <v>DMC UX Toolkit 1.0.0.2</v>
      </c>
      <c r="I46" s="74" t="str">
        <f>Originals!I177</f>
        <v>VIPM Community</v>
      </c>
    </row>
    <row r="47" spans="1:9" hidden="1" x14ac:dyDescent="0.25">
      <c r="A47" s="74" t="str">
        <f>Scott!A19</f>
        <v>3-Scott</v>
      </c>
      <c r="B47" s="74" t="str">
        <f>Scott!B19</f>
        <v>DMC UX Toolkit</v>
      </c>
      <c r="C47" s="74" t="str">
        <f>Scott!C19</f>
        <v>1.0.0.2</v>
      </c>
      <c r="D47" s="74" t="str">
        <f>Scott!D19</f>
        <v>32</v>
      </c>
      <c r="E47" s="74" t="str">
        <f>Scott!E19</f>
        <v>2015</v>
      </c>
      <c r="F47" s="74">
        <f>Scott!F19</f>
        <v>0</v>
      </c>
      <c r="G47" s="74">
        <f>Scott!G19</f>
        <v>0</v>
      </c>
      <c r="H47" s="74" t="str">
        <f>Scott!H19</f>
        <v>DMC UX Toolkit 1.0.0.2</v>
      </c>
      <c r="I47" s="74" t="str">
        <f>Scott!I19</f>
        <v>VIPM Community</v>
      </c>
    </row>
    <row r="48" spans="1:9" x14ac:dyDescent="0.25">
      <c r="A48" s="74" t="str">
        <f>Originals!A178</f>
        <v>4-Vinnie</v>
      </c>
      <c r="B48" s="74" t="str">
        <f>Originals!B178</f>
        <v>FieldPoint</v>
      </c>
      <c r="C48" s="74">
        <f>Originals!C178</f>
        <v>15</v>
      </c>
      <c r="D48" s="74" t="str">
        <f>Originals!D178</f>
        <v>32</v>
      </c>
      <c r="E48" s="74" t="str">
        <f>Originals!E178</f>
        <v>2015</v>
      </c>
      <c r="F48" s="74" t="str">
        <f>Originals!F178</f>
        <v>Development</v>
      </c>
      <c r="G48" s="74" t="str">
        <f>Originals!G178</f>
        <v>NI</v>
      </c>
      <c r="H48" s="74" t="str">
        <f>Originals!H178</f>
        <v>FieldPoint 15</v>
      </c>
      <c r="I48" s="74">
        <f>Originals!I178</f>
        <v>0</v>
      </c>
    </row>
    <row r="49" spans="1:9" x14ac:dyDescent="0.25">
      <c r="A49" s="74" t="str">
        <f>Scott!A207</f>
        <v>3-Scott</v>
      </c>
      <c r="B49" s="74" t="str">
        <f>Scott!B207</f>
        <v>FieldPoint</v>
      </c>
      <c r="C49" s="74">
        <f>Scott!C207</f>
        <v>15</v>
      </c>
      <c r="D49" s="74">
        <f>Scott!D207</f>
        <v>32</v>
      </c>
      <c r="E49" s="74">
        <f>Scott!E207</f>
        <v>2015</v>
      </c>
      <c r="F49" s="74" t="str">
        <f>Scott!F207</f>
        <v>Development</v>
      </c>
      <c r="G49" s="74" t="str">
        <f>Scott!G207</f>
        <v>NI</v>
      </c>
      <c r="H49" s="74" t="str">
        <f>Scott!H207</f>
        <v>FieldPoint 15</v>
      </c>
      <c r="I49" s="74" t="str">
        <f>Scott!I207</f>
        <v>NI FieldPoint 15.0</v>
      </c>
    </row>
    <row r="50" spans="1:9" x14ac:dyDescent="0.25">
      <c r="A50" s="74" t="str">
        <f>Originals!A90</f>
        <v>2-Spencer</v>
      </c>
      <c r="B50" s="74" t="str">
        <f>Originals!B90</f>
        <v>FlexRIO</v>
      </c>
      <c r="C50" s="74" t="str">
        <f>Originals!C90</f>
        <v>15.0.0f0</v>
      </c>
      <c r="D50" s="74" t="str">
        <f>Originals!D90</f>
        <v>32</v>
      </c>
      <c r="E50" s="74" t="str">
        <f>Originals!E90</f>
        <v>2015</v>
      </c>
      <c r="F50" s="74" t="str">
        <f>Originals!F90</f>
        <v>Development</v>
      </c>
      <c r="G50" s="74" t="str">
        <f>Originals!G90</f>
        <v>NI</v>
      </c>
      <c r="H50" s="74" t="str">
        <f>Originals!H90</f>
        <v>FlexRIO 15.0.0f0</v>
      </c>
      <c r="I50" s="74" t="str">
        <f>Originals!I90</f>
        <v>NI Developer Suite 2015 DS2 Install</v>
      </c>
    </row>
    <row r="51" spans="1:9" x14ac:dyDescent="0.25">
      <c r="A51" s="74" t="str">
        <f>Scott!A20</f>
        <v>3-Scott</v>
      </c>
      <c r="B51" s="74" t="str">
        <f>Scott!B20</f>
        <v>FlexRIO</v>
      </c>
      <c r="C51" s="74" t="str">
        <f>Scott!C20</f>
        <v>15.0.0f0</v>
      </c>
      <c r="D51" s="74">
        <f>Scott!D20</f>
        <v>32</v>
      </c>
      <c r="E51" s="74">
        <f>Scott!E20</f>
        <v>2015</v>
      </c>
      <c r="F51" s="74" t="str">
        <f>Scott!F20</f>
        <v>Development</v>
      </c>
      <c r="G51" s="74" t="str">
        <f>Scott!G20</f>
        <v>NI</v>
      </c>
      <c r="H51" s="74" t="str">
        <f>Scott!H20</f>
        <v>FlexRIO 15.0.0f0</v>
      </c>
      <c r="I51" s="74" t="str">
        <f>Scott!I20</f>
        <v>NI Developer Suite 2015 DS2 Install</v>
      </c>
    </row>
    <row r="52" spans="1:9" x14ac:dyDescent="0.25">
      <c r="A52" s="74" t="str">
        <f>Originals!A11</f>
        <v>1-Corey</v>
      </c>
      <c r="B52" s="74" t="str">
        <f>Originals!B11</f>
        <v>FlexRIO</v>
      </c>
      <c r="C52" s="74" t="str">
        <f>Originals!C11</f>
        <v xml:space="preserve">15.0.0f0 </v>
      </c>
      <c r="D52" s="74" t="str">
        <f>Originals!D11</f>
        <v>32</v>
      </c>
      <c r="E52" s="74" t="str">
        <f>Originals!E11</f>
        <v>2015</v>
      </c>
      <c r="F52" s="74" t="str">
        <f>Originals!F11</f>
        <v>Development</v>
      </c>
      <c r="G52" s="74" t="str">
        <f>Originals!G11</f>
        <v>NI</v>
      </c>
      <c r="H52" s="74" t="str">
        <f>Originals!H11</f>
        <v xml:space="preserve">FlexRIO 15.0.0f0 </v>
      </c>
      <c r="I52" s="74" t="str">
        <f>Originals!I11</f>
        <v>NI Developer Suite 2015 DS2 Install</v>
      </c>
    </row>
    <row r="53" spans="1:9" x14ac:dyDescent="0.25">
      <c r="A53" s="74" t="str">
        <f>Originals!A179</f>
        <v>4-Vinnie</v>
      </c>
      <c r="B53" s="74" t="str">
        <f>Originals!B179</f>
        <v>FlexRIO</v>
      </c>
      <c r="C53" s="74" t="str">
        <f>Originals!C179</f>
        <v>15.5.0f0</v>
      </c>
      <c r="D53" s="74" t="str">
        <f>Originals!D179</f>
        <v>32</v>
      </c>
      <c r="E53" s="74">
        <f>Originals!E179</f>
        <v>2015</v>
      </c>
      <c r="F53" s="74" t="str">
        <f>Originals!F179</f>
        <v>Development</v>
      </c>
      <c r="G53" s="74" t="str">
        <f>Originals!G179</f>
        <v>NI</v>
      </c>
      <c r="H53" s="74" t="str">
        <f>Originals!H179</f>
        <v>FlexRIO 15.5.0f0</v>
      </c>
      <c r="I53" s="74">
        <f>Originals!I179</f>
        <v>0</v>
      </c>
    </row>
    <row r="54" spans="1:9" x14ac:dyDescent="0.25">
      <c r="A54" s="74" t="str">
        <f>Originals!A180</f>
        <v>4-Vinnie</v>
      </c>
      <c r="B54" s="74" t="str">
        <f>Originals!B180</f>
        <v>FPGA</v>
      </c>
      <c r="C54" s="74" t="str">
        <f>Originals!C180</f>
        <v>15.0.1</v>
      </c>
      <c r="D54" s="74" t="str">
        <f>Originals!D180</f>
        <v>32</v>
      </c>
      <c r="E54" s="74">
        <f>Originals!E180</f>
        <v>2015</v>
      </c>
      <c r="F54" s="74" t="str">
        <f>Originals!F180</f>
        <v>Development</v>
      </c>
      <c r="G54" s="74" t="str">
        <f>Originals!G180</f>
        <v>NI</v>
      </c>
      <c r="H54" s="74" t="str">
        <f>Originals!H180</f>
        <v>FPGA 15.0.1</v>
      </c>
      <c r="I54" s="74">
        <f>Originals!I180</f>
        <v>0</v>
      </c>
    </row>
    <row r="55" spans="1:9" x14ac:dyDescent="0.25">
      <c r="A55" s="74" t="str">
        <f>Scott!A21</f>
        <v>3-Scott</v>
      </c>
      <c r="B55" s="74" t="str">
        <f>Scott!B21</f>
        <v>GigE Vision Driver</v>
      </c>
      <c r="C55" s="74" t="str">
        <f>Scott!C21</f>
        <v>1.9.3.49152</v>
      </c>
      <c r="D55" s="74" t="str">
        <f>Scott!D21</f>
        <v>32</v>
      </c>
      <c r="E55" s="74" t="str">
        <f>Scott!E21</f>
        <v>2019</v>
      </c>
      <c r="F55" s="74" t="str">
        <f>Scott!F21</f>
        <v>Development</v>
      </c>
      <c r="G55" s="74" t="str">
        <f>Scott!G21</f>
        <v>NI</v>
      </c>
      <c r="H55" s="74" t="str">
        <f>Scott!H21</f>
        <v>GigE Vision Driver 2019 1.9.3.49152</v>
      </c>
      <c r="I55" s="74" t="str">
        <f>Scott!I21</f>
        <v>LabVIEW 2019</v>
      </c>
    </row>
    <row r="56" spans="1:9" hidden="1" x14ac:dyDescent="0.25">
      <c r="A56" s="74" t="str">
        <f>Originals!A181</f>
        <v>4-Vinnie</v>
      </c>
      <c r="B56" s="74" t="str">
        <f>Originals!B181</f>
        <v>GPower All Toolsets</v>
      </c>
      <c r="C56" s="74" t="str">
        <f>Originals!C181</f>
        <v>2017.0.0.11</v>
      </c>
      <c r="D56" s="74" t="str">
        <f>Originals!D181</f>
        <v>32</v>
      </c>
      <c r="E56" s="74" t="str">
        <f>Originals!E181</f>
        <v>N/A</v>
      </c>
      <c r="F56" s="74" t="str">
        <f>Originals!F181</f>
        <v>Development</v>
      </c>
      <c r="G56" s="74" t="str">
        <f>Originals!G181</f>
        <v>GPower</v>
      </c>
      <c r="H56" s="74" t="str">
        <f>Originals!H181</f>
        <v>GPower All Toolsets 2017.0.0.11</v>
      </c>
      <c r="I56" s="74" t="str">
        <f>Originals!I181</f>
        <v>VIPM Community</v>
      </c>
    </row>
    <row r="57" spans="1:9" hidden="1" x14ac:dyDescent="0.25">
      <c r="A57" s="74" t="str">
        <f>Scott!A22</f>
        <v>3-Scott</v>
      </c>
      <c r="B57" s="74" t="str">
        <f>Scott!B22</f>
        <v>GPower All Toolsets</v>
      </c>
      <c r="C57" s="74" t="str">
        <f>Scott!C22</f>
        <v>2017.0.0.11</v>
      </c>
      <c r="D57" s="74" t="str">
        <f>Scott!D22</f>
        <v>32</v>
      </c>
      <c r="E57" s="74" t="str">
        <f>Scott!E22</f>
        <v>N/A</v>
      </c>
      <c r="F57" s="74" t="str">
        <f>Scott!F22</f>
        <v>Development</v>
      </c>
      <c r="G57" s="74" t="str">
        <f>Scott!G22</f>
        <v>GPower</v>
      </c>
      <c r="H57" s="74" t="str">
        <f>Scott!H22</f>
        <v>GPower All Toolsets 2017.0.0.11</v>
      </c>
      <c r="I57" s="74" t="str">
        <f>Scott!I22</f>
        <v>VIPM Community</v>
      </c>
    </row>
    <row r="58" spans="1:9" hidden="1" x14ac:dyDescent="0.25">
      <c r="A58" s="74" t="str">
        <f>Originals!A182</f>
        <v>4-Vinnie</v>
      </c>
      <c r="B58" s="74" t="str">
        <f>Originals!B182</f>
        <v>GPower Array</v>
      </c>
      <c r="C58" s="74" t="str">
        <f>Originals!C182</f>
        <v>2016.2.0.27</v>
      </c>
      <c r="D58" s="74" t="str">
        <f>Originals!D182</f>
        <v>32</v>
      </c>
      <c r="E58" s="74" t="str">
        <f>Originals!E182</f>
        <v>N/A</v>
      </c>
      <c r="F58" s="74" t="str">
        <f>Originals!F182</f>
        <v>Development</v>
      </c>
      <c r="G58" s="74" t="str">
        <f>Originals!G182</f>
        <v>GPower</v>
      </c>
      <c r="H58" s="74" t="str">
        <f>Originals!H182</f>
        <v>GPower Array 2016.2.0.27</v>
      </c>
      <c r="I58" s="74" t="str">
        <f>Originals!I182</f>
        <v>VIPM Community</v>
      </c>
    </row>
    <row r="59" spans="1:9" hidden="1" x14ac:dyDescent="0.25">
      <c r="A59" s="74" t="str">
        <f>Scott!A23</f>
        <v>3-Scott</v>
      </c>
      <c r="B59" s="74" t="str">
        <f>Scott!B23</f>
        <v>GPower Array</v>
      </c>
      <c r="C59" s="74" t="str">
        <f>Scott!C23</f>
        <v>2016.2.0.27</v>
      </c>
      <c r="D59" s="74" t="str">
        <f>Scott!D23</f>
        <v>32</v>
      </c>
      <c r="E59" s="74" t="str">
        <f>Scott!E23</f>
        <v>N/A</v>
      </c>
      <c r="F59" s="74" t="str">
        <f>Scott!F23</f>
        <v>Development</v>
      </c>
      <c r="G59" s="74" t="str">
        <f>Scott!G23</f>
        <v>GPower</v>
      </c>
      <c r="H59" s="74" t="str">
        <f>Scott!H23</f>
        <v>GPower Array 2016.2.0.27</v>
      </c>
      <c r="I59" s="74" t="str">
        <f>Scott!I23</f>
        <v>VIPM Community</v>
      </c>
    </row>
    <row r="60" spans="1:9" hidden="1" x14ac:dyDescent="0.25">
      <c r="A60" s="74" t="str">
        <f>Originals!A183</f>
        <v>4-Vinnie</v>
      </c>
      <c r="B60" s="74" t="str">
        <f>Originals!B183</f>
        <v>Gpower Array Library</v>
      </c>
      <c r="C60" s="74" t="str">
        <f>Originals!C183</f>
        <v>2016.2.0.27</v>
      </c>
      <c r="D60" s="74" t="str">
        <f>Originals!D183</f>
        <v>32</v>
      </c>
      <c r="E60" s="74" t="str">
        <f>Originals!E183</f>
        <v>2016</v>
      </c>
      <c r="F60" s="74" t="str">
        <f>Originals!F183</f>
        <v>Development</v>
      </c>
      <c r="G60" s="74" t="str">
        <f>Originals!G183</f>
        <v>Gpower</v>
      </c>
      <c r="H60" s="74" t="str">
        <f>Originals!H183</f>
        <v>Gpower Array Library 2016.2.0.27</v>
      </c>
      <c r="I60" s="74" t="str">
        <f>Originals!I183</f>
        <v>VIPM Community</v>
      </c>
    </row>
    <row r="61" spans="1:9" hidden="1" x14ac:dyDescent="0.25">
      <c r="A61" s="74" t="str">
        <f>Originals!A184</f>
        <v>4-Vinnie</v>
      </c>
      <c r="B61" s="74" t="str">
        <f>Originals!B184</f>
        <v>GPower Comparison</v>
      </c>
      <c r="C61" s="74" t="str">
        <f>Originals!C184</f>
        <v>2016.0.0.4</v>
      </c>
      <c r="D61" s="74" t="str">
        <f>Originals!D184</f>
        <v>32</v>
      </c>
      <c r="E61" s="74" t="str">
        <f>Originals!E184</f>
        <v>N/A</v>
      </c>
      <c r="F61" s="74" t="str">
        <f>Originals!F184</f>
        <v>Development</v>
      </c>
      <c r="G61" s="74" t="str">
        <f>Originals!G184</f>
        <v>GPower</v>
      </c>
      <c r="H61" s="74" t="str">
        <f>Originals!H184</f>
        <v>GPower Comparison 2016.0.0.4</v>
      </c>
      <c r="I61" s="74" t="str">
        <f>Originals!I184</f>
        <v>VIPM Community</v>
      </c>
    </row>
    <row r="62" spans="1:9" hidden="1" x14ac:dyDescent="0.25">
      <c r="A62" s="74" t="str">
        <f>Scott!A24</f>
        <v>3-Scott</v>
      </c>
      <c r="B62" s="74" t="str">
        <f>Scott!B24</f>
        <v>GPower Comparison</v>
      </c>
      <c r="C62" s="74" t="str">
        <f>Scott!C24</f>
        <v>2016.0.0.4</v>
      </c>
      <c r="D62" s="74" t="str">
        <f>Scott!D24</f>
        <v>32</v>
      </c>
      <c r="E62" s="74" t="str">
        <f>Scott!E24</f>
        <v>N/A</v>
      </c>
      <c r="F62" s="74" t="str">
        <f>Scott!F24</f>
        <v>Development</v>
      </c>
      <c r="G62" s="74" t="str">
        <f>Scott!G24</f>
        <v>GPower</v>
      </c>
      <c r="H62" s="74" t="str">
        <f>Scott!H24</f>
        <v>GPower Comparison 2016.0.0.4</v>
      </c>
      <c r="I62" s="74" t="str">
        <f>Scott!I24</f>
        <v>VIPM Community</v>
      </c>
    </row>
    <row r="63" spans="1:9" hidden="1" x14ac:dyDescent="0.25">
      <c r="A63" s="74" t="str">
        <f>Originals!A185</f>
        <v>4-Vinnie</v>
      </c>
      <c r="B63" s="74" t="str">
        <f>Originals!B185</f>
        <v>GPower Error &amp; Warning</v>
      </c>
      <c r="C63" s="74" t="str">
        <f>Originals!C185</f>
        <v>2014.0.0.38</v>
      </c>
      <c r="D63" s="74" t="str">
        <f>Originals!D185</f>
        <v>32</v>
      </c>
      <c r="E63" s="74" t="str">
        <f>Originals!E185</f>
        <v>N/A</v>
      </c>
      <c r="F63" s="74" t="str">
        <f>Originals!F185</f>
        <v>Development</v>
      </c>
      <c r="G63" s="74" t="str">
        <f>Originals!G185</f>
        <v>GPower</v>
      </c>
      <c r="H63" s="74" t="str">
        <f>Originals!H185</f>
        <v>GPower Error &amp; Warning 2014.0.0.38</v>
      </c>
      <c r="I63" s="74" t="str">
        <f>Originals!I185</f>
        <v>VIPM Community</v>
      </c>
    </row>
    <row r="64" spans="1:9" hidden="1" x14ac:dyDescent="0.25">
      <c r="A64" s="74" t="str">
        <f>Scott!A25</f>
        <v>3-Scott</v>
      </c>
      <c r="B64" s="74" t="str">
        <f>Scott!B25</f>
        <v>GPower Error &amp; Warning</v>
      </c>
      <c r="C64" s="74" t="str">
        <f>Scott!C25</f>
        <v>2014.0.0.38</v>
      </c>
      <c r="D64" s="74" t="str">
        <f>Scott!D25</f>
        <v>32</v>
      </c>
      <c r="E64" s="74" t="str">
        <f>Scott!E25</f>
        <v>N/A</v>
      </c>
      <c r="F64" s="74" t="str">
        <f>Scott!F25</f>
        <v>Development</v>
      </c>
      <c r="G64" s="74" t="str">
        <f>Scott!G25</f>
        <v>GPower</v>
      </c>
      <c r="H64" s="74" t="str">
        <f>Scott!H25</f>
        <v>GPower Error &amp; Warning 2014.0.0.38</v>
      </c>
      <c r="I64" s="74" t="str">
        <f>Scott!I25</f>
        <v>VIPM Community</v>
      </c>
    </row>
    <row r="65" spans="1:9" hidden="1" x14ac:dyDescent="0.25">
      <c r="A65" s="74" t="str">
        <f>Originals!A186</f>
        <v>4-Vinnie</v>
      </c>
      <c r="B65" s="74" t="str">
        <f>Originals!B186</f>
        <v>GPower Events</v>
      </c>
      <c r="C65" s="74" t="str">
        <f>Originals!C186</f>
        <v>2012.0.0.7</v>
      </c>
      <c r="D65" s="74" t="str">
        <f>Originals!D186</f>
        <v>32</v>
      </c>
      <c r="E65" s="74" t="str">
        <f>Originals!E186</f>
        <v>N/A</v>
      </c>
      <c r="F65" s="74" t="str">
        <f>Originals!F186</f>
        <v>Development</v>
      </c>
      <c r="G65" s="74" t="str">
        <f>Originals!G186</f>
        <v>GPower</v>
      </c>
      <c r="H65" s="74" t="str">
        <f>Originals!H186</f>
        <v>GPower Events 2012.0.0.7</v>
      </c>
      <c r="I65" s="74" t="str">
        <f>Originals!I186</f>
        <v>VIPM Community</v>
      </c>
    </row>
    <row r="66" spans="1:9" hidden="1" x14ac:dyDescent="0.25">
      <c r="A66" s="74" t="str">
        <f>Scott!A26</f>
        <v>3-Scott</v>
      </c>
      <c r="B66" s="74" t="str">
        <f>Scott!B26</f>
        <v>GPower Events</v>
      </c>
      <c r="C66" s="74" t="str">
        <f>Scott!C26</f>
        <v>2012.0.0.7</v>
      </c>
      <c r="D66" s="74" t="str">
        <f>Scott!D26</f>
        <v>32</v>
      </c>
      <c r="E66" s="74" t="str">
        <f>Scott!E26</f>
        <v>N/A</v>
      </c>
      <c r="F66" s="74" t="str">
        <f>Scott!F26</f>
        <v>Development</v>
      </c>
      <c r="G66" s="74" t="str">
        <f>Scott!G26</f>
        <v>GPower</v>
      </c>
      <c r="H66" s="74" t="str">
        <f>Scott!H26</f>
        <v>GPower Events 2012.0.0.7</v>
      </c>
      <c r="I66" s="74" t="str">
        <f>Scott!I26</f>
        <v>VIPM Community</v>
      </c>
    </row>
    <row r="67" spans="1:9" hidden="1" x14ac:dyDescent="0.25">
      <c r="A67" s="74" t="str">
        <f>Originals!A187</f>
        <v>4-Vinnie</v>
      </c>
      <c r="B67" s="74" t="str">
        <f>Originals!B187</f>
        <v>GPower Math</v>
      </c>
      <c r="C67" s="74" t="str">
        <f>Originals!C187</f>
        <v>2012.1.0.6</v>
      </c>
      <c r="D67" s="74" t="str">
        <f>Originals!D187</f>
        <v>32</v>
      </c>
      <c r="E67" s="74" t="str">
        <f>Originals!E187</f>
        <v>N/A</v>
      </c>
      <c r="F67" s="74" t="str">
        <f>Originals!F187</f>
        <v>Development</v>
      </c>
      <c r="G67" s="74" t="str">
        <f>Originals!G187</f>
        <v>GPower</v>
      </c>
      <c r="H67" s="74" t="str">
        <f>Originals!H187</f>
        <v>GPower Math 2012.1.0.6</v>
      </c>
      <c r="I67" s="74" t="str">
        <f>Originals!I187</f>
        <v>VIPM Community</v>
      </c>
    </row>
    <row r="68" spans="1:9" hidden="1" x14ac:dyDescent="0.25">
      <c r="A68" s="74" t="str">
        <f>Scott!A27</f>
        <v>3-Scott</v>
      </c>
      <c r="B68" s="74" t="str">
        <f>Scott!B27</f>
        <v>GPower Math</v>
      </c>
      <c r="C68" s="74" t="str">
        <f>Scott!C27</f>
        <v>2012.1.0.6</v>
      </c>
      <c r="D68" s="74" t="str">
        <f>Scott!D27</f>
        <v>32</v>
      </c>
      <c r="E68" s="74" t="str">
        <f>Scott!E27</f>
        <v>N/A</v>
      </c>
      <c r="F68" s="74" t="str">
        <f>Scott!F27</f>
        <v>Development</v>
      </c>
      <c r="G68" s="74" t="str">
        <f>Scott!G27</f>
        <v>GPower</v>
      </c>
      <c r="H68" s="74" t="str">
        <f>Scott!H27</f>
        <v>GPower Math 2012.1.0.6</v>
      </c>
      <c r="I68" s="74" t="str">
        <f>Scott!I27</f>
        <v>VIPM Community</v>
      </c>
    </row>
    <row r="69" spans="1:9" hidden="1" x14ac:dyDescent="0.25">
      <c r="A69" s="74" t="str">
        <f>Originals!A188</f>
        <v>4-Vinnie</v>
      </c>
      <c r="B69" s="74" t="str">
        <f>Originals!B188</f>
        <v>GPower Numeric</v>
      </c>
      <c r="C69" s="74" t="str">
        <f>Originals!C188</f>
        <v>2016.2.0.14</v>
      </c>
      <c r="D69" s="74" t="str">
        <f>Originals!D188</f>
        <v>32</v>
      </c>
      <c r="E69" s="74" t="str">
        <f>Originals!E188</f>
        <v>N/A</v>
      </c>
      <c r="F69" s="74" t="str">
        <f>Originals!F188</f>
        <v>Development</v>
      </c>
      <c r="G69" s="74" t="str">
        <f>Originals!G188</f>
        <v>GPower</v>
      </c>
      <c r="H69" s="74" t="str">
        <f>Originals!H188</f>
        <v>GPower Numeric 2016.2.0.14</v>
      </c>
      <c r="I69" s="74" t="str">
        <f>Originals!I188</f>
        <v>VIPM Community</v>
      </c>
    </row>
    <row r="70" spans="1:9" hidden="1" x14ac:dyDescent="0.25">
      <c r="A70" s="74" t="str">
        <f>Scott!A28</f>
        <v>3-Scott</v>
      </c>
      <c r="B70" s="74" t="str">
        <f>Scott!B28</f>
        <v>GPower Numeric</v>
      </c>
      <c r="C70" s="74" t="str">
        <f>Scott!C28</f>
        <v>2016.2.0.14</v>
      </c>
      <c r="D70" s="74" t="str">
        <f>Scott!D28</f>
        <v>32</v>
      </c>
      <c r="E70" s="74" t="str">
        <f>Scott!E28</f>
        <v>N/A</v>
      </c>
      <c r="F70" s="74" t="str">
        <f>Scott!F28</f>
        <v>Development</v>
      </c>
      <c r="G70" s="74" t="str">
        <f>Scott!G28</f>
        <v>GPower</v>
      </c>
      <c r="H70" s="74" t="str">
        <f>Scott!H28</f>
        <v>GPower Numeric 2016.2.0.14</v>
      </c>
      <c r="I70" s="74" t="str">
        <f>Scott!I28</f>
        <v>VIPM Community</v>
      </c>
    </row>
    <row r="71" spans="1:9" hidden="1" x14ac:dyDescent="0.25">
      <c r="A71" s="74" t="str">
        <f>Originals!A189</f>
        <v>4-Vinnie</v>
      </c>
      <c r="B71" s="74" t="str">
        <f>Originals!B189</f>
        <v>GPower Overflow</v>
      </c>
      <c r="C71" s="74" t="str">
        <f>Originals!C189</f>
        <v>2014.0.0.4</v>
      </c>
      <c r="D71" s="74" t="str">
        <f>Originals!D189</f>
        <v>32</v>
      </c>
      <c r="E71" s="74" t="str">
        <f>Originals!E189</f>
        <v>N/A</v>
      </c>
      <c r="F71" s="74" t="str">
        <f>Originals!F189</f>
        <v>Development</v>
      </c>
      <c r="G71" s="74" t="str">
        <f>Originals!G189</f>
        <v>GPower</v>
      </c>
      <c r="H71" s="74" t="str">
        <f>Originals!H189</f>
        <v>GPower Overflow 2014.0.0.4</v>
      </c>
      <c r="I71" s="74" t="str">
        <f>Originals!I189</f>
        <v>VIPM Community</v>
      </c>
    </row>
    <row r="72" spans="1:9" hidden="1" x14ac:dyDescent="0.25">
      <c r="A72" s="74" t="str">
        <f>Scott!A29</f>
        <v>3-Scott</v>
      </c>
      <c r="B72" s="74" t="str">
        <f>Scott!B29</f>
        <v>GPower Overflow</v>
      </c>
      <c r="C72" s="74" t="str">
        <f>Scott!C29</f>
        <v>2014.0.0.4</v>
      </c>
      <c r="D72" s="74" t="str">
        <f>Scott!D29</f>
        <v>32</v>
      </c>
      <c r="E72" s="74" t="str">
        <f>Scott!E29</f>
        <v>N/A</v>
      </c>
      <c r="F72" s="74" t="str">
        <f>Scott!F29</f>
        <v>Development</v>
      </c>
      <c r="G72" s="74" t="str">
        <f>Scott!G29</f>
        <v>GPower</v>
      </c>
      <c r="H72" s="74" t="str">
        <f>Scott!H29</f>
        <v>GPower Overflow 2014.0.0.4</v>
      </c>
      <c r="I72" s="74" t="str">
        <f>Scott!I29</f>
        <v>VIPM Community</v>
      </c>
    </row>
    <row r="73" spans="1:9" hidden="1" x14ac:dyDescent="0.25">
      <c r="A73" s="74" t="str">
        <f>Originals!A190</f>
        <v>4-Vinnie</v>
      </c>
      <c r="B73" s="74" t="str">
        <f>Originals!B190</f>
        <v>GPower String</v>
      </c>
      <c r="C73" s="74" t="str">
        <f>Originals!C190</f>
        <v>2016.1.0.11</v>
      </c>
      <c r="D73" s="74" t="str">
        <f>Originals!D190</f>
        <v>32</v>
      </c>
      <c r="E73" s="74" t="str">
        <f>Originals!E190</f>
        <v>N/A</v>
      </c>
      <c r="F73" s="74" t="str">
        <f>Originals!F190</f>
        <v>Development</v>
      </c>
      <c r="G73" s="74" t="str">
        <f>Originals!G190</f>
        <v>GPower</v>
      </c>
      <c r="H73" s="74" t="str">
        <f>Originals!H190</f>
        <v>GPower String 2016.1.0.11</v>
      </c>
      <c r="I73" s="74" t="str">
        <f>Originals!I190</f>
        <v>VIPM Community</v>
      </c>
    </row>
    <row r="74" spans="1:9" hidden="1" x14ac:dyDescent="0.25">
      <c r="A74" s="74" t="str">
        <f>Scott!A30</f>
        <v>3-Scott</v>
      </c>
      <c r="B74" s="74" t="str">
        <f>Scott!B30</f>
        <v>GPower String</v>
      </c>
      <c r="C74" s="74" t="str">
        <f>Scott!C30</f>
        <v>2016.1.0.11</v>
      </c>
      <c r="D74" s="74" t="str">
        <f>Scott!D30</f>
        <v>32</v>
      </c>
      <c r="E74" s="74" t="str">
        <f>Scott!E30</f>
        <v>N/A</v>
      </c>
      <c r="F74" s="74" t="str">
        <f>Scott!F30</f>
        <v>Development</v>
      </c>
      <c r="G74" s="74" t="str">
        <f>Scott!G30</f>
        <v>GPower</v>
      </c>
      <c r="H74" s="74" t="str">
        <f>Scott!H30</f>
        <v>GPower String 2016.1.0.11</v>
      </c>
      <c r="I74" s="74" t="str">
        <f>Scott!I30</f>
        <v>VIPM Community</v>
      </c>
    </row>
    <row r="75" spans="1:9" hidden="1" x14ac:dyDescent="0.25">
      <c r="A75" s="74" t="str">
        <f>Originals!A191</f>
        <v>4-Vinnie</v>
      </c>
      <c r="B75" s="74" t="str">
        <f>Originals!B191</f>
        <v>GPower Timing</v>
      </c>
      <c r="C75" s="74" t="str">
        <f>Originals!C191</f>
        <v>2017.0.0.26</v>
      </c>
      <c r="D75" s="74" t="str">
        <f>Originals!D191</f>
        <v>32</v>
      </c>
      <c r="E75" s="74" t="str">
        <f>Originals!E191</f>
        <v>N/A</v>
      </c>
      <c r="F75" s="74" t="str">
        <f>Originals!F191</f>
        <v>Development</v>
      </c>
      <c r="G75" s="74" t="str">
        <f>Originals!G191</f>
        <v>GPower</v>
      </c>
      <c r="H75" s="74" t="str">
        <f>Originals!H191</f>
        <v>GPower Timing 2017.0.0.26</v>
      </c>
      <c r="I75" s="74" t="str">
        <f>Originals!I191</f>
        <v>VIPM Community</v>
      </c>
    </row>
    <row r="76" spans="1:9" hidden="1" x14ac:dyDescent="0.25">
      <c r="A76" s="74" t="str">
        <f>Scott!A31</f>
        <v>3-Scott</v>
      </c>
      <c r="B76" s="74" t="str">
        <f>Scott!B31</f>
        <v>GPower Timing</v>
      </c>
      <c r="C76" s="74" t="str">
        <f>Scott!C31</f>
        <v>2017.0.0.26</v>
      </c>
      <c r="D76" s="74" t="str">
        <f>Scott!D31</f>
        <v>32</v>
      </c>
      <c r="E76" s="74" t="str">
        <f>Scott!E31</f>
        <v>N/A</v>
      </c>
      <c r="F76" s="74" t="str">
        <f>Scott!F31</f>
        <v>Development</v>
      </c>
      <c r="G76" s="74" t="str">
        <f>Scott!G31</f>
        <v>GPower</v>
      </c>
      <c r="H76" s="74" t="str">
        <f>Scott!H31</f>
        <v>GPower Timing 2017.0.0.26</v>
      </c>
      <c r="I76" s="74" t="str">
        <f>Scott!I31</f>
        <v>VIPM Community</v>
      </c>
    </row>
    <row r="77" spans="1:9" hidden="1" x14ac:dyDescent="0.25">
      <c r="A77" s="74" t="str">
        <f>Originals!A192</f>
        <v>4-Vinnie</v>
      </c>
      <c r="B77" s="74" t="str">
        <f>Originals!B192</f>
        <v>GPower VI Launcher</v>
      </c>
      <c r="C77" s="74" t="str">
        <f>Originals!C192</f>
        <v>2012.2.0.26</v>
      </c>
      <c r="D77" s="74" t="str">
        <f>Originals!D192</f>
        <v>32</v>
      </c>
      <c r="E77" s="74" t="str">
        <f>Originals!E192</f>
        <v>N/A</v>
      </c>
      <c r="F77" s="74" t="str">
        <f>Originals!F192</f>
        <v>Development</v>
      </c>
      <c r="G77" s="74" t="str">
        <f>Originals!G192</f>
        <v>GPower</v>
      </c>
      <c r="H77" s="74" t="str">
        <f>Originals!H192</f>
        <v>GPower VI Launcher 2012.2.0.26</v>
      </c>
      <c r="I77" s="74" t="str">
        <f>Originals!I192</f>
        <v>VIPM Community</v>
      </c>
    </row>
    <row r="78" spans="1:9" hidden="1" x14ac:dyDescent="0.25">
      <c r="A78" s="74" t="str">
        <f>Scott!A32</f>
        <v>3-Scott</v>
      </c>
      <c r="B78" s="74" t="str">
        <f>Scott!B32</f>
        <v>GPower VI Launcher</v>
      </c>
      <c r="C78" s="74" t="str">
        <f>Scott!C32</f>
        <v>2012.2.0.26</v>
      </c>
      <c r="D78" s="74" t="str">
        <f>Scott!D32</f>
        <v>32</v>
      </c>
      <c r="E78" s="74" t="str">
        <f>Scott!E32</f>
        <v>N/A</v>
      </c>
      <c r="F78" s="74" t="str">
        <f>Scott!F32</f>
        <v>Development</v>
      </c>
      <c r="G78" s="74" t="str">
        <f>Scott!G32</f>
        <v>GPower</v>
      </c>
      <c r="H78" s="74" t="str">
        <f>Scott!H32</f>
        <v>GPower VI Launcher 2012.2.0.26</v>
      </c>
      <c r="I78" s="74" t="str">
        <f>Scott!I32</f>
        <v>VIPM Community</v>
      </c>
    </row>
    <row r="79" spans="1:9" hidden="1" x14ac:dyDescent="0.25">
      <c r="A79" s="74" t="str">
        <f>Originals!A193</f>
        <v>4-Vinnie</v>
      </c>
      <c r="B79" s="74" t="str">
        <f>Originals!B193</f>
        <v>GPower VI Register</v>
      </c>
      <c r="C79" s="74" t="str">
        <f>Originals!C193</f>
        <v>2016.0.0.31</v>
      </c>
      <c r="D79" s="74" t="str">
        <f>Originals!D193</f>
        <v>32</v>
      </c>
      <c r="E79" s="74" t="str">
        <f>Originals!E193</f>
        <v>N/A</v>
      </c>
      <c r="F79" s="74" t="str">
        <f>Originals!F193</f>
        <v>Development</v>
      </c>
      <c r="G79" s="74" t="str">
        <f>Originals!G193</f>
        <v>GPower</v>
      </c>
      <c r="H79" s="74" t="str">
        <f>Originals!H193</f>
        <v>GPower VI Register 2016.0.0.31</v>
      </c>
      <c r="I79" s="74" t="str">
        <f>Originals!I193</f>
        <v>VIPM Community</v>
      </c>
    </row>
    <row r="80" spans="1:9" hidden="1" x14ac:dyDescent="0.25">
      <c r="A80" s="74" t="str">
        <f>Scott!A33</f>
        <v>3-Scott</v>
      </c>
      <c r="B80" s="74" t="str">
        <f>Scott!B33</f>
        <v>GPower VI Register</v>
      </c>
      <c r="C80" s="74" t="str">
        <f>Scott!C33</f>
        <v>2016.0.0.31</v>
      </c>
      <c r="D80" s="74" t="str">
        <f>Scott!D33</f>
        <v>32</v>
      </c>
      <c r="E80" s="74" t="str">
        <f>Scott!E33</f>
        <v>N/A</v>
      </c>
      <c r="F80" s="74" t="str">
        <f>Scott!F33</f>
        <v>Development</v>
      </c>
      <c r="G80" s="74" t="str">
        <f>Scott!G33</f>
        <v>GPower</v>
      </c>
      <c r="H80" s="74" t="str">
        <f>Scott!H33</f>
        <v>GPower VI Register 2016.0.0.31</v>
      </c>
      <c r="I80" s="74" t="str">
        <f>Scott!I33</f>
        <v>VIPM Community</v>
      </c>
    </row>
    <row r="81" spans="1:9" hidden="1" x14ac:dyDescent="0.25">
      <c r="A81" s="74" t="str">
        <f>Originals!A194</f>
        <v>4-Vinnie</v>
      </c>
      <c r="B81" s="74" t="str">
        <f>Originals!B194</f>
        <v>Hardware Configuration and Web Support</v>
      </c>
      <c r="C81" s="74" t="str">
        <f>Originals!C194</f>
        <v>15.0.0</v>
      </c>
      <c r="D81" s="74" t="str">
        <f>Originals!D194</f>
        <v>32</v>
      </c>
      <c r="E81" s="74" t="str">
        <f>Originals!E194</f>
        <v>2015</v>
      </c>
      <c r="F81" s="74" t="str">
        <f>Originals!F194</f>
        <v>C-RIO</v>
      </c>
      <c r="G81" s="74" t="str">
        <f>Originals!G194</f>
        <v>NI</v>
      </c>
      <c r="H81" s="74" t="str">
        <f>Originals!H194</f>
        <v>Hardware Configuration and Web Support 15.0.0</v>
      </c>
      <c r="I81" s="74">
        <f>Originals!I194</f>
        <v>0</v>
      </c>
    </row>
    <row r="82" spans="1:9" hidden="1" x14ac:dyDescent="0.25">
      <c r="A82" s="74" t="str">
        <f>Originals!A195</f>
        <v>4-Vinnie</v>
      </c>
      <c r="B82" s="74" t="str">
        <f>Originals!B195</f>
        <v>HTTP Client with SSL Support</v>
      </c>
      <c r="C82" s="74" t="str">
        <f>Originals!C195</f>
        <v>15.0.0</v>
      </c>
      <c r="D82" s="74" t="str">
        <f>Originals!D195</f>
        <v>32</v>
      </c>
      <c r="E82" s="74" t="str">
        <f>Originals!E195</f>
        <v>2015</v>
      </c>
      <c r="F82" s="74" t="str">
        <f>Originals!F195</f>
        <v>C-RIO</v>
      </c>
      <c r="G82" s="74" t="str">
        <f>Originals!G195</f>
        <v>NI</v>
      </c>
      <c r="H82" s="74" t="str">
        <f>Originals!H195</f>
        <v>HTTP Client with SSL Support 15.0.0</v>
      </c>
      <c r="I82" s="74">
        <f>Originals!I195</f>
        <v>0</v>
      </c>
    </row>
    <row r="83" spans="1:9" hidden="1" x14ac:dyDescent="0.25">
      <c r="A83" s="74" t="str">
        <f>Originals!A196</f>
        <v>4-Vinnie</v>
      </c>
      <c r="B83" s="74" t="str">
        <f>Originals!B196</f>
        <v>I/O Variable Remorte Configuration Web Server</v>
      </c>
      <c r="C83" s="74">
        <f>Originals!C196</f>
        <v>0</v>
      </c>
      <c r="D83" s="74" t="str">
        <f>Originals!D196</f>
        <v>32</v>
      </c>
      <c r="E83" s="74" t="str">
        <f>Originals!E196</f>
        <v>N/A</v>
      </c>
      <c r="F83" s="74" t="str">
        <f>Originals!F196</f>
        <v>C-RIO</v>
      </c>
      <c r="G83" s="74" t="str">
        <f>Originals!G196</f>
        <v>NI</v>
      </c>
      <c r="H83" s="74" t="str">
        <f>Originals!H196</f>
        <v xml:space="preserve">I/O Variable Remorte Configuration Web Server </v>
      </c>
      <c r="I83" s="74">
        <f>Originals!I196</f>
        <v>0</v>
      </c>
    </row>
    <row r="84" spans="1:9" x14ac:dyDescent="0.25">
      <c r="A84" s="74" t="str">
        <f>Originals!A197</f>
        <v>4-Vinnie</v>
      </c>
      <c r="B84" s="74" t="str">
        <f>Originals!B197</f>
        <v>Image Processing and Machine Vision</v>
      </c>
      <c r="C84" s="74" t="str">
        <f>Originals!C197</f>
        <v>19.5.0.49152</v>
      </c>
      <c r="D84" s="74" t="str">
        <f>Originals!D197</f>
        <v>32</v>
      </c>
      <c r="E84" s="74" t="str">
        <f>Originals!E197</f>
        <v>2019</v>
      </c>
      <c r="F84" s="74" t="str">
        <f>Originals!F197</f>
        <v>Development</v>
      </c>
      <c r="G84" s="74" t="str">
        <f>Originals!G197</f>
        <v>NI</v>
      </c>
      <c r="H84" s="74" t="str">
        <f>Originals!H197</f>
        <v>Image Processing and Machine Vision 19.5.0.49152</v>
      </c>
      <c r="I84" s="74" t="str">
        <f>Originals!I197</f>
        <v>LabVIEW 2019</v>
      </c>
    </row>
    <row r="85" spans="1:9" x14ac:dyDescent="0.25">
      <c r="A85" s="74" t="str">
        <f>Scott!A34</f>
        <v>3-Scott</v>
      </c>
      <c r="B85" s="74" t="str">
        <f>Scott!B34</f>
        <v>Image Processing and Machine Vision</v>
      </c>
      <c r="C85" s="74" t="str">
        <f>Scott!C34</f>
        <v>19.5.0.49152</v>
      </c>
      <c r="D85" s="74" t="str">
        <f>Scott!D34</f>
        <v>32</v>
      </c>
      <c r="E85" s="74" t="str">
        <f>Scott!E34</f>
        <v>2019</v>
      </c>
      <c r="F85" s="74" t="str">
        <f>Scott!F34</f>
        <v>Development</v>
      </c>
      <c r="G85" s="74" t="str">
        <f>Scott!G34</f>
        <v>NI</v>
      </c>
      <c r="H85" s="74" t="str">
        <f>Scott!H34</f>
        <v>Image Processing and Machine Vision 19.5.0.49152</v>
      </c>
      <c r="I85" s="74" t="str">
        <f>Scott!I34</f>
        <v>LabVIEW 2019</v>
      </c>
    </row>
    <row r="86" spans="1:9" x14ac:dyDescent="0.25">
      <c r="A86" s="74" t="str">
        <f>Originals!A198</f>
        <v>4-Vinnie</v>
      </c>
      <c r="B86" s="74" t="str">
        <f>Originals!B198</f>
        <v>Image Services</v>
      </c>
      <c r="C86" s="74" t="str">
        <f>Originals!C198</f>
        <v>19.5.0.49152</v>
      </c>
      <c r="D86" s="74" t="str">
        <f>Originals!D198</f>
        <v>32</v>
      </c>
      <c r="E86" s="74" t="str">
        <f>Originals!E198</f>
        <v>2019</v>
      </c>
      <c r="F86" s="74" t="str">
        <f>Originals!F198</f>
        <v>Development</v>
      </c>
      <c r="G86" s="74" t="str">
        <f>Originals!G198</f>
        <v>NI</v>
      </c>
      <c r="H86" s="74" t="str">
        <f>Originals!H198</f>
        <v>Image Services 19.5.0.49152</v>
      </c>
      <c r="I86" s="74" t="str">
        <f>Originals!I198</f>
        <v>LabVIEW 2019</v>
      </c>
    </row>
    <row r="87" spans="1:9" x14ac:dyDescent="0.25">
      <c r="A87" s="74" t="str">
        <f>Scott!A35</f>
        <v>3-Scott</v>
      </c>
      <c r="B87" s="74" t="str">
        <f>Scott!B35</f>
        <v>Image Services</v>
      </c>
      <c r="C87" s="74" t="str">
        <f>Scott!C35</f>
        <v>19.5.0.49152</v>
      </c>
      <c r="D87" s="74" t="str">
        <f>Scott!D35</f>
        <v>32</v>
      </c>
      <c r="E87" s="74" t="str">
        <f>Scott!E35</f>
        <v>2019</v>
      </c>
      <c r="F87" s="74" t="str">
        <f>Scott!F35</f>
        <v>Development</v>
      </c>
      <c r="G87" s="74" t="str">
        <f>Scott!G35</f>
        <v>NI</v>
      </c>
      <c r="H87" s="74" t="str">
        <f>Scott!H35</f>
        <v>Image Services 19.5.0.49152</v>
      </c>
      <c r="I87" s="74" t="str">
        <f>Scott!I35</f>
        <v>LabVIEW 2019</v>
      </c>
    </row>
    <row r="88" spans="1:9" x14ac:dyDescent="0.25">
      <c r="A88" s="74" t="str">
        <f>Originals!A12</f>
        <v>1-Corey</v>
      </c>
      <c r="B88" s="74" t="str">
        <f>Originals!B12</f>
        <v>IVI Compliance Package</v>
      </c>
      <c r="C88" s="74" t="str">
        <f>Originals!C12</f>
        <v>15.0</v>
      </c>
      <c r="D88" s="74" t="str">
        <f>Originals!D12</f>
        <v>32</v>
      </c>
      <c r="E88" s="74" t="str">
        <f>Originals!E12</f>
        <v>2015</v>
      </c>
      <c r="F88" s="74" t="str">
        <f>Originals!F12</f>
        <v>Development</v>
      </c>
      <c r="G88" s="74" t="str">
        <f>Originals!G12</f>
        <v>NI</v>
      </c>
      <c r="H88" s="74" t="str">
        <f>Originals!H12</f>
        <v>IVI Compliance Package 15.0</v>
      </c>
      <c r="I88" s="74" t="str">
        <f>Originals!I12</f>
        <v>NI Developer Suite 2015 DS2 Install</v>
      </c>
    </row>
    <row r="89" spans="1:9" x14ac:dyDescent="0.25">
      <c r="A89" s="74" t="str">
        <f>Originals!A91</f>
        <v>2-Spencer</v>
      </c>
      <c r="B89" s="74" t="str">
        <f>Originals!B91</f>
        <v>IVI Compliance Package</v>
      </c>
      <c r="C89" s="74" t="str">
        <f>Originals!C91</f>
        <v>15.0</v>
      </c>
      <c r="D89" s="74" t="str">
        <f>Originals!D91</f>
        <v>32</v>
      </c>
      <c r="E89" s="74" t="str">
        <f>Originals!E91</f>
        <v>2015</v>
      </c>
      <c r="F89" s="74" t="str">
        <f>Originals!F91</f>
        <v>Development</v>
      </c>
      <c r="G89" s="74" t="str">
        <f>Originals!G91</f>
        <v>NI</v>
      </c>
      <c r="H89" s="74" t="str">
        <f>Originals!H91</f>
        <v>IVI Compliance Package 15.0</v>
      </c>
      <c r="I89" s="74" t="str">
        <f>Originals!I91</f>
        <v>NI Developer Suite 2015 DS2 Install</v>
      </c>
    </row>
    <row r="90" spans="1:9" x14ac:dyDescent="0.25">
      <c r="A90" s="74" t="str">
        <f>Scott!A36</f>
        <v>3-Scott</v>
      </c>
      <c r="B90" s="74" t="str">
        <f>Scott!B36</f>
        <v>IVI Compliance Package</v>
      </c>
      <c r="C90" s="74" t="str">
        <f>Scott!C36</f>
        <v>15.0</v>
      </c>
      <c r="D90" s="74">
        <f>Scott!D36</f>
        <v>32</v>
      </c>
      <c r="E90" s="74">
        <f>Scott!E36</f>
        <v>2015</v>
      </c>
      <c r="F90" s="74" t="str">
        <f>Scott!F36</f>
        <v>Development</v>
      </c>
      <c r="G90" s="74" t="str">
        <f>Scott!G36</f>
        <v>NI</v>
      </c>
      <c r="H90" s="74" t="str">
        <f>Scott!H36</f>
        <v>IVI Compliance Package 15.0</v>
      </c>
      <c r="I90" s="74" t="str">
        <f>Scott!I36</f>
        <v>NI Developer Suite 2015 DS2 Install</v>
      </c>
    </row>
    <row r="91" spans="1:9" x14ac:dyDescent="0.25">
      <c r="A91" s="74" t="str">
        <f>Originals!A199</f>
        <v>4-Vinnie</v>
      </c>
      <c r="B91" s="74" t="str">
        <f>Originals!B199</f>
        <v>IVI Driver Toolset</v>
      </c>
      <c r="C91" s="74">
        <f>Originals!C199</f>
        <v>1.5</v>
      </c>
      <c r="D91" s="74" t="str">
        <f>Originals!D199</f>
        <v>32</v>
      </c>
      <c r="E91" s="74" t="str">
        <f>Originals!E199</f>
        <v>N/A</v>
      </c>
      <c r="F91" s="74" t="str">
        <f>Originals!F199</f>
        <v>Development</v>
      </c>
      <c r="G91" s="74" t="str">
        <f>Originals!G199</f>
        <v>NI</v>
      </c>
      <c r="H91" s="74" t="str">
        <f>Originals!H199</f>
        <v>IVI Driver Toolset 1.5</v>
      </c>
      <c r="I91" s="74">
        <f>Originals!I199</f>
        <v>0</v>
      </c>
    </row>
    <row r="92" spans="1:9" x14ac:dyDescent="0.25">
      <c r="A92" s="74" t="str">
        <f>Originals!A200</f>
        <v>4-Vinnie</v>
      </c>
      <c r="B92" s="74" t="str">
        <f>Originals!B200</f>
        <v>IVI Engine</v>
      </c>
      <c r="C92" s="74" t="str">
        <f>Originals!C200</f>
        <v>15.0.0.f0</v>
      </c>
      <c r="D92" s="74" t="str">
        <f>Originals!D200</f>
        <v>32</v>
      </c>
      <c r="E92" s="74">
        <f>Originals!E200</f>
        <v>2015</v>
      </c>
      <c r="F92" s="74" t="str">
        <f>Originals!F200</f>
        <v>Development</v>
      </c>
      <c r="G92" s="74" t="str">
        <f>Originals!G200</f>
        <v>NI</v>
      </c>
      <c r="H92" s="74" t="str">
        <f>Originals!H200</f>
        <v>IVI Engine 15.0.0.f0</v>
      </c>
      <c r="I92" s="74">
        <f>Originals!I200</f>
        <v>0</v>
      </c>
    </row>
    <row r="93" spans="1:9" hidden="1" x14ac:dyDescent="0.25">
      <c r="A93" s="74" t="str">
        <f>Originals!A201</f>
        <v>4-Vinnie</v>
      </c>
      <c r="B93" s="74" t="str">
        <f>Originals!B201</f>
        <v>JKI State Machine</v>
      </c>
      <c r="C93" s="74" t="str">
        <f>Originals!C201</f>
        <v>3.0.0.8</v>
      </c>
      <c r="D93" s="74" t="str">
        <f>Originals!D201</f>
        <v>32</v>
      </c>
      <c r="E93" s="74" t="str">
        <f>Originals!E201</f>
        <v>N/A</v>
      </c>
      <c r="F93" s="74" t="str">
        <f>Originals!F201</f>
        <v>Development</v>
      </c>
      <c r="G93" s="74" t="str">
        <f>Originals!G201</f>
        <v>JKI</v>
      </c>
      <c r="H93" s="74" t="str">
        <f>Originals!H201</f>
        <v>JKI State Machine 3.0.0.8</v>
      </c>
      <c r="I93" s="74" t="str">
        <f>Originals!I201</f>
        <v>VIPM Community</v>
      </c>
    </row>
    <row r="94" spans="1:9" hidden="1" x14ac:dyDescent="0.25">
      <c r="A94" s="74" t="str">
        <f>Scott!A37</f>
        <v>3-Scott</v>
      </c>
      <c r="B94" s="74" t="str">
        <f>Scott!B37</f>
        <v>JKI State Machine</v>
      </c>
      <c r="C94" s="74" t="str">
        <f>Scott!C37</f>
        <v>3.0.0.8</v>
      </c>
      <c r="D94" s="74" t="str">
        <f>Scott!D37</f>
        <v>32</v>
      </c>
      <c r="E94" s="74" t="str">
        <f>Scott!E37</f>
        <v>N/A</v>
      </c>
      <c r="F94" s="74" t="str">
        <f>Scott!F37</f>
        <v>Development</v>
      </c>
      <c r="G94" s="74" t="str">
        <f>Scott!G37</f>
        <v>JKI</v>
      </c>
      <c r="H94" s="74" t="str">
        <f>Scott!H37</f>
        <v>JKI State Machine 3.0.0.8</v>
      </c>
      <c r="I94" s="74" t="str">
        <f>Scott!I37</f>
        <v>VIPM Community</v>
      </c>
    </row>
    <row r="95" spans="1:9" hidden="1" x14ac:dyDescent="0.25">
      <c r="A95" s="74" t="str">
        <f>Originals!A202</f>
        <v>4-Vinnie</v>
      </c>
      <c r="B95" s="74" t="str">
        <f>Originals!B202</f>
        <v>JKI State Machine Editor</v>
      </c>
      <c r="C95" s="74" t="str">
        <f>Originals!C202</f>
        <v>2013.6.3.239</v>
      </c>
      <c r="D95" s="74" t="str">
        <f>Originals!D202</f>
        <v>32</v>
      </c>
      <c r="E95" s="74" t="str">
        <f>Originals!E202</f>
        <v>N/A</v>
      </c>
      <c r="F95" s="74" t="str">
        <f>Originals!F202</f>
        <v>Development</v>
      </c>
      <c r="G95" s="74" t="str">
        <f>Originals!G202</f>
        <v>JKI</v>
      </c>
      <c r="H95" s="74" t="str">
        <f>Originals!H202</f>
        <v>JKI State Machine Editor 2013.6.3.239</v>
      </c>
      <c r="I95" s="74" t="str">
        <f>Originals!I202</f>
        <v>VIPM Community</v>
      </c>
    </row>
    <row r="96" spans="1:9" hidden="1" x14ac:dyDescent="0.25">
      <c r="A96" s="74" t="str">
        <f>Scott!A38</f>
        <v>3-Scott</v>
      </c>
      <c r="B96" s="74" t="str">
        <f>Scott!B38</f>
        <v>JKI State Machine Editor</v>
      </c>
      <c r="C96" s="74" t="str">
        <f>Scott!C38</f>
        <v>2013.6.3.239</v>
      </c>
      <c r="D96" s="74" t="str">
        <f>Scott!D38</f>
        <v>32</v>
      </c>
      <c r="E96" s="74" t="str">
        <f>Scott!E38</f>
        <v>N/A</v>
      </c>
      <c r="F96" s="74" t="str">
        <f>Scott!F38</f>
        <v>Development</v>
      </c>
      <c r="G96" s="74" t="str">
        <f>Scott!G38</f>
        <v>JKI</v>
      </c>
      <c r="H96" s="74" t="str">
        <f>Scott!H38</f>
        <v>JKI State Machine Editor 2013.6.3.239</v>
      </c>
      <c r="I96" s="74" t="str">
        <f>Scott!I38</f>
        <v>VIPM Community</v>
      </c>
    </row>
    <row r="97" spans="1:9" hidden="1" x14ac:dyDescent="0.25">
      <c r="A97" s="74" t="str">
        <f>Originals!A203</f>
        <v>4-Vinnie</v>
      </c>
      <c r="B97" s="74" t="str">
        <f>Originals!B203</f>
        <v>JKI State Machine Objects (SMO)</v>
      </c>
      <c r="C97" s="74" t="str">
        <f>Originals!C203</f>
        <v>1.3.0.56</v>
      </c>
      <c r="D97" s="74" t="str">
        <f>Originals!D203</f>
        <v>32</v>
      </c>
      <c r="E97" s="74" t="str">
        <f>Originals!E203</f>
        <v>N/A</v>
      </c>
      <c r="F97" s="74" t="str">
        <f>Originals!F203</f>
        <v>Development</v>
      </c>
      <c r="G97" s="74" t="str">
        <f>Originals!G203</f>
        <v>JKI</v>
      </c>
      <c r="H97" s="74" t="str">
        <f>Originals!H203</f>
        <v>JKI State Machine Objects (SMO) 1.3.0.56</v>
      </c>
      <c r="I97" s="74" t="str">
        <f>Originals!I203</f>
        <v>VIPM Community</v>
      </c>
    </row>
    <row r="98" spans="1:9" hidden="1" x14ac:dyDescent="0.25">
      <c r="A98" s="74" t="str">
        <f>Scott!A39</f>
        <v>3-Scott</v>
      </c>
      <c r="B98" s="74" t="str">
        <f>Scott!B39</f>
        <v>JKI State Machine Objects (SMO)</v>
      </c>
      <c r="C98" s="74" t="str">
        <f>Scott!C39</f>
        <v>1.3.0.56</v>
      </c>
      <c r="D98" s="74" t="str">
        <f>Scott!D39</f>
        <v>32</v>
      </c>
      <c r="E98" s="74" t="str">
        <f>Scott!E39</f>
        <v>N/A</v>
      </c>
      <c r="F98" s="74" t="str">
        <f>Scott!F39</f>
        <v>Development</v>
      </c>
      <c r="G98" s="74" t="str">
        <f>Scott!G39</f>
        <v>JKI</v>
      </c>
      <c r="H98" s="74" t="str">
        <f>Scott!H39</f>
        <v>JKI State Machine Objects (SMO) 1.3.0.56</v>
      </c>
      <c r="I98" s="74" t="str">
        <f>Scott!I39</f>
        <v>VIPM Community</v>
      </c>
    </row>
    <row r="99" spans="1:9" hidden="1" x14ac:dyDescent="0.25">
      <c r="A99" s="74" t="str">
        <f>Originals!A204</f>
        <v>4-Vinnie</v>
      </c>
      <c r="B99" s="74" t="str">
        <f>Originals!B204</f>
        <v>JKI VIPM</v>
      </c>
      <c r="C99" s="74">
        <f>Originals!C204</f>
        <v>0</v>
      </c>
      <c r="D99" s="74">
        <f>Originals!D204</f>
        <v>0</v>
      </c>
      <c r="E99" s="74" t="str">
        <f>Originals!E204</f>
        <v>N/A</v>
      </c>
      <c r="F99" s="74" t="str">
        <f>Originals!F204</f>
        <v>Development</v>
      </c>
      <c r="G99" s="74" t="str">
        <f>Originals!G204</f>
        <v>NI</v>
      </c>
      <c r="H99" s="74" t="str">
        <f>Originals!H204</f>
        <v xml:space="preserve">JKI VIPM </v>
      </c>
      <c r="I99" s="74" t="str">
        <f>Originals!I204</f>
        <v>vipm-22.0.2371-windows-setup</v>
      </c>
    </row>
    <row r="100" spans="1:9" hidden="1" x14ac:dyDescent="0.25">
      <c r="A100" s="74" t="str">
        <f>Originals!A205</f>
        <v>4-Vinnie</v>
      </c>
      <c r="B100" s="74" t="str">
        <f>Originals!B205</f>
        <v>jki_rsc_toolkits_palette</v>
      </c>
      <c r="C100" s="74" t="str">
        <f>Originals!C205</f>
        <v>1.1-1</v>
      </c>
      <c r="D100" s="74" t="str">
        <f>Originals!D205</f>
        <v>32</v>
      </c>
      <c r="E100" s="74" t="str">
        <f>Originals!E205</f>
        <v>N/A</v>
      </c>
      <c r="F100" s="74" t="str">
        <f>Originals!F205</f>
        <v>Development</v>
      </c>
      <c r="G100" s="74" t="str">
        <f>Originals!G205</f>
        <v>JKI Software</v>
      </c>
      <c r="H100" s="74" t="str">
        <f>Originals!H205</f>
        <v>jki_rsc_toolkits_palette 1.1-1</v>
      </c>
      <c r="I100" s="74" t="str">
        <f>Originals!I205</f>
        <v>VIPM Community</v>
      </c>
    </row>
    <row r="101" spans="1:9" hidden="1" x14ac:dyDescent="0.25">
      <c r="A101" s="74" t="str">
        <f>Scott!A40</f>
        <v>3-Scott</v>
      </c>
      <c r="B101" s="74" t="str">
        <f>Scott!B40</f>
        <v>jki_rsc_toolkits_palette</v>
      </c>
      <c r="C101" s="74" t="str">
        <f>Scott!C40</f>
        <v>1.1-1</v>
      </c>
      <c r="D101" s="74" t="str">
        <f>Scott!D40</f>
        <v>32</v>
      </c>
      <c r="E101" s="74" t="str">
        <f>Scott!E40</f>
        <v>N/A</v>
      </c>
      <c r="F101" s="74" t="str">
        <f>Scott!F40</f>
        <v>Development</v>
      </c>
      <c r="G101" s="74" t="str">
        <f>Scott!G40</f>
        <v>JKI Software</v>
      </c>
      <c r="H101" s="74" t="str">
        <f>Scott!H40</f>
        <v>jki_rsc_toolkits_palette 1.1-1</v>
      </c>
      <c r="I101" s="74" t="str">
        <f>Scott!I40</f>
        <v>VIPM Community</v>
      </c>
    </row>
    <row r="102" spans="1:9" hidden="1" x14ac:dyDescent="0.25">
      <c r="A102" s="74" t="str">
        <f>Originals!A15</f>
        <v>1-Corey</v>
      </c>
      <c r="B102" s="74" t="str">
        <f>Originals!B15</f>
        <v>LabVIEW</v>
      </c>
      <c r="C102" s="74" t="str">
        <f>Originals!C15</f>
        <v>12.0.1</v>
      </c>
      <c r="D102" s="74" t="str">
        <f>Originals!D15</f>
        <v>32</v>
      </c>
      <c r="E102" s="74" t="str">
        <f>Originals!E15</f>
        <v>2012 SP1 f9</v>
      </c>
      <c r="F102" s="74" t="str">
        <f>Originals!F15</f>
        <v>Runtime</v>
      </c>
      <c r="G102" s="74" t="str">
        <f>Originals!G15</f>
        <v>NI</v>
      </c>
      <c r="H102" s="74" t="str">
        <f>Originals!H15</f>
        <v>LabVIEW 2012 SP1 f9 12.0.1</v>
      </c>
      <c r="I102" s="74" t="str">
        <f>Originals!I15</f>
        <v>NI Developer Suite 2015 DS2 Install</v>
      </c>
    </row>
    <row r="103" spans="1:9" hidden="1" x14ac:dyDescent="0.25">
      <c r="A103" s="74" t="str">
        <f>Originals!A16</f>
        <v>1-Corey</v>
      </c>
      <c r="B103" s="74" t="str">
        <f>Originals!B16</f>
        <v>LabVIEW</v>
      </c>
      <c r="C103" s="74" t="str">
        <f>Originals!C16</f>
        <v>12.0.1</v>
      </c>
      <c r="D103" s="74" t="str">
        <f>Originals!D16</f>
        <v>64</v>
      </c>
      <c r="E103" s="74" t="str">
        <f>Originals!E16</f>
        <v>2012 SP1 f9</v>
      </c>
      <c r="F103" s="74" t="str">
        <f>Originals!F16</f>
        <v>Runtime</v>
      </c>
      <c r="G103" s="74" t="str">
        <f>Originals!G16</f>
        <v>NI</v>
      </c>
      <c r="H103" s="74" t="str">
        <f>Originals!H16</f>
        <v>LabVIEW 2012 SP1 f9 12.0.1</v>
      </c>
      <c r="I103" s="74" t="str">
        <f>Originals!I16</f>
        <v>NI Developer Suite 2015 DS2 Install</v>
      </c>
    </row>
    <row r="104" spans="1:9" hidden="1" x14ac:dyDescent="0.25">
      <c r="A104" s="74" t="str">
        <f>Originals!A92</f>
        <v>2-Spencer</v>
      </c>
      <c r="B104" s="74" t="str">
        <f>Originals!B92</f>
        <v>LabVIEW</v>
      </c>
      <c r="C104" s="74" t="str">
        <f>Originals!C92</f>
        <v>12.0.1</v>
      </c>
      <c r="D104" s="74" t="str">
        <f>Originals!D92</f>
        <v>32</v>
      </c>
      <c r="E104" s="74" t="str">
        <f>Originals!E92</f>
        <v>2012 SP1 f9</v>
      </c>
      <c r="F104" s="74" t="str">
        <f>Originals!F92</f>
        <v>Runtime</v>
      </c>
      <c r="G104" s="74" t="str">
        <f>Originals!G92</f>
        <v>NI</v>
      </c>
      <c r="H104" s="74" t="str">
        <f>Originals!H92</f>
        <v>LabVIEW 2012 SP1 f9 12.0.1</v>
      </c>
      <c r="I104" s="74" t="str">
        <f>Originals!I92</f>
        <v>NI Developer Suite 2015 DS2 Install</v>
      </c>
    </row>
    <row r="105" spans="1:9" hidden="1" x14ac:dyDescent="0.25">
      <c r="A105" s="74" t="str">
        <f>Originals!A93</f>
        <v>2-Spencer</v>
      </c>
      <c r="B105" s="74" t="str">
        <f>Originals!B93</f>
        <v>LabVIEW</v>
      </c>
      <c r="C105" s="74" t="str">
        <f>Originals!C93</f>
        <v>12.0.1</v>
      </c>
      <c r="D105" s="74" t="str">
        <f>Originals!D93</f>
        <v>64</v>
      </c>
      <c r="E105" s="74" t="str">
        <f>Originals!E93</f>
        <v>2012 SP1 f9</v>
      </c>
      <c r="F105" s="74" t="str">
        <f>Originals!F93</f>
        <v>Runtime</v>
      </c>
      <c r="G105" s="74" t="str">
        <f>Originals!G93</f>
        <v>NI</v>
      </c>
      <c r="H105" s="74" t="str">
        <f>Originals!H93</f>
        <v>LabVIEW 2012 SP1 f9 12.0.1</v>
      </c>
      <c r="I105" s="74" t="str">
        <f>Originals!I93</f>
        <v>NI Developer Suite 2015 DS2 Install</v>
      </c>
    </row>
    <row r="106" spans="1:9" hidden="1" x14ac:dyDescent="0.25">
      <c r="A106" s="74" t="str">
        <f>Originals!A206</f>
        <v>4-Vinnie</v>
      </c>
      <c r="B106" s="74" t="str">
        <f>Originals!B206</f>
        <v>LabVIEW</v>
      </c>
      <c r="C106" s="74" t="str">
        <f>Originals!C206</f>
        <v>12.0.1</v>
      </c>
      <c r="D106" s="74" t="str">
        <f>Originals!D206</f>
        <v>32</v>
      </c>
      <c r="E106" s="74" t="str">
        <f>Originals!E206</f>
        <v>2012 SP1 f9</v>
      </c>
      <c r="F106" s="74" t="str">
        <f>Originals!F206</f>
        <v>Runtime</v>
      </c>
      <c r="G106" s="74" t="str">
        <f>Originals!G206</f>
        <v>NI</v>
      </c>
      <c r="H106" s="74" t="str">
        <f>Originals!H206</f>
        <v>LabVIEW 2012 SP1 f9 12.0.1</v>
      </c>
      <c r="I106" s="74" t="str">
        <f>Originals!I206</f>
        <v>NI Developer Suite 2015 DS2 Install</v>
      </c>
    </row>
    <row r="107" spans="1:9" hidden="1" x14ac:dyDescent="0.25">
      <c r="A107" s="74" t="str">
        <f>Originals!A371</f>
        <v>5-Confluence</v>
      </c>
      <c r="B107" s="74" t="str">
        <f>Originals!B371</f>
        <v>LabVIEW</v>
      </c>
      <c r="C107" s="74" t="str">
        <f>Originals!C371</f>
        <v>12.0.1</v>
      </c>
      <c r="D107" s="74" t="str">
        <f>Originals!D371</f>
        <v>32</v>
      </c>
      <c r="E107" s="74" t="str">
        <f>Originals!E371</f>
        <v>2012 SP1 f9</v>
      </c>
      <c r="F107" s="74" t="str">
        <f>Originals!F371</f>
        <v>Runtime</v>
      </c>
      <c r="G107" s="74" t="str">
        <f>Originals!G371</f>
        <v>NI</v>
      </c>
      <c r="H107" s="74" t="str">
        <f>Originals!H371</f>
        <v>LabVIEW 2012 SP1 f9 12.0.1</v>
      </c>
      <c r="I107" s="74" t="str">
        <f>Originals!I371</f>
        <v>NI Developer Suite 2015 DS2 Install</v>
      </c>
    </row>
    <row r="108" spans="1:9" hidden="1" x14ac:dyDescent="0.25">
      <c r="A108" s="74" t="str">
        <f>Scott!A43</f>
        <v>3-Scott</v>
      </c>
      <c r="B108" s="74" t="str">
        <f>Scott!B43</f>
        <v>LabVIEW</v>
      </c>
      <c r="C108" s="74" t="str">
        <f>Scott!C43</f>
        <v>12.0.1</v>
      </c>
      <c r="D108" s="74">
        <f>Scott!D43</f>
        <v>32</v>
      </c>
      <c r="E108" s="74" t="str">
        <f>Scott!E43</f>
        <v>2012 SP1 f9</v>
      </c>
      <c r="F108" s="74" t="str">
        <f>Scott!F43</f>
        <v>Runtime</v>
      </c>
      <c r="G108" s="74" t="str">
        <f>Scott!G43</f>
        <v>NI</v>
      </c>
      <c r="H108" s="74" t="str">
        <f>Scott!H43</f>
        <v>LabVIEW 2012 SP1 f9 12.0.1</v>
      </c>
      <c r="I108" s="74" t="str">
        <f>Scott!I43</f>
        <v>NI Developer Suite 2015 DS2 Install</v>
      </c>
    </row>
    <row r="109" spans="1:9" hidden="1" x14ac:dyDescent="0.25">
      <c r="A109" s="74" t="str">
        <f>Scott!A44</f>
        <v>3-Scott</v>
      </c>
      <c r="B109" s="74" t="str">
        <f>Scott!B44</f>
        <v>LabVIEW</v>
      </c>
      <c r="C109" s="74" t="str">
        <f>Scott!C44</f>
        <v>12.0.1</v>
      </c>
      <c r="D109" s="74">
        <f>Scott!D44</f>
        <v>64</v>
      </c>
      <c r="E109" s="74" t="str">
        <f>Scott!E44</f>
        <v>2012 SP1 f9</v>
      </c>
      <c r="F109" s="74" t="str">
        <f>Scott!F44</f>
        <v>Runtime</v>
      </c>
      <c r="G109" s="74" t="str">
        <f>Scott!G44</f>
        <v>NI</v>
      </c>
      <c r="H109" s="74" t="str">
        <f>Scott!H44</f>
        <v>LabVIEW 2012 SP1 f9 12.0.1</v>
      </c>
      <c r="I109" s="74" t="str">
        <f>Scott!I44</f>
        <v>NI Developer Suite 2015 DS2 Install</v>
      </c>
    </row>
    <row r="110" spans="1:9" hidden="1" x14ac:dyDescent="0.25">
      <c r="A110" s="74" t="str">
        <f>Originals!A17</f>
        <v>1-Corey</v>
      </c>
      <c r="B110" s="74" t="str">
        <f>Originals!B17</f>
        <v>LabVIEW</v>
      </c>
      <c r="C110" s="74" t="str">
        <f>Originals!C17</f>
        <v>13.0.1</v>
      </c>
      <c r="D110" s="74" t="str">
        <f>Originals!D17</f>
        <v>32</v>
      </c>
      <c r="E110" s="74" t="str">
        <f>Originals!E17</f>
        <v>2013 SP1 f6</v>
      </c>
      <c r="F110" s="74" t="str">
        <f>Originals!F17</f>
        <v>Runtime</v>
      </c>
      <c r="G110" s="74" t="str">
        <f>Originals!G17</f>
        <v>NI</v>
      </c>
      <c r="H110" s="74" t="str">
        <f>Originals!H17</f>
        <v>LabVIEW 2013 SP1 f6 13.0.1</v>
      </c>
      <c r="I110" s="74" t="str">
        <f>Originals!I17</f>
        <v>NI Developer Suite 2015 DS2 Install</v>
      </c>
    </row>
    <row r="111" spans="1:9" hidden="1" x14ac:dyDescent="0.25">
      <c r="A111" s="74" t="str">
        <f>Originals!A94</f>
        <v>2-Spencer</v>
      </c>
      <c r="B111" s="74" t="str">
        <f>Originals!B94</f>
        <v>LabVIEW</v>
      </c>
      <c r="C111" s="74" t="str">
        <f>Originals!C94</f>
        <v>13.0.1</v>
      </c>
      <c r="D111" s="74" t="str">
        <f>Originals!D94</f>
        <v>32</v>
      </c>
      <c r="E111" s="74" t="str">
        <f>Originals!E94</f>
        <v>2013 SP1 f6</v>
      </c>
      <c r="F111" s="74" t="str">
        <f>Originals!F94</f>
        <v>Runtime</v>
      </c>
      <c r="G111" s="74" t="str">
        <f>Originals!G94</f>
        <v>NI</v>
      </c>
      <c r="H111" s="74" t="str">
        <f>Originals!H94</f>
        <v>LabVIEW 2013 SP1 f6 13.0.1</v>
      </c>
      <c r="I111" s="74" t="str">
        <f>Originals!I94</f>
        <v>NI Developer Suite 2015 DS2 Install</v>
      </c>
    </row>
    <row r="112" spans="1:9" hidden="1" x14ac:dyDescent="0.25">
      <c r="A112" s="74" t="str">
        <f>Scott!A45</f>
        <v>3-Scott</v>
      </c>
      <c r="B112" s="74" t="str">
        <f>Scott!B45</f>
        <v>LabVIEW</v>
      </c>
      <c r="C112" s="74" t="str">
        <f>Scott!C45</f>
        <v>13.0.1</v>
      </c>
      <c r="D112" s="74">
        <f>Scott!D45</f>
        <v>32</v>
      </c>
      <c r="E112" s="74" t="str">
        <f>Scott!E45</f>
        <v>2013 SP1 f6</v>
      </c>
      <c r="F112" s="74" t="str">
        <f>Scott!F45</f>
        <v>Runtime</v>
      </c>
      <c r="G112" s="74" t="str">
        <f>Scott!G45</f>
        <v>NI</v>
      </c>
      <c r="H112" s="74" t="str">
        <f>Scott!H45</f>
        <v>LabVIEW 2013 SP1 f6 13.0.1</v>
      </c>
      <c r="I112" s="74" t="str">
        <f>Scott!I45</f>
        <v>NI Developer Suite 2015 DS2 Install</v>
      </c>
    </row>
    <row r="113" spans="1:9" hidden="1" x14ac:dyDescent="0.25">
      <c r="A113" s="74" t="str">
        <f>Originals!A18</f>
        <v>1-Corey</v>
      </c>
      <c r="B113" s="74" t="str">
        <f>Originals!B18</f>
        <v>LabVIEW</v>
      </c>
      <c r="C113" s="74" t="str">
        <f>Originals!C18</f>
        <v>14.0.1</v>
      </c>
      <c r="D113" s="74" t="str">
        <f>Originals!D18</f>
        <v>32</v>
      </c>
      <c r="E113" s="74" t="str">
        <f>Originals!E18</f>
        <v>2014 SP1 f11</v>
      </c>
      <c r="F113" s="74" t="str">
        <f>Originals!F18</f>
        <v>Runtime</v>
      </c>
      <c r="G113" s="74" t="str">
        <f>Originals!G18</f>
        <v>NI</v>
      </c>
      <c r="H113" s="74" t="str">
        <f>Originals!H18</f>
        <v>LabVIEW 2014 SP1 f11 14.0.1</v>
      </c>
      <c r="I113" s="74" t="str">
        <f>Originals!I18</f>
        <v>2015 SP1 Update Service</v>
      </c>
    </row>
    <row r="114" spans="1:9" hidden="1" x14ac:dyDescent="0.25">
      <c r="A114" s="74" t="str">
        <f>Originals!A19</f>
        <v>1-Corey</v>
      </c>
      <c r="B114" s="74" t="str">
        <f>Originals!B19</f>
        <v>LabVIEW</v>
      </c>
      <c r="C114" s="74" t="str">
        <f>Originals!C19</f>
        <v>14.0.1</v>
      </c>
      <c r="D114" s="74" t="str">
        <f>Originals!D19</f>
        <v>64</v>
      </c>
      <c r="E114" s="74" t="str">
        <f>Originals!E19</f>
        <v>2014 SP1 f11</v>
      </c>
      <c r="F114" s="74" t="str">
        <f>Originals!F19</f>
        <v>Runtime</v>
      </c>
      <c r="G114" s="74" t="str">
        <f>Originals!G19</f>
        <v>NI</v>
      </c>
      <c r="H114" s="74" t="str">
        <f>Originals!H19</f>
        <v>LabVIEW 2014 SP1 f11 14.0.1</v>
      </c>
      <c r="I114" s="74" t="str">
        <f>Originals!I19</f>
        <v>2015 SP1 Update Service</v>
      </c>
    </row>
    <row r="115" spans="1:9" hidden="1" x14ac:dyDescent="0.25">
      <c r="A115" s="74" t="str">
        <f>Originals!A95</f>
        <v>2-Spencer</v>
      </c>
      <c r="B115" s="74" t="str">
        <f>Originals!B95</f>
        <v>LabVIEW</v>
      </c>
      <c r="C115" s="74" t="str">
        <f>Originals!C95</f>
        <v>14.0.1</v>
      </c>
      <c r="D115" s="74" t="str">
        <f>Originals!D95</f>
        <v>32</v>
      </c>
      <c r="E115" s="74" t="str">
        <f>Originals!E95</f>
        <v>2014 SP1 f11</v>
      </c>
      <c r="F115" s="74" t="str">
        <f>Originals!F95</f>
        <v>Runtime</v>
      </c>
      <c r="G115" s="74" t="str">
        <f>Originals!G95</f>
        <v>NI</v>
      </c>
      <c r="H115" s="74" t="str">
        <f>Originals!H95</f>
        <v>LabVIEW 2014 SP1 f11 14.0.1</v>
      </c>
      <c r="I115" s="74" t="str">
        <f>Originals!I95</f>
        <v>2015 SP1 Update Service</v>
      </c>
    </row>
    <row r="116" spans="1:9" hidden="1" x14ac:dyDescent="0.25">
      <c r="A116" s="74" t="str">
        <f>Originals!A97</f>
        <v>2-Spencer</v>
      </c>
      <c r="B116" s="74" t="str">
        <f>Originals!B97</f>
        <v>LabVIEW</v>
      </c>
      <c r="C116" s="74" t="str">
        <f>Originals!C97</f>
        <v>14.0.1</v>
      </c>
      <c r="D116" s="74" t="str">
        <f>Originals!D97</f>
        <v>64</v>
      </c>
      <c r="E116" s="74" t="str">
        <f>Originals!E97</f>
        <v>2014 SP1 f11</v>
      </c>
      <c r="F116" s="74" t="str">
        <f>Originals!F97</f>
        <v>Runtime</v>
      </c>
      <c r="G116" s="74" t="str">
        <f>Originals!G97</f>
        <v>NI</v>
      </c>
      <c r="H116" s="74" t="str">
        <f>Originals!H97</f>
        <v>LabVIEW 2014 SP1 f11 14.0.1</v>
      </c>
      <c r="I116" s="74" t="str">
        <f>Originals!I97</f>
        <v>2015 SP1 Update Service</v>
      </c>
    </row>
    <row r="117" spans="1:9" hidden="1" x14ac:dyDescent="0.25">
      <c r="A117" s="74" t="str">
        <f>Originals!A207</f>
        <v>4-Vinnie</v>
      </c>
      <c r="B117" s="74" t="str">
        <f>Originals!B207</f>
        <v>LabVIEW</v>
      </c>
      <c r="C117" s="74" t="str">
        <f>Originals!C207</f>
        <v>14.0.1</v>
      </c>
      <c r="D117" s="74" t="str">
        <f>Originals!D207</f>
        <v>32</v>
      </c>
      <c r="E117" s="74" t="str">
        <f>Originals!E207</f>
        <v>2014 SP1 f11</v>
      </c>
      <c r="F117" s="74" t="str">
        <f>Originals!F207</f>
        <v>Runtime</v>
      </c>
      <c r="G117" s="74" t="str">
        <f>Originals!G207</f>
        <v>NI</v>
      </c>
      <c r="H117" s="74" t="str">
        <f>Originals!H207</f>
        <v>LabVIEW 2014 SP1 f11 14.0.1</v>
      </c>
      <c r="I117" s="74" t="str">
        <f>Originals!I207</f>
        <v>2015 SP1 Update Service</v>
      </c>
    </row>
    <row r="118" spans="1:9" hidden="1" x14ac:dyDescent="0.25">
      <c r="A118" s="74" t="str">
        <f>Originals!A372</f>
        <v>5-Confluence</v>
      </c>
      <c r="B118" s="74" t="str">
        <f>Originals!B372</f>
        <v>LabVIEW</v>
      </c>
      <c r="C118" s="74" t="str">
        <f>Originals!C372</f>
        <v>14.0.1</v>
      </c>
      <c r="D118" s="74" t="str">
        <f>Originals!D372</f>
        <v>32</v>
      </c>
      <c r="E118" s="74" t="str">
        <f>Originals!E372</f>
        <v>2014 SP1 f11</v>
      </c>
      <c r="F118" s="74" t="str">
        <f>Originals!F372</f>
        <v>Runtime</v>
      </c>
      <c r="G118" s="74" t="str">
        <f>Originals!G372</f>
        <v>NI</v>
      </c>
      <c r="H118" s="74" t="str">
        <f>Originals!H372</f>
        <v>LabVIEW 2014 SP1 f11 14.0.1</v>
      </c>
      <c r="I118" s="74" t="str">
        <f>Originals!I372</f>
        <v>2015 SP1 Update Service</v>
      </c>
    </row>
    <row r="119" spans="1:9" hidden="1" x14ac:dyDescent="0.25">
      <c r="A119" s="74" t="str">
        <f>Scott!A46</f>
        <v>3-Scott</v>
      </c>
      <c r="B119" s="74" t="str">
        <f>Scott!B46</f>
        <v>LabVIEW</v>
      </c>
      <c r="C119" s="74" t="str">
        <f>Scott!C46</f>
        <v>14.0.1</v>
      </c>
      <c r="D119" s="74">
        <f>Scott!D46</f>
        <v>32</v>
      </c>
      <c r="E119" s="74" t="str">
        <f>Scott!E46</f>
        <v>2014 SP1 f11</v>
      </c>
      <c r="F119" s="74" t="str">
        <f>Scott!F46</f>
        <v>Runtime</v>
      </c>
      <c r="G119" s="74" t="str">
        <f>Scott!G46</f>
        <v>NI</v>
      </c>
      <c r="H119" s="74" t="str">
        <f>Scott!H46</f>
        <v>LabVIEW 2014 SP1 f11 14.0.1</v>
      </c>
      <c r="I119" s="74" t="str">
        <f>Scott!I46</f>
        <v>2015 SP1 Update Service</v>
      </c>
    </row>
    <row r="120" spans="1:9" hidden="1" x14ac:dyDescent="0.25">
      <c r="A120" s="74" t="str">
        <f>Scott!A50</f>
        <v>3-Scott</v>
      </c>
      <c r="B120" s="74" t="str">
        <f>Scott!B50</f>
        <v>LabVIEW</v>
      </c>
      <c r="C120" s="74" t="str">
        <f>Scott!C50</f>
        <v>14.0.1</v>
      </c>
      <c r="D120" s="74">
        <f>Scott!D50</f>
        <v>64</v>
      </c>
      <c r="E120" s="74" t="str">
        <f>Scott!E50</f>
        <v>2014 SP1 f11</v>
      </c>
      <c r="F120" s="74" t="str">
        <f>Scott!F50</f>
        <v>Runtime</v>
      </c>
      <c r="G120" s="74" t="str">
        <f>Scott!G50</f>
        <v>NI</v>
      </c>
      <c r="H120" s="74" t="str">
        <f>Scott!H50</f>
        <v>LabVIEW 2014 SP1 f11 14.0.1</v>
      </c>
      <c r="I120" s="74" t="str">
        <f>Scott!I50</f>
        <v>2015 SP1 Update Service</v>
      </c>
    </row>
    <row r="121" spans="1:9" hidden="1" x14ac:dyDescent="0.25">
      <c r="A121" s="74" t="str">
        <f>Scott!A42</f>
        <v>3-Scott</v>
      </c>
      <c r="B121" s="74" t="str">
        <f>Scott!B42</f>
        <v>LabVIEW</v>
      </c>
      <c r="C121" s="74" t="str">
        <f>Scott!C42</f>
        <v>15.0.0</v>
      </c>
      <c r="D121" s="74">
        <f>Scott!D42</f>
        <v>64</v>
      </c>
      <c r="E121" s="74">
        <f>Scott!E42</f>
        <v>2015</v>
      </c>
      <c r="F121" s="74" t="str">
        <f>Scott!F42</f>
        <v>Development</v>
      </c>
      <c r="G121" s="74" t="str">
        <f>Scott!G42</f>
        <v>NI</v>
      </c>
      <c r="H121" s="74" t="str">
        <f>Scott!H42</f>
        <v>LabVIEW 2015 15.0.0</v>
      </c>
      <c r="I121" s="74" t="str">
        <f>Scott!I42</f>
        <v>NI Developer Suite 2015 DS2 Install</v>
      </c>
    </row>
    <row r="122" spans="1:9" x14ac:dyDescent="0.25">
      <c r="A122" s="74" t="str">
        <f>Originals!A213</f>
        <v>4-Vinnie</v>
      </c>
      <c r="B122" s="74" t="str">
        <f>Originals!B213</f>
        <v>LabVIEW</v>
      </c>
      <c r="C122" s="74" t="str">
        <f>Originals!C213</f>
        <v>15.0.1</v>
      </c>
      <c r="D122" s="74" t="str">
        <f>Originals!D213</f>
        <v>32</v>
      </c>
      <c r="E122" s="74" t="str">
        <f>Originals!E213</f>
        <v>2015</v>
      </c>
      <c r="F122" s="74" t="str">
        <f>Originals!F213</f>
        <v>Development</v>
      </c>
      <c r="G122" s="74" t="str">
        <f>Originals!G213</f>
        <v>NI</v>
      </c>
      <c r="H122" s="74" t="str">
        <f>Originals!H213</f>
        <v>LabVIEW 2015 15.0.1</v>
      </c>
      <c r="I122" s="74" t="str">
        <f>Originals!I213</f>
        <v>LabVIEW 2015 SP1</v>
      </c>
    </row>
    <row r="123" spans="1:9" hidden="1" x14ac:dyDescent="0.25">
      <c r="A123" s="74" t="str">
        <f>Scott!A51</f>
        <v>3-Scott</v>
      </c>
      <c r="B123" s="74" t="str">
        <f>Scott!B51</f>
        <v>LabVIEW</v>
      </c>
      <c r="C123" s="74" t="str">
        <f>Scott!C51</f>
        <v>15.0.0</v>
      </c>
      <c r="D123" s="74">
        <f>Scott!D51</f>
        <v>64</v>
      </c>
      <c r="E123" s="74" t="str">
        <f>Scott!E51</f>
        <v>2015 f2</v>
      </c>
      <c r="F123" s="74" t="str">
        <f>Scott!F51</f>
        <v>Runtime</v>
      </c>
      <c r="G123" s="74" t="str">
        <f>Scott!G51</f>
        <v>NI</v>
      </c>
      <c r="H123" s="74" t="str">
        <f>Scott!H51</f>
        <v>LabVIEW 2015 f2 15.0.0</v>
      </c>
      <c r="I123" s="74" t="str">
        <f>Scott!I51</f>
        <v>2015 SP1 Update Service</v>
      </c>
    </row>
    <row r="124" spans="1:9" hidden="1" x14ac:dyDescent="0.25">
      <c r="A124" s="74" t="str">
        <f>Originals!A14</f>
        <v>1-Corey</v>
      </c>
      <c r="B124" s="74" t="str">
        <f>Originals!B14</f>
        <v>LabVIEW</v>
      </c>
      <c r="C124" s="74" t="str">
        <f>Originals!C14</f>
        <v>15.0.1</v>
      </c>
      <c r="D124" s="74" t="str">
        <f>Originals!D14</f>
        <v>32</v>
      </c>
      <c r="E124" s="74" t="str">
        <f>Originals!E14</f>
        <v>2015 SP1</v>
      </c>
      <c r="F124" s="74" t="str">
        <f>Originals!F14</f>
        <v>Runtime</v>
      </c>
      <c r="G124" s="74" t="str">
        <f>Originals!G14</f>
        <v>NI</v>
      </c>
      <c r="H124" s="74" t="str">
        <f>Originals!H14</f>
        <v>LabVIEW 2015 SP1 15.0.1</v>
      </c>
      <c r="I124" s="74" t="str">
        <f>Originals!I14</f>
        <v>LabVIEW 2015 SP1</v>
      </c>
    </row>
    <row r="125" spans="1:9" hidden="1" x14ac:dyDescent="0.25">
      <c r="A125" s="74" t="str">
        <f>Originals!A98</f>
        <v>2-Spencer</v>
      </c>
      <c r="B125" s="74" t="str">
        <f>Originals!B98</f>
        <v>LabVIEW</v>
      </c>
      <c r="C125" s="74" t="str">
        <f>Originals!C98</f>
        <v>15.0.1</v>
      </c>
      <c r="D125" s="74" t="str">
        <f>Originals!D98</f>
        <v>32</v>
      </c>
      <c r="E125" s="74" t="str">
        <f>Originals!E98</f>
        <v>2015 SP1</v>
      </c>
      <c r="F125" s="74" t="str">
        <f>Originals!F98</f>
        <v>Runtime</v>
      </c>
      <c r="G125" s="74" t="str">
        <f>Originals!G98</f>
        <v>NI</v>
      </c>
      <c r="H125" s="74" t="str">
        <f>Originals!H98</f>
        <v>LabVIEW 2015 SP1 15.0.1</v>
      </c>
      <c r="I125" s="74" t="str">
        <f>Originals!I98</f>
        <v>LabVIEW 2015 SP1</v>
      </c>
    </row>
    <row r="126" spans="1:9" hidden="1" x14ac:dyDescent="0.25">
      <c r="A126" s="74" t="str">
        <f>Originals!A214</f>
        <v>4-Vinnie</v>
      </c>
      <c r="B126" s="74" t="str">
        <f>Originals!B214</f>
        <v>LabVIEW</v>
      </c>
      <c r="C126" s="74" t="str">
        <f>Originals!C214</f>
        <v>15.0.1</v>
      </c>
      <c r="D126" s="74" t="str">
        <f>Originals!D214</f>
        <v>32</v>
      </c>
      <c r="E126" s="74" t="str">
        <f>Originals!E214</f>
        <v>2015 SP1</v>
      </c>
      <c r="F126" s="74" t="str">
        <f>Originals!F214</f>
        <v>Runtime</v>
      </c>
      <c r="G126" s="74" t="str">
        <f>Originals!G214</f>
        <v>NI</v>
      </c>
      <c r="H126" s="74" t="str">
        <f>Originals!H214</f>
        <v>LabVIEW 2015 SP1 15.0.1</v>
      </c>
      <c r="I126" s="74" t="str">
        <f>Originals!I214</f>
        <v>LabVIEW 2015 SP1</v>
      </c>
    </row>
    <row r="127" spans="1:9" x14ac:dyDescent="0.25">
      <c r="A127" s="74" t="str">
        <f>Scott!A41</f>
        <v>3-Scott</v>
      </c>
      <c r="B127" s="74" t="str">
        <f>Scott!B41</f>
        <v>LabVIEW</v>
      </c>
      <c r="C127" s="74" t="str">
        <f>Scott!C41</f>
        <v>15.0.1</v>
      </c>
      <c r="D127" s="74">
        <f>Scott!D41</f>
        <v>32</v>
      </c>
      <c r="E127" s="74" t="str">
        <f>Scott!E41</f>
        <v>2015 SP1</v>
      </c>
      <c r="F127" s="74" t="str">
        <f>Scott!F41</f>
        <v>Development</v>
      </c>
      <c r="G127" s="74" t="str">
        <f>Scott!G41</f>
        <v>NI</v>
      </c>
      <c r="H127" s="74" t="str">
        <f>Scott!H41</f>
        <v>LabVIEW 2015 SP1 15.0.1</v>
      </c>
      <c r="I127" s="74" t="str">
        <f>Scott!I41</f>
        <v>LabVIEW 2015 SP1</v>
      </c>
    </row>
    <row r="128" spans="1:9" hidden="1" x14ac:dyDescent="0.25">
      <c r="A128" s="74" t="str">
        <f>Scott!A47</f>
        <v>3-Scott</v>
      </c>
      <c r="B128" s="74" t="str">
        <f>Scott!B47</f>
        <v>LabVIEW</v>
      </c>
      <c r="C128" s="74" t="str">
        <f>Scott!C47</f>
        <v>15.0.1</v>
      </c>
      <c r="D128" s="74">
        <f>Scott!D47</f>
        <v>32</v>
      </c>
      <c r="E128" s="74" t="str">
        <f>Scott!E47</f>
        <v>2015 SP1</v>
      </c>
      <c r="F128" s="74" t="str">
        <f>Scott!F47</f>
        <v>Runtime</v>
      </c>
      <c r="G128" s="74" t="str">
        <f>Scott!G47</f>
        <v>NI</v>
      </c>
      <c r="H128" s="74" t="str">
        <f>Scott!H47</f>
        <v>LabVIEW 2015 SP1 15.0.1</v>
      </c>
      <c r="I128" s="74" t="str">
        <f>Scott!I47</f>
        <v>LabVIEW 2015 SP1</v>
      </c>
    </row>
    <row r="129" spans="1:9" x14ac:dyDescent="0.25">
      <c r="A129" s="74" t="str">
        <f>Originals!A13</f>
        <v>1-Corey</v>
      </c>
      <c r="B129" s="74" t="str">
        <f>Originals!B13</f>
        <v>LabVIEW</v>
      </c>
      <c r="C129" s="74" t="str">
        <f>Originals!C13</f>
        <v>15.0.1</v>
      </c>
      <c r="D129" s="74" t="str">
        <f>Originals!D13</f>
        <v>32</v>
      </c>
      <c r="E129" s="74" t="str">
        <f>Originals!E13</f>
        <v>2015 SP1 f10</v>
      </c>
      <c r="F129" s="74" t="str">
        <f>Originals!F13</f>
        <v>Development</v>
      </c>
      <c r="G129" s="74" t="str">
        <f>Originals!G13</f>
        <v>NI</v>
      </c>
      <c r="H129" s="74" t="str">
        <f>Originals!H13</f>
        <v>LabVIEW 2015 SP1 f10 15.0.1</v>
      </c>
      <c r="I129" s="74" t="str">
        <f>Originals!I13</f>
        <v>2015 SP1 Update Service</v>
      </c>
    </row>
    <row r="130" spans="1:9" x14ac:dyDescent="0.25">
      <c r="A130" s="74" t="str">
        <f>Originals!A96</f>
        <v>2-Spencer</v>
      </c>
      <c r="B130" s="74" t="str">
        <f>Originals!B96</f>
        <v>LabVIEW</v>
      </c>
      <c r="C130" s="74" t="str">
        <f>Originals!C96</f>
        <v>15.0.1</v>
      </c>
      <c r="D130" s="74" t="str">
        <f>Originals!D96</f>
        <v>32</v>
      </c>
      <c r="E130" s="74" t="str">
        <f>Originals!E96</f>
        <v>2015 SP1 f10</v>
      </c>
      <c r="F130" s="74" t="str">
        <f>Originals!F96</f>
        <v>Development</v>
      </c>
      <c r="G130" s="74" t="str">
        <f>Originals!G96</f>
        <v>NI</v>
      </c>
      <c r="H130" s="74" t="str">
        <f>Originals!H96</f>
        <v>LabVIEW 2015 SP1 f10 15.0.1</v>
      </c>
      <c r="I130" s="74" t="str">
        <f>Originals!I96</f>
        <v>2015 SP1 Update Service</v>
      </c>
    </row>
    <row r="131" spans="1:9" x14ac:dyDescent="0.25">
      <c r="A131" s="74" t="str">
        <f>Originals!A376</f>
        <v>5-Confluence</v>
      </c>
      <c r="B131" s="74" t="str">
        <f>Originals!B376</f>
        <v>LabVIEW</v>
      </c>
      <c r="C131" s="74" t="str">
        <f>Originals!C376</f>
        <v>15.0.1</v>
      </c>
      <c r="D131" s="74" t="str">
        <f>Originals!D376</f>
        <v>32</v>
      </c>
      <c r="E131" s="74" t="str">
        <f>Originals!E376</f>
        <v>2015 SP1 F10</v>
      </c>
      <c r="F131" s="74" t="str">
        <f>Originals!F376</f>
        <v>Development</v>
      </c>
      <c r="G131" s="74" t="str">
        <f>Originals!G376</f>
        <v>NI</v>
      </c>
      <c r="H131" s="74" t="str">
        <f>Originals!H376</f>
        <v>LabVIEW 2015 SP1 F10 15.0.1</v>
      </c>
      <c r="I131" s="74">
        <f>Originals!I376</f>
        <v>0</v>
      </c>
    </row>
    <row r="132" spans="1:9" hidden="1" x14ac:dyDescent="0.25">
      <c r="A132" s="74" t="str">
        <f>Originals!A377</f>
        <v>5-Confluence</v>
      </c>
      <c r="B132" s="74" t="str">
        <f>Originals!B377</f>
        <v>LabVIEW</v>
      </c>
      <c r="C132" s="74" t="str">
        <f>Originals!C377</f>
        <v>15.0.1</v>
      </c>
      <c r="D132" s="74" t="str">
        <f>Originals!D377</f>
        <v>32</v>
      </c>
      <c r="E132" s="74" t="str">
        <f>Originals!E377</f>
        <v>2015 SP1 f10</v>
      </c>
      <c r="F132" s="74" t="str">
        <f>Originals!F377</f>
        <v>Runtime</v>
      </c>
      <c r="G132" s="74" t="str">
        <f>Originals!G377</f>
        <v>NI</v>
      </c>
      <c r="H132" s="74" t="str">
        <f>Originals!H377</f>
        <v>LabVIEW 2015 SP1 f10 15.0.1</v>
      </c>
      <c r="I132" s="74">
        <f>Originals!I377</f>
        <v>0</v>
      </c>
    </row>
    <row r="133" spans="1:9" x14ac:dyDescent="0.25">
      <c r="A133" s="74" t="str">
        <f>Originals!A212</f>
        <v>4-Vinnie</v>
      </c>
      <c r="B133" s="74" t="str">
        <f>Originals!B212</f>
        <v>LabVIEW</v>
      </c>
      <c r="C133" s="74" t="str">
        <f>Originals!C212</f>
        <v>15</v>
      </c>
      <c r="D133" s="74" t="str">
        <f>Originals!D212</f>
        <v>32</v>
      </c>
      <c r="E133" s="74" t="str">
        <f>Originals!E212</f>
        <v>2015 SP1 f7</v>
      </c>
      <c r="F133" s="74" t="str">
        <f>Originals!F212</f>
        <v>Development</v>
      </c>
      <c r="G133" s="74" t="str">
        <f>Originals!G212</f>
        <v>NI</v>
      </c>
      <c r="H133" s="74" t="str">
        <f>Originals!H212</f>
        <v>LabVIEW 2015 SP1 f7 15</v>
      </c>
      <c r="I133" s="74">
        <f>Originals!I212</f>
        <v>0</v>
      </c>
    </row>
    <row r="134" spans="1:9" hidden="1" x14ac:dyDescent="0.25">
      <c r="A134" s="74" t="str">
        <f>Originals!A208</f>
        <v>4-Vinnie</v>
      </c>
      <c r="B134" s="74" t="str">
        <f>Originals!B208</f>
        <v>LabVIEW</v>
      </c>
      <c r="C134" s="74" t="str">
        <f>Originals!C208</f>
        <v>16.0.0</v>
      </c>
      <c r="D134" s="74" t="str">
        <f>Originals!D208</f>
        <v>32</v>
      </c>
      <c r="E134" s="74" t="str">
        <f>Originals!E208</f>
        <v>2016  f6</v>
      </c>
      <c r="F134" s="74" t="str">
        <f>Originals!F208</f>
        <v>Runtime</v>
      </c>
      <c r="G134" s="74" t="str">
        <f>Originals!G208</f>
        <v>NI</v>
      </c>
      <c r="H134" s="74" t="str">
        <f>Originals!H208</f>
        <v>LabVIEW 2016  f6 16.0.0</v>
      </c>
      <c r="I134" s="74">
        <f>Originals!I208</f>
        <v>0</v>
      </c>
    </row>
    <row r="135" spans="1:9" hidden="1" x14ac:dyDescent="0.25">
      <c r="A135" s="74" t="str">
        <f>Originals!A373</f>
        <v>5-Confluence</v>
      </c>
      <c r="B135" s="74" t="str">
        <f>Originals!B373</f>
        <v>LabVIEW</v>
      </c>
      <c r="C135" s="74" t="str">
        <f>Originals!C373</f>
        <v>16.0.0</v>
      </c>
      <c r="D135" s="74" t="str">
        <f>Originals!D373</f>
        <v>32</v>
      </c>
      <c r="E135" s="74" t="str">
        <f>Originals!E373</f>
        <v>2016 f5</v>
      </c>
      <c r="F135" s="74" t="str">
        <f>Originals!F373</f>
        <v>Runtime</v>
      </c>
      <c r="G135" s="74" t="str">
        <f>Originals!G373</f>
        <v>NI</v>
      </c>
      <c r="H135" s="74" t="str">
        <f>Originals!H373</f>
        <v>LabVIEW 2016 f5 16.0.0</v>
      </c>
      <c r="I135" s="74" t="str">
        <f>Originals!I373</f>
        <v>CompactRIO 18.1.0</v>
      </c>
    </row>
    <row r="136" spans="1:9" hidden="1" x14ac:dyDescent="0.25">
      <c r="A136" s="74" t="str">
        <f>Scott!A52</f>
        <v>3-Scott</v>
      </c>
      <c r="B136" s="74" t="str">
        <f>Scott!B52</f>
        <v>LabVIEW</v>
      </c>
      <c r="C136" s="74" t="str">
        <f>Scott!C52</f>
        <v>16.0.0</v>
      </c>
      <c r="D136" s="74" t="str">
        <f>Scott!D52</f>
        <v>32</v>
      </c>
      <c r="E136" s="74" t="str">
        <f>Scott!E52</f>
        <v>2016 f5</v>
      </c>
      <c r="F136" s="74" t="str">
        <f>Scott!F52</f>
        <v>Runtime</v>
      </c>
      <c r="G136" s="74" t="str">
        <f>Scott!G52</f>
        <v>NI</v>
      </c>
      <c r="H136" s="74" t="str">
        <f>Scott!H52</f>
        <v>LabVIEW 2016 f5 16.0.0</v>
      </c>
      <c r="I136" s="74" t="str">
        <f>Scott!I52</f>
        <v>CompactRIO 18.1.0</v>
      </c>
    </row>
    <row r="137" spans="1:9" hidden="1" x14ac:dyDescent="0.25">
      <c r="A137" s="74" t="str">
        <f>Originals!A209</f>
        <v>4-Vinnie</v>
      </c>
      <c r="B137" s="74" t="str">
        <f>Originals!B209</f>
        <v>LabVIEW</v>
      </c>
      <c r="C137" s="74" t="str">
        <f>Originals!C209</f>
        <v>17.0.1</v>
      </c>
      <c r="D137" s="74" t="str">
        <f>Originals!D209</f>
        <v>32</v>
      </c>
      <c r="E137" s="74" t="str">
        <f>Originals!E209</f>
        <v>2017 SP1 f3</v>
      </c>
      <c r="F137" s="74" t="str">
        <f>Originals!F209</f>
        <v>Runtime</v>
      </c>
      <c r="G137" s="74" t="str">
        <f>Originals!G209</f>
        <v>NI</v>
      </c>
      <c r="H137" s="74" t="str">
        <f>Originals!H209</f>
        <v>LabVIEW 2017 SP1 f3 17.0.1</v>
      </c>
      <c r="I137" s="74">
        <f>Originals!I209</f>
        <v>0</v>
      </c>
    </row>
    <row r="138" spans="1:9" hidden="1" x14ac:dyDescent="0.25">
      <c r="A138" s="74" t="str">
        <f>Originals!A374</f>
        <v>5-Confluence</v>
      </c>
      <c r="B138" s="74" t="str">
        <f>Originals!B374</f>
        <v>LabVIEW</v>
      </c>
      <c r="C138" s="74" t="str">
        <f>Originals!C374</f>
        <v>17.0.1</v>
      </c>
      <c r="D138" s="74" t="str">
        <f>Originals!D374</f>
        <v>32</v>
      </c>
      <c r="E138" s="74" t="str">
        <f>Originals!E374</f>
        <v>2017 SP1 f3</v>
      </c>
      <c r="F138" s="74" t="str">
        <f>Originals!F374</f>
        <v>Runtime</v>
      </c>
      <c r="G138" s="74" t="str">
        <f>Originals!G374</f>
        <v>NI</v>
      </c>
      <c r="H138" s="74" t="str">
        <f>Originals!H374</f>
        <v>LabVIEW 2017 SP1 f3 17.0.1</v>
      </c>
      <c r="I138" s="74">
        <f>Originals!I374</f>
        <v>0</v>
      </c>
    </row>
    <row r="139" spans="1:9" hidden="1" x14ac:dyDescent="0.25">
      <c r="A139" s="74" t="str">
        <f>Scott!A53</f>
        <v>3-Scott</v>
      </c>
      <c r="B139" s="74" t="str">
        <f>Scott!B53</f>
        <v>LabVIEW</v>
      </c>
      <c r="C139" s="74" t="str">
        <f>Scott!C53</f>
        <v>17.0.1</v>
      </c>
      <c r="D139" s="74" t="str">
        <f>Scott!D53</f>
        <v>32</v>
      </c>
      <c r="E139" s="74" t="str">
        <f>Scott!E53</f>
        <v>2017 SP1 f3</v>
      </c>
      <c r="F139" s="74" t="str">
        <f>Scott!F53</f>
        <v>Runtime</v>
      </c>
      <c r="G139" s="74" t="str">
        <f>Scott!G53</f>
        <v>NI</v>
      </c>
      <c r="H139" s="74" t="str">
        <f>Scott!H53</f>
        <v>LabVIEW 2017 SP1 f3 17.0.1</v>
      </c>
      <c r="I139" s="74" t="str">
        <f>Scott!I53</f>
        <v>EtherCAT Update Service</v>
      </c>
    </row>
    <row r="140" spans="1:9" hidden="1" x14ac:dyDescent="0.25">
      <c r="A140" s="74" t="str">
        <f>Originals!A375</f>
        <v>5-Confluence</v>
      </c>
      <c r="B140" s="74" t="str">
        <f>Originals!B375</f>
        <v>LabVIEW</v>
      </c>
      <c r="C140" s="74" t="str">
        <f>Originals!C375</f>
        <v>18.0.0</v>
      </c>
      <c r="D140" s="74" t="str">
        <f>Originals!D375</f>
        <v>32</v>
      </c>
      <c r="E140" s="74" t="str">
        <f>Originals!E375</f>
        <v>2018 f2</v>
      </c>
      <c r="F140" s="74" t="str">
        <f>Originals!F375</f>
        <v>Runtime</v>
      </c>
      <c r="G140" s="74" t="str">
        <f>Originals!G375</f>
        <v>NI</v>
      </c>
      <c r="H140" s="74" t="str">
        <f>Originals!H375</f>
        <v>LabVIEW 2018 f2 18.0.0</v>
      </c>
      <c r="I140" s="74">
        <f>Originals!I375</f>
        <v>0</v>
      </c>
    </row>
    <row r="141" spans="1:9" hidden="1" x14ac:dyDescent="0.25">
      <c r="A141" s="74" t="str">
        <f>Originals!A210</f>
        <v>4-Vinnie</v>
      </c>
      <c r="B141" s="74" t="str">
        <f>Originals!B210</f>
        <v>LabVIEW</v>
      </c>
      <c r="C141" s="74" t="str">
        <f>Originals!C210</f>
        <v>18.0.1</v>
      </c>
      <c r="D141" s="74" t="str">
        <f>Originals!D210</f>
        <v>64</v>
      </c>
      <c r="E141" s="74" t="str">
        <f>Originals!E210</f>
        <v>2018 SP1</v>
      </c>
      <c r="F141" s="74" t="str">
        <f>Originals!F210</f>
        <v>Runtime</v>
      </c>
      <c r="G141" s="74" t="str">
        <f>Originals!G210</f>
        <v>NI</v>
      </c>
      <c r="H141" s="74" t="str">
        <f>Originals!H210</f>
        <v>LabVIEW 2018 SP1 18.0.1</v>
      </c>
      <c r="I141" s="74" t="str">
        <f>Originals!I210</f>
        <v>LabVIEW 2019</v>
      </c>
    </row>
    <row r="142" spans="1:9" hidden="1" x14ac:dyDescent="0.25">
      <c r="A142" s="74" t="str">
        <f>Scott!A48</f>
        <v>3-Scott</v>
      </c>
      <c r="B142" s="74" t="str">
        <f>Scott!B48</f>
        <v>LabVIEW</v>
      </c>
      <c r="C142" s="74" t="str">
        <f>Scott!C48</f>
        <v>19.0.0</v>
      </c>
      <c r="D142" s="74" t="str">
        <f>Scott!D48</f>
        <v>32</v>
      </c>
      <c r="E142" s="74" t="str">
        <f>Scott!E48</f>
        <v>2019</v>
      </c>
      <c r="F142" s="74" t="str">
        <f>Scott!F48</f>
        <v>Runtime</v>
      </c>
      <c r="G142" s="74" t="str">
        <f>Scott!G48</f>
        <v>NI</v>
      </c>
      <c r="H142" s="74" t="str">
        <f>Scott!H48</f>
        <v>LabVIEW 2019 19.0.0</v>
      </c>
      <c r="I142" s="74" t="str">
        <f>Scott!I48</f>
        <v>LabVIEW 2019</v>
      </c>
    </row>
    <row r="143" spans="1:9" hidden="1" x14ac:dyDescent="0.25">
      <c r="A143" s="74" t="str">
        <f>Originals!A211</f>
        <v>4-Vinnie</v>
      </c>
      <c r="B143" s="74" t="str">
        <f>Originals!B211</f>
        <v>LabVIEW</v>
      </c>
      <c r="C143" s="74" t="str">
        <f>Originals!C211</f>
        <v>19.0.1</v>
      </c>
      <c r="D143" s="74" t="str">
        <f>Originals!D211</f>
        <v>32</v>
      </c>
      <c r="E143" s="74" t="str">
        <f>Originals!E211</f>
        <v>2019 SP1 f1</v>
      </c>
      <c r="F143" s="74" t="str">
        <f>Originals!F211</f>
        <v>Runtime</v>
      </c>
      <c r="G143" s="74" t="str">
        <f>Originals!G211</f>
        <v>NI</v>
      </c>
      <c r="H143" s="74" t="str">
        <f>Originals!H211</f>
        <v>LabVIEW 2019 SP1 f1 19.0.1</v>
      </c>
      <c r="I143" s="74">
        <f>Originals!I211</f>
        <v>0</v>
      </c>
    </row>
    <row r="144" spans="1:9" hidden="1" x14ac:dyDescent="0.25">
      <c r="A144" s="74" t="str">
        <f>Scott!A49</f>
        <v>3-Scott</v>
      </c>
      <c r="B144" s="74" t="str">
        <f>Scott!B49</f>
        <v>LabVIEW</v>
      </c>
      <c r="C144" s="74" t="str">
        <f>Scott!C49</f>
        <v>18.0.1</v>
      </c>
      <c r="D144" s="74" t="str">
        <f>Scott!D49</f>
        <v>32</v>
      </c>
      <c r="E144" s="74" t="str">
        <f>Scott!E49</f>
        <v>2018 SP1 f3</v>
      </c>
      <c r="F144" s="74" t="str">
        <f>Scott!F49</f>
        <v>Runtime</v>
      </c>
      <c r="G144" s="74" t="str">
        <f>Scott!G49</f>
        <v>NI</v>
      </c>
      <c r="H144" s="74" t="str">
        <f>Scott!H49</f>
        <v>LabVIEW 2019 SP1 f3 18.0.1</v>
      </c>
      <c r="I144" s="74" t="str">
        <f>Scott!I49</f>
        <v>LabVIEW 2019</v>
      </c>
    </row>
    <row r="145" spans="1:9" hidden="1" x14ac:dyDescent="0.25">
      <c r="A145" s="74" t="str">
        <f>Originals!A20</f>
        <v>1-Corey</v>
      </c>
      <c r="B145" s="74" t="str">
        <f>Originals!B20</f>
        <v>LabVIEW</v>
      </c>
      <c r="C145" s="74" t="str">
        <f>Originals!C20</f>
        <v>19.0.1</v>
      </c>
      <c r="D145" s="74" t="str">
        <f>Originals!D20</f>
        <v>32</v>
      </c>
      <c r="E145" s="74" t="str">
        <f>Originals!E20</f>
        <v>2019 SP1 f3</v>
      </c>
      <c r="F145" s="74" t="str">
        <f>Originals!F20</f>
        <v>Runtime</v>
      </c>
      <c r="G145" s="74" t="str">
        <f>Originals!G20</f>
        <v>NI</v>
      </c>
      <c r="H145" s="74" t="str">
        <f>Originals!H20</f>
        <v>LabVIEW 2019 SP1 f3 19.0.1</v>
      </c>
      <c r="I145" s="74">
        <f>Originals!I20</f>
        <v>0</v>
      </c>
    </row>
    <row r="146" spans="1:9" hidden="1" x14ac:dyDescent="0.25">
      <c r="A146" s="74" t="str">
        <f>Originals!A99</f>
        <v>2-Spencer</v>
      </c>
      <c r="B146" s="74" t="str">
        <f>Originals!B99</f>
        <v>LabVIEW</v>
      </c>
      <c r="C146" s="74" t="str">
        <f>Originals!C99</f>
        <v>19.0.1</v>
      </c>
      <c r="D146" s="74" t="str">
        <f>Originals!D99</f>
        <v>32</v>
      </c>
      <c r="E146" s="74" t="str">
        <f>Originals!E99</f>
        <v>2019 SP1 f5</v>
      </c>
      <c r="F146" s="74" t="str">
        <f>Originals!F99</f>
        <v>Runtime</v>
      </c>
      <c r="G146" s="74" t="str">
        <f>Originals!G99</f>
        <v>NI</v>
      </c>
      <c r="H146" s="74" t="str">
        <f>Originals!H99</f>
        <v>LabVIEW 2019 SP1 f5 19.0.1</v>
      </c>
      <c r="I146" s="74">
        <f>Originals!I99</f>
        <v>0</v>
      </c>
    </row>
    <row r="147" spans="1:9" x14ac:dyDescent="0.25">
      <c r="A147" s="74" t="str">
        <f>Scott!A208</f>
        <v>3-Scott</v>
      </c>
      <c r="B147" s="74" t="str">
        <f>Scott!B208</f>
        <v>LabVIEW Interface</v>
      </c>
      <c r="C147" s="74">
        <f>Scott!C208</f>
        <v>15</v>
      </c>
      <c r="D147" s="74">
        <f>Scott!D208</f>
        <v>32</v>
      </c>
      <c r="E147" s="74">
        <f>Scott!E208</f>
        <v>2015</v>
      </c>
      <c r="F147" s="74" t="str">
        <f>Scott!F208</f>
        <v>Development</v>
      </c>
      <c r="G147" s="74" t="str">
        <f>Scott!G208</f>
        <v>NI</v>
      </c>
      <c r="H147" s="74" t="str">
        <f>Scott!H208</f>
        <v>LabVIEW Interface 15</v>
      </c>
      <c r="I147" s="74" t="str">
        <f>Scott!I208</f>
        <v>NI FieldPoint 15.0</v>
      </c>
    </row>
    <row r="148" spans="1:9" hidden="1" x14ac:dyDescent="0.25">
      <c r="A148" s="74" t="str">
        <f>Originals!A215</f>
        <v>4-Vinnie</v>
      </c>
      <c r="B148" s="74" t="str">
        <f>Originals!B215</f>
        <v>LabVIEW Real-Time</v>
      </c>
      <c r="C148" s="74" t="str">
        <f>Originals!C215</f>
        <v>15.0.1</v>
      </c>
      <c r="D148" s="74" t="str">
        <f>Originals!D215</f>
        <v>32</v>
      </c>
      <c r="E148" s="74" t="str">
        <f>Originals!E215</f>
        <v>2015</v>
      </c>
      <c r="F148" s="74" t="str">
        <f>Originals!F215</f>
        <v>C-RIO</v>
      </c>
      <c r="G148" s="74" t="str">
        <f>Originals!G215</f>
        <v>NI</v>
      </c>
      <c r="H148" s="74" t="str">
        <f>Originals!H215</f>
        <v>LabVIEW Real-Time 15.0.1</v>
      </c>
      <c r="I148" s="74">
        <f>Originals!I215</f>
        <v>0</v>
      </c>
    </row>
    <row r="149" spans="1:9" hidden="1" x14ac:dyDescent="0.25">
      <c r="A149" s="74" t="str">
        <f>Originals!A378</f>
        <v>5-Confluence</v>
      </c>
      <c r="B149" s="74" t="str">
        <f>Originals!B378</f>
        <v xml:space="preserve">LabWindows/CVI </v>
      </c>
      <c r="C149" s="74">
        <f>Originals!C378</f>
        <v>0</v>
      </c>
      <c r="D149" s="74" t="str">
        <f>Originals!D378</f>
        <v>32</v>
      </c>
      <c r="E149" s="74" t="str">
        <f>Originals!E378</f>
        <v>2013 SP2</v>
      </c>
      <c r="F149" s="74" t="str">
        <f>Originals!F378</f>
        <v>Runtime</v>
      </c>
      <c r="G149" s="74" t="str">
        <f>Originals!G378</f>
        <v>NI</v>
      </c>
      <c r="H149" s="74" t="str">
        <f>Originals!H378</f>
        <v xml:space="preserve">LabWindows/CVI  </v>
      </c>
      <c r="I149" s="74">
        <f>Originals!I378</f>
        <v>0</v>
      </c>
    </row>
    <row r="150" spans="1:9" hidden="1" x14ac:dyDescent="0.25">
      <c r="A150" s="74" t="str">
        <f>Originals!A216</f>
        <v>4-Vinnie</v>
      </c>
      <c r="B150" s="74" t="str">
        <f>Originals!B216</f>
        <v>LAVA Palette</v>
      </c>
      <c r="C150" s="74" t="str">
        <f>Originals!C216</f>
        <v>1.0.0.1</v>
      </c>
      <c r="D150" s="74" t="str">
        <f>Originals!D216</f>
        <v>32</v>
      </c>
      <c r="E150" s="74" t="str">
        <f>Originals!E216</f>
        <v>N/A</v>
      </c>
      <c r="F150" s="74" t="str">
        <f>Originals!F216</f>
        <v>Development</v>
      </c>
      <c r="G150" s="74" t="str">
        <f>Originals!G216</f>
        <v>LAVA</v>
      </c>
      <c r="H150" s="74" t="str">
        <f>Originals!H216</f>
        <v>LAVA Palette 1.0.0.1</v>
      </c>
      <c r="I150" s="74" t="str">
        <f>Originals!I216</f>
        <v>VIPM Community</v>
      </c>
    </row>
    <row r="151" spans="1:9" hidden="1" x14ac:dyDescent="0.25">
      <c r="A151" s="74" t="str">
        <f>Scott!A54</f>
        <v>3-Scott</v>
      </c>
      <c r="B151" s="74" t="str">
        <f>Scott!B54</f>
        <v>LAVA Palette</v>
      </c>
      <c r="C151" s="74" t="str">
        <f>Scott!C54</f>
        <v>1.0.0.1</v>
      </c>
      <c r="D151" s="74" t="str">
        <f>Scott!D54</f>
        <v>32</v>
      </c>
      <c r="E151" s="74" t="str">
        <f>Scott!E54</f>
        <v>N/A</v>
      </c>
      <c r="F151" s="74" t="str">
        <f>Scott!F54</f>
        <v>Development</v>
      </c>
      <c r="G151" s="74" t="str">
        <f>Scott!G54</f>
        <v>LAVA</v>
      </c>
      <c r="H151" s="74" t="str">
        <f>Scott!H54</f>
        <v>LAVA Palette 1.0.0.1</v>
      </c>
      <c r="I151" s="74" t="str">
        <f>Scott!I54</f>
        <v>VIPM Community</v>
      </c>
    </row>
    <row r="152" spans="1:9" x14ac:dyDescent="0.25">
      <c r="A152" s="74" t="str">
        <f>Originals!A21</f>
        <v>1-Corey</v>
      </c>
      <c r="B152" s="74" t="str">
        <f>Originals!B21</f>
        <v>MathScript RT Module</v>
      </c>
      <c r="C152" s="74" t="str">
        <f>Originals!C21</f>
        <v>15.0.0</v>
      </c>
      <c r="D152" s="74" t="str">
        <f>Originals!D21</f>
        <v>32</v>
      </c>
      <c r="E152" s="74" t="str">
        <f>Originals!E21</f>
        <v>2015</v>
      </c>
      <c r="F152" s="74" t="str">
        <f>Originals!F21</f>
        <v>Development</v>
      </c>
      <c r="G152" s="74" t="str">
        <f>Originals!G21</f>
        <v>NI</v>
      </c>
      <c r="H152" s="74" t="str">
        <f>Originals!H21</f>
        <v>MathScript RT Module 15.0.0</v>
      </c>
      <c r="I152" s="74" t="str">
        <f>Originals!I21</f>
        <v>NI Developer Suite 2015 DS2 Install</v>
      </c>
    </row>
    <row r="153" spans="1:9" x14ac:dyDescent="0.25">
      <c r="A153" s="74" t="str">
        <f>Scott!A55</f>
        <v>3-Scott</v>
      </c>
      <c r="B153" s="74" t="str">
        <f>Scott!B55</f>
        <v>MathScript RT Module</v>
      </c>
      <c r="C153" s="74" t="str">
        <f>Scott!C55</f>
        <v>15.0.0</v>
      </c>
      <c r="D153" s="74">
        <f>Scott!D55</f>
        <v>32</v>
      </c>
      <c r="E153" s="74">
        <f>Scott!E55</f>
        <v>2015</v>
      </c>
      <c r="F153" s="74" t="str">
        <f>Scott!F55</f>
        <v>Development</v>
      </c>
      <c r="G153" s="74" t="str">
        <f>Scott!G55</f>
        <v>NI</v>
      </c>
      <c r="H153" s="74" t="str">
        <f>Scott!H55</f>
        <v>MathScript RT Module 15.0.0</v>
      </c>
      <c r="I153" s="74" t="str">
        <f>Scott!I55</f>
        <v>NI Developer Suite 2015 DS2 Install</v>
      </c>
    </row>
    <row r="154" spans="1:9" x14ac:dyDescent="0.25">
      <c r="A154" s="74" t="str">
        <f>Originals!A22</f>
        <v>1-Corey</v>
      </c>
      <c r="B154" s="74" t="str">
        <f>Originals!B22</f>
        <v>Measurement &amp; Automation Explorer</v>
      </c>
      <c r="C154" s="74" t="str">
        <f>Originals!C22</f>
        <v>15.3.0f0</v>
      </c>
      <c r="D154" s="74" t="str">
        <f>Originals!D22</f>
        <v>32</v>
      </c>
      <c r="E154" s="74" t="str">
        <f>Originals!E22</f>
        <v>2015</v>
      </c>
      <c r="F154" s="74" t="str">
        <f>Originals!F22</f>
        <v>Development</v>
      </c>
      <c r="G154" s="74" t="str">
        <f>Originals!G22</f>
        <v>NI</v>
      </c>
      <c r="H154" s="74" t="str">
        <f>Originals!H22</f>
        <v>Measurement &amp; Automation Explorer 15.3.0f0</v>
      </c>
      <c r="I154" s="74" t="str">
        <f>Originals!I22</f>
        <v>LabVIEW 2015 SP1</v>
      </c>
    </row>
    <row r="155" spans="1:9" x14ac:dyDescent="0.25">
      <c r="A155" s="74" t="str">
        <f>Originals!A100</f>
        <v>2-Spencer</v>
      </c>
      <c r="B155" s="74" t="str">
        <f>Originals!B100</f>
        <v>Measurement &amp; Automation Explorer</v>
      </c>
      <c r="C155" s="74" t="str">
        <f>Originals!C100</f>
        <v>15.3.0f0</v>
      </c>
      <c r="D155" s="74" t="str">
        <f>Originals!D100</f>
        <v>32</v>
      </c>
      <c r="E155" s="74" t="str">
        <f>Originals!E100</f>
        <v>2015</v>
      </c>
      <c r="F155" s="74" t="str">
        <f>Originals!F100</f>
        <v>Development</v>
      </c>
      <c r="G155" s="74" t="str">
        <f>Originals!G100</f>
        <v>NI</v>
      </c>
      <c r="H155" s="74" t="str">
        <f>Originals!H100</f>
        <v>Measurement &amp; Automation Explorer 15.3.0f0</v>
      </c>
      <c r="I155" s="74" t="str">
        <f>Originals!I100</f>
        <v>LabVIEW 2015 SP1</v>
      </c>
    </row>
    <row r="156" spans="1:9" x14ac:dyDescent="0.25">
      <c r="A156" s="74" t="str">
        <f>Originals!A379</f>
        <v>5-Confluence</v>
      </c>
      <c r="B156" s="74" t="str">
        <f>Originals!B379</f>
        <v>Measurement &amp; Automation Explorer</v>
      </c>
      <c r="C156" s="74" t="str">
        <f>Originals!C379</f>
        <v>18.0</v>
      </c>
      <c r="D156" s="74" t="str">
        <f>Originals!D379</f>
        <v>32</v>
      </c>
      <c r="E156" s="74" t="str">
        <f>Originals!E379</f>
        <v>2018</v>
      </c>
      <c r="F156" s="74" t="str">
        <f>Originals!F379</f>
        <v>Development</v>
      </c>
      <c r="G156" s="74" t="str">
        <f>Originals!G379</f>
        <v>NI</v>
      </c>
      <c r="H156" s="74" t="str">
        <f>Originals!H379</f>
        <v>Measurement &amp; Automation Explorer 18.0</v>
      </c>
      <c r="I156" s="74" t="str">
        <f>Originals!I379</f>
        <v>CompactRIO 18.1.0</v>
      </c>
    </row>
    <row r="157" spans="1:9" x14ac:dyDescent="0.25">
      <c r="A157" s="74" t="str">
        <f>Scott!A56</f>
        <v>3-Scott</v>
      </c>
      <c r="B157" s="74" t="str">
        <f>Scott!B56</f>
        <v>Measurement &amp; Automation Explorer</v>
      </c>
      <c r="C157" s="74" t="str">
        <f>Scott!C56</f>
        <v>18.0.0f0</v>
      </c>
      <c r="D157" s="74" t="str">
        <f>Scott!D56</f>
        <v>32</v>
      </c>
      <c r="E157" s="74" t="str">
        <f>Scott!E56</f>
        <v>2018</v>
      </c>
      <c r="F157" s="74" t="str">
        <f>Scott!F56</f>
        <v>Development</v>
      </c>
      <c r="G157" s="74" t="str">
        <f>Scott!G56</f>
        <v>NI</v>
      </c>
      <c r="H157" s="74" t="str">
        <f>Scott!H56</f>
        <v>Measurement &amp; Automation Explorer 18.0.0f0</v>
      </c>
      <c r="I157" s="74" t="str">
        <f>Scott!I56</f>
        <v>CompactRIO 18.1.0</v>
      </c>
    </row>
    <row r="158" spans="1:9" x14ac:dyDescent="0.25">
      <c r="A158" s="74" t="str">
        <f>Originals!A217</f>
        <v>4-Vinnie</v>
      </c>
      <c r="B158" s="74" t="str">
        <f>Originals!B217</f>
        <v>Measurement &amp; Automation Explorer</v>
      </c>
      <c r="C158" s="74" t="str">
        <f>Originals!C217</f>
        <v>19.5.0f0</v>
      </c>
      <c r="D158" s="74" t="str">
        <f>Originals!D217</f>
        <v>32</v>
      </c>
      <c r="E158" s="74" t="str">
        <f>Originals!E217</f>
        <v>2019</v>
      </c>
      <c r="F158" s="74" t="str">
        <f>Originals!F217</f>
        <v>Development</v>
      </c>
      <c r="G158" s="74" t="str">
        <f>Originals!G217</f>
        <v>NI</v>
      </c>
      <c r="H158" s="74" t="str">
        <f>Originals!H217</f>
        <v>Measurement &amp; Automation Explorer 19.5.0f0</v>
      </c>
      <c r="I158" s="74">
        <f>Originals!I217</f>
        <v>0</v>
      </c>
    </row>
    <row r="159" spans="1:9" x14ac:dyDescent="0.25">
      <c r="A159" s="74" t="str">
        <f>Originals!A23</f>
        <v>1-Corey</v>
      </c>
      <c r="B159" s="74" t="str">
        <f>Originals!B23</f>
        <v>Measurement Studio</v>
      </c>
      <c r="C159" s="74">
        <f>Originals!C23</f>
        <v>0</v>
      </c>
      <c r="D159" s="74" t="str">
        <f>Originals!D23</f>
        <v>32</v>
      </c>
      <c r="E159" s="74" t="str">
        <f>Originals!E23</f>
        <v>2010</v>
      </c>
      <c r="F159" s="74" t="str">
        <f>Originals!F23</f>
        <v>Development</v>
      </c>
      <c r="G159" s="74" t="str">
        <f>Originals!G23</f>
        <v>NI</v>
      </c>
      <c r="H159" s="74" t="str">
        <f>Originals!H23</f>
        <v xml:space="preserve">Measurement Studio </v>
      </c>
      <c r="I159" s="74" t="str">
        <f>Originals!I23</f>
        <v>NI Developer Suite 2015 DS2 Install</v>
      </c>
    </row>
    <row r="160" spans="1:9" x14ac:dyDescent="0.25">
      <c r="A160" s="74" t="str">
        <f>Originals!A101</f>
        <v>2-Spencer</v>
      </c>
      <c r="B160" s="74" t="str">
        <f>Originals!B101</f>
        <v>Measurement Studio</v>
      </c>
      <c r="C160" s="74">
        <f>Originals!C101</f>
        <v>0</v>
      </c>
      <c r="D160" s="74" t="str">
        <f>Originals!D101</f>
        <v>32</v>
      </c>
      <c r="E160" s="74" t="str">
        <f>Originals!E101</f>
        <v>2010</v>
      </c>
      <c r="F160" s="74" t="str">
        <f>Originals!F101</f>
        <v>Development</v>
      </c>
      <c r="G160" s="74" t="str">
        <f>Originals!G101</f>
        <v>NI</v>
      </c>
      <c r="H160" s="74" t="str">
        <f>Originals!H101</f>
        <v xml:space="preserve">Measurement Studio </v>
      </c>
      <c r="I160" s="74" t="str">
        <f>Originals!I101</f>
        <v>NI Developer Suite 2015 DS2 Install</v>
      </c>
    </row>
    <row r="161" spans="1:9" x14ac:dyDescent="0.25">
      <c r="A161" s="74" t="str">
        <f>Originals!A218</f>
        <v>4-Vinnie</v>
      </c>
      <c r="B161" s="74" t="str">
        <f>Originals!B218</f>
        <v>Measurement Studio</v>
      </c>
      <c r="C161" s="74">
        <f>Originals!C218</f>
        <v>0</v>
      </c>
      <c r="D161" s="74" t="str">
        <f>Originals!D218</f>
        <v>32</v>
      </c>
      <c r="E161" s="74" t="str">
        <f>Originals!E218</f>
        <v>2005</v>
      </c>
      <c r="F161" s="74" t="str">
        <f>Originals!F218</f>
        <v>Development</v>
      </c>
      <c r="G161" s="74" t="str">
        <f>Originals!G218</f>
        <v>NI</v>
      </c>
      <c r="H161" s="74" t="str">
        <f>Originals!H218</f>
        <v xml:space="preserve">Measurement Studio </v>
      </c>
      <c r="I161" s="74">
        <f>Originals!I218</f>
        <v>0</v>
      </c>
    </row>
    <row r="162" spans="1:9" x14ac:dyDescent="0.25">
      <c r="A162" s="74" t="str">
        <f>Originals!A219</f>
        <v>4-Vinnie</v>
      </c>
      <c r="B162" s="74" t="str">
        <f>Originals!B219</f>
        <v>Measurement Studio</v>
      </c>
      <c r="C162" s="74">
        <f>Originals!C219</f>
        <v>0</v>
      </c>
      <c r="D162" s="74" t="str">
        <f>Originals!D219</f>
        <v>32</v>
      </c>
      <c r="E162" s="74" t="str">
        <f>Originals!E219</f>
        <v>2018</v>
      </c>
      <c r="F162" s="74" t="str">
        <f>Originals!F219</f>
        <v>Development</v>
      </c>
      <c r="G162" s="74" t="str">
        <f>Originals!G219</f>
        <v>NI</v>
      </c>
      <c r="H162" s="74" t="str">
        <f>Originals!H219</f>
        <v xml:space="preserve">Measurement Studio </v>
      </c>
      <c r="I162" s="74">
        <f>Originals!I219</f>
        <v>0</v>
      </c>
    </row>
    <row r="163" spans="1:9" x14ac:dyDescent="0.25">
      <c r="A163" s="74" t="str">
        <f>Originals!A220</f>
        <v>4-Vinnie</v>
      </c>
      <c r="B163" s="74" t="str">
        <f>Originals!B220</f>
        <v>Measurement Studio</v>
      </c>
      <c r="C163" s="74">
        <f>Originals!C220</f>
        <v>0</v>
      </c>
      <c r="D163" s="74" t="str">
        <f>Originals!D220</f>
        <v>32</v>
      </c>
      <c r="E163" s="74" t="str">
        <f>Originals!E220</f>
        <v>2010</v>
      </c>
      <c r="F163" s="74" t="str">
        <f>Originals!F220</f>
        <v>Development</v>
      </c>
      <c r="G163" s="74" t="str">
        <f>Originals!G220</f>
        <v>NI</v>
      </c>
      <c r="H163" s="74" t="str">
        <f>Originals!H220</f>
        <v xml:space="preserve">Measurement Studio </v>
      </c>
      <c r="I163" s="74" t="str">
        <f>Originals!I220</f>
        <v>NI Developer Suite 2015 DS2 Install</v>
      </c>
    </row>
    <row r="164" spans="1:9" x14ac:dyDescent="0.25">
      <c r="A164" s="74" t="str">
        <f>Scott!A57</f>
        <v>3-Scott</v>
      </c>
      <c r="B164" s="74" t="str">
        <f>Scott!B57</f>
        <v>Measurement Studio</v>
      </c>
      <c r="C164" s="74">
        <f>Scott!C57</f>
        <v>0</v>
      </c>
      <c r="D164" s="74">
        <f>Scott!D57</f>
        <v>32</v>
      </c>
      <c r="E164" s="74">
        <f>Scott!E57</f>
        <v>2010</v>
      </c>
      <c r="F164" s="74" t="str">
        <f>Scott!F57</f>
        <v>Development</v>
      </c>
      <c r="G164" s="74" t="str">
        <f>Scott!G57</f>
        <v>NI</v>
      </c>
      <c r="H164" s="74" t="str">
        <f>Scott!H57</f>
        <v xml:space="preserve">Measurement Studio </v>
      </c>
      <c r="I164" s="74" t="str">
        <f>Scott!I57</f>
        <v>NI Developer Suite 2015 DS2 Install</v>
      </c>
    </row>
    <row r="165" spans="1:9" x14ac:dyDescent="0.25">
      <c r="A165" s="74" t="str">
        <f>Originals!A221</f>
        <v>4-Vinnie</v>
      </c>
      <c r="B165" s="74" t="str">
        <f>Originals!B221</f>
        <v>Measurement Studio Common</v>
      </c>
      <c r="C165" s="74" t="str">
        <f>Originals!C221</f>
        <v>12.0.20.258</v>
      </c>
      <c r="D165" s="74" t="str">
        <f>Originals!D221</f>
        <v>32</v>
      </c>
      <c r="E165" s="74" t="str">
        <f>Originals!E221</f>
        <v>2005</v>
      </c>
      <c r="F165" s="74" t="str">
        <f>Originals!F221</f>
        <v>Development</v>
      </c>
      <c r="G165" s="74" t="str">
        <f>Originals!G221</f>
        <v>NI</v>
      </c>
      <c r="H165" s="74" t="str">
        <f>Originals!H221</f>
        <v>Measurement Studio Common 12.0.20.258</v>
      </c>
      <c r="I165" s="74">
        <f>Originals!I221</f>
        <v>0</v>
      </c>
    </row>
    <row r="166" spans="1:9" x14ac:dyDescent="0.25">
      <c r="A166" s="74" t="str">
        <f>Originals!A222</f>
        <v>4-Vinnie</v>
      </c>
      <c r="B166" s="74" t="str">
        <f>Originals!B222</f>
        <v>Measurement Studio Common</v>
      </c>
      <c r="C166" s="74" t="str">
        <f>Originals!C222</f>
        <v>13.5.35.173</v>
      </c>
      <c r="D166" s="74" t="str">
        <f>Originals!D222</f>
        <v>32</v>
      </c>
      <c r="E166" s="74" t="str">
        <f>Originals!E222</f>
        <v>2018</v>
      </c>
      <c r="F166" s="74" t="str">
        <f>Originals!F222</f>
        <v>Development</v>
      </c>
      <c r="G166" s="74" t="str">
        <f>Originals!G222</f>
        <v>NI</v>
      </c>
      <c r="H166" s="74" t="str">
        <f>Originals!H222</f>
        <v>Measurement Studio Common 13.5.35.173</v>
      </c>
      <c r="I166" s="74">
        <f>Originals!I222</f>
        <v>0</v>
      </c>
    </row>
    <row r="167" spans="1:9" hidden="1" x14ac:dyDescent="0.25">
      <c r="A167" s="74" t="str">
        <f>Originals!A223</f>
        <v>4-Vinnie</v>
      </c>
      <c r="B167" s="74" t="str">
        <f>Originals!B223</f>
        <v>Measurement Studio Common</v>
      </c>
      <c r="C167" s="74" t="str">
        <f>Originals!C223</f>
        <v>13.5.35.173</v>
      </c>
      <c r="D167" s="74" t="str">
        <f>Originals!D223</f>
        <v>64</v>
      </c>
      <c r="E167" s="74" t="str">
        <f>Originals!E223</f>
        <v>2018</v>
      </c>
      <c r="F167" s="74" t="str">
        <f>Originals!F223</f>
        <v>Development</v>
      </c>
      <c r="G167" s="74" t="str">
        <f>Originals!G223</f>
        <v>NI</v>
      </c>
      <c r="H167" s="74" t="str">
        <f>Originals!H223</f>
        <v>Measurement Studio Common 13.5.35.173</v>
      </c>
      <c r="I167" s="74">
        <f>Originals!I223</f>
        <v>0</v>
      </c>
    </row>
    <row r="168" spans="1:9" x14ac:dyDescent="0.25">
      <c r="A168" s="74" t="str">
        <f>Originals!A24</f>
        <v>1-Corey</v>
      </c>
      <c r="B168" s="74" t="str">
        <f>Originals!B24</f>
        <v>Measurement Studio Common</v>
      </c>
      <c r="C168" s="74" t="str">
        <f>Originals!C24</f>
        <v>15.0.40.49154</v>
      </c>
      <c r="D168" s="74" t="str">
        <f>Originals!D24</f>
        <v>32</v>
      </c>
      <c r="E168" s="74" t="str">
        <f>Originals!E24</f>
        <v>2015</v>
      </c>
      <c r="F168" s="74" t="str">
        <f>Originals!F24</f>
        <v>Development</v>
      </c>
      <c r="G168" s="74" t="str">
        <f>Originals!G24</f>
        <v>NI</v>
      </c>
      <c r="H168" s="74" t="str">
        <f>Originals!H24</f>
        <v>Measurement Studio Common 15.0.40.49154</v>
      </c>
      <c r="I168" s="74" t="str">
        <f>Originals!I24</f>
        <v>NI Developer Suite 2015 DS2 Install</v>
      </c>
    </row>
    <row r="169" spans="1:9" hidden="1" x14ac:dyDescent="0.25">
      <c r="A169" s="74" t="str">
        <f>Originals!A25</f>
        <v>1-Corey</v>
      </c>
      <c r="B169" s="74" t="str">
        <f>Originals!B25</f>
        <v>Measurement Studio Common</v>
      </c>
      <c r="C169" s="74" t="str">
        <f>Originals!C25</f>
        <v>15.0.40.49154</v>
      </c>
      <c r="D169" s="74" t="str">
        <f>Originals!D25</f>
        <v>64</v>
      </c>
      <c r="E169" s="74" t="str">
        <f>Originals!E25</f>
        <v>2015</v>
      </c>
      <c r="F169" s="74" t="str">
        <f>Originals!F25</f>
        <v>Development</v>
      </c>
      <c r="G169" s="74" t="str">
        <f>Originals!G25</f>
        <v>NI</v>
      </c>
      <c r="H169" s="74" t="str">
        <f>Originals!H25</f>
        <v>Measurement Studio Common 15.0.40.49154</v>
      </c>
      <c r="I169" s="74" t="str">
        <f>Originals!I25</f>
        <v>NI Developer Suite 2015 DS2 Install</v>
      </c>
    </row>
    <row r="170" spans="1:9" x14ac:dyDescent="0.25">
      <c r="A170" s="74" t="str">
        <f>Originals!A224</f>
        <v>4-Vinnie</v>
      </c>
      <c r="B170" s="74" t="str">
        <f>Originals!B224</f>
        <v>Measurement Studio Common</v>
      </c>
      <c r="C170" s="74" t="str">
        <f>Originals!C224</f>
        <v>15.0.40.49154</v>
      </c>
      <c r="D170" s="74" t="str">
        <f>Originals!D224</f>
        <v>32</v>
      </c>
      <c r="E170" s="74" t="str">
        <f>Originals!E224</f>
        <v>2015</v>
      </c>
      <c r="F170" s="74" t="str">
        <f>Originals!F224</f>
        <v>Development</v>
      </c>
      <c r="G170" s="74" t="str">
        <f>Originals!G224</f>
        <v>NI</v>
      </c>
      <c r="H170" s="74" t="str">
        <f>Originals!H224</f>
        <v>Measurement Studio Common 15.0.40.49154</v>
      </c>
      <c r="I170" s="74" t="str">
        <f>Originals!I224</f>
        <v>NI Developer Suite 2015 DS2 Install</v>
      </c>
    </row>
    <row r="171" spans="1:9" hidden="1" x14ac:dyDescent="0.25">
      <c r="A171" s="74" t="str">
        <f>Originals!A225</f>
        <v>4-Vinnie</v>
      </c>
      <c r="B171" s="74" t="str">
        <f>Originals!B225</f>
        <v>Measurement Studio Common</v>
      </c>
      <c r="C171" s="74" t="str">
        <f>Originals!C225</f>
        <v>15.0.40.49154</v>
      </c>
      <c r="D171" s="74" t="str">
        <f>Originals!D225</f>
        <v>64</v>
      </c>
      <c r="E171" s="74" t="str">
        <f>Originals!E225</f>
        <v>2015</v>
      </c>
      <c r="F171" s="74" t="str">
        <f>Originals!F225</f>
        <v>Development</v>
      </c>
      <c r="G171" s="74" t="str">
        <f>Originals!G225</f>
        <v>NI</v>
      </c>
      <c r="H171" s="74" t="str">
        <f>Originals!H225</f>
        <v>Measurement Studio Common 15.0.40.49154</v>
      </c>
      <c r="I171" s="74" t="str">
        <f>Originals!I225</f>
        <v>NI Developer Suite 2015 DS2 Install</v>
      </c>
    </row>
    <row r="172" spans="1:9" x14ac:dyDescent="0.25">
      <c r="A172" s="74" t="str">
        <f>Scott!A58</f>
        <v>3-Scott</v>
      </c>
      <c r="B172" s="74" t="str">
        <f>Scott!B58</f>
        <v>Measurement Studio Common</v>
      </c>
      <c r="C172" s="74" t="str">
        <f>Scott!C58</f>
        <v>15.0.40.49154</v>
      </c>
      <c r="D172" s="74">
        <f>Scott!D58</f>
        <v>32</v>
      </c>
      <c r="E172" s="74">
        <f>Scott!E58</f>
        <v>2015</v>
      </c>
      <c r="F172" s="74" t="str">
        <f>Scott!F58</f>
        <v>Development</v>
      </c>
      <c r="G172" s="74" t="str">
        <f>Scott!G58</f>
        <v>NI</v>
      </c>
      <c r="H172" s="74" t="str">
        <f>Scott!H58</f>
        <v>Measurement Studio Common 15.0.40.49154</v>
      </c>
      <c r="I172" s="74" t="str">
        <f>Scott!I58</f>
        <v>NI Developer Suite 2015 DS2 Install</v>
      </c>
    </row>
    <row r="173" spans="1:9" hidden="1" x14ac:dyDescent="0.25">
      <c r="A173" s="74" t="str">
        <f>Scott!A59</f>
        <v>3-Scott</v>
      </c>
      <c r="B173" s="74" t="str">
        <f>Scott!B59</f>
        <v>Measurement Studio Common</v>
      </c>
      <c r="C173" s="74" t="str">
        <f>Scott!C59</f>
        <v>15.0.40.49154</v>
      </c>
      <c r="D173" s="74">
        <f>Scott!D59</f>
        <v>64</v>
      </c>
      <c r="E173" s="74">
        <f>Scott!E59</f>
        <v>2015</v>
      </c>
      <c r="F173" s="74" t="str">
        <f>Scott!F59</f>
        <v>Development</v>
      </c>
      <c r="G173" s="74" t="str">
        <f>Scott!G59</f>
        <v>NI</v>
      </c>
      <c r="H173" s="74" t="str">
        <f>Scott!H59</f>
        <v>Measurement Studio Common 15.0.40.49154</v>
      </c>
      <c r="I173" s="74" t="str">
        <f>Scott!I59</f>
        <v>NI Developer Suite 2015 DS2 Install</v>
      </c>
    </row>
    <row r="174" spans="1:9" x14ac:dyDescent="0.25">
      <c r="A174" s="74" t="str">
        <f>Originals!A102</f>
        <v>2-Spencer</v>
      </c>
      <c r="B174" s="74" t="str">
        <f>Originals!B102</f>
        <v>Measurement Studio Common</v>
      </c>
      <c r="C174" s="74" t="str">
        <f>Originals!C102</f>
        <v>15.1.40.49152</v>
      </c>
      <c r="D174" s="74" t="str">
        <f>Originals!D102</f>
        <v>32</v>
      </c>
      <c r="E174" s="74" t="str">
        <f>Originals!E102</f>
        <v>2015</v>
      </c>
      <c r="F174" s="74" t="str">
        <f>Originals!F102</f>
        <v>Development</v>
      </c>
      <c r="G174" s="74" t="str">
        <f>Originals!G102</f>
        <v>NI</v>
      </c>
      <c r="H174" s="74" t="str">
        <f>Originals!H102</f>
        <v>Measurement Studio Common 15.1.40.49152</v>
      </c>
      <c r="I174" s="74">
        <f>Originals!I102</f>
        <v>0</v>
      </c>
    </row>
    <row r="175" spans="1:9" hidden="1" x14ac:dyDescent="0.25">
      <c r="A175" s="74" t="str">
        <f>Originals!A103</f>
        <v>2-Spencer</v>
      </c>
      <c r="B175" s="74" t="str">
        <f>Originals!B103</f>
        <v>Measurement Studio Common</v>
      </c>
      <c r="C175" s="74" t="str">
        <f>Originals!C103</f>
        <v>15.1.40.49152</v>
      </c>
      <c r="D175" s="74" t="str">
        <f>Originals!D103</f>
        <v>64</v>
      </c>
      <c r="E175" s="74" t="str">
        <f>Originals!E103</f>
        <v>2015</v>
      </c>
      <c r="F175" s="74" t="str">
        <f>Originals!F103</f>
        <v>Development</v>
      </c>
      <c r="G175" s="74" t="str">
        <f>Originals!G103</f>
        <v>NI</v>
      </c>
      <c r="H175" s="74" t="str">
        <f>Originals!H103</f>
        <v>Measurement Studio Common 15.1.40.49152</v>
      </c>
      <c r="I175" s="74">
        <f>Originals!I103</f>
        <v>0</v>
      </c>
    </row>
    <row r="176" spans="1:9" x14ac:dyDescent="0.25">
      <c r="A176" s="74" t="str">
        <f>Originals!A26</f>
        <v>1-Corey</v>
      </c>
      <c r="B176" s="74" t="str">
        <f>Originals!B26</f>
        <v>Measurement Studio DotNET</v>
      </c>
      <c r="C176" s="74">
        <f>Originals!C26</f>
        <v>0</v>
      </c>
      <c r="D176" s="74" t="str">
        <f>Originals!D26</f>
        <v>32</v>
      </c>
      <c r="E176" s="74" t="str">
        <f>Originals!E26</f>
        <v>2010</v>
      </c>
      <c r="F176" s="74" t="str">
        <f>Originals!F26</f>
        <v>Development</v>
      </c>
      <c r="G176" s="74" t="str">
        <f>Originals!G26</f>
        <v>NI</v>
      </c>
      <c r="H176" s="74" t="str">
        <f>Originals!H26</f>
        <v xml:space="preserve">Measurement Studio DotNET </v>
      </c>
      <c r="I176" s="74" t="str">
        <f>Originals!I26</f>
        <v>NI Developer Suite 2015 DS2 Install</v>
      </c>
    </row>
    <row r="177" spans="1:9" x14ac:dyDescent="0.25">
      <c r="A177" s="74" t="str">
        <f>Originals!A104</f>
        <v>2-Spencer</v>
      </c>
      <c r="B177" s="74" t="str">
        <f>Originals!B104</f>
        <v>Measurement Studio DotNET</v>
      </c>
      <c r="C177" s="74">
        <f>Originals!C104</f>
        <v>0</v>
      </c>
      <c r="D177" s="74" t="str">
        <f>Originals!D104</f>
        <v>32</v>
      </c>
      <c r="E177" s="74" t="str">
        <f>Originals!E104</f>
        <v>2010</v>
      </c>
      <c r="F177" s="74" t="str">
        <f>Originals!F104</f>
        <v>Development</v>
      </c>
      <c r="G177" s="74" t="str">
        <f>Originals!G104</f>
        <v>NI</v>
      </c>
      <c r="H177" s="74" t="str">
        <f>Originals!H104</f>
        <v xml:space="preserve">Measurement Studio DotNET </v>
      </c>
      <c r="I177" s="74" t="str">
        <f>Originals!I104</f>
        <v>NI Developer Suite 2015 DS2 Install</v>
      </c>
    </row>
    <row r="178" spans="1:9" x14ac:dyDescent="0.25">
      <c r="A178" s="74" t="str">
        <f>Originals!A226</f>
        <v>4-Vinnie</v>
      </c>
      <c r="B178" s="74" t="str">
        <f>Originals!B226</f>
        <v>Measurement Studio DotNET</v>
      </c>
      <c r="C178" s="74">
        <f>Originals!C226</f>
        <v>0</v>
      </c>
      <c r="D178" s="74" t="str">
        <f>Originals!D226</f>
        <v>32</v>
      </c>
      <c r="E178" s="74" t="str">
        <f>Originals!E226</f>
        <v>2005</v>
      </c>
      <c r="F178" s="74" t="str">
        <f>Originals!F226</f>
        <v>Development</v>
      </c>
      <c r="G178" s="74" t="str">
        <f>Originals!G226</f>
        <v>NI</v>
      </c>
      <c r="H178" s="74" t="str">
        <f>Originals!H226</f>
        <v xml:space="preserve">Measurement Studio DotNET </v>
      </c>
      <c r="I178" s="74">
        <f>Originals!I226</f>
        <v>0</v>
      </c>
    </row>
    <row r="179" spans="1:9" x14ac:dyDescent="0.25">
      <c r="A179" s="74" t="str">
        <f>Originals!A227</f>
        <v>4-Vinnie</v>
      </c>
      <c r="B179" s="74" t="str">
        <f>Originals!B227</f>
        <v>Measurement Studio DotNET</v>
      </c>
      <c r="C179" s="74">
        <f>Originals!C227</f>
        <v>0</v>
      </c>
      <c r="D179" s="74" t="str">
        <f>Originals!D227</f>
        <v>32</v>
      </c>
      <c r="E179" s="74" t="str">
        <f>Originals!E227</f>
        <v>2018</v>
      </c>
      <c r="F179" s="74" t="str">
        <f>Originals!F227</f>
        <v>Development</v>
      </c>
      <c r="G179" s="74" t="str">
        <f>Originals!G227</f>
        <v>NI</v>
      </c>
      <c r="H179" s="74" t="str">
        <f>Originals!H227</f>
        <v xml:space="preserve">Measurement Studio DotNET </v>
      </c>
      <c r="I179" s="74">
        <f>Originals!I227</f>
        <v>0</v>
      </c>
    </row>
    <row r="180" spans="1:9" x14ac:dyDescent="0.25">
      <c r="A180" s="74" t="str">
        <f>Originals!A228</f>
        <v>4-Vinnie</v>
      </c>
      <c r="B180" s="74" t="str">
        <f>Originals!B228</f>
        <v>Measurement Studio DotNET</v>
      </c>
      <c r="C180" s="74">
        <f>Originals!C228</f>
        <v>0</v>
      </c>
      <c r="D180" s="74" t="str">
        <f>Originals!D228</f>
        <v>32</v>
      </c>
      <c r="E180" s="74" t="str">
        <f>Originals!E228</f>
        <v>2010</v>
      </c>
      <c r="F180" s="74" t="str">
        <f>Originals!F228</f>
        <v>Development</v>
      </c>
      <c r="G180" s="74" t="str">
        <f>Originals!G228</f>
        <v>NI</v>
      </c>
      <c r="H180" s="74" t="str">
        <f>Originals!H228</f>
        <v xml:space="preserve">Measurement Studio DotNET </v>
      </c>
      <c r="I180" s="74" t="str">
        <f>Originals!I228</f>
        <v>NI Developer Suite 2015 DS2 Install</v>
      </c>
    </row>
    <row r="181" spans="1:9" x14ac:dyDescent="0.25">
      <c r="A181" s="74" t="str">
        <f>Scott!A60</f>
        <v>3-Scott</v>
      </c>
      <c r="B181" s="74" t="str">
        <f>Scott!B60</f>
        <v>Measurement Studio DotNET</v>
      </c>
      <c r="C181" s="74">
        <f>Scott!C60</f>
        <v>0</v>
      </c>
      <c r="D181" s="74">
        <f>Scott!D60</f>
        <v>32</v>
      </c>
      <c r="E181" s="74">
        <f>Scott!E60</f>
        <v>2010</v>
      </c>
      <c r="F181" s="74" t="str">
        <f>Scott!F60</f>
        <v>Development</v>
      </c>
      <c r="G181" s="74" t="str">
        <f>Scott!G60</f>
        <v>NI</v>
      </c>
      <c r="H181" s="74" t="str">
        <f>Scott!H60</f>
        <v xml:space="preserve">Measurement Studio DotNET </v>
      </c>
      <c r="I181" s="74" t="str">
        <f>Scott!I60</f>
        <v>NI Developer Suite 2015 DS2 Install</v>
      </c>
    </row>
    <row r="182" spans="1:9" x14ac:dyDescent="0.25">
      <c r="A182" s="74" t="str">
        <f>Originals!A229</f>
        <v>4-Vinnie</v>
      </c>
      <c r="B182" s="74" t="str">
        <f>Originals!B229</f>
        <v>Measurement Studio Vision</v>
      </c>
      <c r="C182" s="74">
        <f>Originals!C229</f>
        <v>0</v>
      </c>
      <c r="D182" s="74" t="str">
        <f>Originals!D229</f>
        <v>32</v>
      </c>
      <c r="E182" s="74" t="str">
        <f>Originals!E229</f>
        <v>2005</v>
      </c>
      <c r="F182" s="74" t="str">
        <f>Originals!F229</f>
        <v>Development</v>
      </c>
      <c r="G182" s="74" t="str">
        <f>Originals!G229</f>
        <v>NI</v>
      </c>
      <c r="H182" s="74" t="str">
        <f>Originals!H229</f>
        <v xml:space="preserve">Measurement Studio Vision </v>
      </c>
      <c r="I182" s="74">
        <f>Originals!I229</f>
        <v>0</v>
      </c>
    </row>
    <row r="183" spans="1:9" x14ac:dyDescent="0.25">
      <c r="A183" s="74" t="str">
        <f>Originals!A230</f>
        <v>4-Vinnie</v>
      </c>
      <c r="B183" s="74" t="str">
        <f>Originals!B230</f>
        <v>Measurement Studio Vision</v>
      </c>
      <c r="C183" s="74">
        <f>Originals!C230</f>
        <v>0</v>
      </c>
      <c r="D183" s="74" t="str">
        <f>Originals!D230</f>
        <v>32</v>
      </c>
      <c r="E183" s="74" t="str">
        <f>Originals!E230</f>
        <v>2018</v>
      </c>
      <c r="F183" s="74" t="str">
        <f>Originals!F230</f>
        <v>Development</v>
      </c>
      <c r="G183" s="74" t="str">
        <f>Originals!G230</f>
        <v>NI</v>
      </c>
      <c r="H183" s="74" t="str">
        <f>Originals!H230</f>
        <v xml:space="preserve">Measurement Studio Vision </v>
      </c>
      <c r="I183" s="74">
        <f>Originals!I230</f>
        <v>0</v>
      </c>
    </row>
    <row r="184" spans="1:9" hidden="1" x14ac:dyDescent="0.25">
      <c r="A184" s="74" t="str">
        <f>Originals!A231</f>
        <v>4-Vinnie</v>
      </c>
      <c r="B184" s="74" t="str">
        <f>Originals!B231</f>
        <v>MGI 1D Array</v>
      </c>
      <c r="C184" s="74" t="str">
        <f>Originals!C231</f>
        <v>1.0.2.3</v>
      </c>
      <c r="D184" s="74" t="str">
        <f>Originals!D231</f>
        <v>32</v>
      </c>
      <c r="E184" s="74" t="str">
        <f>Originals!E231</f>
        <v>N/A</v>
      </c>
      <c r="F184" s="74" t="str">
        <f>Originals!F231</f>
        <v>Development</v>
      </c>
      <c r="G184" s="74" t="str">
        <f>Originals!G231</f>
        <v>MGI</v>
      </c>
      <c r="H184" s="74" t="str">
        <f>Originals!H231</f>
        <v>MGI 1D Array 1.0.2.3</v>
      </c>
      <c r="I184" s="74" t="str">
        <f>Originals!I231</f>
        <v>VIPM Community</v>
      </c>
    </row>
    <row r="185" spans="1:9" hidden="1" x14ac:dyDescent="0.25">
      <c r="A185" s="74" t="str">
        <f>Scott!A61</f>
        <v>3-Scott</v>
      </c>
      <c r="B185" s="74" t="str">
        <f>Scott!B61</f>
        <v>MGI 1D Array</v>
      </c>
      <c r="C185" s="74" t="str">
        <f>Scott!C61</f>
        <v>1.0.2.3</v>
      </c>
      <c r="D185" s="74" t="str">
        <f>Scott!D61</f>
        <v>32</v>
      </c>
      <c r="E185" s="74" t="str">
        <f>Scott!E61</f>
        <v>N/A</v>
      </c>
      <c r="F185" s="74" t="str">
        <f>Scott!F61</f>
        <v>Development</v>
      </c>
      <c r="G185" s="74" t="str">
        <f>Scott!G61</f>
        <v>MGI</v>
      </c>
      <c r="H185" s="74" t="str">
        <f>Scott!H61</f>
        <v>MGI 1D Array 1.0.2.3</v>
      </c>
      <c r="I185" s="74" t="str">
        <f>Scott!I61</f>
        <v>VIPM Community</v>
      </c>
    </row>
    <row r="186" spans="1:9" hidden="1" x14ac:dyDescent="0.25">
      <c r="A186" s="74" t="str">
        <f>Originals!A232</f>
        <v>4-Vinnie</v>
      </c>
      <c r="B186" s="74" t="str">
        <f>Originals!B232</f>
        <v>MGI 2D Array</v>
      </c>
      <c r="C186" s="74" t="str">
        <f>Originals!C232</f>
        <v>1.1.1.5</v>
      </c>
      <c r="D186" s="74" t="str">
        <f>Originals!D232</f>
        <v>32</v>
      </c>
      <c r="E186" s="74" t="str">
        <f>Originals!E232</f>
        <v>N/A</v>
      </c>
      <c r="F186" s="74" t="str">
        <f>Originals!F232</f>
        <v>Development</v>
      </c>
      <c r="G186" s="74" t="str">
        <f>Originals!G232</f>
        <v>MGI</v>
      </c>
      <c r="H186" s="74" t="str">
        <f>Originals!H232</f>
        <v>MGI 2D Array 1.1.1.5</v>
      </c>
      <c r="I186" s="74" t="str">
        <f>Originals!I232</f>
        <v>VIPM Community</v>
      </c>
    </row>
    <row r="187" spans="1:9" hidden="1" x14ac:dyDescent="0.25">
      <c r="A187" s="74" t="str">
        <f>Scott!A62</f>
        <v>3-Scott</v>
      </c>
      <c r="B187" s="74" t="str">
        <f>Scott!B62</f>
        <v>MGI 2D Array</v>
      </c>
      <c r="C187" s="74" t="str">
        <f>Scott!C62</f>
        <v>1.1.1.5</v>
      </c>
      <c r="D187" s="74" t="str">
        <f>Scott!D62</f>
        <v>32</v>
      </c>
      <c r="E187" s="74" t="str">
        <f>Scott!E62</f>
        <v>N/A</v>
      </c>
      <c r="F187" s="74" t="str">
        <f>Scott!F62</f>
        <v>Development</v>
      </c>
      <c r="G187" s="74" t="str">
        <f>Scott!G62</f>
        <v>MGI</v>
      </c>
      <c r="H187" s="74" t="str">
        <f>Scott!H62</f>
        <v>MGI 2D Array 1.1.1.5</v>
      </c>
      <c r="I187" s="74" t="str">
        <f>Scott!I62</f>
        <v>VIPM Community</v>
      </c>
    </row>
    <row r="188" spans="1:9" hidden="1" x14ac:dyDescent="0.25">
      <c r="A188" s="74" t="str">
        <f>Originals!A233</f>
        <v>4-Vinnie</v>
      </c>
      <c r="B188" s="74" t="str">
        <f>Originals!B233</f>
        <v>MGI Actor Framework Message Maker</v>
      </c>
      <c r="C188" s="74" t="str">
        <f>Originals!C233</f>
        <v>1.0.1.6</v>
      </c>
      <c r="D188" s="74" t="str">
        <f>Originals!D233</f>
        <v>32</v>
      </c>
      <c r="E188" s="74" t="str">
        <f>Originals!E233</f>
        <v>N/A</v>
      </c>
      <c r="F188" s="74" t="str">
        <f>Originals!F233</f>
        <v>Development</v>
      </c>
      <c r="G188" s="74" t="str">
        <f>Originals!G233</f>
        <v>MGI</v>
      </c>
      <c r="H188" s="74" t="str">
        <f>Originals!H233</f>
        <v>MGI Actor Framework Message Maker 1.0.1.6</v>
      </c>
      <c r="I188" s="74" t="str">
        <f>Originals!I233</f>
        <v>VIPM Community</v>
      </c>
    </row>
    <row r="189" spans="1:9" hidden="1" x14ac:dyDescent="0.25">
      <c r="A189" s="74" t="str">
        <f>Scott!A63</f>
        <v>3-Scott</v>
      </c>
      <c r="B189" s="74" t="str">
        <f>Scott!B63</f>
        <v>MGI Actor Framework Message Maker</v>
      </c>
      <c r="C189" s="74" t="str">
        <f>Scott!C63</f>
        <v>1.0.1.6</v>
      </c>
      <c r="D189" s="74" t="str">
        <f>Scott!D63</f>
        <v>32</v>
      </c>
      <c r="E189" s="74" t="str">
        <f>Scott!E63</f>
        <v>N/A</v>
      </c>
      <c r="F189" s="74" t="str">
        <f>Scott!F63</f>
        <v>Development</v>
      </c>
      <c r="G189" s="74" t="str">
        <f>Scott!G63</f>
        <v>MGI</v>
      </c>
      <c r="H189" s="74" t="str">
        <f>Scott!H63</f>
        <v>MGI Actor Framework Message Maker 1.0.1.6</v>
      </c>
      <c r="I189" s="74" t="str">
        <f>Scott!I63</f>
        <v>VIPM Community</v>
      </c>
    </row>
    <row r="190" spans="1:9" hidden="1" x14ac:dyDescent="0.25">
      <c r="A190" s="74" t="str">
        <f>Originals!A234</f>
        <v>4-Vinnie</v>
      </c>
      <c r="B190" s="74" t="str">
        <f>Originals!B234</f>
        <v>MGI Application Control</v>
      </c>
      <c r="C190" s="74" t="str">
        <f>Originals!C234</f>
        <v>1.1.1.10</v>
      </c>
      <c r="D190" s="74" t="str">
        <f>Originals!D234</f>
        <v>32</v>
      </c>
      <c r="E190" s="74" t="str">
        <f>Originals!E234</f>
        <v>N/A</v>
      </c>
      <c r="F190" s="74" t="str">
        <f>Originals!F234</f>
        <v>Development</v>
      </c>
      <c r="G190" s="74" t="str">
        <f>Originals!G234</f>
        <v>MGI</v>
      </c>
      <c r="H190" s="74" t="str">
        <f>Originals!H234</f>
        <v>MGI Application Control 1.1.1.10</v>
      </c>
      <c r="I190" s="74" t="str">
        <f>Originals!I234</f>
        <v>VIPM Community</v>
      </c>
    </row>
    <row r="191" spans="1:9" hidden="1" x14ac:dyDescent="0.25">
      <c r="A191" s="74" t="str">
        <f>Scott!A64</f>
        <v>3-Scott</v>
      </c>
      <c r="B191" s="74" t="str">
        <f>Scott!B64</f>
        <v>MGI Application Control</v>
      </c>
      <c r="C191" s="74" t="str">
        <f>Scott!C64</f>
        <v>1.1.1.10</v>
      </c>
      <c r="D191" s="74" t="str">
        <f>Scott!D64</f>
        <v>32</v>
      </c>
      <c r="E191" s="74" t="str">
        <f>Scott!E64</f>
        <v>N/A</v>
      </c>
      <c r="F191" s="74" t="str">
        <f>Scott!F64</f>
        <v>Development</v>
      </c>
      <c r="G191" s="74" t="str">
        <f>Scott!G64</f>
        <v>MGI</v>
      </c>
      <c r="H191" s="74" t="str">
        <f>Scott!H64</f>
        <v>MGI Application Control 1.1.1.10</v>
      </c>
      <c r="I191" s="74" t="str">
        <f>Scott!I64</f>
        <v>VIPM Community</v>
      </c>
    </row>
    <row r="192" spans="1:9" hidden="1" x14ac:dyDescent="0.25">
      <c r="A192" s="74" t="str">
        <f>Originals!A235</f>
        <v>4-Vinnie</v>
      </c>
      <c r="B192" s="74" t="str">
        <f>Originals!B235</f>
        <v>MGI Bezier</v>
      </c>
      <c r="C192" s="74" t="str">
        <f>Originals!C235</f>
        <v>1.1.1.2</v>
      </c>
      <c r="D192" s="74" t="str">
        <f>Originals!D235</f>
        <v>32</v>
      </c>
      <c r="E192" s="74" t="str">
        <f>Originals!E235</f>
        <v>N/A</v>
      </c>
      <c r="F192" s="74" t="str">
        <f>Originals!F235</f>
        <v>Development</v>
      </c>
      <c r="G192" s="74" t="str">
        <f>Originals!G235</f>
        <v>MGI</v>
      </c>
      <c r="H192" s="74" t="str">
        <f>Originals!H235</f>
        <v>MGI Bezier 1.1.1.2</v>
      </c>
      <c r="I192" s="74" t="str">
        <f>Originals!I235</f>
        <v>VIPM Community</v>
      </c>
    </row>
    <row r="193" spans="1:9" hidden="1" x14ac:dyDescent="0.25">
      <c r="A193" s="74" t="str">
        <f>Scott!A65</f>
        <v>3-Scott</v>
      </c>
      <c r="B193" s="74" t="str">
        <f>Scott!B65</f>
        <v>MGI Bezier</v>
      </c>
      <c r="C193" s="74" t="str">
        <f>Scott!C65</f>
        <v>1.1.1.2</v>
      </c>
      <c r="D193" s="74" t="str">
        <f>Scott!D65</f>
        <v>32</v>
      </c>
      <c r="E193" s="74" t="str">
        <f>Scott!E65</f>
        <v>N/A</v>
      </c>
      <c r="F193" s="74" t="str">
        <f>Scott!F65</f>
        <v>Development</v>
      </c>
      <c r="G193" s="74" t="str">
        <f>Scott!G65</f>
        <v>MGI</v>
      </c>
      <c r="H193" s="74" t="str">
        <f>Scott!H65</f>
        <v>MGI Bezier 1.1.1.2</v>
      </c>
      <c r="I193" s="74" t="str">
        <f>Scott!I65</f>
        <v>VIPM Community</v>
      </c>
    </row>
    <row r="194" spans="1:9" hidden="1" x14ac:dyDescent="0.25">
      <c r="A194" s="74" t="str">
        <f>Originals!A236</f>
        <v>4-Vinnie</v>
      </c>
      <c r="B194" s="74" t="str">
        <f>Originals!B236</f>
        <v>MGI Boolean</v>
      </c>
      <c r="C194" s="74" t="str">
        <f>Originals!C236</f>
        <v>1.0.1.3</v>
      </c>
      <c r="D194" s="74" t="str">
        <f>Originals!D236</f>
        <v>32</v>
      </c>
      <c r="E194" s="74" t="str">
        <f>Originals!E236</f>
        <v>N/A</v>
      </c>
      <c r="F194" s="74" t="str">
        <f>Originals!F236</f>
        <v>Development</v>
      </c>
      <c r="G194" s="74" t="str">
        <f>Originals!G236</f>
        <v>MGI</v>
      </c>
      <c r="H194" s="74" t="str">
        <f>Originals!H236</f>
        <v>MGI Boolean 1.0.1.3</v>
      </c>
      <c r="I194" s="74" t="str">
        <f>Originals!I236</f>
        <v>VIPM Community</v>
      </c>
    </row>
    <row r="195" spans="1:9" hidden="1" x14ac:dyDescent="0.25">
      <c r="A195" s="74" t="str">
        <f>Scott!A66</f>
        <v>3-Scott</v>
      </c>
      <c r="B195" s="74" t="str">
        <f>Scott!B66</f>
        <v>MGI Boolean</v>
      </c>
      <c r="C195" s="74" t="str">
        <f>Scott!C66</f>
        <v>1.0.1.3</v>
      </c>
      <c r="D195" s="74" t="str">
        <f>Scott!D66</f>
        <v>32</v>
      </c>
      <c r="E195" s="74" t="str">
        <f>Scott!E66</f>
        <v>N/A</v>
      </c>
      <c r="F195" s="74" t="str">
        <f>Scott!F66</f>
        <v>Development</v>
      </c>
      <c r="G195" s="74" t="str">
        <f>Scott!G66</f>
        <v>MGI</v>
      </c>
      <c r="H195" s="74" t="str">
        <f>Scott!H66</f>
        <v>MGI Boolean 1.0.1.3</v>
      </c>
      <c r="I195" s="74" t="str">
        <f>Scott!I66</f>
        <v>VIPM Community</v>
      </c>
    </row>
    <row r="196" spans="1:9" hidden="1" x14ac:dyDescent="0.25">
      <c r="A196" s="74" t="str">
        <f>Originals!A237</f>
        <v>4-Vinnie</v>
      </c>
      <c r="B196" s="74" t="str">
        <f>Originals!B237</f>
        <v>MGI Class Method Browser</v>
      </c>
      <c r="C196" s="74" t="str">
        <f>Originals!C237</f>
        <v>1.0.0.20</v>
      </c>
      <c r="D196" s="74" t="str">
        <f>Originals!D237</f>
        <v>32</v>
      </c>
      <c r="E196" s="74" t="str">
        <f>Originals!E237</f>
        <v>N/A</v>
      </c>
      <c r="F196" s="74" t="str">
        <f>Originals!F237</f>
        <v>Development</v>
      </c>
      <c r="G196" s="74" t="str">
        <f>Originals!G237</f>
        <v>MGI</v>
      </c>
      <c r="H196" s="74" t="str">
        <f>Originals!H237</f>
        <v>MGI Class Method Browser 1.0.0.20</v>
      </c>
      <c r="I196" s="74" t="str">
        <f>Originals!I237</f>
        <v>VIPM Community</v>
      </c>
    </row>
    <row r="197" spans="1:9" hidden="1" x14ac:dyDescent="0.25">
      <c r="A197" s="74" t="str">
        <f>Scott!A67</f>
        <v>3-Scott</v>
      </c>
      <c r="B197" s="74" t="str">
        <f>Scott!B67</f>
        <v>MGI Class Method Browser</v>
      </c>
      <c r="C197" s="74" t="str">
        <f>Scott!C67</f>
        <v>1.0.0.20</v>
      </c>
      <c r="D197" s="74" t="str">
        <f>Scott!D67</f>
        <v>32</v>
      </c>
      <c r="E197" s="74" t="str">
        <f>Scott!E67</f>
        <v>N/A</v>
      </c>
      <c r="F197" s="74" t="str">
        <f>Scott!F67</f>
        <v>Development</v>
      </c>
      <c r="G197" s="74" t="str">
        <f>Scott!G67</f>
        <v>MGI</v>
      </c>
      <c r="H197" s="74" t="str">
        <f>Scott!H67</f>
        <v>MGI Class Method Browser 1.0.0.20</v>
      </c>
      <c r="I197" s="74" t="str">
        <f>Scott!I67</f>
        <v>VIPM Community</v>
      </c>
    </row>
    <row r="198" spans="1:9" hidden="1" x14ac:dyDescent="0.25">
      <c r="A198" s="74" t="str">
        <f>Originals!A238</f>
        <v>4-Vinnie</v>
      </c>
      <c r="B198" s="74" t="str">
        <f>Originals!B238</f>
        <v>MGI Cluster</v>
      </c>
      <c r="C198" s="74" t="str">
        <f>Originals!C238</f>
        <v>1.1.0.1</v>
      </c>
      <c r="D198" s="74" t="str">
        <f>Originals!D238</f>
        <v>32</v>
      </c>
      <c r="E198" s="74" t="str">
        <f>Originals!E238</f>
        <v>N/A</v>
      </c>
      <c r="F198" s="74" t="str">
        <f>Originals!F238</f>
        <v>Development</v>
      </c>
      <c r="G198" s="74" t="str">
        <f>Originals!G238</f>
        <v>MGI</v>
      </c>
      <c r="H198" s="74" t="str">
        <f>Originals!H238</f>
        <v>MGI Cluster 1.1.0.1</v>
      </c>
      <c r="I198" s="74" t="str">
        <f>Originals!I238</f>
        <v>VIPM Community</v>
      </c>
    </row>
    <row r="199" spans="1:9" hidden="1" x14ac:dyDescent="0.25">
      <c r="A199" s="74" t="str">
        <f>Scott!A68</f>
        <v>3-Scott</v>
      </c>
      <c r="B199" s="74" t="str">
        <f>Scott!B68</f>
        <v>MGI Cluster</v>
      </c>
      <c r="C199" s="74" t="str">
        <f>Scott!C68</f>
        <v>1.1.0.1</v>
      </c>
      <c r="D199" s="74" t="str">
        <f>Scott!D68</f>
        <v>32</v>
      </c>
      <c r="E199" s="74" t="str">
        <f>Scott!E68</f>
        <v>N/A</v>
      </c>
      <c r="F199" s="74" t="str">
        <f>Scott!F68</f>
        <v>Development</v>
      </c>
      <c r="G199" s="74" t="str">
        <f>Scott!G68</f>
        <v>MGI</v>
      </c>
      <c r="H199" s="74" t="str">
        <f>Scott!H68</f>
        <v>MGI Cluster 1.1.0.1</v>
      </c>
      <c r="I199" s="74" t="str">
        <f>Scott!I68</f>
        <v>VIPM Community</v>
      </c>
    </row>
    <row r="200" spans="1:9" hidden="1" x14ac:dyDescent="0.25">
      <c r="A200" s="74" t="str">
        <f>Originals!A239</f>
        <v>4-Vinnie</v>
      </c>
      <c r="B200" s="74" t="str">
        <f>Originals!B239</f>
        <v>MGI Coordinates</v>
      </c>
      <c r="C200" s="74" t="str">
        <f>Originals!C239</f>
        <v>1.1.1.2</v>
      </c>
      <c r="D200" s="74" t="str">
        <f>Originals!D239</f>
        <v>32</v>
      </c>
      <c r="E200" s="74" t="str">
        <f>Originals!E239</f>
        <v>N/A</v>
      </c>
      <c r="F200" s="74" t="str">
        <f>Originals!F239</f>
        <v>Development</v>
      </c>
      <c r="G200" s="74" t="str">
        <f>Originals!G239</f>
        <v>MGI</v>
      </c>
      <c r="H200" s="74" t="str">
        <f>Originals!H239</f>
        <v>MGI Coordinates 1.1.1.2</v>
      </c>
      <c r="I200" s="74" t="str">
        <f>Originals!I239</f>
        <v>VIPM Community</v>
      </c>
    </row>
    <row r="201" spans="1:9" hidden="1" x14ac:dyDescent="0.25">
      <c r="A201" s="74" t="str">
        <f>Scott!A69</f>
        <v>3-Scott</v>
      </c>
      <c r="B201" s="74" t="str">
        <f>Scott!B69</f>
        <v>MGI Coordinates</v>
      </c>
      <c r="C201" s="74" t="str">
        <f>Scott!C69</f>
        <v>1.1.1.2</v>
      </c>
      <c r="D201" s="74" t="str">
        <f>Scott!D69</f>
        <v>32</v>
      </c>
      <c r="E201" s="74" t="str">
        <f>Scott!E69</f>
        <v>N/A</v>
      </c>
      <c r="F201" s="74" t="str">
        <f>Scott!F69</f>
        <v>Development</v>
      </c>
      <c r="G201" s="74" t="str">
        <f>Scott!G69</f>
        <v>MGI</v>
      </c>
      <c r="H201" s="74" t="str">
        <f>Scott!H69</f>
        <v>MGI Coordinates 1.1.1.2</v>
      </c>
      <c r="I201" s="74" t="str">
        <f>Scott!I69</f>
        <v>VIPM Community</v>
      </c>
    </row>
    <row r="202" spans="1:9" hidden="1" x14ac:dyDescent="0.25">
      <c r="A202" s="74" t="str">
        <f>Originals!A240</f>
        <v>4-Vinnie</v>
      </c>
      <c r="B202" s="74" t="str">
        <f>Originals!B240</f>
        <v>MGI Error Handling</v>
      </c>
      <c r="C202" s="74" t="str">
        <f>Originals!C240</f>
        <v>1.1.1.3</v>
      </c>
      <c r="D202" s="74" t="str">
        <f>Originals!D240</f>
        <v>32</v>
      </c>
      <c r="E202" s="74" t="str">
        <f>Originals!E240</f>
        <v>N/A</v>
      </c>
      <c r="F202" s="74" t="str">
        <f>Originals!F240</f>
        <v>Development</v>
      </c>
      <c r="G202" s="74" t="str">
        <f>Originals!G240</f>
        <v>MGI</v>
      </c>
      <c r="H202" s="74" t="str">
        <f>Originals!H240</f>
        <v>MGI Error Handling 1.1.1.3</v>
      </c>
      <c r="I202" s="74" t="str">
        <f>Originals!I240</f>
        <v>VIPM Community</v>
      </c>
    </row>
    <row r="203" spans="1:9" hidden="1" x14ac:dyDescent="0.25">
      <c r="A203" s="74" t="str">
        <f>Scott!A70</f>
        <v>3-Scott</v>
      </c>
      <c r="B203" s="74" t="str">
        <f>Scott!B70</f>
        <v>MGI Error Handling</v>
      </c>
      <c r="C203" s="74" t="str">
        <f>Scott!C70</f>
        <v>1.1.1.3</v>
      </c>
      <c r="D203" s="74" t="str">
        <f>Scott!D70</f>
        <v>32</v>
      </c>
      <c r="E203" s="74" t="str">
        <f>Scott!E70</f>
        <v>N/A</v>
      </c>
      <c r="F203" s="74" t="str">
        <f>Scott!F70</f>
        <v>Development</v>
      </c>
      <c r="G203" s="74" t="str">
        <f>Scott!G70</f>
        <v>MGI</v>
      </c>
      <c r="H203" s="74" t="str">
        <f>Scott!H70</f>
        <v>MGI Error Handling 1.1.1.3</v>
      </c>
      <c r="I203" s="74" t="str">
        <f>Scott!I70</f>
        <v>VIPM Community</v>
      </c>
    </row>
    <row r="204" spans="1:9" hidden="1" x14ac:dyDescent="0.25">
      <c r="A204" s="74" t="str">
        <f>Originals!A241</f>
        <v>4-Vinnie</v>
      </c>
      <c r="B204" s="74" t="str">
        <f>Originals!B241</f>
        <v>MGI Error Reporter</v>
      </c>
      <c r="C204" s="74" t="str">
        <f>Originals!C241</f>
        <v>1.0.2.5</v>
      </c>
      <c r="D204" s="74" t="str">
        <f>Originals!D241</f>
        <v>32</v>
      </c>
      <c r="E204" s="74" t="str">
        <f>Originals!E241</f>
        <v>N/A</v>
      </c>
      <c r="F204" s="74" t="str">
        <f>Originals!F241</f>
        <v>Development</v>
      </c>
      <c r="G204" s="74" t="str">
        <f>Originals!G241</f>
        <v>MGI</v>
      </c>
      <c r="H204" s="74" t="str">
        <f>Originals!H241</f>
        <v>MGI Error Reporter 1.0.2.5</v>
      </c>
      <c r="I204" s="74" t="str">
        <f>Originals!I241</f>
        <v>VIPM Community</v>
      </c>
    </row>
    <row r="205" spans="1:9" hidden="1" x14ac:dyDescent="0.25">
      <c r="A205" s="74" t="str">
        <f>Scott!A71</f>
        <v>3-Scott</v>
      </c>
      <c r="B205" s="74" t="str">
        <f>Scott!B71</f>
        <v>MGI Error Reporter</v>
      </c>
      <c r="C205" s="74" t="str">
        <f>Scott!C71</f>
        <v>1.0.2.5</v>
      </c>
      <c r="D205" s="74" t="str">
        <f>Scott!D71</f>
        <v>32</v>
      </c>
      <c r="E205" s="74" t="str">
        <f>Scott!E71</f>
        <v>N/A</v>
      </c>
      <c r="F205" s="74" t="str">
        <f>Scott!F71</f>
        <v>Development</v>
      </c>
      <c r="G205" s="74" t="str">
        <f>Scott!G71</f>
        <v>MGI</v>
      </c>
      <c r="H205" s="74" t="str">
        <f>Scott!H71</f>
        <v>MGI Error Reporter 1.0.2.5</v>
      </c>
      <c r="I205" s="74" t="str">
        <f>Scott!I71</f>
        <v>VIPM Community</v>
      </c>
    </row>
    <row r="206" spans="1:9" hidden="1" x14ac:dyDescent="0.25">
      <c r="A206" s="74" t="str">
        <f>Originals!A242</f>
        <v>4-Vinnie</v>
      </c>
      <c r="B206" s="74" t="str">
        <f>Originals!B242</f>
        <v>MGI File</v>
      </c>
      <c r="C206" s="74" t="str">
        <f>Originals!C242</f>
        <v>1.1.0.4</v>
      </c>
      <c r="D206" s="74" t="str">
        <f>Originals!D242</f>
        <v>32</v>
      </c>
      <c r="E206" s="74" t="str">
        <f>Originals!E242</f>
        <v>N/A</v>
      </c>
      <c r="F206" s="74" t="str">
        <f>Originals!F242</f>
        <v>Development</v>
      </c>
      <c r="G206" s="74" t="str">
        <f>Originals!G242</f>
        <v>MGI</v>
      </c>
      <c r="H206" s="74" t="str">
        <f>Originals!H242</f>
        <v>MGI File 1.1.0.4</v>
      </c>
      <c r="I206" s="74" t="str">
        <f>Originals!I242</f>
        <v>VIPM Community</v>
      </c>
    </row>
    <row r="207" spans="1:9" hidden="1" x14ac:dyDescent="0.25">
      <c r="A207" s="74" t="str">
        <f>Scott!A72</f>
        <v>3-Scott</v>
      </c>
      <c r="B207" s="74" t="str">
        <f>Scott!B72</f>
        <v>MGI File</v>
      </c>
      <c r="C207" s="74" t="str">
        <f>Scott!C72</f>
        <v>1.1.0.4</v>
      </c>
      <c r="D207" s="74" t="str">
        <f>Scott!D72</f>
        <v>32</v>
      </c>
      <c r="E207" s="74" t="str">
        <f>Scott!E72</f>
        <v>N/A</v>
      </c>
      <c r="F207" s="74" t="str">
        <f>Scott!F72</f>
        <v>Development</v>
      </c>
      <c r="G207" s="74" t="str">
        <f>Scott!G72</f>
        <v>MGI</v>
      </c>
      <c r="H207" s="74" t="str">
        <f>Scott!H72</f>
        <v>MGI File 1.1.0.4</v>
      </c>
      <c r="I207" s="74" t="str">
        <f>Scott!I72</f>
        <v>VIPM Community</v>
      </c>
    </row>
    <row r="208" spans="1:9" hidden="1" x14ac:dyDescent="0.25">
      <c r="A208" s="74" t="str">
        <f>Originals!A243</f>
        <v>4-Vinnie</v>
      </c>
      <c r="B208" s="74" t="str">
        <f>Originals!B243</f>
        <v>MGI Graph</v>
      </c>
      <c r="C208" s="74" t="str">
        <f>Originals!C243</f>
        <v>1.0.2.6</v>
      </c>
      <c r="D208" s="74" t="str">
        <f>Originals!D243</f>
        <v>32</v>
      </c>
      <c r="E208" s="74" t="str">
        <f>Originals!E243</f>
        <v>N/A</v>
      </c>
      <c r="F208" s="74" t="str">
        <f>Originals!F243</f>
        <v>Development</v>
      </c>
      <c r="G208" s="74" t="str">
        <f>Originals!G243</f>
        <v>MGI</v>
      </c>
      <c r="H208" s="74" t="str">
        <f>Originals!H243</f>
        <v>MGI Graph 1.0.2.6</v>
      </c>
      <c r="I208" s="74" t="str">
        <f>Originals!I243</f>
        <v>VIPM Community</v>
      </c>
    </row>
    <row r="209" spans="1:9" hidden="1" x14ac:dyDescent="0.25">
      <c r="A209" s="74" t="str">
        <f>Scott!A73</f>
        <v>3-Scott</v>
      </c>
      <c r="B209" s="74" t="str">
        <f>Scott!B73</f>
        <v>MGI Graph</v>
      </c>
      <c r="C209" s="74" t="str">
        <f>Scott!C73</f>
        <v>1.0.2.6</v>
      </c>
      <c r="D209" s="74" t="str">
        <f>Scott!D73</f>
        <v>32</v>
      </c>
      <c r="E209" s="74" t="str">
        <f>Scott!E73</f>
        <v>N/A</v>
      </c>
      <c r="F209" s="74" t="str">
        <f>Scott!F73</f>
        <v>Development</v>
      </c>
      <c r="G209" s="74" t="str">
        <f>Scott!G73</f>
        <v>MGI</v>
      </c>
      <c r="H209" s="74" t="str">
        <f>Scott!H73</f>
        <v>MGI Graph 1.0.2.6</v>
      </c>
      <c r="I209" s="74" t="str">
        <f>Scott!I73</f>
        <v>VIPM Community</v>
      </c>
    </row>
    <row r="210" spans="1:9" hidden="1" x14ac:dyDescent="0.25">
      <c r="A210" s="74" t="str">
        <f>Originals!A244</f>
        <v>4-Vinnie</v>
      </c>
      <c r="B210" s="74" t="str">
        <f>Originals!B244</f>
        <v>MGI Library</v>
      </c>
      <c r="C210" s="74" t="str">
        <f>Originals!C244</f>
        <v>1.2.0.4</v>
      </c>
      <c r="D210" s="74" t="str">
        <f>Originals!D244</f>
        <v>32</v>
      </c>
      <c r="E210" s="74" t="str">
        <f>Originals!E244</f>
        <v>N/A</v>
      </c>
      <c r="F210" s="74" t="str">
        <f>Originals!F244</f>
        <v>Development</v>
      </c>
      <c r="G210" s="74" t="str">
        <f>Originals!G244</f>
        <v>MGI</v>
      </c>
      <c r="H210" s="74" t="str">
        <f>Originals!H244</f>
        <v>MGI Library 1.2.0.4</v>
      </c>
      <c r="I210" s="74" t="str">
        <f>Originals!I244</f>
        <v>VIPM Community</v>
      </c>
    </row>
    <row r="211" spans="1:9" hidden="1" x14ac:dyDescent="0.25">
      <c r="A211" s="74" t="str">
        <f>Scott!A74</f>
        <v>3-Scott</v>
      </c>
      <c r="B211" s="74" t="str">
        <f>Scott!B74</f>
        <v>MGI Library</v>
      </c>
      <c r="C211" s="74" t="str">
        <f>Scott!C74</f>
        <v>1.2.0.4</v>
      </c>
      <c r="D211" s="74" t="str">
        <f>Scott!D74</f>
        <v>32</v>
      </c>
      <c r="E211" s="74" t="str">
        <f>Scott!E74</f>
        <v>N/A</v>
      </c>
      <c r="F211" s="74" t="str">
        <f>Scott!F74</f>
        <v>Development</v>
      </c>
      <c r="G211" s="74" t="str">
        <f>Scott!G74</f>
        <v>MGI</v>
      </c>
      <c r="H211" s="74" t="str">
        <f>Scott!H74</f>
        <v>MGI Library 1.2.0.4</v>
      </c>
      <c r="I211" s="74" t="str">
        <f>Scott!I74</f>
        <v>VIPM Community</v>
      </c>
    </row>
    <row r="212" spans="1:9" hidden="1" x14ac:dyDescent="0.25">
      <c r="A212" s="74" t="str">
        <f>Originals!A245</f>
        <v>4-Vinnie</v>
      </c>
      <c r="B212" s="74" t="str">
        <f>Originals!B245</f>
        <v>MGI Matrix &amp; Vector</v>
      </c>
      <c r="C212" s="74" t="str">
        <f>Originals!C245</f>
        <v>1.1.0.1</v>
      </c>
      <c r="D212" s="74" t="str">
        <f>Originals!D245</f>
        <v>32</v>
      </c>
      <c r="E212" s="74" t="str">
        <f>Originals!E245</f>
        <v>N/A</v>
      </c>
      <c r="F212" s="74" t="str">
        <f>Originals!F245</f>
        <v>Development</v>
      </c>
      <c r="G212" s="74" t="str">
        <f>Originals!G245</f>
        <v>MGI</v>
      </c>
      <c r="H212" s="74" t="str">
        <f>Originals!H245</f>
        <v>MGI Matrix &amp; Vector 1.1.0.1</v>
      </c>
      <c r="I212" s="74" t="str">
        <f>Originals!I245</f>
        <v>VIPM Community</v>
      </c>
    </row>
    <row r="213" spans="1:9" hidden="1" x14ac:dyDescent="0.25">
      <c r="A213" s="74" t="str">
        <f>Scott!A75</f>
        <v>3-Scott</v>
      </c>
      <c r="B213" s="74" t="str">
        <f>Scott!B75</f>
        <v>MGI Matrix &amp; Vector</v>
      </c>
      <c r="C213" s="74" t="str">
        <f>Scott!C75</f>
        <v>1.1.0.1</v>
      </c>
      <c r="D213" s="74" t="str">
        <f>Scott!D75</f>
        <v>32</v>
      </c>
      <c r="E213" s="74" t="str">
        <f>Scott!E75</f>
        <v>N/A</v>
      </c>
      <c r="F213" s="74" t="str">
        <f>Scott!F75</f>
        <v>Development</v>
      </c>
      <c r="G213" s="74" t="str">
        <f>Scott!G75</f>
        <v>MGI</v>
      </c>
      <c r="H213" s="74" t="str">
        <f>Scott!H75</f>
        <v>MGI Matrix &amp; Vector 1.1.0.1</v>
      </c>
      <c r="I213" s="74" t="str">
        <f>Scott!I75</f>
        <v>VIPM Community</v>
      </c>
    </row>
    <row r="214" spans="1:9" hidden="1" x14ac:dyDescent="0.25">
      <c r="A214" s="74" t="str">
        <f>Originals!A246</f>
        <v>4-Vinnie</v>
      </c>
      <c r="B214" s="74" t="str">
        <f>Originals!B246</f>
        <v>MGI Menu Building</v>
      </c>
      <c r="C214" s="74" t="str">
        <f>Originals!C246</f>
        <v>1.0.1.4</v>
      </c>
      <c r="D214" s="74" t="str">
        <f>Originals!D246</f>
        <v>32</v>
      </c>
      <c r="E214" s="74" t="str">
        <f>Originals!E246</f>
        <v>N/A</v>
      </c>
      <c r="F214" s="74" t="str">
        <f>Originals!F246</f>
        <v>Development</v>
      </c>
      <c r="G214" s="74" t="str">
        <f>Originals!G246</f>
        <v>MGI</v>
      </c>
      <c r="H214" s="74" t="str">
        <f>Originals!H246</f>
        <v>MGI Menu Building 1.0.1.4</v>
      </c>
      <c r="I214" s="74" t="str">
        <f>Originals!I246</f>
        <v>VIPM Community</v>
      </c>
    </row>
    <row r="215" spans="1:9" hidden="1" x14ac:dyDescent="0.25">
      <c r="A215" s="74" t="str">
        <f>Scott!A76</f>
        <v>3-Scott</v>
      </c>
      <c r="B215" s="74" t="str">
        <f>Scott!B76</f>
        <v>MGI Menu Building</v>
      </c>
      <c r="C215" s="74" t="str">
        <f>Scott!C76</f>
        <v>1.0.1.4</v>
      </c>
      <c r="D215" s="74" t="str">
        <f>Scott!D76</f>
        <v>32</v>
      </c>
      <c r="E215" s="74" t="str">
        <f>Scott!E76</f>
        <v>N/A</v>
      </c>
      <c r="F215" s="74" t="str">
        <f>Scott!F76</f>
        <v>Development</v>
      </c>
      <c r="G215" s="74" t="str">
        <f>Scott!G76</f>
        <v>MGI</v>
      </c>
      <c r="H215" s="74" t="str">
        <f>Scott!H76</f>
        <v>MGI Menu Building 1.0.1.4</v>
      </c>
      <c r="I215" s="74" t="str">
        <f>Scott!I76</f>
        <v>VIPM Community</v>
      </c>
    </row>
    <row r="216" spans="1:9" hidden="1" x14ac:dyDescent="0.25">
      <c r="A216" s="74" t="str">
        <f>Originals!A247</f>
        <v>4-Vinnie</v>
      </c>
      <c r="B216" s="74" t="str">
        <f>Originals!B247</f>
        <v>MGI Monitored Actor</v>
      </c>
      <c r="C216" s="74" t="str">
        <f>Originals!C247</f>
        <v>2.0.0.23</v>
      </c>
      <c r="D216" s="74" t="str">
        <f>Originals!D247</f>
        <v>32</v>
      </c>
      <c r="E216" s="74" t="str">
        <f>Originals!E247</f>
        <v>N/A</v>
      </c>
      <c r="F216" s="74" t="str">
        <f>Originals!F247</f>
        <v>Development</v>
      </c>
      <c r="G216" s="74" t="str">
        <f>Originals!G247</f>
        <v>MGI</v>
      </c>
      <c r="H216" s="74" t="str">
        <f>Originals!H247</f>
        <v>MGI Monitored Actor 2.0.0.23</v>
      </c>
      <c r="I216" s="74" t="str">
        <f>Originals!I247</f>
        <v>VIPM Community</v>
      </c>
    </row>
    <row r="217" spans="1:9" hidden="1" x14ac:dyDescent="0.25">
      <c r="A217" s="74" t="str">
        <f>Scott!A77</f>
        <v>3-Scott</v>
      </c>
      <c r="B217" s="74" t="str">
        <f>Scott!B77</f>
        <v>MGI Monitored Actor</v>
      </c>
      <c r="C217" s="74" t="str">
        <f>Scott!C77</f>
        <v>2.0.0.23</v>
      </c>
      <c r="D217" s="74" t="str">
        <f>Scott!D77</f>
        <v>32</v>
      </c>
      <c r="E217" s="74" t="str">
        <f>Scott!E77</f>
        <v>N/A</v>
      </c>
      <c r="F217" s="74" t="str">
        <f>Scott!F77</f>
        <v>Development</v>
      </c>
      <c r="G217" s="74" t="str">
        <f>Scott!G77</f>
        <v>MGI</v>
      </c>
      <c r="H217" s="74" t="str">
        <f>Scott!H77</f>
        <v>MGI Monitored Actor 2.0.0.23</v>
      </c>
      <c r="I217" s="74" t="str">
        <f>Scott!I77</f>
        <v>VIPM Community</v>
      </c>
    </row>
    <row r="218" spans="1:9" hidden="1" x14ac:dyDescent="0.25">
      <c r="A218" s="74" t="str">
        <f>Originals!A248</f>
        <v>4-Vinnie</v>
      </c>
      <c r="B218" s="74" t="str">
        <f>Originals!B248</f>
        <v>MGI Numeric</v>
      </c>
      <c r="C218" s="74" t="str">
        <f>Originals!C248</f>
        <v>1.1.0.2</v>
      </c>
      <c r="D218" s="74" t="str">
        <f>Originals!D248</f>
        <v>32</v>
      </c>
      <c r="E218" s="74" t="str">
        <f>Originals!E248</f>
        <v>N/A</v>
      </c>
      <c r="F218" s="74" t="str">
        <f>Originals!F248</f>
        <v>Development</v>
      </c>
      <c r="G218" s="74" t="str">
        <f>Originals!G248</f>
        <v>MGI</v>
      </c>
      <c r="H218" s="74" t="str">
        <f>Originals!H248</f>
        <v>MGI Numeric 1.1.0.2</v>
      </c>
      <c r="I218" s="74" t="str">
        <f>Originals!I248</f>
        <v>VIPM Community</v>
      </c>
    </row>
    <row r="219" spans="1:9" hidden="1" x14ac:dyDescent="0.25">
      <c r="A219" s="74" t="str">
        <f>Scott!A78</f>
        <v>3-Scott</v>
      </c>
      <c r="B219" s="74" t="str">
        <f>Scott!B78</f>
        <v>MGI Numeric</v>
      </c>
      <c r="C219" s="74" t="str">
        <f>Scott!C78</f>
        <v>1.1.0.2</v>
      </c>
      <c r="D219" s="74" t="str">
        <f>Scott!D78</f>
        <v>32</v>
      </c>
      <c r="E219" s="74" t="str">
        <f>Scott!E78</f>
        <v>N/A</v>
      </c>
      <c r="F219" s="74" t="str">
        <f>Scott!F78</f>
        <v>Development</v>
      </c>
      <c r="G219" s="74" t="str">
        <f>Scott!G78</f>
        <v>MGI</v>
      </c>
      <c r="H219" s="74" t="str">
        <f>Scott!H78</f>
        <v>MGI Numeric 1.1.0.2</v>
      </c>
      <c r="I219" s="74" t="str">
        <f>Scott!I78</f>
        <v>VIPM Community</v>
      </c>
    </row>
    <row r="220" spans="1:9" hidden="1" x14ac:dyDescent="0.25">
      <c r="A220" s="74" t="str">
        <f>Originals!A250</f>
        <v>4-Vinnie</v>
      </c>
      <c r="B220" s="74" t="str">
        <f>Originals!B250</f>
        <v>MGI Panel Manager - DQMH Panels</v>
      </c>
      <c r="C220" s="74" t="str">
        <f>Originals!C250</f>
        <v>1.0.1.6</v>
      </c>
      <c r="D220" s="74" t="str">
        <f>Originals!D250</f>
        <v>32</v>
      </c>
      <c r="E220" s="74" t="str">
        <f>Originals!E250</f>
        <v>N/A</v>
      </c>
      <c r="F220" s="74" t="str">
        <f>Originals!F250</f>
        <v>Development</v>
      </c>
      <c r="G220" s="74" t="str">
        <f>Originals!G250</f>
        <v>MGI</v>
      </c>
      <c r="H220" s="74" t="str">
        <f>Originals!H250</f>
        <v>MGI Panel Manager - DQMH Panels 1.0.1.6</v>
      </c>
      <c r="I220" s="74" t="str">
        <f>Originals!I250</f>
        <v>VIPM Community</v>
      </c>
    </row>
    <row r="221" spans="1:9" hidden="1" x14ac:dyDescent="0.25">
      <c r="A221" s="74" t="str">
        <f>Scott!A80</f>
        <v>3-Scott</v>
      </c>
      <c r="B221" s="74" t="str">
        <f>Scott!B80</f>
        <v>MGI Panel Manager - DQMH Panels</v>
      </c>
      <c r="C221" s="74" t="str">
        <f>Scott!C80</f>
        <v>1.0.1.6</v>
      </c>
      <c r="D221" s="74" t="str">
        <f>Scott!D80</f>
        <v>32</v>
      </c>
      <c r="E221" s="74" t="str">
        <f>Scott!E80</f>
        <v>N/A</v>
      </c>
      <c r="F221" s="74" t="str">
        <f>Scott!F80</f>
        <v>Development</v>
      </c>
      <c r="G221" s="74" t="str">
        <f>Scott!G80</f>
        <v>MGI</v>
      </c>
      <c r="H221" s="74" t="str">
        <f>Scott!H80</f>
        <v>MGI Panel Manager - DQMH Panels 1.0.1.6</v>
      </c>
      <c r="I221" s="74" t="str">
        <f>Scott!I80</f>
        <v>VIPM Community</v>
      </c>
    </row>
    <row r="222" spans="1:9" hidden="1" x14ac:dyDescent="0.25">
      <c r="A222" s="74" t="str">
        <f>Originals!A249</f>
        <v>4-Vinnie</v>
      </c>
      <c r="B222" s="74" t="str">
        <f>Originals!B249</f>
        <v>MGI Panel Manager</v>
      </c>
      <c r="C222" s="74" t="str">
        <f>Originals!C249</f>
        <v>1.0.1.4</v>
      </c>
      <c r="D222" s="74" t="str">
        <f>Originals!D249</f>
        <v>32</v>
      </c>
      <c r="E222" s="74" t="str">
        <f>Originals!E249</f>
        <v>N/A</v>
      </c>
      <c r="F222" s="74" t="str">
        <f>Originals!F249</f>
        <v>Development</v>
      </c>
      <c r="G222" s="74" t="str">
        <f>Originals!G249</f>
        <v>MGI</v>
      </c>
      <c r="H222" s="74" t="str">
        <f>Originals!H249</f>
        <v>MGI Panel Manager 1.0.1.4</v>
      </c>
      <c r="I222" s="74" t="str">
        <f>Originals!I249</f>
        <v>VIPM Community</v>
      </c>
    </row>
    <row r="223" spans="1:9" hidden="1" x14ac:dyDescent="0.25">
      <c r="A223" s="74" t="str">
        <f>Scott!A79</f>
        <v>3-Scott</v>
      </c>
      <c r="B223" s="74" t="str">
        <f>Scott!B79</f>
        <v>MGI Panel Manager</v>
      </c>
      <c r="C223" s="74" t="str">
        <f>Scott!C79</f>
        <v>1.0.1.4</v>
      </c>
      <c r="D223" s="74" t="str">
        <f>Scott!D79</f>
        <v>32</v>
      </c>
      <c r="E223" s="74" t="str">
        <f>Scott!E79</f>
        <v>N/A</v>
      </c>
      <c r="F223" s="74" t="str">
        <f>Scott!F79</f>
        <v>Development</v>
      </c>
      <c r="G223" s="74" t="str">
        <f>Scott!G79</f>
        <v>MGI</v>
      </c>
      <c r="H223" s="74" t="str">
        <f>Scott!H79</f>
        <v>MGI Panel Manager 1.0.1.4</v>
      </c>
      <c r="I223" s="74" t="str">
        <f>Scott!I79</f>
        <v>VIPM Community</v>
      </c>
    </row>
    <row r="224" spans="1:9" hidden="1" x14ac:dyDescent="0.25">
      <c r="A224" s="74" t="str">
        <f>Originals!A251</f>
        <v>4-Vinnie</v>
      </c>
      <c r="B224" s="74" t="str">
        <f>Originals!B251</f>
        <v>MGI Picture &amp; Image</v>
      </c>
      <c r="C224" s="74" t="str">
        <f>Originals!C251</f>
        <v>1.0.2.1</v>
      </c>
      <c r="D224" s="74" t="str">
        <f>Originals!D251</f>
        <v>32</v>
      </c>
      <c r="E224" s="74" t="str">
        <f>Originals!E251</f>
        <v>N/A</v>
      </c>
      <c r="F224" s="74" t="str">
        <f>Originals!F251</f>
        <v>Development</v>
      </c>
      <c r="G224" s="74" t="str">
        <f>Originals!G251</f>
        <v>MGI</v>
      </c>
      <c r="H224" s="74" t="str">
        <f>Originals!H251</f>
        <v>MGI Picture &amp; Image 1.0.2.1</v>
      </c>
      <c r="I224" s="74" t="str">
        <f>Originals!I251</f>
        <v>VIPM Community</v>
      </c>
    </row>
    <row r="225" spans="1:9" hidden="1" x14ac:dyDescent="0.25">
      <c r="A225" s="74" t="str">
        <f>Scott!A81</f>
        <v>3-Scott</v>
      </c>
      <c r="B225" s="74" t="str">
        <f>Scott!B81</f>
        <v>MGI Picture &amp; Image</v>
      </c>
      <c r="C225" s="74" t="str">
        <f>Scott!C81</f>
        <v>1.0.2.1</v>
      </c>
      <c r="D225" s="74" t="str">
        <f>Scott!D81</f>
        <v>32</v>
      </c>
      <c r="E225" s="74" t="str">
        <f>Scott!E81</f>
        <v>N/A</v>
      </c>
      <c r="F225" s="74" t="str">
        <f>Scott!F81</f>
        <v>Development</v>
      </c>
      <c r="G225" s="74" t="str">
        <f>Scott!G81</f>
        <v>MGI</v>
      </c>
      <c r="H225" s="74" t="str">
        <f>Scott!H81</f>
        <v>MGI Picture &amp; Image 1.0.2.1</v>
      </c>
      <c r="I225" s="74" t="str">
        <f>Scott!I81</f>
        <v>VIPM Community</v>
      </c>
    </row>
    <row r="226" spans="1:9" hidden="1" x14ac:dyDescent="0.25">
      <c r="A226" s="74" t="str">
        <f>Originals!A252</f>
        <v>4-Vinnie</v>
      </c>
      <c r="B226" s="74" t="str">
        <f>Originals!B252</f>
        <v>MGI Read/Write Anything</v>
      </c>
      <c r="C226" s="74" t="str">
        <f>Originals!C252</f>
        <v>2.1.4.4</v>
      </c>
      <c r="D226" s="74" t="str">
        <f>Originals!D252</f>
        <v>32</v>
      </c>
      <c r="E226" s="74" t="str">
        <f>Originals!E252</f>
        <v>N/A</v>
      </c>
      <c r="F226" s="74" t="str">
        <f>Originals!F252</f>
        <v>Development</v>
      </c>
      <c r="G226" s="74" t="str">
        <f>Originals!G252</f>
        <v>MGI</v>
      </c>
      <c r="H226" s="74" t="str">
        <f>Originals!H252</f>
        <v>MGI Read/Write Anything 2.1.4.4</v>
      </c>
      <c r="I226" s="74" t="str">
        <f>Originals!I252</f>
        <v>VIPM Community</v>
      </c>
    </row>
    <row r="227" spans="1:9" hidden="1" x14ac:dyDescent="0.25">
      <c r="A227" s="74" t="str">
        <f>Scott!A82</f>
        <v>3-Scott</v>
      </c>
      <c r="B227" s="74" t="str">
        <f>Scott!B82</f>
        <v>MGI Read/Write Anything</v>
      </c>
      <c r="C227" s="74" t="str">
        <f>Scott!C82</f>
        <v>2.1.4.4</v>
      </c>
      <c r="D227" s="74" t="str">
        <f>Scott!D82</f>
        <v>32</v>
      </c>
      <c r="E227" s="74" t="str">
        <f>Scott!E82</f>
        <v>N/A</v>
      </c>
      <c r="F227" s="74" t="str">
        <f>Scott!F82</f>
        <v>Development</v>
      </c>
      <c r="G227" s="74" t="str">
        <f>Scott!G82</f>
        <v>MGI</v>
      </c>
      <c r="H227" s="74" t="str">
        <f>Scott!H82</f>
        <v>MGI Read/Write Anything 2.1.4.4</v>
      </c>
      <c r="I227" s="74" t="str">
        <f>Scott!I82</f>
        <v>VIPM Community</v>
      </c>
    </row>
    <row r="228" spans="1:9" hidden="1" x14ac:dyDescent="0.25">
      <c r="A228" s="74" t="str">
        <f>Originals!A253</f>
        <v>4-Vinnie</v>
      </c>
      <c r="B228" s="74" t="str">
        <f>Originals!B253</f>
        <v>MGI Robust XML</v>
      </c>
      <c r="C228" s="74" t="str">
        <f>Originals!C253</f>
        <v>1.0.3.4</v>
      </c>
      <c r="D228" s="74" t="str">
        <f>Originals!D253</f>
        <v>32</v>
      </c>
      <c r="E228" s="74" t="str">
        <f>Originals!E253</f>
        <v>N/A</v>
      </c>
      <c r="F228" s="74" t="str">
        <f>Originals!F253</f>
        <v>Development</v>
      </c>
      <c r="G228" s="74" t="str">
        <f>Originals!G253</f>
        <v>MGI</v>
      </c>
      <c r="H228" s="74" t="str">
        <f>Originals!H253</f>
        <v>MGI Robust XML 1.0.3.4</v>
      </c>
      <c r="I228" s="74" t="str">
        <f>Originals!I253</f>
        <v>VIPM Community</v>
      </c>
    </row>
    <row r="229" spans="1:9" hidden="1" x14ac:dyDescent="0.25">
      <c r="A229" s="74" t="str">
        <f>Scott!A83</f>
        <v>3-Scott</v>
      </c>
      <c r="B229" s="74" t="str">
        <f>Scott!B83</f>
        <v>MGI Robust XML</v>
      </c>
      <c r="C229" s="74" t="str">
        <f>Scott!C83</f>
        <v>1.0.3.4</v>
      </c>
      <c r="D229" s="74" t="str">
        <f>Scott!D83</f>
        <v>32</v>
      </c>
      <c r="E229" s="74" t="str">
        <f>Scott!E83</f>
        <v>N/A</v>
      </c>
      <c r="F229" s="74" t="str">
        <f>Scott!F83</f>
        <v>Development</v>
      </c>
      <c r="G229" s="74" t="str">
        <f>Scott!G83</f>
        <v>MGI</v>
      </c>
      <c r="H229" s="74" t="str">
        <f>Scott!H83</f>
        <v>MGI Robust XML 1.0.3.4</v>
      </c>
      <c r="I229" s="74" t="str">
        <f>Scott!I83</f>
        <v>VIPM Community</v>
      </c>
    </row>
    <row r="230" spans="1:9" hidden="1" x14ac:dyDescent="0.25">
      <c r="A230" s="74" t="str">
        <f>Originals!A254</f>
        <v>4-Vinnie</v>
      </c>
      <c r="B230" s="74" t="str">
        <f>Originals!B254</f>
        <v>MGI Spline</v>
      </c>
      <c r="C230" s="74" t="str">
        <f>Originals!C254</f>
        <v>1.1.0.1</v>
      </c>
      <c r="D230" s="74" t="str">
        <f>Originals!D254</f>
        <v>32</v>
      </c>
      <c r="E230" s="74" t="str">
        <f>Originals!E254</f>
        <v>N/A</v>
      </c>
      <c r="F230" s="74" t="str">
        <f>Originals!F254</f>
        <v>Development</v>
      </c>
      <c r="G230" s="74" t="str">
        <f>Originals!G254</f>
        <v>MGI</v>
      </c>
      <c r="H230" s="74" t="str">
        <f>Originals!H254</f>
        <v>MGI Spline 1.1.0.1</v>
      </c>
      <c r="I230" s="74" t="str">
        <f>Originals!I254</f>
        <v>VIPM Community</v>
      </c>
    </row>
    <row r="231" spans="1:9" hidden="1" x14ac:dyDescent="0.25">
      <c r="A231" s="74" t="str">
        <f>Scott!A84</f>
        <v>3-Scott</v>
      </c>
      <c r="B231" s="74" t="str">
        <f>Scott!B84</f>
        <v>MGI Spline</v>
      </c>
      <c r="C231" s="74" t="str">
        <f>Scott!C84</f>
        <v>1.1.0.1</v>
      </c>
      <c r="D231" s="74" t="str">
        <f>Scott!D84</f>
        <v>32</v>
      </c>
      <c r="E231" s="74" t="str">
        <f>Scott!E84</f>
        <v>N/A</v>
      </c>
      <c r="F231" s="74" t="str">
        <f>Scott!F84</f>
        <v>Development</v>
      </c>
      <c r="G231" s="74" t="str">
        <f>Scott!G84</f>
        <v>MGI</v>
      </c>
      <c r="H231" s="74" t="str">
        <f>Scott!H84</f>
        <v>MGI Spline 1.1.0.1</v>
      </c>
      <c r="I231" s="74" t="str">
        <f>Scott!I84</f>
        <v>VIPM Community</v>
      </c>
    </row>
    <row r="232" spans="1:9" hidden="1" x14ac:dyDescent="0.25">
      <c r="A232" s="74" t="str">
        <f>Originals!A255</f>
        <v>4-Vinnie</v>
      </c>
      <c r="B232" s="74" t="str">
        <f>Originals!B255</f>
        <v>MGI String</v>
      </c>
      <c r="C232" s="74" t="str">
        <f>Originals!C255</f>
        <v>1.1.1.5</v>
      </c>
      <c r="D232" s="74" t="str">
        <f>Originals!D255</f>
        <v>32</v>
      </c>
      <c r="E232" s="74" t="str">
        <f>Originals!E255</f>
        <v>N/A</v>
      </c>
      <c r="F232" s="74" t="str">
        <f>Originals!F255</f>
        <v>Development</v>
      </c>
      <c r="G232" s="74" t="str">
        <f>Originals!G255</f>
        <v>MGI</v>
      </c>
      <c r="H232" s="74" t="str">
        <f>Originals!H255</f>
        <v>MGI String 1.1.1.5</v>
      </c>
      <c r="I232" s="74" t="str">
        <f>Originals!I255</f>
        <v>VIPM Community</v>
      </c>
    </row>
    <row r="233" spans="1:9" hidden="1" x14ac:dyDescent="0.25">
      <c r="A233" s="74" t="str">
        <f>Scott!A85</f>
        <v>3-Scott</v>
      </c>
      <c r="B233" s="74" t="str">
        <f>Scott!B85</f>
        <v>MGI String</v>
      </c>
      <c r="C233" s="74" t="str">
        <f>Scott!C85</f>
        <v>1.1.1.5</v>
      </c>
      <c r="D233" s="74" t="str">
        <f>Scott!D85</f>
        <v>32</v>
      </c>
      <c r="E233" s="74" t="str">
        <f>Scott!E85</f>
        <v>N/A</v>
      </c>
      <c r="F233" s="74" t="str">
        <f>Scott!F85</f>
        <v>Development</v>
      </c>
      <c r="G233" s="74" t="str">
        <f>Scott!G85</f>
        <v>MGI</v>
      </c>
      <c r="H233" s="74" t="str">
        <f>Scott!H85</f>
        <v>MGI String 1.1.1.5</v>
      </c>
      <c r="I233" s="74" t="str">
        <f>Scott!I85</f>
        <v>VIPM Community</v>
      </c>
    </row>
    <row r="234" spans="1:9" hidden="1" x14ac:dyDescent="0.25">
      <c r="A234" s="74" t="str">
        <f>Originals!A256</f>
        <v>4-Vinnie</v>
      </c>
      <c r="B234" s="74" t="str">
        <f>Originals!B256</f>
        <v>MGI Timing</v>
      </c>
      <c r="C234" s="74" t="str">
        <f>Originals!C256</f>
        <v>1.1.0.2</v>
      </c>
      <c r="D234" s="74" t="str">
        <f>Originals!D256</f>
        <v>32</v>
      </c>
      <c r="E234" s="74" t="str">
        <f>Originals!E256</f>
        <v>N/A</v>
      </c>
      <c r="F234" s="74" t="str">
        <f>Originals!F256</f>
        <v>Development</v>
      </c>
      <c r="G234" s="74" t="str">
        <f>Originals!G256</f>
        <v>MGI</v>
      </c>
      <c r="H234" s="74" t="str">
        <f>Originals!H256</f>
        <v>MGI Timing 1.1.0.2</v>
      </c>
      <c r="I234" s="74" t="str">
        <f>Originals!I256</f>
        <v>VIPM Community</v>
      </c>
    </row>
    <row r="235" spans="1:9" hidden="1" x14ac:dyDescent="0.25">
      <c r="A235" s="74" t="str">
        <f>Scott!A86</f>
        <v>3-Scott</v>
      </c>
      <c r="B235" s="74" t="str">
        <f>Scott!B86</f>
        <v>MGI Timing</v>
      </c>
      <c r="C235" s="74" t="str">
        <f>Scott!C86</f>
        <v>1.1.0.2</v>
      </c>
      <c r="D235" s="74" t="str">
        <f>Scott!D86</f>
        <v>32</v>
      </c>
      <c r="E235" s="74" t="str">
        <f>Scott!E86</f>
        <v>N/A</v>
      </c>
      <c r="F235" s="74" t="str">
        <f>Scott!F86</f>
        <v>Development</v>
      </c>
      <c r="G235" s="74" t="str">
        <f>Scott!G86</f>
        <v>MGI</v>
      </c>
      <c r="H235" s="74" t="str">
        <f>Scott!H86</f>
        <v>MGI Timing 1.1.0.2</v>
      </c>
      <c r="I235" s="74" t="str">
        <f>Scott!I86</f>
        <v>VIPM Community</v>
      </c>
    </row>
    <row r="236" spans="1:9" hidden="1" x14ac:dyDescent="0.25">
      <c r="A236" s="74" t="str">
        <f>Originals!A257</f>
        <v>4-Vinnie</v>
      </c>
      <c r="B236" s="74" t="str">
        <f>Originals!B257</f>
        <v>MGI Tools</v>
      </c>
      <c r="C236" s="74" t="str">
        <f>Originals!C257</f>
        <v>1.0.0.4</v>
      </c>
      <c r="D236" s="74" t="str">
        <f>Originals!D257</f>
        <v>32</v>
      </c>
      <c r="E236" s="74" t="str">
        <f>Originals!E257</f>
        <v>N/A</v>
      </c>
      <c r="F236" s="74" t="str">
        <f>Originals!F257</f>
        <v>Development</v>
      </c>
      <c r="G236" s="74" t="str">
        <f>Originals!G257</f>
        <v>MGI</v>
      </c>
      <c r="H236" s="74" t="str">
        <f>Originals!H257</f>
        <v>MGI Tools 1.0.0.4</v>
      </c>
      <c r="I236" s="74" t="str">
        <f>Originals!I257</f>
        <v>VIPM Community</v>
      </c>
    </row>
    <row r="237" spans="1:9" hidden="1" x14ac:dyDescent="0.25">
      <c r="A237" s="74" t="str">
        <f>Scott!A87</f>
        <v>3-Scott</v>
      </c>
      <c r="B237" s="74" t="str">
        <f>Scott!B87</f>
        <v>MGI Tools</v>
      </c>
      <c r="C237" s="74" t="str">
        <f>Scott!C87</f>
        <v>1.0.0.4</v>
      </c>
      <c r="D237" s="74" t="str">
        <f>Scott!D87</f>
        <v>32</v>
      </c>
      <c r="E237" s="74" t="str">
        <f>Scott!E87</f>
        <v>N/A</v>
      </c>
      <c r="F237" s="74" t="str">
        <f>Scott!F87</f>
        <v>Development</v>
      </c>
      <c r="G237" s="74" t="str">
        <f>Scott!G87</f>
        <v>MGI</v>
      </c>
      <c r="H237" s="74" t="str">
        <f>Scott!H87</f>
        <v>MGI Tools 1.0.0.4</v>
      </c>
      <c r="I237" s="74" t="str">
        <f>Scott!I87</f>
        <v>VIPM Community</v>
      </c>
    </row>
    <row r="238" spans="1:9" hidden="1" x14ac:dyDescent="0.25">
      <c r="A238" s="74" t="str">
        <f>Originals!A258</f>
        <v>4-Vinnie</v>
      </c>
      <c r="B238" s="74" t="str">
        <f>Originals!B258</f>
        <v>MGI Tree</v>
      </c>
      <c r="C238" s="74" t="str">
        <f>Originals!C258</f>
        <v>1.0.4.4</v>
      </c>
      <c r="D238" s="74" t="str">
        <f>Originals!D258</f>
        <v>32</v>
      </c>
      <c r="E238" s="74" t="str">
        <f>Originals!E258</f>
        <v>N/A</v>
      </c>
      <c r="F238" s="74" t="str">
        <f>Originals!F258</f>
        <v>Development</v>
      </c>
      <c r="G238" s="74" t="str">
        <f>Originals!G258</f>
        <v>MGI</v>
      </c>
      <c r="H238" s="74" t="str">
        <f>Originals!H258</f>
        <v>MGI Tree 1.0.4.4</v>
      </c>
      <c r="I238" s="74" t="str">
        <f>Originals!I258</f>
        <v>VIPM Community</v>
      </c>
    </row>
    <row r="239" spans="1:9" hidden="1" x14ac:dyDescent="0.25">
      <c r="A239" s="74" t="str">
        <f>Scott!A88</f>
        <v>3-Scott</v>
      </c>
      <c r="B239" s="74" t="str">
        <f>Scott!B88</f>
        <v>MGI Tree</v>
      </c>
      <c r="C239" s="74" t="str">
        <f>Scott!C88</f>
        <v>1.0.4.4</v>
      </c>
      <c r="D239" s="74" t="str">
        <f>Scott!D88</f>
        <v>32</v>
      </c>
      <c r="E239" s="74" t="str">
        <f>Scott!E88</f>
        <v>N/A</v>
      </c>
      <c r="F239" s="74" t="str">
        <f>Scott!F88</f>
        <v>Development</v>
      </c>
      <c r="G239" s="74" t="str">
        <f>Scott!G88</f>
        <v>MGI</v>
      </c>
      <c r="H239" s="74" t="str">
        <f>Scott!H88</f>
        <v>MGI Tree 1.0.4.4</v>
      </c>
      <c r="I239" s="74" t="str">
        <f>Scott!I88</f>
        <v>VIPM Community</v>
      </c>
    </row>
    <row r="240" spans="1:9" hidden="1" x14ac:dyDescent="0.25">
      <c r="A240" s="74" t="str">
        <f>Originals!A259</f>
        <v>4-Vinnie</v>
      </c>
      <c r="B240" s="74" t="str">
        <f>Originals!B259</f>
        <v>MGI User Interface</v>
      </c>
      <c r="C240" s="74" t="str">
        <f>Originals!C259</f>
        <v>1.0.1.11</v>
      </c>
      <c r="D240" s="74" t="str">
        <f>Originals!D259</f>
        <v>32</v>
      </c>
      <c r="E240" s="74" t="str">
        <f>Originals!E259</f>
        <v>N/A</v>
      </c>
      <c r="F240" s="74" t="str">
        <f>Originals!F259</f>
        <v>Development</v>
      </c>
      <c r="G240" s="74" t="str">
        <f>Originals!G259</f>
        <v>MGI</v>
      </c>
      <c r="H240" s="74" t="str">
        <f>Originals!H259</f>
        <v>MGI User Interface 1.0.1.11</v>
      </c>
      <c r="I240" s="74" t="str">
        <f>Originals!I259</f>
        <v>VIPM Community</v>
      </c>
    </row>
    <row r="241" spans="1:9" hidden="1" x14ac:dyDescent="0.25">
      <c r="A241" s="74" t="str">
        <f>Scott!A89</f>
        <v>3-Scott</v>
      </c>
      <c r="B241" s="74" t="str">
        <f>Scott!B89</f>
        <v>MGI User Interface</v>
      </c>
      <c r="C241" s="74" t="str">
        <f>Scott!C89</f>
        <v>1.0.1.11</v>
      </c>
      <c r="D241" s="74" t="str">
        <f>Scott!D89</f>
        <v>32</v>
      </c>
      <c r="E241" s="74" t="str">
        <f>Scott!E89</f>
        <v>N/A</v>
      </c>
      <c r="F241" s="74" t="str">
        <f>Scott!F89</f>
        <v>Development</v>
      </c>
      <c r="G241" s="74" t="str">
        <f>Scott!G89</f>
        <v>MGI</v>
      </c>
      <c r="H241" s="74" t="str">
        <f>Scott!H89</f>
        <v>MGI User Interface 1.0.1.11</v>
      </c>
      <c r="I241" s="74" t="str">
        <f>Scott!I89</f>
        <v>VIPM Community</v>
      </c>
    </row>
    <row r="242" spans="1:9" hidden="1" x14ac:dyDescent="0.25">
      <c r="A242" s="74" t="str">
        <f>Originals!A260</f>
        <v>4-Vinnie</v>
      </c>
      <c r="B242" s="74" t="str">
        <f>Originals!B260</f>
        <v>MGI WSA Framework</v>
      </c>
      <c r="C242" s="74" t="str">
        <f>Originals!C260</f>
        <v>1.0.0.27</v>
      </c>
      <c r="D242" s="74" t="str">
        <f>Originals!D260</f>
        <v>32</v>
      </c>
      <c r="E242" s="74" t="str">
        <f>Originals!E260</f>
        <v>N/A</v>
      </c>
      <c r="F242" s="74" t="str">
        <f>Originals!F260</f>
        <v>Development</v>
      </c>
      <c r="G242" s="74" t="str">
        <f>Originals!G260</f>
        <v>MGI</v>
      </c>
      <c r="H242" s="74" t="str">
        <f>Originals!H260</f>
        <v>MGI WSA Framework 1.0.0.27</v>
      </c>
      <c r="I242" s="74" t="str">
        <f>Originals!I260</f>
        <v>VIPM Community</v>
      </c>
    </row>
    <row r="243" spans="1:9" hidden="1" x14ac:dyDescent="0.25">
      <c r="A243" s="74" t="str">
        <f>Scott!A90</f>
        <v>3-Scott</v>
      </c>
      <c r="B243" s="74" t="str">
        <f>Scott!B90</f>
        <v>MGI WSA Framework</v>
      </c>
      <c r="C243" s="74" t="str">
        <f>Scott!C90</f>
        <v>1.0.0.27</v>
      </c>
      <c r="D243" s="74" t="str">
        <f>Scott!D90</f>
        <v>32</v>
      </c>
      <c r="E243" s="74" t="str">
        <f>Scott!E90</f>
        <v>N/A</v>
      </c>
      <c r="F243" s="74" t="str">
        <f>Scott!F90</f>
        <v>Development</v>
      </c>
      <c r="G243" s="74" t="str">
        <f>Scott!G90</f>
        <v>MGI</v>
      </c>
      <c r="H243" s="74" t="str">
        <f>Scott!H90</f>
        <v>MGI WSA Framework 1.0.0.27</v>
      </c>
      <c r="I243" s="74" t="str">
        <f>Scott!I90</f>
        <v>VIPM Community</v>
      </c>
    </row>
    <row r="244" spans="1:9" hidden="1" x14ac:dyDescent="0.25">
      <c r="A244" s="74" t="str">
        <f>Originals!A261</f>
        <v>4-Vinnie</v>
      </c>
      <c r="B244" s="74" t="str">
        <f>Originals!B261</f>
        <v>Network Configuration Web Support</v>
      </c>
      <c r="C244" s="74" t="str">
        <f>Originals!C261</f>
        <v>15.0.0</v>
      </c>
      <c r="D244" s="74" t="str">
        <f>Originals!D261</f>
        <v>32</v>
      </c>
      <c r="E244" s="74" t="str">
        <f>Originals!E261</f>
        <v>2015</v>
      </c>
      <c r="F244" s="74" t="str">
        <f>Originals!F261</f>
        <v>C-RIO</v>
      </c>
      <c r="G244" s="74" t="str">
        <f>Originals!G261</f>
        <v>NI</v>
      </c>
      <c r="H244" s="74" t="str">
        <f>Originals!H261</f>
        <v>Network Configuration Web Support 15.0.0</v>
      </c>
      <c r="I244" s="74">
        <f>Originals!I261</f>
        <v>0</v>
      </c>
    </row>
    <row r="245" spans="1:9" hidden="1" x14ac:dyDescent="0.25">
      <c r="A245" s="74" t="str">
        <f>Originals!A262</f>
        <v>4-Vinnie</v>
      </c>
      <c r="B245" s="74" t="str">
        <f>Originals!B262</f>
        <v>Network Streams</v>
      </c>
      <c r="C245" s="74" t="str">
        <f>Originals!C262</f>
        <v>15.0</v>
      </c>
      <c r="D245" s="74" t="str">
        <f>Originals!D262</f>
        <v>32</v>
      </c>
      <c r="E245" s="74" t="str">
        <f>Originals!E262</f>
        <v>2015</v>
      </c>
      <c r="F245" s="74" t="str">
        <f>Originals!F262</f>
        <v>C-RIO</v>
      </c>
      <c r="G245" s="74" t="str">
        <f>Originals!G262</f>
        <v>NI</v>
      </c>
      <c r="H245" s="74" t="str">
        <f>Originals!H262</f>
        <v>Network Streams 15.0</v>
      </c>
      <c r="I245" s="74">
        <f>Originals!I262</f>
        <v>0</v>
      </c>
    </row>
    <row r="246" spans="1:9" hidden="1" x14ac:dyDescent="0.25">
      <c r="A246" s="74" t="str">
        <f>Originals!A263</f>
        <v>4-Vinnie</v>
      </c>
      <c r="B246" s="74" t="str">
        <f>Originals!B263</f>
        <v>Network Variable Engine</v>
      </c>
      <c r="C246" s="74" t="str">
        <f>Originals!C263</f>
        <v>15.0.0</v>
      </c>
      <c r="D246" s="74" t="str">
        <f>Originals!D263</f>
        <v>32</v>
      </c>
      <c r="E246" s="74" t="str">
        <f>Originals!E263</f>
        <v>2015</v>
      </c>
      <c r="F246" s="74" t="str">
        <f>Originals!F263</f>
        <v>C-RIO</v>
      </c>
      <c r="G246" s="74" t="str">
        <f>Originals!G263</f>
        <v>NI</v>
      </c>
      <c r="H246" s="74" t="str">
        <f>Originals!H263</f>
        <v>Network Variable Engine 15.0.0</v>
      </c>
      <c r="I246" s="74">
        <f>Originals!I263</f>
        <v>0</v>
      </c>
    </row>
    <row r="247" spans="1:9" x14ac:dyDescent="0.25">
      <c r="A247" s="74" t="str">
        <f>Scott!A91</f>
        <v>3-Scott</v>
      </c>
      <c r="B247" s="74" t="str">
        <f>Scott!B91</f>
        <v>NI 1588-2008 Network Management 15.0.0</v>
      </c>
      <c r="C247" s="74" t="str">
        <f>Scott!C91</f>
        <v>15.0.0f0</v>
      </c>
      <c r="D247" s="74">
        <f>Scott!D91</f>
        <v>32</v>
      </c>
      <c r="E247" s="74">
        <f>Scott!E91</f>
        <v>2015</v>
      </c>
      <c r="F247" s="74" t="str">
        <f>Scott!F91</f>
        <v>Development</v>
      </c>
      <c r="G247" s="74" t="str">
        <f>Scott!G91</f>
        <v>NI</v>
      </c>
      <c r="H247" s="74" t="str">
        <f>Scott!H91</f>
        <v>NI 1588-2008 Network Management 15.0.0 15.0.0f0</v>
      </c>
      <c r="I247" s="74" t="str">
        <f>Scott!I91</f>
        <v>NI Developer Suite 2015 DS2 Install</v>
      </c>
    </row>
    <row r="248" spans="1:9" x14ac:dyDescent="0.25">
      <c r="A248" s="74" t="str">
        <f>Originals!A27</f>
        <v>1-Corey</v>
      </c>
      <c r="B248" s="74" t="str">
        <f>Originals!B27</f>
        <v>NI 1588-2008 Network Management</v>
      </c>
      <c r="C248" s="74" t="str">
        <f>Originals!C27</f>
        <v>15.0.0f0</v>
      </c>
      <c r="D248" s="74" t="str">
        <f>Originals!D27</f>
        <v>32</v>
      </c>
      <c r="E248" s="74" t="str">
        <f>Originals!E27</f>
        <v>2015</v>
      </c>
      <c r="F248" s="74" t="str">
        <f>Originals!F27</f>
        <v>Development</v>
      </c>
      <c r="G248" s="74" t="str">
        <f>Originals!G27</f>
        <v>NI</v>
      </c>
      <c r="H248" s="74" t="str">
        <f>Originals!H27</f>
        <v>NI 1588-2008 Network Management 15.0.0f0</v>
      </c>
      <c r="I248" s="74" t="str">
        <f>Originals!I27</f>
        <v>NI Developer Suite 2015 DS2 Install</v>
      </c>
    </row>
    <row r="249" spans="1:9" x14ac:dyDescent="0.25">
      <c r="A249" s="74" t="str">
        <f>Originals!A105</f>
        <v>2-Spencer</v>
      </c>
      <c r="B249" s="74" t="str">
        <f>Originals!B105</f>
        <v>NI 1588-2008 Network Management</v>
      </c>
      <c r="C249" s="74" t="str">
        <f>Originals!C105</f>
        <v>15.0.0f0</v>
      </c>
      <c r="D249" s="74" t="str">
        <f>Originals!D105</f>
        <v>32</v>
      </c>
      <c r="E249" s="74" t="str">
        <f>Originals!E105</f>
        <v>2015</v>
      </c>
      <c r="F249" s="74" t="str">
        <f>Originals!F105</f>
        <v>Development</v>
      </c>
      <c r="G249" s="74" t="str">
        <f>Originals!G105</f>
        <v>NI</v>
      </c>
      <c r="H249" s="74" t="str">
        <f>Originals!H105</f>
        <v>NI 1588-2008 Network Management 15.0.0f0</v>
      </c>
      <c r="I249" s="74" t="str">
        <f>Originals!I105</f>
        <v>NI Developer Suite 2015 DS2 Install</v>
      </c>
    </row>
    <row r="250" spans="1:9" x14ac:dyDescent="0.25">
      <c r="A250" s="74" t="str">
        <f>Originals!A264</f>
        <v>4-Vinnie</v>
      </c>
      <c r="B250" s="74" t="str">
        <f>Originals!B264</f>
        <v>NI 1588-2008 Network Management</v>
      </c>
      <c r="C250" s="74" t="str">
        <f>Originals!C264</f>
        <v>15.0.0f0</v>
      </c>
      <c r="D250" s="74" t="str">
        <f>Originals!D264</f>
        <v>32</v>
      </c>
      <c r="E250" s="74">
        <f>Originals!E264</f>
        <v>2015</v>
      </c>
      <c r="F250" s="74" t="str">
        <f>Originals!F264</f>
        <v>Development</v>
      </c>
      <c r="G250" s="74" t="str">
        <f>Originals!G264</f>
        <v>NI</v>
      </c>
      <c r="H250" s="74" t="str">
        <f>Originals!H264</f>
        <v>NI 1588-2008 Network Management 15.0.0f0</v>
      </c>
      <c r="I250" s="74" t="str">
        <f>Originals!I264</f>
        <v>NI Developer Suite 2015 DS2 Install</v>
      </c>
    </row>
    <row r="251" spans="1:9" hidden="1" x14ac:dyDescent="0.25">
      <c r="A251" s="74" t="str">
        <f>Originals!A265</f>
        <v>4-Vinnie</v>
      </c>
      <c r="B251" s="74" t="str">
        <f>Originals!B265</f>
        <v>NI Asynchronous Message Communication (AMC) Library</v>
      </c>
      <c r="C251" s="74" t="str">
        <f>Originals!C265</f>
        <v>3.3.1.22</v>
      </c>
      <c r="D251" s="74" t="str">
        <f>Originals!D265</f>
        <v>32</v>
      </c>
      <c r="E251" s="74" t="str">
        <f>Originals!E265</f>
        <v>N/A</v>
      </c>
      <c r="F251" s="74" t="str">
        <f>Originals!F265</f>
        <v>Development</v>
      </c>
      <c r="G251" s="74" t="str">
        <f>Originals!G265</f>
        <v>NI</v>
      </c>
      <c r="H251" s="74" t="str">
        <f>Originals!H265</f>
        <v>NI Asynchronous Message Communication (AMC) Library 3.3.1.22</v>
      </c>
      <c r="I251" s="74" t="str">
        <f>Originals!I265</f>
        <v>VIPM Community</v>
      </c>
    </row>
    <row r="252" spans="1:9" hidden="1" x14ac:dyDescent="0.25">
      <c r="A252" s="74" t="str">
        <f>Scott!A92</f>
        <v>3-Scott</v>
      </c>
      <c r="B252" s="74" t="str">
        <f>Scott!B92</f>
        <v>NI Asynchronous Message Communication (AMC) Library</v>
      </c>
      <c r="C252" s="74" t="str">
        <f>Scott!C92</f>
        <v>3.3.1.22</v>
      </c>
      <c r="D252" s="74" t="str">
        <f>Scott!D92</f>
        <v>32</v>
      </c>
      <c r="E252" s="74" t="str">
        <f>Scott!E92</f>
        <v>N/A</v>
      </c>
      <c r="F252" s="74" t="str">
        <f>Scott!F92</f>
        <v>Development</v>
      </c>
      <c r="G252" s="74" t="str">
        <f>Scott!G92</f>
        <v>NI</v>
      </c>
      <c r="H252" s="74" t="str">
        <f>Scott!H92</f>
        <v>NI Asynchronous Message Communication (AMC) Library 3.3.1.22</v>
      </c>
      <c r="I252" s="74" t="str">
        <f>Scott!I92</f>
        <v>VIPM Community</v>
      </c>
    </row>
    <row r="253" spans="1:9" hidden="1" x14ac:dyDescent="0.25">
      <c r="A253" s="74" t="str">
        <f>Originals!A266</f>
        <v>4-Vinnie</v>
      </c>
      <c r="B253" s="74" t="str">
        <f>Originals!B266</f>
        <v>NI CompactRIO</v>
      </c>
      <c r="C253" s="74" t="str">
        <f>Originals!C266</f>
        <v>15.5</v>
      </c>
      <c r="D253" s="74" t="str">
        <f>Originals!D266</f>
        <v>32</v>
      </c>
      <c r="E253" s="74" t="str">
        <f>Originals!E266</f>
        <v>2018</v>
      </c>
      <c r="F253" s="74" t="str">
        <f>Originals!F266</f>
        <v>C-RIO</v>
      </c>
      <c r="G253" s="74" t="str">
        <f>Originals!G266</f>
        <v>NI</v>
      </c>
      <c r="H253" s="74" t="str">
        <f>Originals!H266</f>
        <v>NI CompactRIO 15.5</v>
      </c>
      <c r="I253" s="74">
        <f>Originals!I266</f>
        <v>0</v>
      </c>
    </row>
    <row r="254" spans="1:9" hidden="1" x14ac:dyDescent="0.25">
      <c r="A254" s="74" t="str">
        <f>Originals!A267</f>
        <v>4-Vinnie</v>
      </c>
      <c r="B254" s="74" t="str">
        <f>Originals!B267</f>
        <v>NI CompactRIO Information (CRI) Library</v>
      </c>
      <c r="C254" s="74" t="str">
        <f>Originals!C267</f>
        <v>2015.0.0.1</v>
      </c>
      <c r="D254" s="74" t="str">
        <f>Originals!D267</f>
        <v>32</v>
      </c>
      <c r="E254" s="74" t="str">
        <f>Originals!E267</f>
        <v>2015</v>
      </c>
      <c r="F254" s="74" t="str">
        <f>Originals!F267</f>
        <v>Development</v>
      </c>
      <c r="G254" s="74" t="str">
        <f>Originals!G267</f>
        <v>NI</v>
      </c>
      <c r="H254" s="74" t="str">
        <f>Originals!H267</f>
        <v>NI CompactRIO Information (CRI) Library 2015.0.0.1</v>
      </c>
      <c r="I254" s="74" t="str">
        <f>Originals!I267</f>
        <v>VIPM Community</v>
      </c>
    </row>
    <row r="255" spans="1:9" hidden="1" x14ac:dyDescent="0.25">
      <c r="A255" s="74" t="str">
        <f>Scott!A93</f>
        <v>3-Scott</v>
      </c>
      <c r="B255" s="74" t="str">
        <f>Scott!B93</f>
        <v>NI CompactRIO Information (CRI) Library</v>
      </c>
      <c r="C255" s="74" t="str">
        <f>Scott!C93</f>
        <v>2015.0.0.1</v>
      </c>
      <c r="D255" s="74" t="str">
        <f>Scott!D93</f>
        <v>32</v>
      </c>
      <c r="E255" s="74" t="str">
        <f>Scott!E93</f>
        <v>2015</v>
      </c>
      <c r="F255" s="74" t="str">
        <f>Scott!F93</f>
        <v>Development</v>
      </c>
      <c r="G255" s="74" t="str">
        <f>Scott!G93</f>
        <v>NI</v>
      </c>
      <c r="H255" s="74" t="str">
        <f>Scott!H93</f>
        <v>NI CompactRIO Information (CRI) Library 2015.0.0.1</v>
      </c>
      <c r="I255" s="74" t="str">
        <f>Scott!I93</f>
        <v>VIPM Community</v>
      </c>
    </row>
    <row r="256" spans="1:9" hidden="1" x14ac:dyDescent="0.25">
      <c r="A256" s="74" t="str">
        <f>Originals!A268</f>
        <v>4-Vinnie</v>
      </c>
      <c r="B256" s="74" t="str">
        <f>Originals!B268</f>
        <v>NI GXML</v>
      </c>
      <c r="C256" s="74" t="str">
        <f>Originals!C268</f>
        <v>1.4.2.8</v>
      </c>
      <c r="D256" s="74" t="str">
        <f>Originals!D268</f>
        <v>32</v>
      </c>
      <c r="E256" s="74" t="str">
        <f>Originals!E268</f>
        <v>N/A</v>
      </c>
      <c r="F256" s="74" t="str">
        <f>Originals!F268</f>
        <v>Development</v>
      </c>
      <c r="G256" s="74" t="str">
        <f>Originals!G268</f>
        <v>NI</v>
      </c>
      <c r="H256" s="74" t="str">
        <f>Originals!H268</f>
        <v>NI GXML 1.4.2.8</v>
      </c>
      <c r="I256" s="74" t="str">
        <f>Originals!I268</f>
        <v>VIPM Community</v>
      </c>
    </row>
    <row r="257" spans="1:9" hidden="1" x14ac:dyDescent="0.25">
      <c r="A257" s="74" t="str">
        <f>Scott!A94</f>
        <v>3-Scott</v>
      </c>
      <c r="B257" s="74" t="str">
        <f>Scott!B94</f>
        <v>NI GXML</v>
      </c>
      <c r="C257" s="74" t="str">
        <f>Scott!C94</f>
        <v>1.4.2.8</v>
      </c>
      <c r="D257" s="74" t="str">
        <f>Scott!D94</f>
        <v>32</v>
      </c>
      <c r="E257" s="74" t="str">
        <f>Scott!E94</f>
        <v>N/A</v>
      </c>
      <c r="F257" s="74" t="str">
        <f>Scott!F94</f>
        <v>Development</v>
      </c>
      <c r="G257" s="74" t="str">
        <f>Scott!G94</f>
        <v>NI</v>
      </c>
      <c r="H257" s="74" t="str">
        <f>Scott!H94</f>
        <v>NI GXML 1.4.2.8</v>
      </c>
      <c r="I257" s="74" t="str">
        <f>Scott!I94</f>
        <v>VIPM Community</v>
      </c>
    </row>
    <row r="258" spans="1:9" x14ac:dyDescent="0.25">
      <c r="A258" s="74" t="str">
        <f>Originals!A28</f>
        <v>1-Corey</v>
      </c>
      <c r="B258" s="74" t="str">
        <f>Originals!B28</f>
        <v>NI I/O Trace</v>
      </c>
      <c r="C258" s="74" t="str">
        <f>Originals!C28</f>
        <v>15.0.0f0</v>
      </c>
      <c r="D258" s="74" t="str">
        <f>Originals!D28</f>
        <v>32</v>
      </c>
      <c r="E258" s="74" t="str">
        <f>Originals!E28</f>
        <v>2015</v>
      </c>
      <c r="F258" s="74" t="str">
        <f>Originals!F28</f>
        <v>Development</v>
      </c>
      <c r="G258" s="74" t="str">
        <f>Originals!G28</f>
        <v>NI</v>
      </c>
      <c r="H258" s="74" t="str">
        <f>Originals!H28</f>
        <v>NI I/O Trace 15.0.0f0</v>
      </c>
      <c r="I258" s="74" t="str">
        <f>Originals!I28</f>
        <v>NI Developer Suite 2015 DS2 Install</v>
      </c>
    </row>
    <row r="259" spans="1:9" x14ac:dyDescent="0.25">
      <c r="A259" s="74" t="str">
        <f>Originals!A106</f>
        <v>2-Spencer</v>
      </c>
      <c r="B259" s="74" t="str">
        <f>Originals!B106</f>
        <v>NI I/O Trace</v>
      </c>
      <c r="C259" s="74" t="str">
        <f>Originals!C106</f>
        <v>15.0.0f0</v>
      </c>
      <c r="D259" s="74" t="str">
        <f>Originals!D106</f>
        <v>32</v>
      </c>
      <c r="E259" s="74" t="str">
        <f>Originals!E106</f>
        <v>2015</v>
      </c>
      <c r="F259" s="74" t="str">
        <f>Originals!F106</f>
        <v>Development</v>
      </c>
      <c r="G259" s="74" t="str">
        <f>Originals!G106</f>
        <v>NI</v>
      </c>
      <c r="H259" s="74" t="str">
        <f>Originals!H106</f>
        <v>NI I/O Trace 15.0.0f0</v>
      </c>
      <c r="I259" s="74" t="str">
        <f>Originals!I106</f>
        <v>NI Developer Suite 2015 DS2 Install</v>
      </c>
    </row>
    <row r="260" spans="1:9" x14ac:dyDescent="0.25">
      <c r="A260" s="74" t="str">
        <f>Originals!A380</f>
        <v>5-Confluence</v>
      </c>
      <c r="B260" s="74" t="str">
        <f>Originals!B380</f>
        <v>NI I/O Trace</v>
      </c>
      <c r="C260" s="74" t="str">
        <f>Originals!C380</f>
        <v>18.1</v>
      </c>
      <c r="D260" s="74" t="str">
        <f>Originals!D380</f>
        <v>32</v>
      </c>
      <c r="E260" s="74" t="str">
        <f>Originals!E380</f>
        <v>2018</v>
      </c>
      <c r="F260" s="74" t="str">
        <f>Originals!F380</f>
        <v>Development</v>
      </c>
      <c r="G260" s="74" t="str">
        <f>Originals!G380</f>
        <v>NI</v>
      </c>
      <c r="H260" s="74" t="str">
        <f>Originals!H380</f>
        <v>NI I/O Trace 18.1</v>
      </c>
      <c r="I260" s="74">
        <f>Originals!I380</f>
        <v>0</v>
      </c>
    </row>
    <row r="261" spans="1:9" x14ac:dyDescent="0.25">
      <c r="A261" s="74" t="str">
        <f>Originals!A269</f>
        <v>4-Vinnie</v>
      </c>
      <c r="B261" s="74" t="str">
        <f>Originals!B269</f>
        <v>NI I/O Trace</v>
      </c>
      <c r="C261" s="74" t="str">
        <f>Originals!C269</f>
        <v>18.5.0f0</v>
      </c>
      <c r="D261" s="74" t="str">
        <f>Originals!D269</f>
        <v>32</v>
      </c>
      <c r="E261" s="74" t="str">
        <f>Originals!E269</f>
        <v>2018</v>
      </c>
      <c r="F261" s="74" t="str">
        <f>Originals!F269</f>
        <v>Development</v>
      </c>
      <c r="G261" s="74" t="str">
        <f>Originals!G269</f>
        <v>NI</v>
      </c>
      <c r="H261" s="74" t="str">
        <f>Originals!H269</f>
        <v>NI I/O Trace 18.5.0f0</v>
      </c>
      <c r="I261" s="74" t="str">
        <f>Originals!I269</f>
        <v>NI Developer Suite 2015 DS2 Install</v>
      </c>
    </row>
    <row r="262" spans="1:9" x14ac:dyDescent="0.25">
      <c r="A262" s="74" t="str">
        <f>Scott!A96</f>
        <v>3-Scott</v>
      </c>
      <c r="B262" s="74" t="str">
        <f>Scott!B96</f>
        <v>NI I/O Trace</v>
      </c>
      <c r="C262" s="74" t="str">
        <f>Scott!C96</f>
        <v>19.0.0f0</v>
      </c>
      <c r="D262" s="74">
        <f>Scott!D96</f>
        <v>32</v>
      </c>
      <c r="E262" s="74">
        <f>Scott!E96</f>
        <v>2019</v>
      </c>
      <c r="F262" s="74" t="str">
        <f>Scott!F96</f>
        <v>Development</v>
      </c>
      <c r="G262" s="74" t="str">
        <f>Scott!G96</f>
        <v>NI</v>
      </c>
      <c r="H262" s="74" t="str">
        <f>Scott!H96</f>
        <v>NI I/O Trace 19.0.0f0</v>
      </c>
      <c r="I262" s="74" t="str">
        <f>Scott!I96</f>
        <v>NI Developer Suite 2015 DS2 Install</v>
      </c>
    </row>
    <row r="263" spans="1:9" hidden="1" x14ac:dyDescent="0.25">
      <c r="A263" s="74" t="str">
        <f>Originals!A270</f>
        <v>4-Vinnie</v>
      </c>
      <c r="B263" s="74" t="str">
        <f>Originals!B270</f>
        <v>NI Keyed Array Library</v>
      </c>
      <c r="C263" s="74" t="str">
        <f>Originals!C270</f>
        <v>2.0.0.11</v>
      </c>
      <c r="D263" s="74" t="str">
        <f>Originals!D270</f>
        <v>32</v>
      </c>
      <c r="E263" s="74" t="str">
        <f>Originals!E270</f>
        <v>N/A</v>
      </c>
      <c r="F263" s="74" t="str">
        <f>Originals!F270</f>
        <v>Development</v>
      </c>
      <c r="G263" s="74" t="str">
        <f>Originals!G270</f>
        <v>NI</v>
      </c>
      <c r="H263" s="74" t="str">
        <f>Originals!H270</f>
        <v>NI Keyed Array Library 2.0.0.11</v>
      </c>
      <c r="I263" s="74" t="str">
        <f>Originals!I270</f>
        <v>VIPM Community</v>
      </c>
    </row>
    <row r="264" spans="1:9" hidden="1" x14ac:dyDescent="0.25">
      <c r="A264" s="74" t="str">
        <f>Scott!A95</f>
        <v>3-Scott</v>
      </c>
      <c r="B264" s="74" t="str">
        <f>Scott!B95</f>
        <v>NI Keyed Array Library</v>
      </c>
      <c r="C264" s="74" t="str">
        <f>Scott!C95</f>
        <v>2.0.0.11</v>
      </c>
      <c r="D264" s="74" t="str">
        <f>Scott!D95</f>
        <v>32</v>
      </c>
      <c r="E264" s="74" t="str">
        <f>Scott!E95</f>
        <v>N/A</v>
      </c>
      <c r="F264" s="74" t="str">
        <f>Scott!F95</f>
        <v>Development</v>
      </c>
      <c r="G264" s="74" t="str">
        <f>Scott!G95</f>
        <v>NI</v>
      </c>
      <c r="H264" s="74" t="str">
        <f>Scott!H95</f>
        <v>NI Keyed Array Library 2.0.0.11</v>
      </c>
      <c r="I264" s="74" t="str">
        <f>Scott!I95</f>
        <v>VIPM Community</v>
      </c>
    </row>
    <row r="265" spans="1:9" hidden="1" x14ac:dyDescent="0.25">
      <c r="A265" s="74" t="str">
        <f>Originals!A271</f>
        <v>4-Vinnie</v>
      </c>
      <c r="B265" s="74" t="str">
        <f>Originals!B271</f>
        <v>NI Modbus Library</v>
      </c>
      <c r="C265" s="74" t="str">
        <f>Originals!C271</f>
        <v>1.2.1.42</v>
      </c>
      <c r="D265" s="74" t="str">
        <f>Originals!D271</f>
        <v>32</v>
      </c>
      <c r="E265" s="74" t="str">
        <f>Originals!E271</f>
        <v>N/A</v>
      </c>
      <c r="F265" s="74" t="str">
        <f>Originals!F271</f>
        <v>Development</v>
      </c>
      <c r="G265" s="74" t="str">
        <f>Originals!G271</f>
        <v>NI</v>
      </c>
      <c r="H265" s="74" t="str">
        <f>Originals!H271</f>
        <v>NI Modbus Library 1.2.1.42</v>
      </c>
      <c r="I265" s="74" t="str">
        <f>Originals!I271</f>
        <v>VIPM Community</v>
      </c>
    </row>
    <row r="266" spans="1:9" hidden="1" x14ac:dyDescent="0.25">
      <c r="A266" s="74" t="str">
        <f>Scott!A97</f>
        <v>3-Scott</v>
      </c>
      <c r="B266" s="74" t="str">
        <f>Scott!B97</f>
        <v>NI Modbus Library</v>
      </c>
      <c r="C266" s="74" t="str">
        <f>Scott!C97</f>
        <v>1.2.1.42</v>
      </c>
      <c r="D266" s="74" t="str">
        <f>Scott!D97</f>
        <v>32</v>
      </c>
      <c r="E266" s="74" t="str">
        <f>Scott!E97</f>
        <v>N/A</v>
      </c>
      <c r="F266" s="74" t="str">
        <f>Scott!F97</f>
        <v>Development</v>
      </c>
      <c r="G266" s="74" t="str">
        <f>Scott!G97</f>
        <v>NI</v>
      </c>
      <c r="H266" s="74" t="str">
        <f>Scott!H97</f>
        <v>NI Modbus Library 1.2.1.42</v>
      </c>
      <c r="I266" s="74" t="str">
        <f>Scott!I97</f>
        <v>VIPM Community</v>
      </c>
    </row>
    <row r="267" spans="1:9" hidden="1" x14ac:dyDescent="0.25">
      <c r="A267" s="74" t="str">
        <f>Scott!A99</f>
        <v>3-Scott</v>
      </c>
      <c r="B267" s="74" t="str">
        <f>Scott!B99</f>
        <v>NI PXI Platform Services</v>
      </c>
      <c r="C267" s="74" t="str">
        <f>Scott!C99</f>
        <v>15.0.0f1</v>
      </c>
      <c r="D267" s="74">
        <f>Scott!D99</f>
        <v>32</v>
      </c>
      <c r="E267" s="74">
        <f>Scott!E99</f>
        <v>2015</v>
      </c>
      <c r="F267" s="74" t="str">
        <f>Scott!F99</f>
        <v>Runtime</v>
      </c>
      <c r="G267" s="74" t="str">
        <f>Scott!G99</f>
        <v>NI</v>
      </c>
      <c r="H267" s="74" t="str">
        <f>Scott!H99</f>
        <v>NI PXI Platform Services 15.0.0f1</v>
      </c>
      <c r="I267" s="74" t="str">
        <f>Scott!I99</f>
        <v>NI Developer Suite 2015 DS2 Install</v>
      </c>
    </row>
    <row r="268" spans="1:9" hidden="1" x14ac:dyDescent="0.25">
      <c r="A268" s="74" t="str">
        <f>Originals!A381</f>
        <v>5-Confluence</v>
      </c>
      <c r="B268" s="74" t="str">
        <f>Originals!B381</f>
        <v>NI PXI Platform Services</v>
      </c>
      <c r="C268" s="74" t="str">
        <f>Originals!C381</f>
        <v>18.0</v>
      </c>
      <c r="D268" s="74" t="str">
        <f>Originals!D381</f>
        <v>32</v>
      </c>
      <c r="E268" s="74" t="str">
        <f>Originals!E381</f>
        <v>2018</v>
      </c>
      <c r="F268" s="74" t="str">
        <f>Originals!F381</f>
        <v>Runtime</v>
      </c>
      <c r="G268" s="74" t="str">
        <f>Originals!G381</f>
        <v>NI</v>
      </c>
      <c r="H268" s="74" t="str">
        <f>Originals!H381</f>
        <v>NI PXI Platform Services 18.0</v>
      </c>
      <c r="I268" s="74" t="str">
        <f>Originals!I381</f>
        <v>CompactRIO 18.1.0</v>
      </c>
    </row>
    <row r="269" spans="1:9" hidden="1" x14ac:dyDescent="0.25">
      <c r="A269" s="74" t="str">
        <f>Originals!A107</f>
        <v>2-Spencer</v>
      </c>
      <c r="B269" s="74" t="str">
        <f>Originals!B107</f>
        <v>NI PXI Platform Services</v>
      </c>
      <c r="C269" s="74" t="str">
        <f>Originals!C107</f>
        <v>19.5.0f0</v>
      </c>
      <c r="D269" s="74" t="str">
        <f>Originals!D107</f>
        <v>32</v>
      </c>
      <c r="E269" s="74" t="str">
        <f>Originals!E107</f>
        <v>2019</v>
      </c>
      <c r="F269" s="74" t="str">
        <f>Originals!F107</f>
        <v>Runtime</v>
      </c>
      <c r="G269" s="74" t="str">
        <f>Originals!G107</f>
        <v>NI</v>
      </c>
      <c r="H269" s="74" t="str">
        <f>Originals!H107</f>
        <v>NI PXI Platform Services 19.5.0f0</v>
      </c>
      <c r="I269" s="74">
        <f>Originals!I107</f>
        <v>0</v>
      </c>
    </row>
    <row r="270" spans="1:9" hidden="1" x14ac:dyDescent="0.25">
      <c r="A270" s="74" t="str">
        <f>Originals!A272</f>
        <v>4-Vinnie</v>
      </c>
      <c r="B270" s="74" t="str">
        <f>Originals!B272</f>
        <v>NI PXI Platform Services</v>
      </c>
      <c r="C270" s="74" t="str">
        <f>Originals!C272</f>
        <v>19.5.0f0</v>
      </c>
      <c r="D270" s="74" t="str">
        <f>Originals!D272</f>
        <v>32</v>
      </c>
      <c r="E270" s="74" t="str">
        <f>Originals!E272</f>
        <v>2019</v>
      </c>
      <c r="F270" s="74" t="str">
        <f>Originals!F272</f>
        <v>Runtime</v>
      </c>
      <c r="G270" s="74" t="str">
        <f>Originals!G272</f>
        <v>NI</v>
      </c>
      <c r="H270" s="74" t="str">
        <f>Originals!H272</f>
        <v>NI PXI Platform Services 19.5.0f0</v>
      </c>
      <c r="I270" s="74">
        <f>Originals!I272</f>
        <v>0</v>
      </c>
    </row>
    <row r="271" spans="1:9" x14ac:dyDescent="0.25">
      <c r="A271" s="74" t="str">
        <f>Originals!A29</f>
        <v>1-Corey</v>
      </c>
      <c r="B271" s="74" t="str">
        <f>Originals!B29</f>
        <v>NI PXI Platform Services Configuration</v>
      </c>
      <c r="C271" s="74" t="str">
        <f>Originals!C29</f>
        <v>15.0.0f1</v>
      </c>
      <c r="D271" s="74" t="str">
        <f>Originals!D29</f>
        <v>32</v>
      </c>
      <c r="E271" s="74" t="str">
        <f>Originals!E29</f>
        <v>2015</v>
      </c>
      <c r="F271" s="74" t="str">
        <f>Originals!F29</f>
        <v>Development</v>
      </c>
      <c r="G271" s="74" t="str">
        <f>Originals!G29</f>
        <v>NI</v>
      </c>
      <c r="H271" s="74" t="str">
        <f>Originals!H29</f>
        <v>NI PXI Platform Services Configuration 15.0.0f1</v>
      </c>
      <c r="I271" s="74" t="str">
        <f>Originals!I29</f>
        <v>NI Developer Suite 2015 DS2 Install</v>
      </c>
    </row>
    <row r="272" spans="1:9" x14ac:dyDescent="0.25">
      <c r="A272" s="74" t="str">
        <f>Originals!A108</f>
        <v>2-Spencer</v>
      </c>
      <c r="B272" s="74" t="str">
        <f>Originals!B108</f>
        <v>NI PXI Platform Services Configuration</v>
      </c>
      <c r="C272" s="74" t="str">
        <f>Originals!C108</f>
        <v>15.0.0f1</v>
      </c>
      <c r="D272" s="74" t="str">
        <f>Originals!D108</f>
        <v>32</v>
      </c>
      <c r="E272" s="74" t="str">
        <f>Originals!E108</f>
        <v>2015</v>
      </c>
      <c r="F272" s="74" t="str">
        <f>Originals!F108</f>
        <v>Development</v>
      </c>
      <c r="G272" s="74" t="str">
        <f>Originals!G108</f>
        <v>NI</v>
      </c>
      <c r="H272" s="74" t="str">
        <f>Originals!H108</f>
        <v>NI PXI Platform Services Configuration 15.0.0f1</v>
      </c>
      <c r="I272" s="74" t="str">
        <f>Originals!I108</f>
        <v>NI Developer Suite 2015 DS2 Install</v>
      </c>
    </row>
    <row r="273" spans="1:9" x14ac:dyDescent="0.25">
      <c r="A273" s="74" t="str">
        <f>Originals!A382</f>
        <v>5-Confluence</v>
      </c>
      <c r="B273" s="74" t="str">
        <f>Originals!B382</f>
        <v>NI PXI Platform Services Configuration</v>
      </c>
      <c r="C273" s="74" t="str">
        <f>Originals!C382</f>
        <v>18.0</v>
      </c>
      <c r="D273" s="74" t="str">
        <f>Originals!D382</f>
        <v>32</v>
      </c>
      <c r="E273" s="74" t="str">
        <f>Originals!E382</f>
        <v>2018</v>
      </c>
      <c r="F273" s="74" t="str">
        <f>Originals!F382</f>
        <v>Development</v>
      </c>
      <c r="G273" s="74" t="str">
        <f>Originals!G382</f>
        <v>NI</v>
      </c>
      <c r="H273" s="74" t="str">
        <f>Originals!H382</f>
        <v>NI PXI Platform Services Configuration 18.0</v>
      </c>
      <c r="I273" s="74" t="str">
        <f>Originals!I382</f>
        <v>CompactRIO 18.1.0</v>
      </c>
    </row>
    <row r="274" spans="1:9" x14ac:dyDescent="0.25">
      <c r="A274" s="74" t="str">
        <f>Scott!A100</f>
        <v>3-Scott</v>
      </c>
      <c r="B274" s="74" t="str">
        <f>Scott!B100</f>
        <v>NI PXI Platform Services Configuration</v>
      </c>
      <c r="C274" s="74" t="str">
        <f>Scott!C100</f>
        <v>18.0.0f0</v>
      </c>
      <c r="D274" s="74" t="str">
        <f>Scott!D100</f>
        <v>32</v>
      </c>
      <c r="E274" s="74" t="str">
        <f>Scott!E100</f>
        <v>2018</v>
      </c>
      <c r="F274" s="74" t="str">
        <f>Scott!F100</f>
        <v>Development</v>
      </c>
      <c r="G274" s="74" t="str">
        <f>Scott!G100</f>
        <v>NI</v>
      </c>
      <c r="H274" s="74" t="str">
        <f>Scott!H100</f>
        <v>NI PXI Platform Services Configuration 18.0.0f0</v>
      </c>
      <c r="I274" s="74" t="str">
        <f>Scott!I100</f>
        <v>CompactRIO 18.1.0</v>
      </c>
    </row>
    <row r="275" spans="1:9" x14ac:dyDescent="0.25">
      <c r="A275" s="74" t="str">
        <f>Originals!A273</f>
        <v>4-Vinnie</v>
      </c>
      <c r="B275" s="74" t="str">
        <f>Originals!B273</f>
        <v>NI PXI Platform Services Configuration</v>
      </c>
      <c r="C275" s="74" t="str">
        <f>Originals!C273</f>
        <v>18.5.0f2</v>
      </c>
      <c r="D275" s="74" t="str">
        <f>Originals!D273</f>
        <v>32</v>
      </c>
      <c r="E275" s="74" t="str">
        <f>Originals!E273</f>
        <v>2018</v>
      </c>
      <c r="F275" s="74" t="str">
        <f>Originals!F273</f>
        <v>Development</v>
      </c>
      <c r="G275" s="74" t="str">
        <f>Originals!G273</f>
        <v>NI</v>
      </c>
      <c r="H275" s="74" t="str">
        <f>Originals!H273</f>
        <v>NI PXI Platform Services Configuration 18.5.0f2</v>
      </c>
      <c r="I275" s="74">
        <f>Originals!I273</f>
        <v>0</v>
      </c>
    </row>
    <row r="276" spans="1:9" x14ac:dyDescent="0.25">
      <c r="A276" s="74" t="str">
        <f>Originals!A30</f>
        <v>1-Corey</v>
      </c>
      <c r="B276" s="74" t="str">
        <f>Originals!B30</f>
        <v>NI PXI Platform Services Configuration</v>
      </c>
      <c r="C276" s="74" t="str">
        <f>Originals!C30</f>
        <v>19.5.0f0</v>
      </c>
      <c r="D276" s="74" t="str">
        <f>Originals!D30</f>
        <v>32</v>
      </c>
      <c r="E276" s="74" t="str">
        <f>Originals!E30</f>
        <v>2019</v>
      </c>
      <c r="F276" s="74" t="str">
        <f>Originals!F30</f>
        <v>Development</v>
      </c>
      <c r="G276" s="74" t="str">
        <f>Originals!G30</f>
        <v>NI</v>
      </c>
      <c r="H276" s="74" t="str">
        <f>Originals!H30</f>
        <v>NI PXI Platform Services Configuration 19.5.0f0</v>
      </c>
      <c r="I276" s="74">
        <f>Originals!I30</f>
        <v>0</v>
      </c>
    </row>
    <row r="277" spans="1:9" x14ac:dyDescent="0.25">
      <c r="A277" s="74" t="str">
        <f>Originals!A31</f>
        <v>1-Corey</v>
      </c>
      <c r="B277" s="74" t="str">
        <f>Originals!B31</f>
        <v>NI R Series Multifunction RIO</v>
      </c>
      <c r="C277" s="74" t="str">
        <f>Originals!C31</f>
        <v>15.0.0</v>
      </c>
      <c r="D277" s="74" t="str">
        <f>Originals!D31</f>
        <v>32</v>
      </c>
      <c r="E277" s="74" t="str">
        <f>Originals!E31</f>
        <v>2015</v>
      </c>
      <c r="F277" s="74" t="str">
        <f>Originals!F31</f>
        <v>Development</v>
      </c>
      <c r="G277" s="74" t="str">
        <f>Originals!G31</f>
        <v>NI</v>
      </c>
      <c r="H277" s="74" t="str">
        <f>Originals!H31</f>
        <v>NI R Series Multifunction RIO 15.0.0</v>
      </c>
      <c r="I277" s="74" t="str">
        <f>Originals!I31</f>
        <v>NI Developer Suite 2015 DS2 Install</v>
      </c>
    </row>
    <row r="278" spans="1:9" x14ac:dyDescent="0.25">
      <c r="A278" s="74" t="str">
        <f>Originals!A109</f>
        <v>2-Spencer</v>
      </c>
      <c r="B278" s="74" t="str">
        <f>Originals!B109</f>
        <v>NI R Series Multifunction RIO</v>
      </c>
      <c r="C278" s="74" t="str">
        <f>Originals!C109</f>
        <v>15.0.0</v>
      </c>
      <c r="D278" s="74" t="str">
        <f>Originals!D109</f>
        <v>32</v>
      </c>
      <c r="E278" s="74" t="str">
        <f>Originals!E109</f>
        <v>2015</v>
      </c>
      <c r="F278" s="74" t="str">
        <f>Originals!F109</f>
        <v>Development</v>
      </c>
      <c r="G278" s="74" t="str">
        <f>Originals!G109</f>
        <v>NI</v>
      </c>
      <c r="H278" s="74" t="str">
        <f>Originals!H109</f>
        <v>NI R Series Multifunction RIO 15.0.0</v>
      </c>
      <c r="I278" s="74" t="str">
        <f>Originals!I109</f>
        <v>NI Developer Suite 2015 DS2 Install</v>
      </c>
    </row>
    <row r="279" spans="1:9" x14ac:dyDescent="0.25">
      <c r="A279" s="74" t="str">
        <f>Scott!A101</f>
        <v>3-Scott</v>
      </c>
      <c r="B279" s="74" t="str">
        <f>Scott!B101</f>
        <v>NI R Series Multifunction RIO</v>
      </c>
      <c r="C279" s="74" t="str">
        <f>Scott!C101</f>
        <v>15.0.0</v>
      </c>
      <c r="D279" s="74">
        <f>Scott!D101</f>
        <v>32</v>
      </c>
      <c r="E279" s="74">
        <f>Scott!E101</f>
        <v>2015</v>
      </c>
      <c r="F279" s="74" t="str">
        <f>Scott!F101</f>
        <v>Development</v>
      </c>
      <c r="G279" s="74" t="str">
        <f>Scott!G101</f>
        <v>NI</v>
      </c>
      <c r="H279" s="74" t="str">
        <f>Scott!H101</f>
        <v>NI R Series Multifunction RIO 15.0.0</v>
      </c>
      <c r="I279" s="74" t="str">
        <f>Scott!I101</f>
        <v>NI Developer Suite 2015 DS2 Install</v>
      </c>
    </row>
    <row r="280" spans="1:9" x14ac:dyDescent="0.25">
      <c r="A280" s="74" t="str">
        <f>Originals!A274</f>
        <v>4-Vinnie</v>
      </c>
      <c r="B280" s="74" t="str">
        <f>Originals!B274</f>
        <v>NI R Series Multifunction RIO</v>
      </c>
      <c r="C280" s="74" t="str">
        <f>Originals!C274</f>
        <v>15.5.0</v>
      </c>
      <c r="D280" s="74" t="str">
        <f>Originals!D274</f>
        <v>32</v>
      </c>
      <c r="E280" s="74">
        <f>Originals!E274</f>
        <v>2015</v>
      </c>
      <c r="F280" s="74" t="str">
        <f>Originals!F274</f>
        <v>Development</v>
      </c>
      <c r="G280" s="74" t="str">
        <f>Originals!G274</f>
        <v>NI</v>
      </c>
      <c r="H280" s="74" t="str">
        <f>Originals!H274</f>
        <v>NI R Series Multifunction RIO 15.5.0</v>
      </c>
      <c r="I280" s="74">
        <f>Originals!I274</f>
        <v>0</v>
      </c>
    </row>
    <row r="281" spans="1:9" hidden="1" x14ac:dyDescent="0.25">
      <c r="A281" s="74" t="str">
        <f>Originals!A275</f>
        <v>4-Vinnie</v>
      </c>
      <c r="B281" s="74" t="str">
        <f>Originals!B275</f>
        <v>NI Scan Engine</v>
      </c>
      <c r="C281" s="74" t="str">
        <f>Originals!C275</f>
        <v>4.4</v>
      </c>
      <c r="D281" s="74" t="str">
        <f>Originals!D275</f>
        <v>32</v>
      </c>
      <c r="E281" s="74" t="str">
        <f>Originals!E275</f>
        <v>N/A</v>
      </c>
      <c r="F281" s="74" t="str">
        <f>Originals!F275</f>
        <v>C-RIO</v>
      </c>
      <c r="G281" s="74" t="str">
        <f>Originals!G275</f>
        <v>NI</v>
      </c>
      <c r="H281" s="74" t="str">
        <f>Originals!H275</f>
        <v>NI Scan Engine 4.4</v>
      </c>
      <c r="I281" s="74">
        <f>Originals!I275</f>
        <v>0</v>
      </c>
    </row>
    <row r="282" spans="1:9" x14ac:dyDescent="0.25">
      <c r="A282" s="74" t="str">
        <f>Originals!A32</f>
        <v>1-Corey</v>
      </c>
      <c r="B282" s="74" t="str">
        <f>Originals!B32</f>
        <v>NI Script Editor</v>
      </c>
      <c r="C282" s="74" t="str">
        <f>Originals!C32</f>
        <v>14.0</v>
      </c>
      <c r="D282" s="74" t="str">
        <f>Originals!D32</f>
        <v>32</v>
      </c>
      <c r="E282" s="74" t="str">
        <f>Originals!E32</f>
        <v>2014</v>
      </c>
      <c r="F282" s="74" t="str">
        <f>Originals!F32</f>
        <v>Development</v>
      </c>
      <c r="G282" s="74" t="str">
        <f>Originals!G32</f>
        <v>NI</v>
      </c>
      <c r="H282" s="74" t="str">
        <f>Originals!H32</f>
        <v>NI Script Editor 14.0</v>
      </c>
      <c r="I282" s="74" t="str">
        <f>Originals!I32</f>
        <v>NI Developer Suite 2015 DS2 Install</v>
      </c>
    </row>
    <row r="283" spans="1:9" x14ac:dyDescent="0.25">
      <c r="A283" s="74" t="str">
        <f>Originals!A110</f>
        <v>2-Spencer</v>
      </c>
      <c r="B283" s="74" t="str">
        <f>Originals!B110</f>
        <v>NI Script Editor</v>
      </c>
      <c r="C283" s="74" t="str">
        <f>Originals!C110</f>
        <v>14.0</v>
      </c>
      <c r="D283" s="74" t="str">
        <f>Originals!D110</f>
        <v>32</v>
      </c>
      <c r="E283" s="74" t="str">
        <f>Originals!E110</f>
        <v>2014</v>
      </c>
      <c r="F283" s="74" t="str">
        <f>Originals!F110</f>
        <v>Development</v>
      </c>
      <c r="G283" s="74" t="str">
        <f>Originals!G110</f>
        <v>NI</v>
      </c>
      <c r="H283" s="74" t="str">
        <f>Originals!H110</f>
        <v>NI Script Editor 14.0</v>
      </c>
      <c r="I283" s="74" t="str">
        <f>Originals!I110</f>
        <v>NI Developer Suite 2015 DS2 Install</v>
      </c>
    </row>
    <row r="284" spans="1:9" x14ac:dyDescent="0.25">
      <c r="A284" s="74" t="str">
        <f>Scott!A102</f>
        <v>3-Scott</v>
      </c>
      <c r="B284" s="74" t="str">
        <f>Scott!B102</f>
        <v>NI Script Editor</v>
      </c>
      <c r="C284" s="74" t="str">
        <f>Scott!C102</f>
        <v>14.0</v>
      </c>
      <c r="D284" s="74">
        <f>Scott!D102</f>
        <v>32</v>
      </c>
      <c r="E284" s="74">
        <f>Scott!E102</f>
        <v>2014</v>
      </c>
      <c r="F284" s="74" t="str">
        <f>Scott!F102</f>
        <v>Development</v>
      </c>
      <c r="G284" s="74" t="str">
        <f>Scott!G102</f>
        <v>NI</v>
      </c>
      <c r="H284" s="74" t="str">
        <f>Scott!H102</f>
        <v>NI Script Editor 14.0</v>
      </c>
      <c r="I284" s="74" t="str">
        <f>Scott!I102</f>
        <v>NI Developer Suite 2015 DS2 Install</v>
      </c>
    </row>
    <row r="285" spans="1:9" hidden="1" x14ac:dyDescent="0.25">
      <c r="A285" s="74" t="str">
        <f>Originals!A383</f>
        <v>5-Confluence</v>
      </c>
      <c r="B285" s="74" t="str">
        <f>Originals!B383</f>
        <v>NI Serial</v>
      </c>
      <c r="C285" s="74" t="str">
        <f>Originals!C383</f>
        <v>17.5</v>
      </c>
      <c r="D285" s="74" t="str">
        <f>Originals!D383</f>
        <v>32</v>
      </c>
      <c r="E285" s="74" t="str">
        <f>Originals!E383</f>
        <v>2017</v>
      </c>
      <c r="F285" s="74" t="str">
        <f>Originals!F383</f>
        <v>Runtime</v>
      </c>
      <c r="G285" s="74" t="str">
        <f>Originals!G383</f>
        <v>NI</v>
      </c>
      <c r="H285" s="74" t="str">
        <f>Originals!H383</f>
        <v>NI Serial 17.5</v>
      </c>
      <c r="I285" s="74">
        <f>Originals!I383</f>
        <v>0</v>
      </c>
    </row>
    <row r="286" spans="1:9" hidden="1" x14ac:dyDescent="0.25">
      <c r="A286" s="74" t="str">
        <f>Originals!A276</f>
        <v>4-Vinnie</v>
      </c>
      <c r="B286" s="74" t="str">
        <f>Originals!B276</f>
        <v>NI Serial 9870 and 9871 Scan Enginer Support</v>
      </c>
      <c r="C286" s="74">
        <f>Originals!C276</f>
        <v>0</v>
      </c>
      <c r="D286" s="74" t="str">
        <f>Originals!D276</f>
        <v>32</v>
      </c>
      <c r="E286" s="74" t="str">
        <f>Originals!E276</f>
        <v>N/A</v>
      </c>
      <c r="F286" s="74" t="str">
        <f>Originals!F276</f>
        <v>C-RIO</v>
      </c>
      <c r="G286" s="74" t="str">
        <f>Originals!G276</f>
        <v>NI</v>
      </c>
      <c r="H286" s="74" t="str">
        <f>Originals!H276</f>
        <v xml:space="preserve">NI Serial 9870 and 9871 Scan Enginer Support </v>
      </c>
      <c r="I286" s="74">
        <f>Originals!I276</f>
        <v>0</v>
      </c>
    </row>
    <row r="287" spans="1:9" x14ac:dyDescent="0.25">
      <c r="A287" s="74" t="str">
        <f>Originals!A33</f>
        <v>1-Corey</v>
      </c>
      <c r="B287" s="74" t="str">
        <f>Originals!B33</f>
        <v>NI SignalExpress</v>
      </c>
      <c r="C287" s="74">
        <f>Originals!C33</f>
        <v>0</v>
      </c>
      <c r="D287" s="74" t="str">
        <f>Originals!D33</f>
        <v>32</v>
      </c>
      <c r="E287" s="74" t="str">
        <f>Originals!E33</f>
        <v>2015</v>
      </c>
      <c r="F287" s="74" t="str">
        <f>Originals!F33</f>
        <v>Development</v>
      </c>
      <c r="G287" s="74" t="str">
        <f>Originals!G33</f>
        <v>NI</v>
      </c>
      <c r="H287" s="74" t="str">
        <f>Originals!H33</f>
        <v xml:space="preserve">NI SignalExpress </v>
      </c>
      <c r="I287" s="74" t="str">
        <f>Originals!I33</f>
        <v>NI Developer Suite 2015 DS2 Install</v>
      </c>
    </row>
    <row r="288" spans="1:9" x14ac:dyDescent="0.25">
      <c r="A288" s="74" t="str">
        <f>Originals!A111</f>
        <v>2-Spencer</v>
      </c>
      <c r="B288" s="74" t="str">
        <f>Originals!B111</f>
        <v>NI SignalExpress</v>
      </c>
      <c r="C288" s="74" t="str">
        <f>Originals!C111</f>
        <v>15.0</v>
      </c>
      <c r="D288" s="74" t="str">
        <f>Originals!D111</f>
        <v>32</v>
      </c>
      <c r="E288" s="74" t="str">
        <f>Originals!E111</f>
        <v>2015</v>
      </c>
      <c r="F288" s="74" t="str">
        <f>Originals!F111</f>
        <v>Development</v>
      </c>
      <c r="G288" s="74" t="str">
        <f>Originals!G111</f>
        <v>NI</v>
      </c>
      <c r="H288" s="74" t="str">
        <f>Originals!H111</f>
        <v>NI SignalExpress 15.0</v>
      </c>
      <c r="I288" s="74" t="str">
        <f>Originals!I111</f>
        <v>NI Developer Suite 2015 DS2 Install</v>
      </c>
    </row>
    <row r="289" spans="1:9" x14ac:dyDescent="0.25">
      <c r="A289" s="74" t="str">
        <f>Scott!A103</f>
        <v>3-Scott</v>
      </c>
      <c r="B289" s="74" t="str">
        <f>Scott!B103</f>
        <v>NI SignalExpress</v>
      </c>
      <c r="C289" s="74" t="str">
        <f>Scott!C103</f>
        <v>15.0</v>
      </c>
      <c r="D289" s="74">
        <f>Scott!D103</f>
        <v>32</v>
      </c>
      <c r="E289" s="74">
        <f>Scott!E103</f>
        <v>2015</v>
      </c>
      <c r="F289" s="74" t="str">
        <f>Scott!F103</f>
        <v>Development</v>
      </c>
      <c r="G289" s="74" t="str">
        <f>Scott!G103</f>
        <v>NI</v>
      </c>
      <c r="H289" s="74" t="str">
        <f>Scott!H103</f>
        <v>NI SignalExpress 15.0</v>
      </c>
      <c r="I289" s="74" t="str">
        <f>Scott!I103</f>
        <v>NI Developer Suite 2015 DS2 Install</v>
      </c>
    </row>
    <row r="290" spans="1:9" hidden="1" x14ac:dyDescent="0.25">
      <c r="A290" s="74" t="str">
        <f>Originals!A277</f>
        <v>4-Vinnie</v>
      </c>
      <c r="B290" s="74" t="str">
        <f>Originals!B277</f>
        <v>NI String Tools Library</v>
      </c>
      <c r="C290" s="74" t="str">
        <f>Originals!C277</f>
        <v>2.0.0.5</v>
      </c>
      <c r="D290" s="74" t="str">
        <f>Originals!D277</f>
        <v>32</v>
      </c>
      <c r="E290" s="74" t="str">
        <f>Originals!E277</f>
        <v>N/A</v>
      </c>
      <c r="F290" s="74" t="str">
        <f>Originals!F277</f>
        <v>Development</v>
      </c>
      <c r="G290" s="74" t="str">
        <f>Originals!G277</f>
        <v>NI</v>
      </c>
      <c r="H290" s="74" t="str">
        <f>Originals!H277</f>
        <v>NI String Tools Library 2.0.0.5</v>
      </c>
      <c r="I290" s="74" t="str">
        <f>Originals!I277</f>
        <v>VIPM Community</v>
      </c>
    </row>
    <row r="291" spans="1:9" hidden="1" x14ac:dyDescent="0.25">
      <c r="A291" s="74" t="str">
        <f>Scott!A98</f>
        <v>3-Scott</v>
      </c>
      <c r="B291" s="74" t="str">
        <f>Scott!B98</f>
        <v>NI String Tools Library</v>
      </c>
      <c r="C291" s="74" t="str">
        <f>Scott!C98</f>
        <v>2.0.0.5</v>
      </c>
      <c r="D291" s="74" t="str">
        <f>Scott!D98</f>
        <v>32</v>
      </c>
      <c r="E291" s="74" t="str">
        <f>Scott!E98</f>
        <v>N/A</v>
      </c>
      <c r="F291" s="74" t="str">
        <f>Scott!F98</f>
        <v>Development</v>
      </c>
      <c r="G291" s="74" t="str">
        <f>Scott!G98</f>
        <v>NI</v>
      </c>
      <c r="H291" s="74" t="str">
        <f>Scott!H98</f>
        <v>NI String Tools Library 2.0.0.5</v>
      </c>
      <c r="I291" s="74" t="str">
        <f>Scott!I98</f>
        <v>VIPM Community</v>
      </c>
    </row>
    <row r="292" spans="1:9" x14ac:dyDescent="0.25">
      <c r="A292" s="74" t="str">
        <f>Originals!A384</f>
        <v>5-Confluence</v>
      </c>
      <c r="B292" s="74" t="str">
        <f>Originals!B384</f>
        <v>NI System Configuration</v>
      </c>
      <c r="C292" s="74" t="str">
        <f>Originals!C384</f>
        <v>18.1</v>
      </c>
      <c r="D292" s="74" t="str">
        <f>Originals!D384</f>
        <v>32</v>
      </c>
      <c r="E292" s="74" t="str">
        <f>Originals!E384</f>
        <v>2018</v>
      </c>
      <c r="F292" s="74" t="str">
        <f>Originals!F384</f>
        <v>Development</v>
      </c>
      <c r="G292" s="74" t="str">
        <f>Originals!G384</f>
        <v>NI</v>
      </c>
      <c r="H292" s="74" t="str">
        <f>Originals!H384</f>
        <v>NI System Configuration 18.1</v>
      </c>
      <c r="I292" s="74">
        <f>Originals!I384</f>
        <v>0</v>
      </c>
    </row>
    <row r="293" spans="1:9" x14ac:dyDescent="0.25">
      <c r="A293" s="74" t="str">
        <f>Scott!A104</f>
        <v>3-Scott</v>
      </c>
      <c r="B293" s="74" t="str">
        <f>Scott!B104</f>
        <v>NI System Configuration</v>
      </c>
      <c r="C293" s="74" t="str">
        <f>Scott!C104</f>
        <v>19.0.0f0</v>
      </c>
      <c r="D293" s="74">
        <f>Scott!D104</f>
        <v>32</v>
      </c>
      <c r="E293" s="74">
        <f>Scott!E104</f>
        <v>2019</v>
      </c>
      <c r="F293" s="74" t="str">
        <f>Scott!F104</f>
        <v>Development</v>
      </c>
      <c r="G293" s="74" t="str">
        <f>Scott!G104</f>
        <v>NI</v>
      </c>
      <c r="H293" s="74" t="str">
        <f>Scott!H104</f>
        <v>NI System Configuration 19.0.0f0</v>
      </c>
      <c r="I293" s="74" t="str">
        <f>Scott!I104</f>
        <v>LabVIEW 2019</v>
      </c>
    </row>
    <row r="294" spans="1:9" x14ac:dyDescent="0.25">
      <c r="A294" s="74" t="str">
        <f>Originals!A34</f>
        <v>1-Corey</v>
      </c>
      <c r="B294" s="74" t="str">
        <f>Originals!B34</f>
        <v>NI System Configuration</v>
      </c>
      <c r="C294" s="74" t="str">
        <f>Originals!C34</f>
        <v>19.5.0f0</v>
      </c>
      <c r="D294" s="74" t="str">
        <f>Originals!D34</f>
        <v>32</v>
      </c>
      <c r="E294" s="74" t="str">
        <f>Originals!E34</f>
        <v>2019</v>
      </c>
      <c r="F294" s="74" t="str">
        <f>Originals!F34</f>
        <v>Development</v>
      </c>
      <c r="G294" s="74" t="str">
        <f>Originals!G34</f>
        <v>NI</v>
      </c>
      <c r="H294" s="74" t="str">
        <f>Originals!H34</f>
        <v>NI System Configuration 19.5.0f0</v>
      </c>
      <c r="I294" s="74">
        <f>Originals!I34</f>
        <v>0</v>
      </c>
    </row>
    <row r="295" spans="1:9" x14ac:dyDescent="0.25">
      <c r="A295" s="74" t="str">
        <f>Originals!A112</f>
        <v>2-Spencer</v>
      </c>
      <c r="B295" s="74" t="str">
        <f>Originals!B112</f>
        <v>NI System Configuration</v>
      </c>
      <c r="C295" s="74" t="str">
        <f>Originals!C112</f>
        <v>19.5.0f0</v>
      </c>
      <c r="D295" s="74" t="str">
        <f>Originals!D112</f>
        <v>32</v>
      </c>
      <c r="E295" s="74" t="str">
        <f>Originals!E112</f>
        <v>2019</v>
      </c>
      <c r="F295" s="74" t="str">
        <f>Originals!F112</f>
        <v>Development</v>
      </c>
      <c r="G295" s="74" t="str">
        <f>Originals!G112</f>
        <v>NI</v>
      </c>
      <c r="H295" s="74" t="str">
        <f>Originals!H112</f>
        <v>NI System Configuration 19.5.0f0</v>
      </c>
      <c r="I295" s="74">
        <f>Originals!I112</f>
        <v>0</v>
      </c>
    </row>
    <row r="296" spans="1:9" x14ac:dyDescent="0.25">
      <c r="A296" s="74" t="str">
        <f>Originals!A278</f>
        <v>4-Vinnie</v>
      </c>
      <c r="B296" s="74" t="str">
        <f>Originals!B278</f>
        <v>NI System Configuration</v>
      </c>
      <c r="C296" s="74" t="str">
        <f>Originals!C278</f>
        <v>19.5.0f0</v>
      </c>
      <c r="D296" s="74" t="str">
        <f>Originals!D278</f>
        <v>32</v>
      </c>
      <c r="E296" s="74" t="str">
        <f>Originals!E278</f>
        <v>2019</v>
      </c>
      <c r="F296" s="74" t="str">
        <f>Originals!F278</f>
        <v>Development</v>
      </c>
      <c r="G296" s="74" t="str">
        <f>Originals!G278</f>
        <v>NI</v>
      </c>
      <c r="H296" s="74" t="str">
        <f>Originals!H278</f>
        <v>NI System Configuration 19.5.0f0</v>
      </c>
      <c r="I296" s="74">
        <f>Originals!I278</f>
        <v>0</v>
      </c>
    </row>
    <row r="297" spans="1:9" hidden="1" x14ac:dyDescent="0.25">
      <c r="A297" s="74" t="str">
        <f>Originals!A279</f>
        <v>4-Vinnie</v>
      </c>
      <c r="B297" s="74" t="str">
        <f>Originals!B279</f>
        <v>NI System Configuration Remote Support</v>
      </c>
      <c r="C297" s="74">
        <f>Originals!C279</f>
        <v>0</v>
      </c>
      <c r="D297" s="74" t="str">
        <f>Originals!D279</f>
        <v>32</v>
      </c>
      <c r="E297" s="74" t="str">
        <f>Originals!E279</f>
        <v>N/A</v>
      </c>
      <c r="F297" s="74" t="str">
        <f>Originals!F279</f>
        <v>C-RIO</v>
      </c>
      <c r="G297" s="74" t="str">
        <f>Originals!G279</f>
        <v>NI</v>
      </c>
      <c r="H297" s="74" t="str">
        <f>Originals!H279</f>
        <v xml:space="preserve">NI System Configuration Remote Support </v>
      </c>
      <c r="I297" s="74">
        <f>Originals!I279</f>
        <v>0</v>
      </c>
    </row>
    <row r="298" spans="1:9" hidden="1" x14ac:dyDescent="0.25">
      <c r="A298" s="74" t="str">
        <f>Originals!A280</f>
        <v>4-Vinnie</v>
      </c>
      <c r="B298" s="74" t="str">
        <f>Originals!B280</f>
        <v>NI Systems Configuration</v>
      </c>
      <c r="C298" s="74" t="str">
        <f>Originals!C280</f>
        <v>15.3.0</v>
      </c>
      <c r="D298" s="74" t="str">
        <f>Originals!D280</f>
        <v>32</v>
      </c>
      <c r="E298" s="74" t="str">
        <f>Originals!E280</f>
        <v>2015</v>
      </c>
      <c r="F298" s="74" t="str">
        <f>Originals!F280</f>
        <v>C-RIO</v>
      </c>
      <c r="G298" s="74" t="str">
        <f>Originals!G280</f>
        <v>NI</v>
      </c>
      <c r="H298" s="74" t="str">
        <f>Originals!H280</f>
        <v>NI Systems Configuration 15.3.0</v>
      </c>
      <c r="I298" s="74">
        <f>Originals!I280</f>
        <v>0</v>
      </c>
    </row>
    <row r="299" spans="1:9" hidden="1" x14ac:dyDescent="0.25">
      <c r="A299" s="74" t="str">
        <f>Originals!A281</f>
        <v>4-Vinnie</v>
      </c>
      <c r="B299" s="74" t="str">
        <f>Originals!B281</f>
        <v>NI Web-based Configuration and Monitoring</v>
      </c>
      <c r="C299" s="74">
        <f>Originals!C281</f>
        <v>0</v>
      </c>
      <c r="D299" s="74" t="str">
        <f>Originals!D281</f>
        <v>32</v>
      </c>
      <c r="E299" s="74" t="str">
        <f>Originals!E281</f>
        <v>N/A</v>
      </c>
      <c r="F299" s="74" t="str">
        <f>Originals!F281</f>
        <v>C-RIO</v>
      </c>
      <c r="G299" s="74" t="str">
        <f>Originals!G281</f>
        <v>NI</v>
      </c>
      <c r="H299" s="74" t="str">
        <f>Originals!H281</f>
        <v xml:space="preserve">NI Web-based Configuration and Monitoring </v>
      </c>
      <c r="I299" s="74">
        <f>Originals!I281</f>
        <v>0</v>
      </c>
    </row>
    <row r="300" spans="1:9" hidden="1" x14ac:dyDescent="0.25">
      <c r="A300" s="74" t="str">
        <f>Originals!A282</f>
        <v>4-Vinnie</v>
      </c>
      <c r="B300" s="74" t="str">
        <f>Originals!B282</f>
        <v>NI Wireless Certificate Web Services</v>
      </c>
      <c r="C300" s="74" t="str">
        <f>Originals!C282</f>
        <v>15.0.0</v>
      </c>
      <c r="D300" s="74" t="str">
        <f>Originals!D282</f>
        <v>32</v>
      </c>
      <c r="E300" s="74" t="str">
        <f>Originals!E282</f>
        <v>2015</v>
      </c>
      <c r="F300" s="74" t="str">
        <f>Originals!F282</f>
        <v>C-RIO</v>
      </c>
      <c r="G300" s="74" t="str">
        <f>Originals!G282</f>
        <v>NI</v>
      </c>
      <c r="H300" s="74" t="str">
        <f>Originals!H282</f>
        <v>NI Wireless Certificate Web Services 15.0.0</v>
      </c>
      <c r="I300" s="74">
        <f>Originals!I282</f>
        <v>0</v>
      </c>
    </row>
    <row r="301" spans="1:9" x14ac:dyDescent="0.25">
      <c r="A301" s="74" t="str">
        <f>Originals!A35</f>
        <v>1-Corey</v>
      </c>
      <c r="B301" s="74" t="str">
        <f>Originals!B35</f>
        <v>NI-488.2</v>
      </c>
      <c r="C301" s="74" t="str">
        <f>Originals!C35</f>
        <v>15.0.0</v>
      </c>
      <c r="D301" s="74" t="str">
        <f>Originals!D35</f>
        <v>32</v>
      </c>
      <c r="E301" s="74" t="str">
        <f>Originals!E35</f>
        <v>2015</v>
      </c>
      <c r="F301" s="74" t="str">
        <f>Originals!F35</f>
        <v>Development</v>
      </c>
      <c r="G301" s="74" t="str">
        <f>Originals!G35</f>
        <v>NI</v>
      </c>
      <c r="H301" s="74" t="str">
        <f>Originals!H35</f>
        <v>NI-488.2 15.0.0</v>
      </c>
      <c r="I301" s="74" t="str">
        <f>Originals!I35</f>
        <v>NI Developer Suite 2015 DS2 Install</v>
      </c>
    </row>
    <row r="302" spans="1:9" x14ac:dyDescent="0.25">
      <c r="A302" s="74" t="str">
        <f>Originals!A113</f>
        <v>2-Spencer</v>
      </c>
      <c r="B302" s="74" t="str">
        <f>Originals!B113</f>
        <v>NI-488.2</v>
      </c>
      <c r="C302" s="74" t="str">
        <f>Originals!C113</f>
        <v>15.0.0</v>
      </c>
      <c r="D302" s="74" t="str">
        <f>Originals!D113</f>
        <v>32</v>
      </c>
      <c r="E302" s="74" t="str">
        <f>Originals!E113</f>
        <v>2015</v>
      </c>
      <c r="F302" s="74" t="str">
        <f>Originals!F113</f>
        <v>Development</v>
      </c>
      <c r="G302" s="74" t="str">
        <f>Originals!G113</f>
        <v>NI</v>
      </c>
      <c r="H302" s="74" t="str">
        <f>Originals!H113</f>
        <v>NI-488.2 15.0.0</v>
      </c>
      <c r="I302" s="74" t="str">
        <f>Originals!I113</f>
        <v>NI Developer Suite 2015 DS2 Install</v>
      </c>
    </row>
    <row r="303" spans="1:9" x14ac:dyDescent="0.25">
      <c r="A303" s="74" t="str">
        <f>Scott!A106</f>
        <v>3-Scott</v>
      </c>
      <c r="B303" s="74" t="str">
        <f>Scott!B106</f>
        <v>NI-488.2</v>
      </c>
      <c r="C303" s="74" t="str">
        <f>Scott!C106</f>
        <v>15.0.0</v>
      </c>
      <c r="D303" s="74">
        <f>Scott!D106</f>
        <v>32</v>
      </c>
      <c r="E303" s="74">
        <f>Scott!E106</f>
        <v>2015</v>
      </c>
      <c r="F303" s="74" t="str">
        <f>Scott!F106</f>
        <v>Development</v>
      </c>
      <c r="G303" s="74" t="str">
        <f>Scott!G106</f>
        <v>NI</v>
      </c>
      <c r="H303" s="74" t="str">
        <f>Scott!H106</f>
        <v>NI-488.2 15.0.0</v>
      </c>
      <c r="I303" s="74" t="str">
        <f>Scott!I106</f>
        <v>NI Developer Suite 2015 DS2 Install</v>
      </c>
    </row>
    <row r="304" spans="1:9" hidden="1" x14ac:dyDescent="0.25">
      <c r="A304" s="74" t="str">
        <f>Originals!A385</f>
        <v>5-Confluence</v>
      </c>
      <c r="B304" s="74" t="str">
        <f>Originals!B385</f>
        <v>NI-488.2</v>
      </c>
      <c r="C304" s="74" t="str">
        <f>Originals!C385</f>
        <v>15.5</v>
      </c>
      <c r="D304" s="74" t="str">
        <f>Originals!D385</f>
        <v>32</v>
      </c>
      <c r="E304" s="74" t="str">
        <f>Originals!E385</f>
        <v>2015</v>
      </c>
      <c r="F304" s="74" t="str">
        <f>Originals!F385</f>
        <v>Runtime</v>
      </c>
      <c r="G304" s="74" t="str">
        <f>Originals!G385</f>
        <v>NI</v>
      </c>
      <c r="H304" s="74" t="str">
        <f>Originals!H385</f>
        <v>NI-488.2 15.5</v>
      </c>
      <c r="I304" s="74">
        <f>Originals!I385</f>
        <v>0</v>
      </c>
    </row>
    <row r="305" spans="1:9" x14ac:dyDescent="0.25">
      <c r="A305" s="74" t="str">
        <f>Originals!A283</f>
        <v>4-Vinnie</v>
      </c>
      <c r="B305" s="74" t="str">
        <f>Originals!B283</f>
        <v>NI-488.2</v>
      </c>
      <c r="C305" s="74" t="str">
        <f>Originals!C283</f>
        <v>15.5.0</v>
      </c>
      <c r="D305" s="74" t="str">
        <f>Originals!D283</f>
        <v>32</v>
      </c>
      <c r="E305" s="74" t="str">
        <f>Originals!E283</f>
        <v>2019</v>
      </c>
      <c r="F305" s="74" t="str">
        <f>Originals!F283</f>
        <v>Development</v>
      </c>
      <c r="G305" s="74" t="str">
        <f>Originals!G283</f>
        <v>NI</v>
      </c>
      <c r="H305" s="74" t="str">
        <f>Originals!H283</f>
        <v>NI-488.2 15.5.0</v>
      </c>
      <c r="I305" s="74">
        <f>Originals!I283</f>
        <v>0</v>
      </c>
    </row>
    <row r="306" spans="1:9" hidden="1" x14ac:dyDescent="0.25">
      <c r="A306" s="74" t="str">
        <f>Scott!A105</f>
        <v>3-Scott</v>
      </c>
      <c r="B306" s="74" t="str">
        <f>Scott!B105</f>
        <v>NI-488.2</v>
      </c>
      <c r="C306" s="74" t="str">
        <f>Scott!C105</f>
        <v>19.0.0</v>
      </c>
      <c r="D306" s="74">
        <f>Scott!D105</f>
        <v>32</v>
      </c>
      <c r="E306" s="74">
        <f>Scott!E105</f>
        <v>2019</v>
      </c>
      <c r="F306" s="74" t="str">
        <f>Scott!F105</f>
        <v>Runtime</v>
      </c>
      <c r="G306" s="74" t="str">
        <f>Scott!G105</f>
        <v>NI</v>
      </c>
      <c r="H306" s="74" t="str">
        <f>Scott!H105</f>
        <v>NI-488.2 19.0.0</v>
      </c>
      <c r="I306" s="74" t="str">
        <f>Scott!I105</f>
        <v>LabVIEW 2019</v>
      </c>
    </row>
    <row r="307" spans="1:9" hidden="1" x14ac:dyDescent="0.25">
      <c r="A307" s="74" t="str">
        <f>Originals!A36</f>
        <v>1-Corey</v>
      </c>
      <c r="B307" s="74" t="str">
        <f>Originals!B36</f>
        <v>NI-488.2</v>
      </c>
      <c r="C307" s="74" t="str">
        <f>Originals!C36</f>
        <v>19.5.0</v>
      </c>
      <c r="D307" s="74" t="str">
        <f>Originals!D36</f>
        <v>32</v>
      </c>
      <c r="E307" s="74" t="str">
        <f>Originals!E36</f>
        <v>2019</v>
      </c>
      <c r="F307" s="74" t="str">
        <f>Originals!F36</f>
        <v>Runtime</v>
      </c>
      <c r="G307" s="74" t="str">
        <f>Originals!G36</f>
        <v>NI</v>
      </c>
      <c r="H307" s="74" t="str">
        <f>Originals!H36</f>
        <v>NI-488.2 19.5.0</v>
      </c>
      <c r="I307" s="74">
        <f>Originals!I36</f>
        <v>0</v>
      </c>
    </row>
    <row r="308" spans="1:9" hidden="1" x14ac:dyDescent="0.25">
      <c r="A308" s="74" t="str">
        <f>Originals!A114</f>
        <v>2-Spencer</v>
      </c>
      <c r="B308" s="74" t="str">
        <f>Originals!B114</f>
        <v>NI-488.2</v>
      </c>
      <c r="C308" s="74" t="str">
        <f>Originals!C114</f>
        <v>19.5.0</v>
      </c>
      <c r="D308" s="74" t="str">
        <f>Originals!D114</f>
        <v>32</v>
      </c>
      <c r="E308" s="74" t="str">
        <f>Originals!E114</f>
        <v>2019</v>
      </c>
      <c r="F308" s="74" t="str">
        <f>Originals!F114</f>
        <v>Runtime</v>
      </c>
      <c r="G308" s="74" t="str">
        <f>Originals!G114</f>
        <v>NI</v>
      </c>
      <c r="H308" s="74" t="str">
        <f>Originals!H114</f>
        <v>NI-488.2 19.5.0</v>
      </c>
      <c r="I308" s="74">
        <f>Originals!I114</f>
        <v>0</v>
      </c>
    </row>
    <row r="309" spans="1:9" hidden="1" x14ac:dyDescent="0.25">
      <c r="A309" s="74" t="str">
        <f>Originals!A284</f>
        <v>4-Vinnie</v>
      </c>
      <c r="B309" s="74" t="str">
        <f>Originals!B284</f>
        <v>NI-488.2</v>
      </c>
      <c r="C309" s="74" t="str">
        <f>Originals!C284</f>
        <v>19.5.0</v>
      </c>
      <c r="D309" s="74" t="str">
        <f>Originals!D284</f>
        <v>32</v>
      </c>
      <c r="E309" s="74" t="str">
        <f>Originals!E284</f>
        <v>2019</v>
      </c>
      <c r="F309" s="74" t="str">
        <f>Originals!F284</f>
        <v>Runtime</v>
      </c>
      <c r="G309" s="74" t="str">
        <f>Originals!G284</f>
        <v>NI</v>
      </c>
      <c r="H309" s="74" t="str">
        <f>Originals!H284</f>
        <v>NI-488.2 19.5.0</v>
      </c>
      <c r="I309" s="74">
        <f>Originals!I284</f>
        <v>0</v>
      </c>
    </row>
    <row r="310" spans="1:9" x14ac:dyDescent="0.25">
      <c r="A310" s="74" t="str">
        <f>Originals!A285</f>
        <v>4-Vinnie</v>
      </c>
      <c r="B310" s="74" t="str">
        <f>Originals!B285</f>
        <v>NI-CAN</v>
      </c>
      <c r="C310" s="74" t="str">
        <f>Originals!C285</f>
        <v>15.0.0f0</v>
      </c>
      <c r="D310" s="74" t="str">
        <f>Originals!D285</f>
        <v>32</v>
      </c>
      <c r="E310" s="74">
        <f>Originals!E285</f>
        <v>2015</v>
      </c>
      <c r="F310" s="74" t="str">
        <f>Originals!F285</f>
        <v>Development</v>
      </c>
      <c r="G310" s="74" t="str">
        <f>Originals!G285</f>
        <v>NI</v>
      </c>
      <c r="H310" s="74" t="str">
        <f>Originals!H285</f>
        <v>NI-CAN 15.0.0f0</v>
      </c>
      <c r="I310" s="74">
        <f>Originals!I285</f>
        <v>0</v>
      </c>
    </row>
    <row r="311" spans="1:9" x14ac:dyDescent="0.25">
      <c r="A311" s="74" t="str">
        <f>Scott!A107</f>
        <v>3-Scott</v>
      </c>
      <c r="B311" s="74" t="str">
        <f>Scott!B107</f>
        <v>NI-CAN</v>
      </c>
      <c r="C311" s="74" t="str">
        <f>Scott!C107</f>
        <v>15.0.0f0</v>
      </c>
      <c r="D311" s="74" t="str">
        <f>Scott!D107</f>
        <v>32</v>
      </c>
      <c r="E311" s="74">
        <f>Scott!E107</f>
        <v>2015</v>
      </c>
      <c r="F311" s="74" t="str">
        <f>Scott!F107</f>
        <v>Development</v>
      </c>
      <c r="G311" s="74" t="str">
        <f>Scott!G107</f>
        <v>NI</v>
      </c>
      <c r="H311" s="74" t="str">
        <f>Scott!H107</f>
        <v>NI-CAN 15.0.0f0</v>
      </c>
      <c r="I311" s="74" t="str">
        <f>Scott!I107</f>
        <v>NI CAN 15.0</v>
      </c>
    </row>
    <row r="312" spans="1:9" x14ac:dyDescent="0.25">
      <c r="A312" s="74" t="str">
        <f>Scott!A205</f>
        <v>3-Scott</v>
      </c>
      <c r="B312" s="74" t="str">
        <f>Scott!B205</f>
        <v>NI-CAN</v>
      </c>
      <c r="C312" s="74" t="str">
        <f>Scott!C205</f>
        <v>15.0.0f0</v>
      </c>
      <c r="D312" s="74">
        <f>Scott!D205</f>
        <v>32</v>
      </c>
      <c r="E312" s="74">
        <f>Scott!E205</f>
        <v>2015</v>
      </c>
      <c r="F312" s="74" t="str">
        <f>Scott!F205</f>
        <v>Development</v>
      </c>
      <c r="G312" s="74" t="str">
        <f>Scott!G205</f>
        <v>NI</v>
      </c>
      <c r="H312" s="74" t="str">
        <f>Scott!H205</f>
        <v>NI-CAN 15.0.0f0</v>
      </c>
      <c r="I312" s="74" t="str">
        <f>Scott!I205</f>
        <v>NI-CAN 15.0</v>
      </c>
    </row>
    <row r="313" spans="1:9" x14ac:dyDescent="0.25">
      <c r="A313" s="74" t="str">
        <f>Originals!A37</f>
        <v>1-Corey</v>
      </c>
      <c r="B313" s="74" t="str">
        <f>Originals!B37</f>
        <v>NI-DAQmx ADE Support</v>
      </c>
      <c r="C313" s="74" t="str">
        <f>Originals!C37</f>
        <v>15.0.0</v>
      </c>
      <c r="D313" s="74" t="str">
        <f>Originals!D37</f>
        <v>32</v>
      </c>
      <c r="E313" s="74" t="str">
        <f>Originals!E37</f>
        <v>2015</v>
      </c>
      <c r="F313" s="74" t="str">
        <f>Originals!F37</f>
        <v>Development</v>
      </c>
      <c r="G313" s="74" t="str">
        <f>Originals!G37</f>
        <v>NI</v>
      </c>
      <c r="H313" s="74" t="str">
        <f>Originals!H37</f>
        <v>NI-DAQmx ADE Support 15.0.0</v>
      </c>
      <c r="I313" s="74" t="str">
        <f>Originals!I37</f>
        <v>NI Developer Suite 2015 DS2 Install</v>
      </c>
    </row>
    <row r="314" spans="1:9" x14ac:dyDescent="0.25">
      <c r="A314" s="74" t="str">
        <f>Originals!A115</f>
        <v>2-Spencer</v>
      </c>
      <c r="B314" s="74" t="str">
        <f>Originals!B115</f>
        <v>NI-DAQmx ADE Support</v>
      </c>
      <c r="C314" s="74" t="str">
        <f>Originals!C115</f>
        <v>15.0.0</v>
      </c>
      <c r="D314" s="74" t="str">
        <f>Originals!D115</f>
        <v>32</v>
      </c>
      <c r="E314" s="74" t="str">
        <f>Originals!E115</f>
        <v>2015</v>
      </c>
      <c r="F314" s="74" t="str">
        <f>Originals!F115</f>
        <v>Development</v>
      </c>
      <c r="G314" s="74" t="str">
        <f>Originals!G115</f>
        <v>NI</v>
      </c>
      <c r="H314" s="74" t="str">
        <f>Originals!H115</f>
        <v>NI-DAQmx ADE Support 15.0.0</v>
      </c>
      <c r="I314" s="74" t="str">
        <f>Originals!I115</f>
        <v>NI Developer Suite 2015 DS2 Install</v>
      </c>
    </row>
    <row r="315" spans="1:9" x14ac:dyDescent="0.25">
      <c r="A315" s="74" t="str">
        <f>Originals!A386</f>
        <v>5-Confluence</v>
      </c>
      <c r="B315" s="74" t="str">
        <f>Originals!B386</f>
        <v>NI-DAQmx ADE Support</v>
      </c>
      <c r="C315" s="74" t="str">
        <f>Originals!C386</f>
        <v>18.1</v>
      </c>
      <c r="D315" s="74" t="str">
        <f>Originals!D386</f>
        <v>32</v>
      </c>
      <c r="E315" s="74" t="str">
        <f>Originals!E386</f>
        <v>2018</v>
      </c>
      <c r="F315" s="74" t="str">
        <f>Originals!F386</f>
        <v>Development</v>
      </c>
      <c r="G315" s="74" t="str">
        <f>Originals!G386</f>
        <v>NI</v>
      </c>
      <c r="H315" s="74" t="str">
        <f>Originals!H386</f>
        <v>NI-DAQmx ADE Support 18.1</v>
      </c>
      <c r="I315" s="74" t="str">
        <f>Originals!I386</f>
        <v>CompactRIO 18.1.0</v>
      </c>
    </row>
    <row r="316" spans="1:9" x14ac:dyDescent="0.25">
      <c r="A316" s="74" t="str">
        <f>Scott!A108</f>
        <v>3-Scott</v>
      </c>
      <c r="B316" s="74" t="str">
        <f>Scott!B108</f>
        <v>NI-DAQmx ADE Support</v>
      </c>
      <c r="C316" s="74" t="str">
        <f>Scott!C108</f>
        <v>18.1.0</v>
      </c>
      <c r="D316" s="74" t="str">
        <f>Scott!D108</f>
        <v>32</v>
      </c>
      <c r="E316" s="74" t="str">
        <f>Scott!E108</f>
        <v>2018</v>
      </c>
      <c r="F316" s="74" t="str">
        <f>Scott!F108</f>
        <v>Development</v>
      </c>
      <c r="G316" s="74" t="str">
        <f>Scott!G108</f>
        <v>NI</v>
      </c>
      <c r="H316" s="74" t="str">
        <f>Scott!H108</f>
        <v>NI-DAQmx ADE Support 18.1.0</v>
      </c>
      <c r="I316" s="74" t="str">
        <f>Scott!I108</f>
        <v>CompactRIO 18.1.0</v>
      </c>
    </row>
    <row r="317" spans="1:9" x14ac:dyDescent="0.25">
      <c r="A317" s="74" t="str">
        <f>Originals!A286</f>
        <v>4-Vinnie</v>
      </c>
      <c r="B317" s="74" t="str">
        <f>Originals!B286</f>
        <v>NI-DAQmx ADE Support</v>
      </c>
      <c r="C317" s="74" t="str">
        <f>Originals!C286</f>
        <v>18.5.0</v>
      </c>
      <c r="D317" s="74" t="str">
        <f>Originals!D286</f>
        <v>32</v>
      </c>
      <c r="E317" s="74" t="str">
        <f>Originals!E286</f>
        <v>2018</v>
      </c>
      <c r="F317" s="74" t="str">
        <f>Originals!F286</f>
        <v>Development</v>
      </c>
      <c r="G317" s="74" t="str">
        <f>Originals!G286</f>
        <v>NI</v>
      </c>
      <c r="H317" s="74" t="str">
        <f>Originals!H286</f>
        <v>NI-DAQmx ADE Support 18.5.0</v>
      </c>
      <c r="I317" s="74">
        <f>Originals!I286</f>
        <v>0</v>
      </c>
    </row>
    <row r="318" spans="1:9" x14ac:dyDescent="0.25">
      <c r="A318" s="74" t="str">
        <f>Originals!A38</f>
        <v>1-Corey</v>
      </c>
      <c r="B318" s="74" t="str">
        <f>Originals!B38</f>
        <v>NI-DAQmx Device Driver</v>
      </c>
      <c r="C318" s="74" t="str">
        <f>Originals!C38</f>
        <v>15.0.0f2</v>
      </c>
      <c r="D318" s="74" t="str">
        <f>Originals!D38</f>
        <v>32</v>
      </c>
      <c r="E318" s="74" t="str">
        <f>Originals!E38</f>
        <v>2015</v>
      </c>
      <c r="F318" s="74" t="str">
        <f>Originals!F38</f>
        <v>Development</v>
      </c>
      <c r="G318" s="74" t="str">
        <f>Originals!G38</f>
        <v>NI</v>
      </c>
      <c r="H318" s="74" t="str">
        <f>Originals!H38</f>
        <v>NI-DAQmx Device Driver 15.0.0f2</v>
      </c>
      <c r="I318" s="74" t="str">
        <f>Originals!I38</f>
        <v>NI Developer Suite 2015 DS2 Install</v>
      </c>
    </row>
    <row r="319" spans="1:9" x14ac:dyDescent="0.25">
      <c r="A319" s="74" t="str">
        <f>Originals!A116</f>
        <v>2-Spencer</v>
      </c>
      <c r="B319" s="74" t="str">
        <f>Originals!B116</f>
        <v>NI-DAQmx Device Driver</v>
      </c>
      <c r="C319" s="74" t="str">
        <f>Originals!C116</f>
        <v>15.0.0f2</v>
      </c>
      <c r="D319" s="74" t="str">
        <f>Originals!D116</f>
        <v>32</v>
      </c>
      <c r="E319" s="74" t="str">
        <f>Originals!E116</f>
        <v>2015</v>
      </c>
      <c r="F319" s="74" t="str">
        <f>Originals!F116</f>
        <v>Development</v>
      </c>
      <c r="G319" s="74" t="str">
        <f>Originals!G116</f>
        <v>NI</v>
      </c>
      <c r="H319" s="74" t="str">
        <f>Originals!H116</f>
        <v>NI-DAQmx Device Driver 15.0.0f2</v>
      </c>
      <c r="I319" s="74" t="str">
        <f>Originals!I116</f>
        <v>NI Developer Suite 2015 DS2 Install</v>
      </c>
    </row>
    <row r="320" spans="1:9" x14ac:dyDescent="0.25">
      <c r="A320" s="74" t="str">
        <f>Originals!A387</f>
        <v>5-Confluence</v>
      </c>
      <c r="B320" s="74" t="str">
        <f>Originals!B387</f>
        <v>NI-DAQmx Device Driver</v>
      </c>
      <c r="C320" s="74" t="str">
        <f>Originals!C387</f>
        <v>18.1</v>
      </c>
      <c r="D320" s="74" t="str">
        <f>Originals!D387</f>
        <v>32</v>
      </c>
      <c r="E320" s="74" t="str">
        <f>Originals!E387</f>
        <v>2018</v>
      </c>
      <c r="F320" s="74" t="str">
        <f>Originals!F387</f>
        <v>Development</v>
      </c>
      <c r="G320" s="74" t="str">
        <f>Originals!G387</f>
        <v>NI</v>
      </c>
      <c r="H320" s="74" t="str">
        <f>Originals!H387</f>
        <v>NI-DAQmx Device Driver 18.1</v>
      </c>
      <c r="I320" s="74" t="str">
        <f>Originals!I387</f>
        <v>CompactRIO 18.1.0</v>
      </c>
    </row>
    <row r="321" spans="1:9" x14ac:dyDescent="0.25">
      <c r="A321" s="74" t="str">
        <f>Scott!A109</f>
        <v>3-Scott</v>
      </c>
      <c r="B321" s="74" t="str">
        <f>Scott!B109</f>
        <v>NI-DAQmx Device Driver</v>
      </c>
      <c r="C321" s="74" t="str">
        <f>Scott!C109</f>
        <v>19.0.0.f1</v>
      </c>
      <c r="D321" s="74">
        <f>Scott!D109</f>
        <v>32</v>
      </c>
      <c r="E321" s="74">
        <f>Scott!E109</f>
        <v>2019</v>
      </c>
      <c r="F321" s="74" t="str">
        <f>Scott!F109</f>
        <v>Development</v>
      </c>
      <c r="G321" s="74" t="str">
        <f>Scott!G109</f>
        <v>NI</v>
      </c>
      <c r="H321" s="74" t="str">
        <f>Scott!H109</f>
        <v>NI-DAQmx Device Driver 19.0.0.f1</v>
      </c>
      <c r="I321" s="74" t="str">
        <f>Scott!I109</f>
        <v>LabVIEW 2019</v>
      </c>
    </row>
    <row r="322" spans="1:9" x14ac:dyDescent="0.25">
      <c r="A322" s="74" t="str">
        <f>Originals!A287</f>
        <v>4-Vinnie</v>
      </c>
      <c r="B322" s="74" t="str">
        <f>Originals!B287</f>
        <v>NI-DAQmx Device Driver</v>
      </c>
      <c r="C322" s="74" t="str">
        <f>Originals!C287</f>
        <v>19.5.0f0</v>
      </c>
      <c r="D322" s="74" t="str">
        <f>Originals!D287</f>
        <v>32</v>
      </c>
      <c r="E322" s="74" t="str">
        <f>Originals!E287</f>
        <v>2019</v>
      </c>
      <c r="F322" s="74" t="str">
        <f>Originals!F287</f>
        <v>Development</v>
      </c>
      <c r="G322" s="74" t="str">
        <f>Originals!G287</f>
        <v>NI</v>
      </c>
      <c r="H322" s="74" t="str">
        <f>Originals!H287</f>
        <v>NI-DAQmx Device Driver 19.5.0f0</v>
      </c>
      <c r="I322" s="74">
        <f>Originals!I287</f>
        <v>0</v>
      </c>
    </row>
    <row r="323" spans="1:9" x14ac:dyDescent="0.25">
      <c r="A323" s="74" t="str">
        <f>Originals!A39</f>
        <v>1-Corey</v>
      </c>
      <c r="B323" s="74" t="str">
        <f>Originals!B39</f>
        <v>NI-DAQmx MAX Configuration</v>
      </c>
      <c r="C323" s="74" t="str">
        <f>Originals!C39</f>
        <v>15.0.0</v>
      </c>
      <c r="D323" s="74" t="str">
        <f>Originals!D39</f>
        <v>32</v>
      </c>
      <c r="E323" s="74" t="str">
        <f>Originals!E39</f>
        <v>2015</v>
      </c>
      <c r="F323" s="74" t="str">
        <f>Originals!F39</f>
        <v>Development</v>
      </c>
      <c r="G323" s="74" t="str">
        <f>Originals!G39</f>
        <v>NI</v>
      </c>
      <c r="H323" s="74" t="str">
        <f>Originals!H39</f>
        <v>NI-DAQmx MAX Configuration 15.0.0</v>
      </c>
      <c r="I323" s="74" t="str">
        <f>Originals!I39</f>
        <v>NI Developer Suite 2015 DS2 Install</v>
      </c>
    </row>
    <row r="324" spans="1:9" x14ac:dyDescent="0.25">
      <c r="A324" s="74" t="str">
        <f>Originals!A117</f>
        <v>2-Spencer</v>
      </c>
      <c r="B324" s="74" t="str">
        <f>Originals!B117</f>
        <v>NI-DAQmx MAX Configuration</v>
      </c>
      <c r="C324" s="74" t="str">
        <f>Originals!C117</f>
        <v>15.0.0</v>
      </c>
      <c r="D324" s="74" t="str">
        <f>Originals!D117</f>
        <v>32</v>
      </c>
      <c r="E324" s="74" t="str">
        <f>Originals!E117</f>
        <v>2015</v>
      </c>
      <c r="F324" s="74" t="str">
        <f>Originals!F117</f>
        <v>Development</v>
      </c>
      <c r="G324" s="74" t="str">
        <f>Originals!G117</f>
        <v>NI</v>
      </c>
      <c r="H324" s="74" t="str">
        <f>Originals!H117</f>
        <v>NI-DAQmx MAX Configuration 15.0.0</v>
      </c>
      <c r="I324" s="74" t="str">
        <f>Originals!I117</f>
        <v>NI Developer Suite 2015 DS2 Install</v>
      </c>
    </row>
    <row r="325" spans="1:9" x14ac:dyDescent="0.25">
      <c r="A325" s="74" t="str">
        <f>Originals!A388</f>
        <v>5-Confluence</v>
      </c>
      <c r="B325" s="74" t="str">
        <f>Originals!B388</f>
        <v>NI-DAQmx MAX Configuration</v>
      </c>
      <c r="C325" s="74" t="str">
        <f>Originals!C388</f>
        <v>18.1</v>
      </c>
      <c r="D325" s="74" t="str">
        <f>Originals!D388</f>
        <v>32</v>
      </c>
      <c r="E325" s="74" t="str">
        <f>Originals!E388</f>
        <v>2018</v>
      </c>
      <c r="F325" s="74" t="str">
        <f>Originals!F388</f>
        <v>Development</v>
      </c>
      <c r="G325" s="74" t="str">
        <f>Originals!G388</f>
        <v>NI</v>
      </c>
      <c r="H325" s="74" t="str">
        <f>Originals!H388</f>
        <v>NI-DAQmx MAX Configuration 18.1</v>
      </c>
      <c r="I325" s="74" t="str">
        <f>Originals!I388</f>
        <v>CompactRIO 18.1.0</v>
      </c>
    </row>
    <row r="326" spans="1:9" x14ac:dyDescent="0.25">
      <c r="A326" s="74" t="str">
        <f>Scott!A110</f>
        <v>3-Scott</v>
      </c>
      <c r="B326" s="74" t="str">
        <f>Scott!B110</f>
        <v>NI-DAQmx MAX Configuration</v>
      </c>
      <c r="C326" s="74" t="str">
        <f>Scott!C110</f>
        <v>18.1.0</v>
      </c>
      <c r="D326" s="74" t="str">
        <f>Scott!D110</f>
        <v>32</v>
      </c>
      <c r="E326" s="74" t="str">
        <f>Scott!E110</f>
        <v>2018</v>
      </c>
      <c r="F326" s="74" t="str">
        <f>Scott!F110</f>
        <v>Development</v>
      </c>
      <c r="G326" s="74" t="str">
        <f>Scott!G110</f>
        <v>NI</v>
      </c>
      <c r="H326" s="74" t="str">
        <f>Scott!H110</f>
        <v>NI-DAQmx MAX Configuration 18.1.0</v>
      </c>
      <c r="I326" s="74" t="str">
        <f>Scott!I110</f>
        <v>CompactRIO 18.1.0</v>
      </c>
    </row>
    <row r="327" spans="1:9" x14ac:dyDescent="0.25">
      <c r="A327" s="74" t="str">
        <f>Originals!A288</f>
        <v>4-Vinnie</v>
      </c>
      <c r="B327" s="74" t="str">
        <f>Originals!B288</f>
        <v>NI-DAQmx MAX Configuration</v>
      </c>
      <c r="C327" s="74" t="str">
        <f>Originals!C288</f>
        <v>18.5.0</v>
      </c>
      <c r="D327" s="74" t="str">
        <f>Originals!D288</f>
        <v>32</v>
      </c>
      <c r="E327" s="74" t="str">
        <f>Originals!E288</f>
        <v>2018</v>
      </c>
      <c r="F327" s="74" t="str">
        <f>Originals!F288</f>
        <v>Development</v>
      </c>
      <c r="G327" s="74" t="str">
        <f>Originals!G288</f>
        <v>NI</v>
      </c>
      <c r="H327" s="74" t="str">
        <f>Originals!H288</f>
        <v>NI-DAQmx MAX Configuration 18.5.0</v>
      </c>
      <c r="I327" s="74">
        <f>Originals!I288</f>
        <v>0</v>
      </c>
    </row>
    <row r="328" spans="1:9" x14ac:dyDescent="0.25">
      <c r="A328" s="74" t="str">
        <f>Originals!A118</f>
        <v>2-Spencer</v>
      </c>
      <c r="B328" s="74" t="str">
        <f>Originals!B118</f>
        <v>NI-DCPower</v>
      </c>
      <c r="C328" s="74">
        <f>Originals!C118</f>
        <v>0</v>
      </c>
      <c r="D328" s="74" t="str">
        <f>Originals!D118</f>
        <v>32</v>
      </c>
      <c r="E328" s="74" t="str">
        <f>Originals!E118</f>
        <v>2015</v>
      </c>
      <c r="F328" s="74" t="str">
        <f>Originals!F118</f>
        <v>Development</v>
      </c>
      <c r="G328" s="74" t="str">
        <f>Originals!G118</f>
        <v>NI</v>
      </c>
      <c r="H328" s="74" t="str">
        <f>Originals!H118</f>
        <v xml:space="preserve">NI-DCPower </v>
      </c>
      <c r="I328" s="74" t="str">
        <f>Originals!I118</f>
        <v>NI Developer Suite 2015 DS2 Install</v>
      </c>
    </row>
    <row r="329" spans="1:9" x14ac:dyDescent="0.25">
      <c r="A329" s="74" t="str">
        <f>Scott!A111</f>
        <v>3-Scott</v>
      </c>
      <c r="B329" s="74" t="str">
        <f>Scott!B111</f>
        <v>NI-DCPower</v>
      </c>
      <c r="C329" s="74">
        <f>Scott!C111</f>
        <v>0</v>
      </c>
      <c r="D329" s="74">
        <f>Scott!D111</f>
        <v>32</v>
      </c>
      <c r="E329" s="74">
        <f>Scott!E111</f>
        <v>2015</v>
      </c>
      <c r="F329" s="74" t="str">
        <f>Scott!F111</f>
        <v>Development</v>
      </c>
      <c r="G329" s="74" t="str">
        <f>Scott!G111</f>
        <v>NI</v>
      </c>
      <c r="H329" s="74" t="str">
        <f>Scott!H111</f>
        <v xml:space="preserve">NI-DCPower </v>
      </c>
      <c r="I329" s="74" t="str">
        <f>Scott!I111</f>
        <v>NI Developer Suite 2015 DS2 Install</v>
      </c>
    </row>
    <row r="330" spans="1:9" x14ac:dyDescent="0.25">
      <c r="A330" s="74" t="str">
        <f>Originals!A40</f>
        <v>1-Corey</v>
      </c>
      <c r="B330" s="74" t="str">
        <f>Originals!B40</f>
        <v>NI-DCPower</v>
      </c>
      <c r="C330" s="74" t="str">
        <f>Originals!C40</f>
        <v>15.0</v>
      </c>
      <c r="D330" s="74" t="str">
        <f>Originals!D40</f>
        <v>32</v>
      </c>
      <c r="E330" s="74" t="str">
        <f>Originals!E40</f>
        <v>2015</v>
      </c>
      <c r="F330" s="74" t="str">
        <f>Originals!F40</f>
        <v>Development</v>
      </c>
      <c r="G330" s="74" t="str">
        <f>Originals!G40</f>
        <v>NI</v>
      </c>
      <c r="H330" s="74" t="str">
        <f>Originals!H40</f>
        <v>NI-DCPower 15.0</v>
      </c>
      <c r="I330" s="74" t="str">
        <f>Originals!I40</f>
        <v>NI Developer Suite 2015 DS2 Install</v>
      </c>
    </row>
    <row r="331" spans="1:9" hidden="1" x14ac:dyDescent="0.25">
      <c r="A331" s="74" t="str">
        <f>Originals!A41</f>
        <v>1-Corey</v>
      </c>
      <c r="B331" s="74" t="str">
        <f>Originals!B41</f>
        <v>NI-DCPower</v>
      </c>
      <c r="C331" s="74" t="str">
        <f>Originals!C41</f>
        <v>15.0</v>
      </c>
      <c r="D331" s="74" t="str">
        <f>Originals!D41</f>
        <v>32</v>
      </c>
      <c r="E331" s="74" t="str">
        <f>Originals!E41</f>
        <v>2015</v>
      </c>
      <c r="F331" s="74" t="str">
        <f>Originals!F41</f>
        <v>Runtime</v>
      </c>
      <c r="G331" s="74" t="str">
        <f>Originals!G41</f>
        <v>NI</v>
      </c>
      <c r="H331" s="74" t="str">
        <f>Originals!H41</f>
        <v>NI-DCPower 15.0</v>
      </c>
      <c r="I331" s="74" t="str">
        <f>Originals!I41</f>
        <v>NI Developer Suite 2015 DS2 Install</v>
      </c>
    </row>
    <row r="332" spans="1:9" hidden="1" x14ac:dyDescent="0.25">
      <c r="A332" s="74" t="str">
        <f>Originals!A119</f>
        <v>2-Spencer</v>
      </c>
      <c r="B332" s="74" t="str">
        <f>Originals!B119</f>
        <v>NI-DCPower</v>
      </c>
      <c r="C332" s="74" t="str">
        <f>Originals!C119</f>
        <v>15.0</v>
      </c>
      <c r="D332" s="74" t="str">
        <f>Originals!D119</f>
        <v>32</v>
      </c>
      <c r="E332" s="74" t="str">
        <f>Originals!E119</f>
        <v>2015</v>
      </c>
      <c r="F332" s="74" t="str">
        <f>Originals!F119</f>
        <v>Runtime</v>
      </c>
      <c r="G332" s="74" t="str">
        <f>Originals!G119</f>
        <v>NI</v>
      </c>
      <c r="H332" s="74" t="str">
        <f>Originals!H119</f>
        <v>NI-DCPower 15.0</v>
      </c>
      <c r="I332" s="74" t="str">
        <f>Originals!I119</f>
        <v>NI Developer Suite 2015 DS2 Install</v>
      </c>
    </row>
    <row r="333" spans="1:9" hidden="1" x14ac:dyDescent="0.25">
      <c r="A333" s="74" t="str">
        <f>Scott!A112</f>
        <v>3-Scott</v>
      </c>
      <c r="B333" s="74" t="str">
        <f>Scott!B112</f>
        <v>NI-DCPower</v>
      </c>
      <c r="C333" s="74" t="str">
        <f>Scott!C112</f>
        <v>15.0</v>
      </c>
      <c r="D333" s="74">
        <f>Scott!D112</f>
        <v>32</v>
      </c>
      <c r="E333" s="74">
        <f>Scott!E112</f>
        <v>2015</v>
      </c>
      <c r="F333" s="74" t="str">
        <f>Scott!F112</f>
        <v>Runtime</v>
      </c>
      <c r="G333" s="74" t="str">
        <f>Scott!G112</f>
        <v>NI</v>
      </c>
      <c r="H333" s="74" t="str">
        <f>Scott!H112</f>
        <v>NI-DCPower 15.0</v>
      </c>
      <c r="I333" s="74" t="str">
        <f>Scott!I112</f>
        <v>NI Developer Suite 2015 DS2 Install</v>
      </c>
    </row>
    <row r="334" spans="1:9" x14ac:dyDescent="0.25">
      <c r="A334" s="74" t="str">
        <f>Originals!A42</f>
        <v>1-Corey</v>
      </c>
      <c r="B334" s="74" t="str">
        <f>Originals!B42</f>
        <v>NI-DCPower Configuration Support</v>
      </c>
      <c r="C334" s="74" t="str">
        <f>Originals!C42</f>
        <v>15.0</v>
      </c>
      <c r="D334" s="74" t="str">
        <f>Originals!D42</f>
        <v>32</v>
      </c>
      <c r="E334" s="74" t="str">
        <f>Originals!E42</f>
        <v>2015</v>
      </c>
      <c r="F334" s="74" t="str">
        <f>Originals!F42</f>
        <v>Development</v>
      </c>
      <c r="G334" s="74" t="str">
        <f>Originals!G42</f>
        <v>NI</v>
      </c>
      <c r="H334" s="74" t="str">
        <f>Originals!H42</f>
        <v>NI-DCPower Configuration Support 15.0</v>
      </c>
      <c r="I334" s="74" t="str">
        <f>Originals!I42</f>
        <v>NI Developer Suite 2015 DS2 Install</v>
      </c>
    </row>
    <row r="335" spans="1:9" x14ac:dyDescent="0.25">
      <c r="A335" s="74" t="str">
        <f>Originals!A120</f>
        <v>2-Spencer</v>
      </c>
      <c r="B335" s="74" t="str">
        <f>Originals!B120</f>
        <v>NI-DCPower Configuration Support</v>
      </c>
      <c r="C335" s="74" t="str">
        <f>Originals!C120</f>
        <v>15.0</v>
      </c>
      <c r="D335" s="74" t="str">
        <f>Originals!D120</f>
        <v>32</v>
      </c>
      <c r="E335" s="74" t="str">
        <f>Originals!E120</f>
        <v>2015</v>
      </c>
      <c r="F335" s="74" t="str">
        <f>Originals!F120</f>
        <v>Development</v>
      </c>
      <c r="G335" s="74" t="str">
        <f>Originals!G120</f>
        <v>NI</v>
      </c>
      <c r="H335" s="74" t="str">
        <f>Originals!H120</f>
        <v>NI-DCPower Configuration Support 15.0</v>
      </c>
      <c r="I335" s="74" t="str">
        <f>Originals!I120</f>
        <v>NI Developer Suite 2015 DS2 Install</v>
      </c>
    </row>
    <row r="336" spans="1:9" x14ac:dyDescent="0.25">
      <c r="A336" s="74" t="str">
        <f>Scott!A113</f>
        <v>3-Scott</v>
      </c>
      <c r="B336" s="74" t="str">
        <f>Scott!B113</f>
        <v>NI-DCPower Configuration Support</v>
      </c>
      <c r="C336" s="74" t="str">
        <f>Scott!C113</f>
        <v>15.0</v>
      </c>
      <c r="D336" s="74">
        <f>Scott!D113</f>
        <v>32</v>
      </c>
      <c r="E336" s="74">
        <f>Scott!E113</f>
        <v>2015</v>
      </c>
      <c r="F336" s="74" t="str">
        <f>Scott!F113</f>
        <v>Development</v>
      </c>
      <c r="G336" s="74" t="str">
        <f>Scott!G113</f>
        <v>NI</v>
      </c>
      <c r="H336" s="74" t="str">
        <f>Scott!H113</f>
        <v>NI-DCPower Configuration Support 15.0</v>
      </c>
      <c r="I336" s="74" t="str">
        <f>Scott!I113</f>
        <v>NI Developer Suite 2015 DS2 Install</v>
      </c>
    </row>
    <row r="337" spans="1:9" x14ac:dyDescent="0.25">
      <c r="A337" s="74" t="str">
        <f>Originals!A43</f>
        <v>1-Corey</v>
      </c>
      <c r="B337" s="74" t="str">
        <f>Originals!B43</f>
        <v>NI-DCPower Development Support</v>
      </c>
      <c r="C337" s="74" t="str">
        <f>Originals!C43</f>
        <v>15.0</v>
      </c>
      <c r="D337" s="74" t="str">
        <f>Originals!D43</f>
        <v>32</v>
      </c>
      <c r="E337" s="74" t="str">
        <f>Originals!E43</f>
        <v>2015</v>
      </c>
      <c r="F337" s="74" t="str">
        <f>Originals!F43</f>
        <v>Development</v>
      </c>
      <c r="G337" s="74" t="str">
        <f>Originals!G43</f>
        <v>NI</v>
      </c>
      <c r="H337" s="74" t="str">
        <f>Originals!H43</f>
        <v>NI-DCPower Development Support 15.0</v>
      </c>
      <c r="I337" s="74" t="str">
        <f>Originals!I43</f>
        <v>NI Developer Suite 2015 DS2 Install</v>
      </c>
    </row>
    <row r="338" spans="1:9" x14ac:dyDescent="0.25">
      <c r="A338" s="74" t="str">
        <f>Originals!A121</f>
        <v>2-Spencer</v>
      </c>
      <c r="B338" s="74" t="str">
        <f>Originals!B121</f>
        <v>NI-DCPower Development Support</v>
      </c>
      <c r="C338" s="74" t="str">
        <f>Originals!C121</f>
        <v>15.0</v>
      </c>
      <c r="D338" s="74" t="str">
        <f>Originals!D121</f>
        <v>32</v>
      </c>
      <c r="E338" s="74" t="str">
        <f>Originals!E121</f>
        <v>2015</v>
      </c>
      <c r="F338" s="74" t="str">
        <f>Originals!F121</f>
        <v>Development</v>
      </c>
      <c r="G338" s="74" t="str">
        <f>Originals!G121</f>
        <v>NI</v>
      </c>
      <c r="H338" s="74" t="str">
        <f>Originals!H121</f>
        <v>NI-DCPower Development Support 15.0</v>
      </c>
      <c r="I338" s="74" t="str">
        <f>Originals!I121</f>
        <v>NI Developer Suite 2015 DS2 Install</v>
      </c>
    </row>
    <row r="339" spans="1:9" x14ac:dyDescent="0.25">
      <c r="A339" s="74" t="str">
        <f>Scott!A114</f>
        <v>3-Scott</v>
      </c>
      <c r="B339" s="74" t="str">
        <f>Scott!B114</f>
        <v>NI-DCPower Development Support</v>
      </c>
      <c r="C339" s="74" t="str">
        <f>Scott!C114</f>
        <v>15.0</v>
      </c>
      <c r="D339" s="74">
        <f>Scott!D114</f>
        <v>32</v>
      </c>
      <c r="E339" s="74">
        <f>Scott!E114</f>
        <v>2015</v>
      </c>
      <c r="F339" s="74" t="str">
        <f>Scott!F114</f>
        <v>Development</v>
      </c>
      <c r="G339" s="74" t="str">
        <f>Scott!G114</f>
        <v>NI</v>
      </c>
      <c r="H339" s="74" t="str">
        <f>Scott!H114</f>
        <v>NI-DCPower Development Support 15.0</v>
      </c>
      <c r="I339" s="74" t="str">
        <f>Scott!I114</f>
        <v>NI Developer Suite 2015 DS2 Install</v>
      </c>
    </row>
    <row r="340" spans="1:9" x14ac:dyDescent="0.25">
      <c r="A340" s="74" t="str">
        <f>Originals!A44</f>
        <v>1-Corey</v>
      </c>
      <c r="B340" s="74" t="str">
        <f>Originals!B44</f>
        <v>NI-DCPower Soft Front Panel</v>
      </c>
      <c r="C340" s="74" t="str">
        <f>Originals!C44</f>
        <v>15.0</v>
      </c>
      <c r="D340" s="74" t="str">
        <f>Originals!D44</f>
        <v>32</v>
      </c>
      <c r="E340" s="74" t="str">
        <f>Originals!E44</f>
        <v>2015</v>
      </c>
      <c r="F340" s="74" t="str">
        <f>Originals!F44</f>
        <v>Development</v>
      </c>
      <c r="G340" s="74" t="str">
        <f>Originals!G44</f>
        <v>NI</v>
      </c>
      <c r="H340" s="74" t="str">
        <f>Originals!H44</f>
        <v>NI-DCPower Soft Front Panel 15.0</v>
      </c>
      <c r="I340" s="74" t="str">
        <f>Originals!I44</f>
        <v>NI Developer Suite 2015 DS2 Install</v>
      </c>
    </row>
    <row r="341" spans="1:9" x14ac:dyDescent="0.25">
      <c r="A341" s="74" t="str">
        <f>Originals!A122</f>
        <v>2-Spencer</v>
      </c>
      <c r="B341" s="74" t="str">
        <f>Originals!B122</f>
        <v>NI-DCPower Soft Front Panel</v>
      </c>
      <c r="C341" s="74" t="str">
        <f>Originals!C122</f>
        <v>15.0</v>
      </c>
      <c r="D341" s="74" t="str">
        <f>Originals!D122</f>
        <v>32</v>
      </c>
      <c r="E341" s="74" t="str">
        <f>Originals!E122</f>
        <v>2015</v>
      </c>
      <c r="F341" s="74" t="str">
        <f>Originals!F122</f>
        <v>Development</v>
      </c>
      <c r="G341" s="74" t="str">
        <f>Originals!G122</f>
        <v>NI</v>
      </c>
      <c r="H341" s="74" t="str">
        <f>Originals!H122</f>
        <v>NI-DCPower Soft Front Panel 15.0</v>
      </c>
      <c r="I341" s="74" t="str">
        <f>Originals!I122</f>
        <v>NI Developer Suite 2015 DS2 Install</v>
      </c>
    </row>
    <row r="342" spans="1:9" x14ac:dyDescent="0.25">
      <c r="A342" s="74" t="str">
        <f>Scott!A115</f>
        <v>3-Scott</v>
      </c>
      <c r="B342" s="74" t="str">
        <f>Scott!B115</f>
        <v>NI-DCPower Soft Front Panel</v>
      </c>
      <c r="C342" s="74" t="str">
        <f>Scott!C115</f>
        <v>15.0</v>
      </c>
      <c r="D342" s="74">
        <f>Scott!D115</f>
        <v>32</v>
      </c>
      <c r="E342" s="74">
        <f>Scott!E115</f>
        <v>2015</v>
      </c>
      <c r="F342" s="74" t="str">
        <f>Scott!F115</f>
        <v>Development</v>
      </c>
      <c r="G342" s="74" t="str">
        <f>Scott!G115</f>
        <v>NI</v>
      </c>
      <c r="H342" s="74" t="str">
        <f>Scott!H115</f>
        <v>NI-DCPower Soft Front Panel 15.0</v>
      </c>
      <c r="I342" s="74" t="str">
        <f>Scott!I115</f>
        <v>NI Developer Suite 2015 DS2 Install</v>
      </c>
    </row>
    <row r="343" spans="1:9" x14ac:dyDescent="0.25">
      <c r="A343" s="74" t="str">
        <f>Originals!A123</f>
        <v>2-Spencer</v>
      </c>
      <c r="B343" s="74" t="str">
        <f>Originals!B123</f>
        <v>NI-DMM</v>
      </c>
      <c r="C343" s="74">
        <f>Originals!C123</f>
        <v>0</v>
      </c>
      <c r="D343" s="74" t="str">
        <f>Originals!D123</f>
        <v>32</v>
      </c>
      <c r="E343" s="74" t="str">
        <f>Originals!E123</f>
        <v>2015</v>
      </c>
      <c r="F343" s="74" t="str">
        <f>Originals!F123</f>
        <v>Development</v>
      </c>
      <c r="G343" s="74" t="str">
        <f>Originals!G123</f>
        <v>NI</v>
      </c>
      <c r="H343" s="74" t="str">
        <f>Originals!H123</f>
        <v xml:space="preserve">NI-DMM </v>
      </c>
      <c r="I343" s="74" t="str">
        <f>Originals!I123</f>
        <v>NI Developer Suite 2015 DS2 Install</v>
      </c>
    </row>
    <row r="344" spans="1:9" x14ac:dyDescent="0.25">
      <c r="A344" s="74" t="str">
        <f>Scott!A116</f>
        <v>3-Scott</v>
      </c>
      <c r="B344" s="74" t="str">
        <f>Scott!B116</f>
        <v>NI-DMM</v>
      </c>
      <c r="C344" s="74">
        <f>Scott!C116</f>
        <v>0</v>
      </c>
      <c r="D344" s="74">
        <f>Scott!D116</f>
        <v>32</v>
      </c>
      <c r="E344" s="74">
        <f>Scott!E116</f>
        <v>2015</v>
      </c>
      <c r="F344" s="74" t="str">
        <f>Scott!F116</f>
        <v>Development</v>
      </c>
      <c r="G344" s="74" t="str">
        <f>Scott!G116</f>
        <v>NI</v>
      </c>
      <c r="H344" s="74" t="str">
        <f>Scott!H116</f>
        <v xml:space="preserve">NI-DMM </v>
      </c>
      <c r="I344" s="74" t="str">
        <f>Scott!I116</f>
        <v>NI Developer Suite 2015 DS2 Install</v>
      </c>
    </row>
    <row r="345" spans="1:9" x14ac:dyDescent="0.25">
      <c r="A345" s="74" t="str">
        <f>Originals!A45</f>
        <v>1-Corey</v>
      </c>
      <c r="B345" s="74" t="str">
        <f>Originals!B45</f>
        <v>NI-DMM</v>
      </c>
      <c r="C345" s="74" t="str">
        <f>Originals!C45</f>
        <v>15.0</v>
      </c>
      <c r="D345" s="74" t="str">
        <f>Originals!D45</f>
        <v>32</v>
      </c>
      <c r="E345" s="74" t="str">
        <f>Originals!E45</f>
        <v>2015</v>
      </c>
      <c r="F345" s="74" t="str">
        <f>Originals!F45</f>
        <v>Development</v>
      </c>
      <c r="G345" s="74" t="str">
        <f>Originals!G45</f>
        <v>NI</v>
      </c>
      <c r="H345" s="74" t="str">
        <f>Originals!H45</f>
        <v>NI-DMM 15.0</v>
      </c>
      <c r="I345" s="74" t="str">
        <f>Originals!I45</f>
        <v>NI Developer Suite 2015 DS2 Install</v>
      </c>
    </row>
    <row r="346" spans="1:9" hidden="1" x14ac:dyDescent="0.25">
      <c r="A346" s="74" t="str">
        <f>Originals!A46</f>
        <v>1-Corey</v>
      </c>
      <c r="B346" s="74" t="str">
        <f>Originals!B46</f>
        <v>NI-DMM</v>
      </c>
      <c r="C346" s="74" t="str">
        <f>Originals!C46</f>
        <v>15.0</v>
      </c>
      <c r="D346" s="74" t="str">
        <f>Originals!D46</f>
        <v>32</v>
      </c>
      <c r="E346" s="74" t="str">
        <f>Originals!E46</f>
        <v>2015</v>
      </c>
      <c r="F346" s="74" t="str">
        <f>Originals!F46</f>
        <v>Runtime</v>
      </c>
      <c r="G346" s="74" t="str">
        <f>Originals!G46</f>
        <v>NI</v>
      </c>
      <c r="H346" s="74" t="str">
        <f>Originals!H46</f>
        <v>NI-DMM 15.0</v>
      </c>
      <c r="I346" s="74" t="str">
        <f>Originals!I46</f>
        <v>NI Developer Suite 2015 DS2 Install</v>
      </c>
    </row>
    <row r="347" spans="1:9" hidden="1" x14ac:dyDescent="0.25">
      <c r="A347" s="74" t="str">
        <f>Originals!A124</f>
        <v>2-Spencer</v>
      </c>
      <c r="B347" s="74" t="str">
        <f>Originals!B124</f>
        <v>NI-DMM</v>
      </c>
      <c r="C347" s="74" t="str">
        <f>Originals!C124</f>
        <v>15.0</v>
      </c>
      <c r="D347" s="74" t="str">
        <f>Originals!D124</f>
        <v>32</v>
      </c>
      <c r="E347" s="74" t="str">
        <f>Originals!E124</f>
        <v>2015</v>
      </c>
      <c r="F347" s="74" t="str">
        <f>Originals!F124</f>
        <v>Runtime</v>
      </c>
      <c r="G347" s="74" t="str">
        <f>Originals!G124</f>
        <v>NI</v>
      </c>
      <c r="H347" s="74" t="str">
        <f>Originals!H124</f>
        <v>NI-DMM 15.0</v>
      </c>
      <c r="I347" s="74" t="str">
        <f>Originals!I124</f>
        <v>NI Developer Suite 2015 DS2 Install</v>
      </c>
    </row>
    <row r="348" spans="1:9" hidden="1" x14ac:dyDescent="0.25">
      <c r="A348" s="74" t="str">
        <f>Scott!A117</f>
        <v>3-Scott</v>
      </c>
      <c r="B348" s="74" t="str">
        <f>Scott!B117</f>
        <v>NI-DMM</v>
      </c>
      <c r="C348" s="74" t="str">
        <f>Scott!C117</f>
        <v>15.0</v>
      </c>
      <c r="D348" s="74">
        <f>Scott!D117</f>
        <v>32</v>
      </c>
      <c r="E348" s="74">
        <f>Scott!E117</f>
        <v>2015</v>
      </c>
      <c r="F348" s="74" t="str">
        <f>Scott!F117</f>
        <v>Runtime</v>
      </c>
      <c r="G348" s="74" t="str">
        <f>Scott!G117</f>
        <v>NI</v>
      </c>
      <c r="H348" s="74" t="str">
        <f>Scott!H117</f>
        <v>NI-DMM 15.0</v>
      </c>
      <c r="I348" s="74" t="str">
        <f>Scott!I117</f>
        <v>NI Developer Suite 2015 DS2 Install</v>
      </c>
    </row>
    <row r="349" spans="1:9" x14ac:dyDescent="0.25">
      <c r="A349" s="74" t="str">
        <f>Originals!A47</f>
        <v>1-Corey</v>
      </c>
      <c r="B349" s="74" t="str">
        <f>Originals!B47</f>
        <v>NI-DMM Configuration Support</v>
      </c>
      <c r="C349" s="74" t="str">
        <f>Originals!C47</f>
        <v>15.0</v>
      </c>
      <c r="D349" s="74" t="str">
        <f>Originals!D47</f>
        <v>32</v>
      </c>
      <c r="E349" s="74" t="str">
        <f>Originals!E47</f>
        <v>2015</v>
      </c>
      <c r="F349" s="74" t="str">
        <f>Originals!F47</f>
        <v>Development</v>
      </c>
      <c r="G349" s="74" t="str">
        <f>Originals!G47</f>
        <v>NI</v>
      </c>
      <c r="H349" s="74" t="str">
        <f>Originals!H47</f>
        <v>NI-DMM Configuration Support 15.0</v>
      </c>
      <c r="I349" s="74" t="str">
        <f>Originals!I47</f>
        <v>NI Developer Suite 2015 DS2 Install</v>
      </c>
    </row>
    <row r="350" spans="1:9" x14ac:dyDescent="0.25">
      <c r="A350" s="74" t="str">
        <f>Originals!A125</f>
        <v>2-Spencer</v>
      </c>
      <c r="B350" s="74" t="str">
        <f>Originals!B125</f>
        <v>NI-DMM Configuration Support</v>
      </c>
      <c r="C350" s="74" t="str">
        <f>Originals!C125</f>
        <v>15.0</v>
      </c>
      <c r="D350" s="74" t="str">
        <f>Originals!D125</f>
        <v>32</v>
      </c>
      <c r="E350" s="74" t="str">
        <f>Originals!E125</f>
        <v>2015</v>
      </c>
      <c r="F350" s="74" t="str">
        <f>Originals!F125</f>
        <v>Development</v>
      </c>
      <c r="G350" s="74" t="str">
        <f>Originals!G125</f>
        <v>NI</v>
      </c>
      <c r="H350" s="74" t="str">
        <f>Originals!H125</f>
        <v>NI-DMM Configuration Support 15.0</v>
      </c>
      <c r="I350" s="74" t="str">
        <f>Originals!I125</f>
        <v>NI Developer Suite 2015 DS2 Install</v>
      </c>
    </row>
    <row r="351" spans="1:9" x14ac:dyDescent="0.25">
      <c r="A351" s="74" t="str">
        <f>Scott!A118</f>
        <v>3-Scott</v>
      </c>
      <c r="B351" s="74" t="str">
        <f>Scott!B118</f>
        <v>NI-DMM Configuration Support</v>
      </c>
      <c r="C351" s="74" t="str">
        <f>Scott!C118</f>
        <v>15.0</v>
      </c>
      <c r="D351" s="74">
        <f>Scott!D118</f>
        <v>32</v>
      </c>
      <c r="E351" s="74">
        <f>Scott!E118</f>
        <v>2015</v>
      </c>
      <c r="F351" s="74" t="str">
        <f>Scott!F118</f>
        <v>Development</v>
      </c>
      <c r="G351" s="74" t="str">
        <f>Scott!G118</f>
        <v>NI</v>
      </c>
      <c r="H351" s="74" t="str">
        <f>Scott!H118</f>
        <v>NI-DMM Configuration Support 15.0</v>
      </c>
      <c r="I351" s="74" t="str">
        <f>Scott!I118</f>
        <v>NI Developer Suite 2015 DS2 Install</v>
      </c>
    </row>
    <row r="352" spans="1:9" x14ac:dyDescent="0.25">
      <c r="A352" s="74" t="str">
        <f>Originals!A48</f>
        <v>1-Corey</v>
      </c>
      <c r="B352" s="74" t="str">
        <f>Originals!B48</f>
        <v>NI-DMM Development Support</v>
      </c>
      <c r="C352" s="74" t="str">
        <f>Originals!C48</f>
        <v>15.0</v>
      </c>
      <c r="D352" s="74" t="str">
        <f>Originals!D48</f>
        <v>32</v>
      </c>
      <c r="E352" s="74" t="str">
        <f>Originals!E48</f>
        <v>2015</v>
      </c>
      <c r="F352" s="74" t="str">
        <f>Originals!F48</f>
        <v>Development</v>
      </c>
      <c r="G352" s="74" t="str">
        <f>Originals!G48</f>
        <v>NI</v>
      </c>
      <c r="H352" s="74" t="str">
        <f>Originals!H48</f>
        <v>NI-DMM Development Support 15.0</v>
      </c>
      <c r="I352" s="74" t="str">
        <f>Originals!I48</f>
        <v>NI Developer Suite 2015 DS2 Install</v>
      </c>
    </row>
    <row r="353" spans="1:9" x14ac:dyDescent="0.25">
      <c r="A353" s="74" t="str">
        <f>Originals!A126</f>
        <v>2-Spencer</v>
      </c>
      <c r="B353" s="74" t="str">
        <f>Originals!B126</f>
        <v>NI-DMM Development Support</v>
      </c>
      <c r="C353" s="74" t="str">
        <f>Originals!C126</f>
        <v>15.0</v>
      </c>
      <c r="D353" s="74" t="str">
        <f>Originals!D126</f>
        <v>32</v>
      </c>
      <c r="E353" s="74" t="str">
        <f>Originals!E126</f>
        <v>2015</v>
      </c>
      <c r="F353" s="74" t="str">
        <f>Originals!F126</f>
        <v>Development</v>
      </c>
      <c r="G353" s="74" t="str">
        <f>Originals!G126</f>
        <v>NI</v>
      </c>
      <c r="H353" s="74" t="str">
        <f>Originals!H126</f>
        <v>NI-DMM Development Support 15.0</v>
      </c>
      <c r="I353" s="74" t="str">
        <f>Originals!I126</f>
        <v>NI Developer Suite 2015 DS2 Install</v>
      </c>
    </row>
    <row r="354" spans="1:9" x14ac:dyDescent="0.25">
      <c r="A354" s="74" t="str">
        <f>Scott!A119</f>
        <v>3-Scott</v>
      </c>
      <c r="B354" s="74" t="str">
        <f>Scott!B119</f>
        <v>NI-DMM Development Support</v>
      </c>
      <c r="C354" s="74" t="str">
        <f>Scott!C119</f>
        <v>15.0</v>
      </c>
      <c r="D354" s="74">
        <f>Scott!D119</f>
        <v>32</v>
      </c>
      <c r="E354" s="74">
        <f>Scott!E119</f>
        <v>2015</v>
      </c>
      <c r="F354" s="74" t="str">
        <f>Scott!F119</f>
        <v>Development</v>
      </c>
      <c r="G354" s="74" t="str">
        <f>Scott!G119</f>
        <v>NI</v>
      </c>
      <c r="H354" s="74" t="str">
        <f>Scott!H119</f>
        <v>NI-DMM Development Support 15.0</v>
      </c>
      <c r="I354" s="74" t="str">
        <f>Scott!I119</f>
        <v>NI Developer Suite 2015 DS2 Install</v>
      </c>
    </row>
    <row r="355" spans="1:9" x14ac:dyDescent="0.25">
      <c r="A355" s="74" t="str">
        <f>Originals!A49</f>
        <v>1-Corey</v>
      </c>
      <c r="B355" s="74" t="str">
        <f>Originals!B49</f>
        <v>NI-DMM Soft Front Panel</v>
      </c>
      <c r="C355" s="74" t="str">
        <f>Originals!C49</f>
        <v>15.0</v>
      </c>
      <c r="D355" s="74" t="str">
        <f>Originals!D49</f>
        <v>32</v>
      </c>
      <c r="E355" s="74" t="str">
        <f>Originals!E49</f>
        <v>2015</v>
      </c>
      <c r="F355" s="74" t="str">
        <f>Originals!F49</f>
        <v>Development</v>
      </c>
      <c r="G355" s="74" t="str">
        <f>Originals!G49</f>
        <v>NI</v>
      </c>
      <c r="H355" s="74" t="str">
        <f>Originals!H49</f>
        <v>NI-DMM Soft Front Panel 15.0</v>
      </c>
      <c r="I355" s="74" t="str">
        <f>Originals!I49</f>
        <v>NI Developer Suite 2015 DS2 Install</v>
      </c>
    </row>
    <row r="356" spans="1:9" x14ac:dyDescent="0.25">
      <c r="A356" s="74" t="str">
        <f>Scott!A120</f>
        <v>3-Scott</v>
      </c>
      <c r="B356" s="74" t="str">
        <f>Scott!B120</f>
        <v>NI-DMM Soft Front Panel</v>
      </c>
      <c r="C356" s="74" t="str">
        <f>Scott!C120</f>
        <v>15.0</v>
      </c>
      <c r="D356" s="74">
        <f>Scott!D120</f>
        <v>32</v>
      </c>
      <c r="E356" s="74">
        <f>Scott!E120</f>
        <v>2015</v>
      </c>
      <c r="F356" s="74" t="str">
        <f>Scott!F120</f>
        <v>Development</v>
      </c>
      <c r="G356" s="74" t="str">
        <f>Scott!G120</f>
        <v>NI</v>
      </c>
      <c r="H356" s="74" t="str">
        <f>Scott!H120</f>
        <v>NI-DMM Soft Front Panel 15.0</v>
      </c>
      <c r="I356" s="74" t="str">
        <f>Scott!I120</f>
        <v>NI Developer Suite 2015 DS2 Install</v>
      </c>
    </row>
    <row r="357" spans="1:9" x14ac:dyDescent="0.25">
      <c r="A357" s="74" t="str">
        <f>Originals!A127</f>
        <v>2-Spencer</v>
      </c>
      <c r="B357" s="74" t="str">
        <f>Originals!B127</f>
        <v>NI-FGEN</v>
      </c>
      <c r="C357" s="74">
        <f>Originals!C127</f>
        <v>0</v>
      </c>
      <c r="D357" s="74" t="str">
        <f>Originals!D127</f>
        <v>32</v>
      </c>
      <c r="E357" s="74" t="str">
        <f>Originals!E127</f>
        <v>2015</v>
      </c>
      <c r="F357" s="74" t="str">
        <f>Originals!F127</f>
        <v>Development</v>
      </c>
      <c r="G357" s="74" t="str">
        <f>Originals!G127</f>
        <v>NI</v>
      </c>
      <c r="H357" s="74" t="str">
        <f>Originals!H127</f>
        <v xml:space="preserve">NI-FGEN </v>
      </c>
      <c r="I357" s="74" t="str">
        <f>Originals!I127</f>
        <v>NI Developer Suite 2015 DS2 Install</v>
      </c>
    </row>
    <row r="358" spans="1:9" x14ac:dyDescent="0.25">
      <c r="A358" s="74" t="str">
        <f>Scott!A121</f>
        <v>3-Scott</v>
      </c>
      <c r="B358" s="74" t="str">
        <f>Scott!B121</f>
        <v>NI-FGEN</v>
      </c>
      <c r="C358" s="74">
        <f>Scott!C121</f>
        <v>0</v>
      </c>
      <c r="D358" s="74">
        <f>Scott!D121</f>
        <v>32</v>
      </c>
      <c r="E358" s="74">
        <f>Scott!E121</f>
        <v>2015</v>
      </c>
      <c r="F358" s="74" t="str">
        <f>Scott!F121</f>
        <v>Development</v>
      </c>
      <c r="G358" s="74" t="str">
        <f>Scott!G121</f>
        <v>NI</v>
      </c>
      <c r="H358" s="74" t="str">
        <f>Scott!H121</f>
        <v xml:space="preserve">NI-FGEN </v>
      </c>
      <c r="I358" s="74" t="str">
        <f>Scott!I121</f>
        <v>NI Developer Suite 2015 DS2 Install</v>
      </c>
    </row>
    <row r="359" spans="1:9" x14ac:dyDescent="0.25">
      <c r="A359" s="74" t="str">
        <f>Originals!A50</f>
        <v>1-Corey</v>
      </c>
      <c r="B359" s="74" t="str">
        <f>Originals!B50</f>
        <v>NI-FGEN</v>
      </c>
      <c r="C359" s="74" t="str">
        <f>Originals!C50</f>
        <v>15.0</v>
      </c>
      <c r="D359" s="74" t="str">
        <f>Originals!D50</f>
        <v>32</v>
      </c>
      <c r="E359" s="74" t="str">
        <f>Originals!E50</f>
        <v>2015</v>
      </c>
      <c r="F359" s="74" t="str">
        <f>Originals!F50</f>
        <v>Development</v>
      </c>
      <c r="G359" s="74" t="str">
        <f>Originals!G50</f>
        <v>NI</v>
      </c>
      <c r="H359" s="74" t="str">
        <f>Originals!H50</f>
        <v>NI-FGEN 15.0</v>
      </c>
      <c r="I359" s="74" t="str">
        <f>Originals!I50</f>
        <v>NI Developer Suite 2015 DS2 Install</v>
      </c>
    </row>
    <row r="360" spans="1:9" hidden="1" x14ac:dyDescent="0.25">
      <c r="A360" s="74" t="str">
        <f>Originals!A51</f>
        <v>1-Corey</v>
      </c>
      <c r="B360" s="74" t="str">
        <f>Originals!B51</f>
        <v>NI-FGEN</v>
      </c>
      <c r="C360" s="74" t="str">
        <f>Originals!C51</f>
        <v>15.0</v>
      </c>
      <c r="D360" s="74" t="str">
        <f>Originals!D51</f>
        <v>32</v>
      </c>
      <c r="E360" s="74" t="str">
        <f>Originals!E51</f>
        <v>2015</v>
      </c>
      <c r="F360" s="74" t="str">
        <f>Originals!F51</f>
        <v>Runtime</v>
      </c>
      <c r="G360" s="74" t="str">
        <f>Originals!G51</f>
        <v>NI</v>
      </c>
      <c r="H360" s="74" t="str">
        <f>Originals!H51</f>
        <v>NI-FGEN 15.0</v>
      </c>
      <c r="I360" s="74" t="str">
        <f>Originals!I51</f>
        <v>NI Developer Suite 2015 DS2 Install</v>
      </c>
    </row>
    <row r="361" spans="1:9" hidden="1" x14ac:dyDescent="0.25">
      <c r="A361" s="74" t="str">
        <f>Originals!A128</f>
        <v>2-Spencer</v>
      </c>
      <c r="B361" s="74" t="str">
        <f>Originals!B128</f>
        <v>NI-FGEN</v>
      </c>
      <c r="C361" s="74" t="str">
        <f>Originals!C128</f>
        <v>15.0</v>
      </c>
      <c r="D361" s="74" t="str">
        <f>Originals!D128</f>
        <v>32</v>
      </c>
      <c r="E361" s="74" t="str">
        <f>Originals!E128</f>
        <v>2015</v>
      </c>
      <c r="F361" s="74" t="str">
        <f>Originals!F128</f>
        <v>Runtime</v>
      </c>
      <c r="G361" s="74" t="str">
        <f>Originals!G128</f>
        <v>NI</v>
      </c>
      <c r="H361" s="74" t="str">
        <f>Originals!H128</f>
        <v>NI-FGEN 15.0</v>
      </c>
      <c r="I361" s="74" t="str">
        <f>Originals!I128</f>
        <v>NI Developer Suite 2015 DS2 Install</v>
      </c>
    </row>
    <row r="362" spans="1:9" hidden="1" x14ac:dyDescent="0.25">
      <c r="A362" s="74" t="str">
        <f>Scott!A122</f>
        <v>3-Scott</v>
      </c>
      <c r="B362" s="74" t="str">
        <f>Scott!B122</f>
        <v>NI-FGEN</v>
      </c>
      <c r="C362" s="74" t="str">
        <f>Scott!C122</f>
        <v>15.0</v>
      </c>
      <c r="D362" s="74">
        <f>Scott!D122</f>
        <v>32</v>
      </c>
      <c r="E362" s="74">
        <f>Scott!E122</f>
        <v>2015</v>
      </c>
      <c r="F362" s="74" t="str">
        <f>Scott!F122</f>
        <v>Runtime</v>
      </c>
      <c r="G362" s="74" t="str">
        <f>Scott!G122</f>
        <v>NI</v>
      </c>
      <c r="H362" s="74" t="str">
        <f>Scott!H122</f>
        <v>NI-FGEN 15.0</v>
      </c>
      <c r="I362" s="74" t="str">
        <f>Scott!I122</f>
        <v>NI Developer Suite 2015 DS2 Install</v>
      </c>
    </row>
    <row r="363" spans="1:9" x14ac:dyDescent="0.25">
      <c r="A363" s="74" t="str">
        <f>Originals!A52</f>
        <v>1-Corey</v>
      </c>
      <c r="B363" s="74" t="str">
        <f>Originals!B52</f>
        <v>NI-FGEN Configuration Support</v>
      </c>
      <c r="C363" s="74" t="str">
        <f>Originals!C52</f>
        <v>15.0</v>
      </c>
      <c r="D363" s="74" t="str">
        <f>Originals!D52</f>
        <v>32</v>
      </c>
      <c r="E363" s="74" t="str">
        <f>Originals!E52</f>
        <v>2015</v>
      </c>
      <c r="F363" s="74" t="str">
        <f>Originals!F52</f>
        <v>Development</v>
      </c>
      <c r="G363" s="74" t="str">
        <f>Originals!G52</f>
        <v>NI</v>
      </c>
      <c r="H363" s="74" t="str">
        <f>Originals!H52</f>
        <v>NI-FGEN Configuration Support 15.0</v>
      </c>
      <c r="I363" s="74" t="str">
        <f>Originals!I52</f>
        <v>NI Developer Suite 2015 DS2 Install</v>
      </c>
    </row>
    <row r="364" spans="1:9" x14ac:dyDescent="0.25">
      <c r="A364" s="74" t="str">
        <f>Originals!A129</f>
        <v>2-Spencer</v>
      </c>
      <c r="B364" s="74" t="str">
        <f>Originals!B129</f>
        <v>NI-FGEN Configuration Support</v>
      </c>
      <c r="C364" s="74" t="str">
        <f>Originals!C129</f>
        <v>15.0</v>
      </c>
      <c r="D364" s="74" t="str">
        <f>Originals!D129</f>
        <v>32</v>
      </c>
      <c r="E364" s="74" t="str">
        <f>Originals!E129</f>
        <v>2015</v>
      </c>
      <c r="F364" s="74" t="str">
        <f>Originals!F129</f>
        <v>Development</v>
      </c>
      <c r="G364" s="74" t="str">
        <f>Originals!G129</f>
        <v>NI</v>
      </c>
      <c r="H364" s="74" t="str">
        <f>Originals!H129</f>
        <v>NI-FGEN Configuration Support 15.0</v>
      </c>
      <c r="I364" s="74" t="str">
        <f>Originals!I129</f>
        <v>NI Developer Suite 2015 DS2 Install</v>
      </c>
    </row>
    <row r="365" spans="1:9" x14ac:dyDescent="0.25">
      <c r="A365" s="74" t="str">
        <f>Scott!A123</f>
        <v>3-Scott</v>
      </c>
      <c r="B365" s="74" t="str">
        <f>Scott!B123</f>
        <v>NI-FGEN Configuration Support</v>
      </c>
      <c r="C365" s="74" t="str">
        <f>Scott!C123</f>
        <v>15.0</v>
      </c>
      <c r="D365" s="74">
        <f>Scott!D123</f>
        <v>32</v>
      </c>
      <c r="E365" s="74">
        <f>Scott!E123</f>
        <v>2015</v>
      </c>
      <c r="F365" s="74" t="str">
        <f>Scott!F123</f>
        <v>Development</v>
      </c>
      <c r="G365" s="74" t="str">
        <f>Scott!G123</f>
        <v>NI</v>
      </c>
      <c r="H365" s="74" t="str">
        <f>Scott!H123</f>
        <v>NI-FGEN Configuration Support 15.0</v>
      </c>
      <c r="I365" s="74" t="str">
        <f>Scott!I123</f>
        <v>NI Developer Suite 2015 DS2 Install</v>
      </c>
    </row>
    <row r="366" spans="1:9" x14ac:dyDescent="0.25">
      <c r="A366" s="74" t="str">
        <f>Originals!A53</f>
        <v>1-Corey</v>
      </c>
      <c r="B366" s="74" t="str">
        <f>Originals!B53</f>
        <v>NI-FGEN Development Support</v>
      </c>
      <c r="C366" s="74" t="str">
        <f>Originals!C53</f>
        <v>15.0</v>
      </c>
      <c r="D366" s="74" t="str">
        <f>Originals!D53</f>
        <v>32</v>
      </c>
      <c r="E366" s="74" t="str">
        <f>Originals!E53</f>
        <v>2015</v>
      </c>
      <c r="F366" s="74" t="str">
        <f>Originals!F53</f>
        <v>Development</v>
      </c>
      <c r="G366" s="74" t="str">
        <f>Originals!G53</f>
        <v>NI</v>
      </c>
      <c r="H366" s="74" t="str">
        <f>Originals!H53</f>
        <v>NI-FGEN Development Support 15.0</v>
      </c>
      <c r="I366" s="74" t="str">
        <f>Originals!I53</f>
        <v>NI Developer Suite 2015 DS2 Install</v>
      </c>
    </row>
    <row r="367" spans="1:9" x14ac:dyDescent="0.25">
      <c r="A367" s="74" t="str">
        <f>Originals!A130</f>
        <v>2-Spencer</v>
      </c>
      <c r="B367" s="74" t="str">
        <f>Originals!B130</f>
        <v>NI-FGEN Development Support</v>
      </c>
      <c r="C367" s="74" t="str">
        <f>Originals!C130</f>
        <v>15.0</v>
      </c>
      <c r="D367" s="74" t="str">
        <f>Originals!D130</f>
        <v>32</v>
      </c>
      <c r="E367" s="74" t="str">
        <f>Originals!E130</f>
        <v>2015</v>
      </c>
      <c r="F367" s="74" t="str">
        <f>Originals!F130</f>
        <v>Development</v>
      </c>
      <c r="G367" s="74" t="str">
        <f>Originals!G130</f>
        <v>NI</v>
      </c>
      <c r="H367" s="74" t="str">
        <f>Originals!H130</f>
        <v>NI-FGEN Development Support 15.0</v>
      </c>
      <c r="I367" s="74" t="str">
        <f>Originals!I130</f>
        <v>NI Developer Suite 2015 DS2 Install</v>
      </c>
    </row>
    <row r="368" spans="1:9" x14ac:dyDescent="0.25">
      <c r="A368" s="74" t="str">
        <f>Scott!A124</f>
        <v>3-Scott</v>
      </c>
      <c r="B368" s="74" t="str">
        <f>Scott!B124</f>
        <v>NI-FGEN Development Support</v>
      </c>
      <c r="C368" s="74" t="str">
        <f>Scott!C124</f>
        <v>15.0</v>
      </c>
      <c r="D368" s="74">
        <f>Scott!D124</f>
        <v>32</v>
      </c>
      <c r="E368" s="74">
        <f>Scott!E124</f>
        <v>2015</v>
      </c>
      <c r="F368" s="74" t="str">
        <f>Scott!F124</f>
        <v>Development</v>
      </c>
      <c r="G368" s="74" t="str">
        <f>Scott!G124</f>
        <v>NI</v>
      </c>
      <c r="H368" s="74" t="str">
        <f>Scott!H124</f>
        <v>NI-FGEN Development Support 15.0</v>
      </c>
      <c r="I368" s="74" t="str">
        <f>Scott!I124</f>
        <v>NI Developer Suite 2015 DS2 Install</v>
      </c>
    </row>
    <row r="369" spans="1:9" x14ac:dyDescent="0.25">
      <c r="A369" s="74" t="str">
        <f>Originals!A54</f>
        <v>1-Corey</v>
      </c>
      <c r="B369" s="74" t="str">
        <f>Originals!B54</f>
        <v>NI-FGEN Soft Front Panel</v>
      </c>
      <c r="C369" s="74" t="str">
        <f>Originals!C54</f>
        <v>15.0</v>
      </c>
      <c r="D369" s="74" t="str">
        <f>Originals!D54</f>
        <v>32</v>
      </c>
      <c r="E369" s="74" t="str">
        <f>Originals!E54</f>
        <v>2015</v>
      </c>
      <c r="F369" s="74" t="str">
        <f>Originals!F54</f>
        <v>Development</v>
      </c>
      <c r="G369" s="74" t="str">
        <f>Originals!G54</f>
        <v>NI</v>
      </c>
      <c r="H369" s="74" t="str">
        <f>Originals!H54</f>
        <v>NI-FGEN Soft Front Panel 15.0</v>
      </c>
      <c r="I369" s="74" t="str">
        <f>Originals!I54</f>
        <v>NI Developer Suite 2015 DS2 Install</v>
      </c>
    </row>
    <row r="370" spans="1:9" x14ac:dyDescent="0.25">
      <c r="A370" s="74" t="str">
        <f>Originals!A131</f>
        <v>2-Spencer</v>
      </c>
      <c r="B370" s="74" t="str">
        <f>Originals!B131</f>
        <v>NI-FGEN Soft Front Panel</v>
      </c>
      <c r="C370" s="74" t="str">
        <f>Originals!C131</f>
        <v>15.0</v>
      </c>
      <c r="D370" s="74" t="str">
        <f>Originals!D131</f>
        <v>32</v>
      </c>
      <c r="E370" s="74" t="str">
        <f>Originals!E131</f>
        <v>2015</v>
      </c>
      <c r="F370" s="74" t="str">
        <f>Originals!F131</f>
        <v>Development</v>
      </c>
      <c r="G370" s="74" t="str">
        <f>Originals!G131</f>
        <v>NI</v>
      </c>
      <c r="H370" s="74" t="str">
        <f>Originals!H131</f>
        <v>NI-FGEN Soft Front Panel 15.0</v>
      </c>
      <c r="I370" s="74" t="str">
        <f>Originals!I131</f>
        <v>NI Developer Suite 2015 DS2 Install</v>
      </c>
    </row>
    <row r="371" spans="1:9" x14ac:dyDescent="0.25">
      <c r="A371" s="74" t="str">
        <f>Scott!A125</f>
        <v>3-Scott</v>
      </c>
      <c r="B371" s="74" t="str">
        <f>Scott!B125</f>
        <v>NI-FGEN Soft Front Panel</v>
      </c>
      <c r="C371" s="74" t="str">
        <f>Scott!C125</f>
        <v>15.0</v>
      </c>
      <c r="D371" s="74">
        <f>Scott!D125</f>
        <v>32</v>
      </c>
      <c r="E371" s="74">
        <f>Scott!E125</f>
        <v>2015</v>
      </c>
      <c r="F371" s="74" t="str">
        <f>Scott!F125</f>
        <v>Development</v>
      </c>
      <c r="G371" s="74" t="str">
        <f>Scott!G125</f>
        <v>NI</v>
      </c>
      <c r="H371" s="74" t="str">
        <f>Scott!H125</f>
        <v>NI-FGEN Soft Front Panel 15.0</v>
      </c>
      <c r="I371" s="74" t="str">
        <f>Scott!I125</f>
        <v>NI Developer Suite 2015 DS2 Install</v>
      </c>
    </row>
    <row r="372" spans="1:9" x14ac:dyDescent="0.25">
      <c r="A372" s="74" t="str">
        <f>Originals!A132</f>
        <v>2-Spencer</v>
      </c>
      <c r="B372" s="74" t="str">
        <f>Originals!B132</f>
        <v>NI-HSDIO</v>
      </c>
      <c r="C372" s="74">
        <f>Originals!C132</f>
        <v>0</v>
      </c>
      <c r="D372" s="74" t="str">
        <f>Originals!D132</f>
        <v>32</v>
      </c>
      <c r="E372" s="74" t="str">
        <f>Originals!E132</f>
        <v>2015</v>
      </c>
      <c r="F372" s="74" t="str">
        <f>Originals!F132</f>
        <v>Development</v>
      </c>
      <c r="G372" s="74" t="str">
        <f>Originals!G132</f>
        <v>NI</v>
      </c>
      <c r="H372" s="74" t="str">
        <f>Originals!H132</f>
        <v xml:space="preserve">NI-HSDIO </v>
      </c>
      <c r="I372" s="74" t="str">
        <f>Originals!I132</f>
        <v>NI Developer Suite 2015 DS2 Install</v>
      </c>
    </row>
    <row r="373" spans="1:9" x14ac:dyDescent="0.25">
      <c r="A373" s="74" t="str">
        <f>Scott!A126</f>
        <v>3-Scott</v>
      </c>
      <c r="B373" s="74" t="str">
        <f>Scott!B126</f>
        <v>NI-HSDIO</v>
      </c>
      <c r="C373" s="74">
        <f>Scott!C126</f>
        <v>0</v>
      </c>
      <c r="D373" s="74">
        <f>Scott!D126</f>
        <v>32</v>
      </c>
      <c r="E373" s="74">
        <f>Scott!E126</f>
        <v>2015</v>
      </c>
      <c r="F373" s="74" t="str">
        <f>Scott!F126</f>
        <v>Development</v>
      </c>
      <c r="G373" s="74" t="str">
        <f>Scott!G126</f>
        <v>NI</v>
      </c>
      <c r="H373" s="74" t="str">
        <f>Scott!H126</f>
        <v xml:space="preserve">NI-HSDIO </v>
      </c>
      <c r="I373" s="74" t="str">
        <f>Scott!I126</f>
        <v>NI Developer Suite 2015 DS2 Install</v>
      </c>
    </row>
    <row r="374" spans="1:9" hidden="1" x14ac:dyDescent="0.25">
      <c r="A374" s="74" t="str">
        <f>Originals!A133</f>
        <v>2-Spencer</v>
      </c>
      <c r="B374" s="74" t="str">
        <f>Originals!B133</f>
        <v>NI-HSDIO</v>
      </c>
      <c r="C374" s="74" t="str">
        <f>Originals!C133</f>
        <v>15.0</v>
      </c>
      <c r="D374" s="74" t="str">
        <f>Originals!D133</f>
        <v>32</v>
      </c>
      <c r="E374" s="74" t="str">
        <f>Originals!E133</f>
        <v>2015</v>
      </c>
      <c r="F374" s="74" t="str">
        <f>Originals!F133</f>
        <v>Runtime</v>
      </c>
      <c r="G374" s="74" t="str">
        <f>Originals!G133</f>
        <v>NI</v>
      </c>
      <c r="H374" s="74" t="str">
        <f>Originals!H133</f>
        <v>NI-HSDIO 15.0</v>
      </c>
      <c r="I374" s="74" t="str">
        <f>Originals!I133</f>
        <v>NI Developer Suite 2015 DS2 Install</v>
      </c>
    </row>
    <row r="375" spans="1:9" hidden="1" x14ac:dyDescent="0.25">
      <c r="A375" s="74" t="str">
        <f>Scott!A127</f>
        <v>3-Scott</v>
      </c>
      <c r="B375" s="74" t="str">
        <f>Scott!B127</f>
        <v>NI-HSDIO</v>
      </c>
      <c r="C375" s="74" t="str">
        <f>Scott!C127</f>
        <v>15.0</v>
      </c>
      <c r="D375" s="74">
        <f>Scott!D127</f>
        <v>32</v>
      </c>
      <c r="E375" s="74">
        <f>Scott!E127</f>
        <v>2015</v>
      </c>
      <c r="F375" s="74" t="str">
        <f>Scott!F127</f>
        <v>Runtime</v>
      </c>
      <c r="G375" s="74" t="str">
        <f>Scott!G127</f>
        <v>NI</v>
      </c>
      <c r="H375" s="74" t="str">
        <f>Scott!H127</f>
        <v>NI-HSDIO 15.0</v>
      </c>
      <c r="I375" s="74" t="str">
        <f>Scott!I127</f>
        <v>NI Developer Suite 2015 DS2 Install</v>
      </c>
    </row>
    <row r="376" spans="1:9" x14ac:dyDescent="0.25">
      <c r="A376" s="74" t="str">
        <f>Originals!A134</f>
        <v>2-Spencer</v>
      </c>
      <c r="B376" s="74" t="str">
        <f>Originals!B134</f>
        <v>NI-HSDIO Configuration Support</v>
      </c>
      <c r="C376" s="74" t="str">
        <f>Originals!C134</f>
        <v>15.0</v>
      </c>
      <c r="D376" s="74" t="str">
        <f>Originals!D134</f>
        <v>32</v>
      </c>
      <c r="E376" s="74" t="str">
        <f>Originals!E134</f>
        <v>2015</v>
      </c>
      <c r="F376" s="74" t="str">
        <f>Originals!F134</f>
        <v>Development</v>
      </c>
      <c r="G376" s="74" t="str">
        <f>Originals!G134</f>
        <v>NI</v>
      </c>
      <c r="H376" s="74" t="str">
        <f>Originals!H134</f>
        <v>NI-HSDIO Configuration Support 15.0</v>
      </c>
      <c r="I376" s="74" t="str">
        <f>Originals!I134</f>
        <v>NI Developer Suite 2015 DS2 Install</v>
      </c>
    </row>
    <row r="377" spans="1:9" x14ac:dyDescent="0.25">
      <c r="A377" s="74" t="str">
        <f>Scott!A128</f>
        <v>3-Scott</v>
      </c>
      <c r="B377" s="74" t="str">
        <f>Scott!B128</f>
        <v>NI-HSDIO Configuration Support</v>
      </c>
      <c r="C377" s="74" t="str">
        <f>Scott!C128</f>
        <v>15.0</v>
      </c>
      <c r="D377" s="74">
        <f>Scott!D128</f>
        <v>32</v>
      </c>
      <c r="E377" s="74">
        <f>Scott!E128</f>
        <v>2015</v>
      </c>
      <c r="F377" s="74" t="str">
        <f>Scott!F128</f>
        <v>Development</v>
      </c>
      <c r="G377" s="74" t="str">
        <f>Scott!G128</f>
        <v>NI</v>
      </c>
      <c r="H377" s="74" t="str">
        <f>Scott!H128</f>
        <v>NI-HSDIO Configuration Support 15.0</v>
      </c>
      <c r="I377" s="74" t="str">
        <f>Scott!I128</f>
        <v>NI Developer Suite 2015 DS2 Install</v>
      </c>
    </row>
    <row r="378" spans="1:9" x14ac:dyDescent="0.25">
      <c r="A378" s="74" t="str">
        <f>Originals!A135</f>
        <v>2-Spencer</v>
      </c>
      <c r="B378" s="74" t="str">
        <f>Originals!B135</f>
        <v>NI-HSDIO Development Support</v>
      </c>
      <c r="C378" s="74" t="str">
        <f>Originals!C135</f>
        <v>15.0</v>
      </c>
      <c r="D378" s="74" t="str">
        <f>Originals!D135</f>
        <v>32</v>
      </c>
      <c r="E378" s="74" t="str">
        <f>Originals!E135</f>
        <v>2015</v>
      </c>
      <c r="F378" s="74" t="str">
        <f>Originals!F135</f>
        <v>Development</v>
      </c>
      <c r="G378" s="74" t="str">
        <f>Originals!G135</f>
        <v>NI</v>
      </c>
      <c r="H378" s="74" t="str">
        <f>Originals!H135</f>
        <v>NI-HSDIO Development Support 15.0</v>
      </c>
      <c r="I378" s="74" t="str">
        <f>Originals!I135</f>
        <v>NI Developer Suite 2015 DS2 Install</v>
      </c>
    </row>
    <row r="379" spans="1:9" x14ac:dyDescent="0.25">
      <c r="A379" s="74" t="str">
        <f>Scott!A129</f>
        <v>3-Scott</v>
      </c>
      <c r="B379" s="74" t="str">
        <f>Scott!B129</f>
        <v>NI-HSDIO Development Support</v>
      </c>
      <c r="C379" s="74" t="str">
        <f>Scott!C129</f>
        <v>15.0</v>
      </c>
      <c r="D379" s="74">
        <f>Scott!D129</f>
        <v>32</v>
      </c>
      <c r="E379" s="74">
        <f>Scott!E129</f>
        <v>2015</v>
      </c>
      <c r="F379" s="74" t="str">
        <f>Scott!F129</f>
        <v>Development</v>
      </c>
      <c r="G379" s="74" t="str">
        <f>Scott!G129</f>
        <v>NI</v>
      </c>
      <c r="H379" s="74" t="str">
        <f>Scott!H129</f>
        <v>NI-HSDIO Development Support 15.0</v>
      </c>
      <c r="I379" s="74" t="str">
        <f>Scott!I129</f>
        <v>NI Developer Suite 2015 DS2 Install</v>
      </c>
    </row>
    <row r="380" spans="1:9" x14ac:dyDescent="0.25">
      <c r="A380" s="74" t="str">
        <f>Originals!A136</f>
        <v>2-Spencer</v>
      </c>
      <c r="B380" s="74" t="str">
        <f>Originals!B136</f>
        <v>NI-HWS</v>
      </c>
      <c r="C380" s="74" t="str">
        <f>Originals!C136</f>
        <v>15.0.0</v>
      </c>
      <c r="D380" s="74" t="str">
        <f>Originals!D136</f>
        <v>32</v>
      </c>
      <c r="E380" s="74" t="str">
        <f>Originals!E136</f>
        <v>2015</v>
      </c>
      <c r="F380" s="74" t="str">
        <f>Originals!F136</f>
        <v>Development</v>
      </c>
      <c r="G380" s="74" t="str">
        <f>Originals!G136</f>
        <v>NI</v>
      </c>
      <c r="H380" s="74" t="str">
        <f>Originals!H136</f>
        <v>NI-HWS 15.0.0</v>
      </c>
      <c r="I380" s="74" t="str">
        <f>Originals!I136</f>
        <v>NI Developer Suite 2015 DS2 Install</v>
      </c>
    </row>
    <row r="381" spans="1:9" x14ac:dyDescent="0.25">
      <c r="A381" s="74" t="str">
        <f>Scott!A130</f>
        <v>3-Scott</v>
      </c>
      <c r="B381" s="74" t="str">
        <f>Scott!B130</f>
        <v>NI-HWS</v>
      </c>
      <c r="C381" s="74" t="str">
        <f>Scott!C130</f>
        <v>15.0.0</v>
      </c>
      <c r="D381" s="74">
        <f>Scott!D130</f>
        <v>32</v>
      </c>
      <c r="E381" s="74">
        <f>Scott!E130</f>
        <v>2015</v>
      </c>
      <c r="F381" s="74" t="str">
        <f>Scott!F130</f>
        <v>Development</v>
      </c>
      <c r="G381" s="74" t="str">
        <f>Scott!G130</f>
        <v>NI</v>
      </c>
      <c r="H381" s="74" t="str">
        <f>Scott!H130</f>
        <v>NI-HWS 15.0.0</v>
      </c>
      <c r="I381" s="74" t="str">
        <f>Scott!I130</f>
        <v>NI Developer Suite 2015 DS2 Install</v>
      </c>
    </row>
    <row r="382" spans="1:9" x14ac:dyDescent="0.25">
      <c r="A382" s="74" t="str">
        <f>Scott!A131</f>
        <v>3-Scott</v>
      </c>
      <c r="B382" s="74" t="str">
        <f>Scott!B131</f>
        <v>NI-IMAQ</v>
      </c>
      <c r="C382" s="74" t="str">
        <f>Scott!C131</f>
        <v>19.0.0</v>
      </c>
      <c r="D382" s="74" t="str">
        <f>Scott!D131</f>
        <v>32</v>
      </c>
      <c r="E382" s="74" t="str">
        <f>Scott!E131</f>
        <v>2019</v>
      </c>
      <c r="F382" s="74" t="str">
        <f>Scott!F131</f>
        <v>Development</v>
      </c>
      <c r="G382" s="74" t="str">
        <f>Scott!G131</f>
        <v>NI</v>
      </c>
      <c r="H382" s="74" t="str">
        <f>Scott!H131</f>
        <v>NI-IMAQ 19.0.0</v>
      </c>
      <c r="I382" s="74" t="str">
        <f>Scott!I131</f>
        <v>LabVIEW 2019</v>
      </c>
    </row>
    <row r="383" spans="1:9" hidden="1" x14ac:dyDescent="0.25">
      <c r="A383" s="74" t="str">
        <f>Scott!A132</f>
        <v>3-Scott</v>
      </c>
      <c r="B383" s="74" t="str">
        <f>Scott!B132</f>
        <v>NI-IMAQ</v>
      </c>
      <c r="C383" s="74" t="str">
        <f>Scott!C132</f>
        <v>19.0.0</v>
      </c>
      <c r="D383" s="74" t="str">
        <f>Scott!D132</f>
        <v>32</v>
      </c>
      <c r="E383" s="74" t="str">
        <f>Scott!E132</f>
        <v>2019</v>
      </c>
      <c r="F383" s="74" t="str">
        <f>Scott!F132</f>
        <v>Runtime</v>
      </c>
      <c r="G383" s="74" t="str">
        <f>Scott!G132</f>
        <v>NI</v>
      </c>
      <c r="H383" s="74" t="str">
        <f>Scott!H132</f>
        <v>NI-IMAQ 19.0.0</v>
      </c>
      <c r="I383" s="74" t="str">
        <f>Scott!I132</f>
        <v>LabVIEW 2019</v>
      </c>
    </row>
    <row r="384" spans="1:9" x14ac:dyDescent="0.25">
      <c r="A384" s="74" t="str">
        <f>Originals!A289</f>
        <v>4-Vinnie</v>
      </c>
      <c r="B384" s="74" t="str">
        <f>Originals!B289</f>
        <v>NI-IMAQ</v>
      </c>
      <c r="C384" s="74" t="str">
        <f>Originals!C289</f>
        <v>19.5.0</v>
      </c>
      <c r="D384" s="74" t="str">
        <f>Originals!D289</f>
        <v>32</v>
      </c>
      <c r="E384" s="74" t="str">
        <f>Originals!E289</f>
        <v>2019</v>
      </c>
      <c r="F384" s="74" t="str">
        <f>Originals!F289</f>
        <v>Development</v>
      </c>
      <c r="G384" s="74" t="str">
        <f>Originals!G289</f>
        <v>NI</v>
      </c>
      <c r="H384" s="74" t="str">
        <f>Originals!H289</f>
        <v>NI-IMAQ 19.5.0</v>
      </c>
      <c r="I384" s="74">
        <f>Originals!I289</f>
        <v>0</v>
      </c>
    </row>
    <row r="385" spans="1:9" hidden="1" x14ac:dyDescent="0.25">
      <c r="A385" s="74" t="str">
        <f>Originals!A290</f>
        <v>4-Vinnie</v>
      </c>
      <c r="B385" s="74" t="str">
        <f>Originals!B290</f>
        <v>NI-IMAQ</v>
      </c>
      <c r="C385" s="74" t="str">
        <f>Originals!C290</f>
        <v>19.5.0</v>
      </c>
      <c r="D385" s="74" t="str">
        <f>Originals!D290</f>
        <v>32</v>
      </c>
      <c r="E385" s="74" t="str">
        <f>Originals!E290</f>
        <v>2019</v>
      </c>
      <c r="F385" s="74" t="str">
        <f>Originals!F290</f>
        <v>Runtime</v>
      </c>
      <c r="G385" s="74" t="str">
        <f>Originals!G290</f>
        <v>NI</v>
      </c>
      <c r="H385" s="74" t="str">
        <f>Originals!H290</f>
        <v>NI-IMAQ 19.5.0</v>
      </c>
      <c r="I385" s="74">
        <f>Originals!I290</f>
        <v>0</v>
      </c>
    </row>
    <row r="386" spans="1:9" x14ac:dyDescent="0.25">
      <c r="A386" s="74" t="str">
        <f>Originals!A291</f>
        <v>4-Vinnie</v>
      </c>
      <c r="B386" s="74" t="str">
        <f>Originals!B291</f>
        <v>NI-IMAQ Development Support</v>
      </c>
      <c r="C386" s="74" t="str">
        <f>Originals!C291</f>
        <v>18.5.0</v>
      </c>
      <c r="D386" s="74" t="str">
        <f>Originals!D291</f>
        <v>32</v>
      </c>
      <c r="E386" s="74" t="str">
        <f>Originals!E291</f>
        <v>2018</v>
      </c>
      <c r="F386" s="74" t="str">
        <f>Originals!F291</f>
        <v>Development</v>
      </c>
      <c r="G386" s="74" t="str">
        <f>Originals!G291</f>
        <v>NI</v>
      </c>
      <c r="H386" s="74" t="str">
        <f>Originals!H291</f>
        <v>NI-IMAQ Development Support 18.5.0</v>
      </c>
      <c r="I386" s="74">
        <f>Originals!I291</f>
        <v>0</v>
      </c>
    </row>
    <row r="387" spans="1:9" x14ac:dyDescent="0.25">
      <c r="A387" s="74" t="str">
        <f>Originals!A292</f>
        <v>4-Vinnie</v>
      </c>
      <c r="B387" s="74" t="str">
        <f>Originals!B292</f>
        <v>NI-IMAQ I/O</v>
      </c>
      <c r="C387" s="74" t="str">
        <f>Originals!C292</f>
        <v>18.5.0</v>
      </c>
      <c r="D387" s="74" t="str">
        <f>Originals!D292</f>
        <v>32</v>
      </c>
      <c r="E387" s="74" t="str">
        <f>Originals!E292</f>
        <v>2018</v>
      </c>
      <c r="F387" s="74" t="str">
        <f>Originals!F292</f>
        <v>Development</v>
      </c>
      <c r="G387" s="74" t="str">
        <f>Originals!G292</f>
        <v>NI</v>
      </c>
      <c r="H387" s="74" t="str">
        <f>Originals!H292</f>
        <v>NI-IMAQ I/O 18.5.0</v>
      </c>
      <c r="I387" s="74">
        <f>Originals!I292</f>
        <v>0</v>
      </c>
    </row>
    <row r="388" spans="1:9" hidden="1" x14ac:dyDescent="0.25">
      <c r="A388" s="74" t="str">
        <f>Originals!A293</f>
        <v>4-Vinnie</v>
      </c>
      <c r="B388" s="74" t="str">
        <f>Originals!B293</f>
        <v>NI-IMAQ I/O</v>
      </c>
      <c r="C388" s="74" t="str">
        <f>Originals!C293</f>
        <v>18.5.0</v>
      </c>
      <c r="D388" s="74" t="str">
        <f>Originals!D293</f>
        <v>32</v>
      </c>
      <c r="E388" s="74" t="str">
        <f>Originals!E293</f>
        <v>2018</v>
      </c>
      <c r="F388" s="74" t="str">
        <f>Originals!F293</f>
        <v>Runtime</v>
      </c>
      <c r="G388" s="74" t="str">
        <f>Originals!G293</f>
        <v>NI</v>
      </c>
      <c r="H388" s="74" t="str">
        <f>Originals!H293</f>
        <v>NI-IMAQ I/O 18.5.0</v>
      </c>
      <c r="I388" s="74">
        <f>Originals!I293</f>
        <v>0</v>
      </c>
    </row>
    <row r="389" spans="1:9" x14ac:dyDescent="0.25">
      <c r="A389" s="74" t="str">
        <f>Scott!A133</f>
        <v>3-Scott</v>
      </c>
      <c r="B389" s="74" t="str">
        <f>Scott!B133</f>
        <v>NI-IMAQ I/O</v>
      </c>
      <c r="C389" s="74" t="str">
        <f>Scott!C133</f>
        <v>19.0.0</v>
      </c>
      <c r="D389" s="74" t="str">
        <f>Scott!D133</f>
        <v>32</v>
      </c>
      <c r="E389" s="74" t="str">
        <f>Scott!E133</f>
        <v>2019</v>
      </c>
      <c r="F389" s="74" t="str">
        <f>Scott!F133</f>
        <v>Development</v>
      </c>
      <c r="G389" s="74" t="str">
        <f>Scott!G133</f>
        <v>NI</v>
      </c>
      <c r="H389" s="74" t="str">
        <f>Scott!H133</f>
        <v>NI-IMAQ I/O 19.0.0</v>
      </c>
      <c r="I389" s="74" t="str">
        <f>Scott!I133</f>
        <v>LabVIEW 2019</v>
      </c>
    </row>
    <row r="390" spans="1:9" hidden="1" x14ac:dyDescent="0.25">
      <c r="A390" s="74" t="str">
        <f>Scott!A134</f>
        <v>3-Scott</v>
      </c>
      <c r="B390" s="74" t="str">
        <f>Scott!B134</f>
        <v>NI-IMAQ I/O</v>
      </c>
      <c r="C390" s="74" t="str">
        <f>Scott!C134</f>
        <v>19.0.0</v>
      </c>
      <c r="D390" s="74" t="str">
        <f>Scott!D134</f>
        <v>32</v>
      </c>
      <c r="E390" s="74" t="str">
        <f>Scott!E134</f>
        <v>2019</v>
      </c>
      <c r="F390" s="74" t="str">
        <f>Scott!F134</f>
        <v>Runtime</v>
      </c>
      <c r="G390" s="74" t="str">
        <f>Scott!G134</f>
        <v>NI</v>
      </c>
      <c r="H390" s="74" t="str">
        <f>Scott!H134</f>
        <v>NI-IMAQ I/O 19.0.0</v>
      </c>
      <c r="I390" s="74" t="str">
        <f>Scott!I134</f>
        <v>LabVIEW 2019</v>
      </c>
    </row>
    <row r="391" spans="1:9" x14ac:dyDescent="0.25">
      <c r="A391" s="74" t="str">
        <f>Originals!A294</f>
        <v>4-Vinnie</v>
      </c>
      <c r="B391" s="74" t="str">
        <f>Originals!B294</f>
        <v>NI-IMAQ I/O Development Support</v>
      </c>
      <c r="C391" s="74" t="str">
        <f>Originals!C294</f>
        <v>18.5.0</v>
      </c>
      <c r="D391" s="74" t="str">
        <f>Originals!D294</f>
        <v>32</v>
      </c>
      <c r="E391" s="74" t="str">
        <f>Originals!E294</f>
        <v>2018</v>
      </c>
      <c r="F391" s="74" t="str">
        <f>Originals!F294</f>
        <v>Development</v>
      </c>
      <c r="G391" s="74" t="str">
        <f>Originals!G294</f>
        <v>NI</v>
      </c>
      <c r="H391" s="74" t="str">
        <f>Originals!H294</f>
        <v>NI-IMAQ I/O Development Support 18.5.0</v>
      </c>
      <c r="I391" s="74">
        <f>Originals!I294</f>
        <v>0</v>
      </c>
    </row>
    <row r="392" spans="1:9" x14ac:dyDescent="0.25">
      <c r="A392" s="74" t="str">
        <f>Originals!A295</f>
        <v>4-Vinnie</v>
      </c>
      <c r="B392" s="74" t="str">
        <f>Originals!B295</f>
        <v>NI-IMAQdx</v>
      </c>
      <c r="C392" s="74" t="str">
        <f>Originals!C295</f>
        <v>18.5.0</v>
      </c>
      <c r="D392" s="74" t="str">
        <f>Originals!D295</f>
        <v>32</v>
      </c>
      <c r="E392" s="74" t="str">
        <f>Originals!E295</f>
        <v>2018</v>
      </c>
      <c r="F392" s="74" t="str">
        <f>Originals!F295</f>
        <v>Development</v>
      </c>
      <c r="G392" s="74" t="str">
        <f>Originals!G295</f>
        <v>NI</v>
      </c>
      <c r="H392" s="74" t="str">
        <f>Originals!H295</f>
        <v>NI-IMAQdx 18.5.0</v>
      </c>
      <c r="I392" s="74">
        <f>Originals!I295</f>
        <v>0</v>
      </c>
    </row>
    <row r="393" spans="1:9" hidden="1" x14ac:dyDescent="0.25">
      <c r="A393" s="74" t="str">
        <f>Originals!A296</f>
        <v>4-Vinnie</v>
      </c>
      <c r="B393" s="74" t="str">
        <f>Originals!B296</f>
        <v>NI-IMAQdx</v>
      </c>
      <c r="C393" s="74" t="str">
        <f>Originals!C296</f>
        <v>18.5.0</v>
      </c>
      <c r="D393" s="74" t="str">
        <f>Originals!D296</f>
        <v>32</v>
      </c>
      <c r="E393" s="74" t="str">
        <f>Originals!E296</f>
        <v>2018</v>
      </c>
      <c r="F393" s="74" t="str">
        <f>Originals!F296</f>
        <v>Runtime</v>
      </c>
      <c r="G393" s="74" t="str">
        <f>Originals!G296</f>
        <v>NI</v>
      </c>
      <c r="H393" s="74" t="str">
        <f>Originals!H296</f>
        <v>NI-IMAQdx 18.5.0</v>
      </c>
      <c r="I393" s="74">
        <f>Originals!I296</f>
        <v>0</v>
      </c>
    </row>
    <row r="394" spans="1:9" x14ac:dyDescent="0.25">
      <c r="A394" s="74" t="str">
        <f>Scott!A135</f>
        <v>3-Scott</v>
      </c>
      <c r="B394" s="74" t="str">
        <f>Scott!B135</f>
        <v>NI-IMAQdx</v>
      </c>
      <c r="C394" s="74" t="str">
        <f>Scott!C135</f>
        <v>19.0.0</v>
      </c>
      <c r="D394" s="74" t="str">
        <f>Scott!D135</f>
        <v>32</v>
      </c>
      <c r="E394" s="74" t="str">
        <f>Scott!E135</f>
        <v>2019</v>
      </c>
      <c r="F394" s="74" t="str">
        <f>Scott!F135</f>
        <v>Development</v>
      </c>
      <c r="G394" s="74" t="str">
        <f>Scott!G135</f>
        <v>NI</v>
      </c>
      <c r="H394" s="74" t="str">
        <f>Scott!H135</f>
        <v>NI-IMAQdx 19.0.0</v>
      </c>
      <c r="I394" s="74" t="str">
        <f>Scott!I135</f>
        <v>LabVIEW 2019</v>
      </c>
    </row>
    <row r="395" spans="1:9" hidden="1" x14ac:dyDescent="0.25">
      <c r="A395" s="74" t="str">
        <f>Scott!A136</f>
        <v>3-Scott</v>
      </c>
      <c r="B395" s="74" t="str">
        <f>Scott!B136</f>
        <v>NI-IMAQdx</v>
      </c>
      <c r="C395" s="74" t="str">
        <f>Scott!C136</f>
        <v>19.0.0</v>
      </c>
      <c r="D395" s="74" t="str">
        <f>Scott!D136</f>
        <v>32</v>
      </c>
      <c r="E395" s="74" t="str">
        <f>Scott!E136</f>
        <v>2019</v>
      </c>
      <c r="F395" s="74" t="str">
        <f>Scott!F136</f>
        <v>Runtime</v>
      </c>
      <c r="G395" s="74" t="str">
        <f>Scott!G136</f>
        <v>NI</v>
      </c>
      <c r="H395" s="74" t="str">
        <f>Scott!H136</f>
        <v>NI-IMAQdx 19.0.0</v>
      </c>
      <c r="I395" s="74" t="str">
        <f>Scott!I136</f>
        <v>LabVIEW 2019</v>
      </c>
    </row>
    <row r="396" spans="1:9" x14ac:dyDescent="0.25">
      <c r="A396" s="74" t="str">
        <f>Originals!A297</f>
        <v>4-Vinnie</v>
      </c>
      <c r="B396" s="74" t="str">
        <f>Originals!B297</f>
        <v>NI-IMAQdx Development Support</v>
      </c>
      <c r="C396" s="74" t="str">
        <f>Originals!C297</f>
        <v>18.5.0</v>
      </c>
      <c r="D396" s="74" t="str">
        <f>Originals!D297</f>
        <v>32</v>
      </c>
      <c r="E396" s="74" t="str">
        <f>Originals!E297</f>
        <v>2018</v>
      </c>
      <c r="F396" s="74" t="str">
        <f>Originals!F297</f>
        <v>Development</v>
      </c>
      <c r="G396" s="74" t="str">
        <f>Originals!G297</f>
        <v>NI</v>
      </c>
      <c r="H396" s="74" t="str">
        <f>Originals!H297</f>
        <v>NI-IMAQdx Development Support 18.5.0</v>
      </c>
      <c r="I396" s="74">
        <f>Originals!I297</f>
        <v>0</v>
      </c>
    </row>
    <row r="397" spans="1:9" hidden="1" x14ac:dyDescent="0.25">
      <c r="A397" s="74" t="str">
        <f>Originals!A299</f>
        <v>4-Vinnie</v>
      </c>
      <c r="B397" s="74" t="str">
        <f>Originals!B299</f>
        <v>NI-Industrial Communications for EtherCAT</v>
      </c>
      <c r="C397" s="74">
        <f>Originals!C299</f>
        <v>0</v>
      </c>
      <c r="D397" s="74" t="str">
        <f>Originals!D299</f>
        <v>32</v>
      </c>
      <c r="E397" s="74" t="str">
        <f>Originals!E299</f>
        <v>N/A</v>
      </c>
      <c r="F397" s="74" t="str">
        <f>Originals!F299</f>
        <v>C-RIO</v>
      </c>
      <c r="G397" s="74" t="str">
        <f>Originals!G299</f>
        <v>NI</v>
      </c>
      <c r="H397" s="74" t="str">
        <f>Originals!H299</f>
        <v xml:space="preserve">NI-Industrial Communications for EtherCAT </v>
      </c>
      <c r="I397" s="74">
        <f>Originals!I299</f>
        <v>0</v>
      </c>
    </row>
    <row r="398" spans="1:9" x14ac:dyDescent="0.25">
      <c r="A398" s="74" t="str">
        <f>Originals!A298</f>
        <v>4-Vinnie</v>
      </c>
      <c r="B398" s="74" t="str">
        <f>Originals!B298</f>
        <v>NI-Industrial Communications for EtherCAT</v>
      </c>
      <c r="C398" s="74" t="str">
        <f>Originals!C298</f>
        <v>15.0</v>
      </c>
      <c r="D398" s="74" t="str">
        <f>Originals!D298</f>
        <v>32</v>
      </c>
      <c r="E398" s="74" t="str">
        <f>Originals!E298</f>
        <v>2015</v>
      </c>
      <c r="F398" s="74" t="str">
        <f>Originals!F298</f>
        <v>Development</v>
      </c>
      <c r="G398" s="74" t="str">
        <f>Originals!G298</f>
        <v>NI</v>
      </c>
      <c r="H398" s="74" t="str">
        <f>Originals!H298</f>
        <v>NI-Industrial Communications for EtherCAT 15.0</v>
      </c>
      <c r="I398" s="74" t="str">
        <f>Originals!I298</f>
        <v>NI-Industrial Communications for EtherCAT on "Y' Drive</v>
      </c>
    </row>
    <row r="399" spans="1:9" x14ac:dyDescent="0.25">
      <c r="A399" s="74" t="str">
        <f>Originals!A137</f>
        <v>2-Spencer</v>
      </c>
      <c r="B399" s="74" t="str">
        <f>Originals!B137</f>
        <v>NI-Industrial Communications for EtherCAT</v>
      </c>
      <c r="C399" s="74" t="str">
        <f>Originals!C137</f>
        <v>15.0.0f3</v>
      </c>
      <c r="D399" s="74" t="str">
        <f>Originals!D137</f>
        <v>32</v>
      </c>
      <c r="E399" s="74" t="str">
        <f>Originals!E137</f>
        <v>2015</v>
      </c>
      <c r="F399" s="74" t="str">
        <f>Originals!F137</f>
        <v>Development</v>
      </c>
      <c r="G399" s="74" t="str">
        <f>Originals!G137</f>
        <v>NI</v>
      </c>
      <c r="H399" s="74" t="str">
        <f>Originals!H137</f>
        <v>NI-Industrial Communications for EtherCAT 15.0.0f3</v>
      </c>
      <c r="I399" s="74" t="str">
        <f>Originals!I137</f>
        <v>NI-Industrial Communications for EtherCAT on "Y' Drive</v>
      </c>
    </row>
    <row r="400" spans="1:9" x14ac:dyDescent="0.25">
      <c r="A400" s="74" t="str">
        <f>Originals!A300</f>
        <v>4-Vinnie</v>
      </c>
      <c r="B400" s="74" t="str">
        <f>Originals!B300</f>
        <v>NI-Industrial Communications for EtherCAT</v>
      </c>
      <c r="C400" s="74" t="str">
        <f>Originals!C300</f>
        <v>15.0.0f3</v>
      </c>
      <c r="D400" s="74" t="str">
        <f>Originals!D300</f>
        <v>32</v>
      </c>
      <c r="E400" s="74">
        <f>Originals!E300</f>
        <v>2015</v>
      </c>
      <c r="F400" s="74" t="str">
        <f>Originals!F300</f>
        <v>Development</v>
      </c>
      <c r="G400" s="74" t="str">
        <f>Originals!G300</f>
        <v>NI</v>
      </c>
      <c r="H400" s="74" t="str">
        <f>Originals!H300</f>
        <v>NI-Industrial Communications for EtherCAT 15.0.0f3</v>
      </c>
      <c r="I400" s="74" t="str">
        <f>Originals!I300</f>
        <v>NI-Industrial Communications for EtherCAT on "Y' Drive</v>
      </c>
    </row>
    <row r="401" spans="1:9" x14ac:dyDescent="0.25">
      <c r="A401" s="74" t="str">
        <f>Originals!A389</f>
        <v>5-Confluence</v>
      </c>
      <c r="B401" s="74" t="str">
        <f>Originals!B389</f>
        <v>NI-Industrial Communications for EtherCAT</v>
      </c>
      <c r="C401" s="74" t="str">
        <f>Originals!C389</f>
        <v>18.0</v>
      </c>
      <c r="D401" s="74" t="str">
        <f>Originals!D389</f>
        <v>32</v>
      </c>
      <c r="E401" s="74" t="str">
        <f>Originals!E389</f>
        <v>2018</v>
      </c>
      <c r="F401" s="74" t="str">
        <f>Originals!F389</f>
        <v>Development</v>
      </c>
      <c r="G401" s="74" t="str">
        <f>Originals!G389</f>
        <v>NI</v>
      </c>
      <c r="H401" s="74" t="str">
        <f>Originals!H389</f>
        <v>NI-Industrial Communications for EtherCAT 18.0</v>
      </c>
      <c r="I401" s="74">
        <f>Originals!I389</f>
        <v>0</v>
      </c>
    </row>
    <row r="402" spans="1:9" x14ac:dyDescent="0.25">
      <c r="A402" s="74" t="str">
        <f>Scott!A137</f>
        <v>3-Scott</v>
      </c>
      <c r="B402" s="74" t="str">
        <f>Scott!B137</f>
        <v>NI-Industrial Communications for EtherCAT</v>
      </c>
      <c r="C402" s="74" t="str">
        <f>Scott!C137</f>
        <v>18.0.0f1</v>
      </c>
      <c r="D402" s="74">
        <f>Scott!D137</f>
        <v>32</v>
      </c>
      <c r="E402" s="74">
        <f>Scott!E137</f>
        <v>2015</v>
      </c>
      <c r="F402" s="74" t="str">
        <f>Scott!F137</f>
        <v>Development</v>
      </c>
      <c r="G402" s="74" t="str">
        <f>Scott!G137</f>
        <v>NI</v>
      </c>
      <c r="H402" s="74" t="str">
        <f>Scott!H137</f>
        <v>NI-Industrial Communications for EtherCAT 18.0.0f1</v>
      </c>
      <c r="I402" s="74" t="str">
        <f>Scott!I137</f>
        <v>NI-Industrial Communications for EtherCAT on "Y' Drive</v>
      </c>
    </row>
    <row r="403" spans="1:9" x14ac:dyDescent="0.25">
      <c r="A403" s="74" t="str">
        <f>Originals!A390</f>
        <v>5-Confluence</v>
      </c>
      <c r="B403" s="74" t="str">
        <f>Originals!B390</f>
        <v>NI-PAL</v>
      </c>
      <c r="C403" s="74" t="str">
        <f>Originals!C390</f>
        <v>18.2</v>
      </c>
      <c r="D403" s="74" t="str">
        <f>Originals!D390</f>
        <v>32</v>
      </c>
      <c r="E403" s="74" t="str">
        <f>Originals!E390</f>
        <v>2018</v>
      </c>
      <c r="F403" s="74" t="str">
        <f>Originals!F390</f>
        <v>Development</v>
      </c>
      <c r="G403" s="74" t="str">
        <f>Originals!G390</f>
        <v>NI</v>
      </c>
      <c r="H403" s="74" t="str">
        <f>Originals!H390</f>
        <v>NI-PAL 18.2</v>
      </c>
      <c r="I403" s="74">
        <f>Originals!I390</f>
        <v>0</v>
      </c>
    </row>
    <row r="404" spans="1:9" x14ac:dyDescent="0.25">
      <c r="A404" s="74" t="str">
        <f>Originals!A138</f>
        <v>2-Spencer</v>
      </c>
      <c r="B404" s="74" t="str">
        <f>Originals!B138</f>
        <v>NI-PAL</v>
      </c>
      <c r="C404" s="74" t="str">
        <f>Originals!C138</f>
        <v>19.0.0</v>
      </c>
      <c r="D404" s="74" t="str">
        <f>Originals!D138</f>
        <v>32</v>
      </c>
      <c r="E404" s="74" t="str">
        <f>Originals!E138</f>
        <v>2019</v>
      </c>
      <c r="F404" s="74" t="str">
        <f>Originals!F138</f>
        <v>Development</v>
      </c>
      <c r="G404" s="74" t="str">
        <f>Originals!G138</f>
        <v>NI</v>
      </c>
      <c r="H404" s="74" t="str">
        <f>Originals!H138</f>
        <v>NI-PAL 19.0.0</v>
      </c>
      <c r="I404" s="74">
        <f>Originals!I138</f>
        <v>0</v>
      </c>
    </row>
    <row r="405" spans="1:9" x14ac:dyDescent="0.25">
      <c r="A405" s="74" t="str">
        <f>Originals!A55</f>
        <v>1-Corey</v>
      </c>
      <c r="B405" s="74" t="str">
        <f>Originals!B55</f>
        <v>NI-PAL Software</v>
      </c>
      <c r="C405" s="74" t="str">
        <f>Originals!C55</f>
        <v>19.0.0</v>
      </c>
      <c r="D405" s="74" t="str">
        <f>Originals!D55</f>
        <v>32</v>
      </c>
      <c r="E405" s="74" t="str">
        <f>Originals!E55</f>
        <v>2019</v>
      </c>
      <c r="F405" s="74" t="str">
        <f>Originals!F55</f>
        <v>Development</v>
      </c>
      <c r="G405" s="74" t="str">
        <f>Originals!G55</f>
        <v>NI</v>
      </c>
      <c r="H405" s="74" t="str">
        <f>Originals!H55</f>
        <v>NI-PAL Software 19.0.0</v>
      </c>
      <c r="I405" s="74" t="str">
        <f>Originals!I55</f>
        <v>LabVIEW 2019</v>
      </c>
    </row>
    <row r="406" spans="1:9" x14ac:dyDescent="0.25">
      <c r="A406" s="74" t="str">
        <f>Originals!A301</f>
        <v>4-Vinnie</v>
      </c>
      <c r="B406" s="74" t="str">
        <f>Originals!B301</f>
        <v>NI-PAL Software</v>
      </c>
      <c r="C406" s="74" t="str">
        <f>Originals!C301</f>
        <v>19.0.0</v>
      </c>
      <c r="D406" s="74" t="str">
        <f>Originals!D301</f>
        <v>32</v>
      </c>
      <c r="E406" s="74" t="str">
        <f>Originals!E301</f>
        <v>2019</v>
      </c>
      <c r="F406" s="74" t="str">
        <f>Originals!F301</f>
        <v>Development</v>
      </c>
      <c r="G406" s="74" t="str">
        <f>Originals!G301</f>
        <v>NI</v>
      </c>
      <c r="H406" s="74" t="str">
        <f>Originals!H301</f>
        <v>NI-PAL Software 19.0.0</v>
      </c>
      <c r="I406" s="74">
        <f>Originals!I301</f>
        <v>0</v>
      </c>
    </row>
    <row r="407" spans="1:9" x14ac:dyDescent="0.25">
      <c r="A407" s="74" t="str">
        <f>Scott!A138</f>
        <v>3-Scott</v>
      </c>
      <c r="B407" s="74" t="str">
        <f>Scott!B138</f>
        <v>NI-PAL Software</v>
      </c>
      <c r="C407" s="74" t="str">
        <f>Scott!C138</f>
        <v>19.0.0</v>
      </c>
      <c r="D407" s="74">
        <f>Scott!D138</f>
        <v>32</v>
      </c>
      <c r="E407" s="74">
        <f>Scott!E138</f>
        <v>2019</v>
      </c>
      <c r="F407" s="74" t="str">
        <f>Scott!F138</f>
        <v>Development</v>
      </c>
      <c r="G407" s="74" t="str">
        <f>Scott!G138</f>
        <v>NI</v>
      </c>
      <c r="H407" s="74" t="str">
        <f>Scott!H138</f>
        <v>NI-PAL Software 19.0.0</v>
      </c>
      <c r="I407" s="74" t="str">
        <f>Scott!I138</f>
        <v>LabVIEW 2019</v>
      </c>
    </row>
    <row r="408" spans="1:9" x14ac:dyDescent="0.25">
      <c r="A408" s="74" t="str">
        <f>Originals!A56</f>
        <v>1-Corey</v>
      </c>
      <c r="B408" s="74" t="str">
        <f>Originals!B56</f>
        <v>NI-RIO</v>
      </c>
      <c r="C408" s="74" t="str">
        <f>Originals!C56</f>
        <v>15.0.0</v>
      </c>
      <c r="D408" s="74" t="str">
        <f>Originals!D56</f>
        <v>32</v>
      </c>
      <c r="E408" s="74" t="str">
        <f>Originals!E56</f>
        <v>2015</v>
      </c>
      <c r="F408" s="74" t="str">
        <f>Originals!F56</f>
        <v>Development</v>
      </c>
      <c r="G408" s="74" t="str">
        <f>Originals!G56</f>
        <v>NI</v>
      </c>
      <c r="H408" s="74" t="str">
        <f>Originals!H56</f>
        <v>NI-RIO 15.0.0</v>
      </c>
      <c r="I408" s="74" t="str">
        <f>Originals!I56</f>
        <v>NI Developer Suite 2015 DS2 Install</v>
      </c>
    </row>
    <row r="409" spans="1:9" x14ac:dyDescent="0.25">
      <c r="A409" s="74" t="str">
        <f>Originals!A139</f>
        <v>2-Spencer</v>
      </c>
      <c r="B409" s="74" t="str">
        <f>Originals!B139</f>
        <v>NI-RIO</v>
      </c>
      <c r="C409" s="74" t="str">
        <f>Originals!C139</f>
        <v>15.0.0</v>
      </c>
      <c r="D409" s="74" t="str">
        <f>Originals!D139</f>
        <v>32</v>
      </c>
      <c r="E409" s="74" t="str">
        <f>Originals!E139</f>
        <v>2015</v>
      </c>
      <c r="F409" s="74" t="str">
        <f>Originals!F139</f>
        <v>Development</v>
      </c>
      <c r="G409" s="74" t="str">
        <f>Originals!G139</f>
        <v>NI</v>
      </c>
      <c r="H409" s="74" t="str">
        <f>Originals!H139</f>
        <v>NI-RIO 15.0.0</v>
      </c>
      <c r="I409" s="74" t="str">
        <f>Originals!I139</f>
        <v>NI Developer Suite 2015 DS2 Install</v>
      </c>
    </row>
    <row r="410" spans="1:9" x14ac:dyDescent="0.25">
      <c r="A410" s="74" t="str">
        <f>Scott!A139</f>
        <v>3-Scott</v>
      </c>
      <c r="B410" s="74" t="str">
        <f>Scott!B139</f>
        <v>NI-RIO</v>
      </c>
      <c r="C410" s="74" t="str">
        <f>Scott!C139</f>
        <v>15.0.0</v>
      </c>
      <c r="D410" s="74">
        <f>Scott!D139</f>
        <v>32</v>
      </c>
      <c r="E410" s="74">
        <f>Scott!E139</f>
        <v>2015</v>
      </c>
      <c r="F410" s="74" t="str">
        <f>Scott!F139</f>
        <v>Development</v>
      </c>
      <c r="G410" s="74" t="str">
        <f>Scott!G139</f>
        <v>NI</v>
      </c>
      <c r="H410" s="74" t="str">
        <f>Scott!H139</f>
        <v>NI-RIO 15.0.0</v>
      </c>
      <c r="I410" s="74" t="str">
        <f>Scott!I139</f>
        <v>NI Developer Suite 2015 DS2 Install</v>
      </c>
    </row>
    <row r="411" spans="1:9" hidden="1" x14ac:dyDescent="0.25">
      <c r="A411" s="74" t="str">
        <f>Originals!A302</f>
        <v>4-Vinnie</v>
      </c>
      <c r="B411" s="74" t="str">
        <f>Originals!B302</f>
        <v>NI-RIO</v>
      </c>
      <c r="C411" s="74" t="str">
        <f>Originals!C302</f>
        <v>15.5</v>
      </c>
      <c r="D411" s="74" t="str">
        <f>Originals!D302</f>
        <v>32</v>
      </c>
      <c r="E411" s="74" t="str">
        <f>Originals!E302</f>
        <v>2015</v>
      </c>
      <c r="F411" s="74" t="str">
        <f>Originals!F302</f>
        <v>C-RIO</v>
      </c>
      <c r="G411" s="74" t="str">
        <f>Originals!G302</f>
        <v>NI</v>
      </c>
      <c r="H411" s="74" t="str">
        <f>Originals!H302</f>
        <v>NI-RIO 15.5</v>
      </c>
      <c r="I411" s="74">
        <f>Originals!I302</f>
        <v>0</v>
      </c>
    </row>
    <row r="412" spans="1:9" x14ac:dyDescent="0.25">
      <c r="A412" s="74" t="str">
        <f>Originals!A391</f>
        <v>5-Confluence</v>
      </c>
      <c r="B412" s="74" t="str">
        <f>Originals!B391</f>
        <v>NI-RIO</v>
      </c>
      <c r="C412" s="74" t="str">
        <f>Originals!C391</f>
        <v>18.0</v>
      </c>
      <c r="D412" s="74" t="str">
        <f>Originals!D391</f>
        <v>32</v>
      </c>
      <c r="E412" s="74" t="str">
        <f>Originals!E391</f>
        <v>2018</v>
      </c>
      <c r="F412" s="74" t="str">
        <f>Originals!F391</f>
        <v>Development</v>
      </c>
      <c r="G412" s="74" t="str">
        <f>Originals!G391</f>
        <v>NI</v>
      </c>
      <c r="H412" s="74" t="str">
        <f>Originals!H391</f>
        <v>NI-RIO 18.0</v>
      </c>
      <c r="I412" s="74">
        <f>Originals!I391</f>
        <v>0</v>
      </c>
    </row>
    <row r="413" spans="1:9" x14ac:dyDescent="0.25">
      <c r="A413" s="74" t="str">
        <f>Originals!A303</f>
        <v>4-Vinnie</v>
      </c>
      <c r="B413" s="74" t="str">
        <f>Originals!B303</f>
        <v>NI-RIO</v>
      </c>
      <c r="C413" s="74" t="str">
        <f>Originals!C303</f>
        <v>18.5.0</v>
      </c>
      <c r="D413" s="74" t="str">
        <f>Originals!D303</f>
        <v>32</v>
      </c>
      <c r="E413" s="74" t="str">
        <f>Originals!E303</f>
        <v>2018</v>
      </c>
      <c r="F413" s="74" t="str">
        <f>Originals!F303</f>
        <v>Development</v>
      </c>
      <c r="G413" s="74" t="str">
        <f>Originals!G303</f>
        <v>NI</v>
      </c>
      <c r="H413" s="74" t="str">
        <f>Originals!H303</f>
        <v>NI-RIO 18.5.0</v>
      </c>
      <c r="I413" s="74">
        <f>Originals!I303</f>
        <v>0</v>
      </c>
    </row>
    <row r="414" spans="1:9" x14ac:dyDescent="0.25">
      <c r="A414" s="74" t="str">
        <f>Originals!A304</f>
        <v>4-Vinnie</v>
      </c>
      <c r="B414" s="74" t="str">
        <f>Originals!B304</f>
        <v>NI-RIO</v>
      </c>
      <c r="C414" s="74" t="str">
        <f>Originals!C304</f>
        <v>18.5.0</v>
      </c>
      <c r="D414" s="74" t="str">
        <f>Originals!D304</f>
        <v>32</v>
      </c>
      <c r="E414" s="74" t="str">
        <f>Originals!E304</f>
        <v>2018</v>
      </c>
      <c r="F414" s="74" t="str">
        <f>Originals!F304</f>
        <v>Development</v>
      </c>
      <c r="G414" s="74" t="str">
        <f>Originals!G304</f>
        <v>NI</v>
      </c>
      <c r="H414" s="74" t="str">
        <f>Originals!H304</f>
        <v>NI-RIO 18.5.0</v>
      </c>
      <c r="I414" s="74">
        <f>Originals!I304</f>
        <v>0</v>
      </c>
    </row>
    <row r="415" spans="1:9" hidden="1" x14ac:dyDescent="0.25">
      <c r="A415" s="74" t="str">
        <f>Originals!A305</f>
        <v>4-Vinnie</v>
      </c>
      <c r="B415" s="74" t="str">
        <f>Originals!B305</f>
        <v>NI-RIO IO Scan</v>
      </c>
      <c r="C415" s="74" t="str">
        <f>Originals!C305</f>
        <v>15.5</v>
      </c>
      <c r="D415" s="74" t="str">
        <f>Originals!D305</f>
        <v>32</v>
      </c>
      <c r="E415" s="74" t="str">
        <f>Originals!E305</f>
        <v>2015</v>
      </c>
      <c r="F415" s="74" t="str">
        <f>Originals!F305</f>
        <v>C-RIO</v>
      </c>
      <c r="G415" s="74" t="str">
        <f>Originals!G305</f>
        <v>NI</v>
      </c>
      <c r="H415" s="74" t="str">
        <f>Originals!H305</f>
        <v>NI-RIO IO Scan 15.5</v>
      </c>
      <c r="I415" s="74">
        <f>Originals!I305</f>
        <v>0</v>
      </c>
    </row>
    <row r="416" spans="1:9" x14ac:dyDescent="0.25">
      <c r="A416" s="74" t="str">
        <f>Originals!A57</f>
        <v>1-Corey</v>
      </c>
      <c r="B416" s="74" t="str">
        <f>Originals!B57</f>
        <v>NI-SCOPE</v>
      </c>
      <c r="C416" s="74" t="str">
        <f>Originals!C57</f>
        <v>15.0</v>
      </c>
      <c r="D416" s="74" t="str">
        <f>Originals!D57</f>
        <v>32</v>
      </c>
      <c r="E416" s="74" t="str">
        <f>Originals!E57</f>
        <v>2015</v>
      </c>
      <c r="F416" s="74" t="str">
        <f>Originals!F57</f>
        <v>Development</v>
      </c>
      <c r="G416" s="74" t="str">
        <f>Originals!G57</f>
        <v>NI</v>
      </c>
      <c r="H416" s="74" t="str">
        <f>Originals!H57</f>
        <v>NI-SCOPE 15.0</v>
      </c>
      <c r="I416" s="74" t="str">
        <f>Originals!I57</f>
        <v>NI Developer Suite 2015 DS2 Install</v>
      </c>
    </row>
    <row r="417" spans="1:9" hidden="1" x14ac:dyDescent="0.25">
      <c r="A417" s="74" t="str">
        <f>Originals!A58</f>
        <v>1-Corey</v>
      </c>
      <c r="B417" s="74" t="str">
        <f>Originals!B58</f>
        <v>NI-SCOPE</v>
      </c>
      <c r="C417" s="74" t="str">
        <f>Originals!C58</f>
        <v>15.0</v>
      </c>
      <c r="D417" s="74" t="str">
        <f>Originals!D58</f>
        <v>32</v>
      </c>
      <c r="E417" s="74" t="str">
        <f>Originals!E58</f>
        <v>2015</v>
      </c>
      <c r="F417" s="74" t="str">
        <f>Originals!F58</f>
        <v>Runtime</v>
      </c>
      <c r="G417" s="74" t="str">
        <f>Originals!G58</f>
        <v>NI</v>
      </c>
      <c r="H417" s="74" t="str">
        <f>Originals!H58</f>
        <v>NI-SCOPE 15.0</v>
      </c>
      <c r="I417" s="74" t="str">
        <f>Originals!I58</f>
        <v>NI Developer Suite 2015 DS2 Install</v>
      </c>
    </row>
    <row r="418" spans="1:9" x14ac:dyDescent="0.25">
      <c r="A418" s="74" t="str">
        <f>Originals!A140</f>
        <v>2-Spencer</v>
      </c>
      <c r="B418" s="74" t="str">
        <f>Originals!B140</f>
        <v>NI-SCOPE</v>
      </c>
      <c r="C418" s="74" t="str">
        <f>Originals!C140</f>
        <v>15.0</v>
      </c>
      <c r="D418" s="74" t="str">
        <f>Originals!D140</f>
        <v>32</v>
      </c>
      <c r="E418" s="74" t="str">
        <f>Originals!E140</f>
        <v>2015</v>
      </c>
      <c r="F418" s="74" t="str">
        <f>Originals!F140</f>
        <v>Development</v>
      </c>
      <c r="G418" s="74" t="str">
        <f>Originals!G140</f>
        <v>NI</v>
      </c>
      <c r="H418" s="74" t="str">
        <f>Originals!H140</f>
        <v>NI-SCOPE 15.0</v>
      </c>
      <c r="I418" s="74" t="str">
        <f>Originals!I140</f>
        <v>NI Developer Suite 2015 DS2 Install</v>
      </c>
    </row>
    <row r="419" spans="1:9" hidden="1" x14ac:dyDescent="0.25">
      <c r="A419" s="74" t="str">
        <f>Originals!A141</f>
        <v>2-Spencer</v>
      </c>
      <c r="B419" s="74" t="str">
        <f>Originals!B141</f>
        <v>NI-SCOPE</v>
      </c>
      <c r="C419" s="74" t="str">
        <f>Originals!C141</f>
        <v>15.0</v>
      </c>
      <c r="D419" s="74" t="str">
        <f>Originals!D141</f>
        <v>32</v>
      </c>
      <c r="E419" s="74" t="str">
        <f>Originals!E141</f>
        <v>2015</v>
      </c>
      <c r="F419" s="74" t="str">
        <f>Originals!F141</f>
        <v>Runtime</v>
      </c>
      <c r="G419" s="74" t="str">
        <f>Originals!G141</f>
        <v>NI</v>
      </c>
      <c r="H419" s="74" t="str">
        <f>Originals!H141</f>
        <v>NI-SCOPE 15.0</v>
      </c>
      <c r="I419" s="74" t="str">
        <f>Originals!I141</f>
        <v>NI Developer Suite 2015 DS2 Install</v>
      </c>
    </row>
    <row r="420" spans="1:9" x14ac:dyDescent="0.25">
      <c r="A420" s="74" t="str">
        <f>Scott!A140</f>
        <v>3-Scott</v>
      </c>
      <c r="B420" s="74" t="str">
        <f>Scott!B140</f>
        <v>NI-SCOPE</v>
      </c>
      <c r="C420" s="74" t="str">
        <f>Scott!C140</f>
        <v>15.0</v>
      </c>
      <c r="D420" s="74">
        <f>Scott!D140</f>
        <v>32</v>
      </c>
      <c r="E420" s="74">
        <f>Scott!E140</f>
        <v>2015</v>
      </c>
      <c r="F420" s="74" t="str">
        <f>Scott!F140</f>
        <v>Development</v>
      </c>
      <c r="G420" s="74" t="str">
        <f>Scott!G140</f>
        <v>NI</v>
      </c>
      <c r="H420" s="74" t="str">
        <f>Scott!H140</f>
        <v>NI-SCOPE 15.0</v>
      </c>
      <c r="I420" s="74" t="str">
        <f>Scott!I140</f>
        <v>NI Developer Suite 2015 DS2 Install</v>
      </c>
    </row>
    <row r="421" spans="1:9" hidden="1" x14ac:dyDescent="0.25">
      <c r="A421" s="74" t="str">
        <f>Scott!A141</f>
        <v>3-Scott</v>
      </c>
      <c r="B421" s="74" t="str">
        <f>Scott!B141</f>
        <v>NI-SCOPE</v>
      </c>
      <c r="C421" s="74" t="str">
        <f>Scott!C141</f>
        <v>15.0</v>
      </c>
      <c r="D421" s="74">
        <f>Scott!D141</f>
        <v>32</v>
      </c>
      <c r="E421" s="74">
        <f>Scott!E141</f>
        <v>2015</v>
      </c>
      <c r="F421" s="74" t="str">
        <f>Scott!F141</f>
        <v>Runtime</v>
      </c>
      <c r="G421" s="74" t="str">
        <f>Scott!G141</f>
        <v>NI</v>
      </c>
      <c r="H421" s="74" t="str">
        <f>Scott!H141</f>
        <v>NI-SCOPE 15.0</v>
      </c>
      <c r="I421" s="74" t="str">
        <f>Scott!I141</f>
        <v>NI Developer Suite 2015 DS2 Install</v>
      </c>
    </row>
    <row r="422" spans="1:9" x14ac:dyDescent="0.25">
      <c r="A422" s="74" t="str">
        <f>Originals!A59</f>
        <v>1-Corey</v>
      </c>
      <c r="B422" s="74" t="str">
        <f>Originals!B59</f>
        <v xml:space="preserve">NI-SCOPE Configuration Support </v>
      </c>
      <c r="C422" s="74" t="str">
        <f>Originals!C59</f>
        <v>15.0</v>
      </c>
      <c r="D422" s="74" t="str">
        <f>Originals!D59</f>
        <v>32</v>
      </c>
      <c r="E422" s="74" t="str">
        <f>Originals!E59</f>
        <v>2015</v>
      </c>
      <c r="F422" s="74" t="str">
        <f>Originals!F59</f>
        <v>Development</v>
      </c>
      <c r="G422" s="74" t="str">
        <f>Originals!G59</f>
        <v>NI</v>
      </c>
      <c r="H422" s="74" t="str">
        <f>Originals!H59</f>
        <v>NI-SCOPE Configuration Support  15.0</v>
      </c>
      <c r="I422" s="74" t="str">
        <f>Originals!I59</f>
        <v>NI Developer Suite 2015 DS2 Install</v>
      </c>
    </row>
    <row r="423" spans="1:9" x14ac:dyDescent="0.25">
      <c r="A423" s="74" t="str">
        <f>Originals!A142</f>
        <v>2-Spencer</v>
      </c>
      <c r="B423" s="74" t="str">
        <f>Originals!B142</f>
        <v>NI-SCOPE Configuration Support</v>
      </c>
      <c r="C423" s="74" t="str">
        <f>Originals!C142</f>
        <v>15.0</v>
      </c>
      <c r="D423" s="74" t="str">
        <f>Originals!D142</f>
        <v>32</v>
      </c>
      <c r="E423" s="74" t="str">
        <f>Originals!E142</f>
        <v>2015</v>
      </c>
      <c r="F423" s="74" t="str">
        <f>Originals!F142</f>
        <v>Development</v>
      </c>
      <c r="G423" s="74" t="str">
        <f>Originals!G142</f>
        <v>NI</v>
      </c>
      <c r="H423" s="74" t="str">
        <f>Originals!H142</f>
        <v>NI-SCOPE Configuration Support 15.0</v>
      </c>
      <c r="I423" s="74" t="str">
        <f>Originals!I142</f>
        <v>NI Developer Suite 2015 DS2 Install</v>
      </c>
    </row>
    <row r="424" spans="1:9" x14ac:dyDescent="0.25">
      <c r="A424" s="74" t="str">
        <f>Scott!A142</f>
        <v>3-Scott</v>
      </c>
      <c r="B424" s="74" t="str">
        <f>Scott!B142</f>
        <v>NI-SCOPE Configuration Support</v>
      </c>
      <c r="C424" s="74" t="str">
        <f>Scott!C142</f>
        <v>15.0</v>
      </c>
      <c r="D424" s="74">
        <f>Scott!D142</f>
        <v>32</v>
      </c>
      <c r="E424" s="74">
        <f>Scott!E142</f>
        <v>2015</v>
      </c>
      <c r="F424" s="74" t="str">
        <f>Scott!F142</f>
        <v>Development</v>
      </c>
      <c r="G424" s="74" t="str">
        <f>Scott!G142</f>
        <v>NI</v>
      </c>
      <c r="H424" s="74" t="str">
        <f>Scott!H142</f>
        <v>NI-SCOPE Configuration Support 15.0</v>
      </c>
      <c r="I424" s="74" t="str">
        <f>Scott!I142</f>
        <v>NI Developer Suite 2015 DS2 Install</v>
      </c>
    </row>
    <row r="425" spans="1:9" x14ac:dyDescent="0.25">
      <c r="A425" s="74" t="str">
        <f>Originals!A60</f>
        <v>1-Corey</v>
      </c>
      <c r="B425" s="74" t="str">
        <f>Originals!B60</f>
        <v>NI-SCOPE Development Support</v>
      </c>
      <c r="C425" s="74" t="str">
        <f>Originals!C60</f>
        <v>15.0</v>
      </c>
      <c r="D425" s="74" t="str">
        <f>Originals!D60</f>
        <v>32</v>
      </c>
      <c r="E425" s="74" t="str">
        <f>Originals!E60</f>
        <v>2015</v>
      </c>
      <c r="F425" s="74" t="str">
        <f>Originals!F60</f>
        <v>Development</v>
      </c>
      <c r="G425" s="74" t="str">
        <f>Originals!G60</f>
        <v>NI</v>
      </c>
      <c r="H425" s="74" t="str">
        <f>Originals!H60</f>
        <v>NI-SCOPE Development Support 15.0</v>
      </c>
      <c r="I425" s="74" t="str">
        <f>Originals!I60</f>
        <v>NI Developer Suite 2015 DS2 Install</v>
      </c>
    </row>
    <row r="426" spans="1:9" x14ac:dyDescent="0.25">
      <c r="A426" s="74" t="str">
        <f>Originals!A143</f>
        <v>2-Spencer</v>
      </c>
      <c r="B426" s="74" t="str">
        <f>Originals!B143</f>
        <v>NI-SCOPE Development Support</v>
      </c>
      <c r="C426" s="74" t="str">
        <f>Originals!C143</f>
        <v>15.0</v>
      </c>
      <c r="D426" s="74" t="str">
        <f>Originals!D143</f>
        <v>32</v>
      </c>
      <c r="E426" s="74" t="str">
        <f>Originals!E143</f>
        <v>2015</v>
      </c>
      <c r="F426" s="74" t="str">
        <f>Originals!F143</f>
        <v>Development</v>
      </c>
      <c r="G426" s="74" t="str">
        <f>Originals!G143</f>
        <v>NI</v>
      </c>
      <c r="H426" s="74" t="str">
        <f>Originals!H143</f>
        <v>NI-SCOPE Development Support 15.0</v>
      </c>
      <c r="I426" s="74" t="str">
        <f>Originals!I143</f>
        <v>NI Developer Suite 2015 DS2 Install</v>
      </c>
    </row>
    <row r="427" spans="1:9" x14ac:dyDescent="0.25">
      <c r="A427" s="74" t="str">
        <f>Scott!A143</f>
        <v>3-Scott</v>
      </c>
      <c r="B427" s="74" t="str">
        <f>Scott!B143</f>
        <v>NI-SCOPE Development Support</v>
      </c>
      <c r="C427" s="74" t="str">
        <f>Scott!C143</f>
        <v>15.0</v>
      </c>
      <c r="D427" s="74">
        <f>Scott!D143</f>
        <v>32</v>
      </c>
      <c r="E427" s="74">
        <f>Scott!E143</f>
        <v>2015</v>
      </c>
      <c r="F427" s="74" t="str">
        <f>Scott!F143</f>
        <v>Development</v>
      </c>
      <c r="G427" s="74" t="str">
        <f>Scott!G143</f>
        <v>NI</v>
      </c>
      <c r="H427" s="74" t="str">
        <f>Scott!H143</f>
        <v>NI-SCOPE Development Support 15.0</v>
      </c>
      <c r="I427" s="74" t="str">
        <f>Scott!I143</f>
        <v>NI Developer Suite 2015 DS2 Install</v>
      </c>
    </row>
    <row r="428" spans="1:9" x14ac:dyDescent="0.25">
      <c r="A428" s="74" t="str">
        <f>Originals!A61</f>
        <v>1-Corey</v>
      </c>
      <c r="B428" s="74" t="str">
        <f>Originals!B61</f>
        <v>NI-SCOPE Soft Front Panel</v>
      </c>
      <c r="C428" s="74" t="str">
        <f>Originals!C61</f>
        <v>15.0</v>
      </c>
      <c r="D428" s="74" t="str">
        <f>Originals!D61</f>
        <v>32</v>
      </c>
      <c r="E428" s="74" t="str">
        <f>Originals!E61</f>
        <v>2015</v>
      </c>
      <c r="F428" s="74" t="str">
        <f>Originals!F61</f>
        <v>Development</v>
      </c>
      <c r="G428" s="74" t="str">
        <f>Originals!G61</f>
        <v>NI</v>
      </c>
      <c r="H428" s="74" t="str">
        <f>Originals!H61</f>
        <v>NI-SCOPE Soft Front Panel 15.0</v>
      </c>
      <c r="I428" s="74" t="str">
        <f>Originals!I61</f>
        <v>NI Developer Suite 2015 DS2 Install</v>
      </c>
    </row>
    <row r="429" spans="1:9" x14ac:dyDescent="0.25">
      <c r="A429" s="74" t="str">
        <f>Originals!A144</f>
        <v>2-Spencer</v>
      </c>
      <c r="B429" s="74" t="str">
        <f>Originals!B144</f>
        <v>NI-SCOPE Soft Front Panel</v>
      </c>
      <c r="C429" s="74" t="str">
        <f>Originals!C144</f>
        <v>15.0</v>
      </c>
      <c r="D429" s="74" t="str">
        <f>Originals!D144</f>
        <v>32</v>
      </c>
      <c r="E429" s="74" t="str">
        <f>Originals!E144</f>
        <v>2015</v>
      </c>
      <c r="F429" s="74" t="str">
        <f>Originals!F144</f>
        <v>Development</v>
      </c>
      <c r="G429" s="74" t="str">
        <f>Originals!G144</f>
        <v>NI</v>
      </c>
      <c r="H429" s="74" t="str">
        <f>Originals!H144</f>
        <v>NI-SCOPE Soft Front Panel 15.0</v>
      </c>
      <c r="I429" s="74" t="str">
        <f>Originals!I144</f>
        <v>NI Developer Suite 2015 DS2 Install</v>
      </c>
    </row>
    <row r="430" spans="1:9" x14ac:dyDescent="0.25">
      <c r="A430" s="74" t="str">
        <f>Scott!A144</f>
        <v>3-Scott</v>
      </c>
      <c r="B430" s="74" t="str">
        <f>Scott!B144</f>
        <v>NI-SCOPE Soft Front Panel</v>
      </c>
      <c r="C430" s="74" t="str">
        <f>Scott!C144</f>
        <v>15.0</v>
      </c>
      <c r="D430" s="74">
        <f>Scott!D144</f>
        <v>32</v>
      </c>
      <c r="E430" s="74">
        <f>Scott!E144</f>
        <v>2015</v>
      </c>
      <c r="F430" s="74" t="str">
        <f>Scott!F144</f>
        <v>Development</v>
      </c>
      <c r="G430" s="74" t="str">
        <f>Scott!G144</f>
        <v>NI</v>
      </c>
      <c r="H430" s="74" t="str">
        <f>Scott!H144</f>
        <v>NI-SCOPE Soft Front Panel 15.0</v>
      </c>
      <c r="I430" s="74" t="str">
        <f>Scott!I144</f>
        <v>NI Developer Suite 2015 DS2 Install</v>
      </c>
    </row>
    <row r="431" spans="1:9" hidden="1" x14ac:dyDescent="0.25">
      <c r="A431" s="74" t="str">
        <f>Originals!A62</f>
        <v>1-Corey</v>
      </c>
      <c r="B431" s="74" t="str">
        <f>Originals!B62</f>
        <v>NI-Serial</v>
      </c>
      <c r="C431" s="74" t="str">
        <f>Originals!C62</f>
        <v>18.5.0f0</v>
      </c>
      <c r="D431" s="74" t="str">
        <f>Originals!D62</f>
        <v>32</v>
      </c>
      <c r="E431" s="74" t="str">
        <f>Originals!E62</f>
        <v>2018</v>
      </c>
      <c r="F431" s="74" t="str">
        <f>Originals!F62</f>
        <v>Runtime</v>
      </c>
      <c r="G431" s="74" t="str">
        <f>Originals!G62</f>
        <v>NI</v>
      </c>
      <c r="H431" s="74" t="str">
        <f>Originals!H62</f>
        <v>NI-Serial 18.5.0f0</v>
      </c>
      <c r="I431" s="74">
        <f>Originals!I62</f>
        <v>0</v>
      </c>
    </row>
    <row r="432" spans="1:9" hidden="1" x14ac:dyDescent="0.25">
      <c r="A432" s="74" t="str">
        <f>Originals!A145</f>
        <v>2-Spencer</v>
      </c>
      <c r="B432" s="74" t="str">
        <f>Originals!B145</f>
        <v>NI-Serial</v>
      </c>
      <c r="C432" s="74" t="str">
        <f>Originals!C145</f>
        <v>18.5.0f0</v>
      </c>
      <c r="D432" s="74" t="str">
        <f>Originals!D145</f>
        <v>32</v>
      </c>
      <c r="E432" s="74" t="str">
        <f>Originals!E145</f>
        <v>2018</v>
      </c>
      <c r="F432" s="74" t="str">
        <f>Originals!F145</f>
        <v>Runtime</v>
      </c>
      <c r="G432" s="74" t="str">
        <f>Originals!G145</f>
        <v>NI</v>
      </c>
      <c r="H432" s="74" t="str">
        <f>Originals!H145</f>
        <v>NI-Serial 18.5.0f0</v>
      </c>
      <c r="I432" s="74">
        <f>Originals!I145</f>
        <v>0</v>
      </c>
    </row>
    <row r="433" spans="1:9" hidden="1" x14ac:dyDescent="0.25">
      <c r="A433" s="74" t="str">
        <f>Originals!A307</f>
        <v>4-Vinnie</v>
      </c>
      <c r="B433" s="74" t="str">
        <f>Originals!B307</f>
        <v>NI-Serial</v>
      </c>
      <c r="C433" s="74" t="str">
        <f>Originals!C307</f>
        <v>18.5.0f0</v>
      </c>
      <c r="D433" s="74" t="str">
        <f>Originals!D307</f>
        <v>32</v>
      </c>
      <c r="E433" s="74" t="str">
        <f>Originals!E307</f>
        <v>2018</v>
      </c>
      <c r="F433" s="74" t="str">
        <f>Originals!F307</f>
        <v>Runtime</v>
      </c>
      <c r="G433" s="74" t="str">
        <f>Originals!G307</f>
        <v>NI</v>
      </c>
      <c r="H433" s="74" t="str">
        <f>Originals!H307</f>
        <v>NI-Serial 18.5.0f0</v>
      </c>
      <c r="I433" s="74">
        <f>Originals!I307</f>
        <v>0</v>
      </c>
    </row>
    <row r="434" spans="1:9" hidden="1" x14ac:dyDescent="0.25">
      <c r="A434" s="74" t="str">
        <f>Scott!A145</f>
        <v>3-Scott</v>
      </c>
      <c r="B434" s="74" t="str">
        <f>Scott!B145</f>
        <v>NI-Serial</v>
      </c>
      <c r="C434" s="74" t="str">
        <f>Scott!C145</f>
        <v>19.0.0f0</v>
      </c>
      <c r="D434" s="74">
        <f>Scott!D145</f>
        <v>32</v>
      </c>
      <c r="E434" s="74">
        <f>Scott!E145</f>
        <v>2019</v>
      </c>
      <c r="F434" s="74" t="str">
        <f>Scott!F145</f>
        <v>Runtime</v>
      </c>
      <c r="G434" s="74" t="str">
        <f>Scott!G145</f>
        <v>NI</v>
      </c>
      <c r="H434" s="74" t="str">
        <f>Scott!H145</f>
        <v>NI-Serial 19.0.0f0</v>
      </c>
      <c r="I434" s="74" t="str">
        <f>Scott!I145</f>
        <v>LabVIEW 2019</v>
      </c>
    </row>
    <row r="435" spans="1:9" x14ac:dyDescent="0.25">
      <c r="A435" s="74" t="str">
        <f>Originals!A63</f>
        <v>1-Corey</v>
      </c>
      <c r="B435" s="74" t="str">
        <f>Originals!B63</f>
        <v>NI-Serial Configuration</v>
      </c>
      <c r="C435" s="74" t="str">
        <f>Originals!C63</f>
        <v>15.0.0f0</v>
      </c>
      <c r="D435" s="74" t="str">
        <f>Originals!D63</f>
        <v>32</v>
      </c>
      <c r="E435" s="74" t="str">
        <f>Originals!E63</f>
        <v>2015</v>
      </c>
      <c r="F435" s="74" t="str">
        <f>Originals!F63</f>
        <v>Development</v>
      </c>
      <c r="G435" s="74" t="str">
        <f>Originals!G63</f>
        <v>NI</v>
      </c>
      <c r="H435" s="74" t="str">
        <f>Originals!H63</f>
        <v>NI-Serial Configuration 15.0.0f0</v>
      </c>
      <c r="I435" s="74" t="str">
        <f>Originals!I63</f>
        <v>NI Developer Suite 2015 DS2 Install</v>
      </c>
    </row>
    <row r="436" spans="1:9" x14ac:dyDescent="0.25">
      <c r="A436" s="74" t="str">
        <f>Originals!A146</f>
        <v>2-Spencer</v>
      </c>
      <c r="B436" s="74" t="str">
        <f>Originals!B146</f>
        <v>NI-Serial Configuration</v>
      </c>
      <c r="C436" s="74" t="str">
        <f>Originals!C146</f>
        <v>15.0.0f0</v>
      </c>
      <c r="D436" s="74" t="str">
        <f>Originals!D146</f>
        <v>32</v>
      </c>
      <c r="E436" s="74" t="str">
        <f>Originals!E146</f>
        <v>2015</v>
      </c>
      <c r="F436" s="74" t="str">
        <f>Originals!F146</f>
        <v>Development</v>
      </c>
      <c r="G436" s="74" t="str">
        <f>Originals!G146</f>
        <v>NI</v>
      </c>
      <c r="H436" s="74" t="str">
        <f>Originals!H146</f>
        <v>NI-Serial Configuration 15.0.0f0</v>
      </c>
      <c r="I436" s="74" t="str">
        <f>Originals!I146</f>
        <v>NI Developer Suite 2015 DS2 Install</v>
      </c>
    </row>
    <row r="437" spans="1:9" x14ac:dyDescent="0.25">
      <c r="A437" s="74" t="str">
        <f>Originals!A392</f>
        <v>5-Confluence</v>
      </c>
      <c r="B437" s="74" t="str">
        <f>Originals!B392</f>
        <v>NI-Serial Configuration</v>
      </c>
      <c r="C437" s="74" t="str">
        <f>Originals!C392</f>
        <v>17.5</v>
      </c>
      <c r="D437" s="74" t="str">
        <f>Originals!D392</f>
        <v>32</v>
      </c>
      <c r="E437" s="74" t="str">
        <f>Originals!E392</f>
        <v>2017</v>
      </c>
      <c r="F437" s="74" t="str">
        <f>Originals!F392</f>
        <v>Development</v>
      </c>
      <c r="G437" s="74" t="str">
        <f>Originals!G392</f>
        <v>NI</v>
      </c>
      <c r="H437" s="74" t="str">
        <f>Originals!H392</f>
        <v>NI-Serial Configuration 17.5</v>
      </c>
      <c r="I437" s="74" t="str">
        <f>Originals!I392</f>
        <v>CompactRIO 18.1.0</v>
      </c>
    </row>
    <row r="438" spans="1:9" x14ac:dyDescent="0.25">
      <c r="A438" s="74" t="str">
        <f>Scott!A146</f>
        <v>3-Scott</v>
      </c>
      <c r="B438" s="74" t="str">
        <f>Scott!B146</f>
        <v>NI-Serial Configuration</v>
      </c>
      <c r="C438" s="74" t="str">
        <f>Scott!C146</f>
        <v>17.5.0f0</v>
      </c>
      <c r="D438" s="74" t="str">
        <f>Scott!D146</f>
        <v>32</v>
      </c>
      <c r="E438" s="74" t="str">
        <f>Scott!E146</f>
        <v>2017</v>
      </c>
      <c r="F438" s="74" t="str">
        <f>Scott!F146</f>
        <v>Development</v>
      </c>
      <c r="G438" s="74" t="str">
        <f>Scott!G146</f>
        <v>NI</v>
      </c>
      <c r="H438" s="74" t="str">
        <f>Scott!H146</f>
        <v>NI-Serial Configuration 17.5.0f0</v>
      </c>
      <c r="I438" s="74" t="str">
        <f>Scott!I146</f>
        <v>CompactRIO 18.1.0</v>
      </c>
    </row>
    <row r="439" spans="1:9" x14ac:dyDescent="0.25">
      <c r="A439" s="74" t="str">
        <f>Originals!A306</f>
        <v>4-Vinnie</v>
      </c>
      <c r="B439" s="74" t="str">
        <f>Originals!B306</f>
        <v>NI-Serial Configuration</v>
      </c>
      <c r="C439" s="74" t="str">
        <f>Originals!C306</f>
        <v>18.5.0f0</v>
      </c>
      <c r="D439" s="74" t="str">
        <f>Originals!D306</f>
        <v>32</v>
      </c>
      <c r="E439" s="74" t="str">
        <f>Originals!E306</f>
        <v>2018</v>
      </c>
      <c r="F439" s="74" t="str">
        <f>Originals!F306</f>
        <v>Development</v>
      </c>
      <c r="G439" s="74" t="str">
        <f>Originals!G306</f>
        <v>NI</v>
      </c>
      <c r="H439" s="74" t="str">
        <f>Originals!H306</f>
        <v>NI-Serial Configuration 18.5.0f0</v>
      </c>
      <c r="I439" s="74">
        <f>Originals!I306</f>
        <v>0</v>
      </c>
    </row>
    <row r="440" spans="1:9" x14ac:dyDescent="0.25">
      <c r="A440" s="74" t="str">
        <f>Originals!A64</f>
        <v>1-Corey</v>
      </c>
      <c r="B440" s="74" t="str">
        <f>Originals!B64</f>
        <v>NI-SWITCH</v>
      </c>
      <c r="C440" s="74" t="str">
        <f>Originals!C64</f>
        <v>15.0</v>
      </c>
      <c r="D440" s="74" t="str">
        <f>Originals!D64</f>
        <v>32</v>
      </c>
      <c r="E440" s="74" t="str">
        <f>Originals!E64</f>
        <v>2015</v>
      </c>
      <c r="F440" s="74" t="str">
        <f>Originals!F64</f>
        <v>Development</v>
      </c>
      <c r="G440" s="74" t="str">
        <f>Originals!G64</f>
        <v>NI</v>
      </c>
      <c r="H440" s="74" t="str">
        <f>Originals!H64</f>
        <v>NI-SWITCH 15.0</v>
      </c>
      <c r="I440" s="74" t="str">
        <f>Originals!I64</f>
        <v>NI Developer Suite 2015 DS2 Install</v>
      </c>
    </row>
    <row r="441" spans="1:9" x14ac:dyDescent="0.25">
      <c r="A441" s="74" t="str">
        <f>Originals!A147</f>
        <v>2-Spencer</v>
      </c>
      <c r="B441" s="74" t="str">
        <f>Originals!B147</f>
        <v>NI-SWITCH</v>
      </c>
      <c r="C441" s="74" t="str">
        <f>Originals!C147</f>
        <v>15.0</v>
      </c>
      <c r="D441" s="74" t="str">
        <f>Originals!D147</f>
        <v>32</v>
      </c>
      <c r="E441" s="74" t="str">
        <f>Originals!E147</f>
        <v>2015</v>
      </c>
      <c r="F441" s="74" t="str">
        <f>Originals!F147</f>
        <v>Development</v>
      </c>
      <c r="G441" s="74" t="str">
        <f>Originals!G147</f>
        <v>NI</v>
      </c>
      <c r="H441" s="74" t="str">
        <f>Originals!H147</f>
        <v>NI-SWITCH 15.0</v>
      </c>
      <c r="I441" s="74" t="str">
        <f>Originals!I147</f>
        <v>NI Developer Suite 2015 DS2 Install</v>
      </c>
    </row>
    <row r="442" spans="1:9" hidden="1" x14ac:dyDescent="0.25">
      <c r="A442" s="74" t="str">
        <f>Originals!A148</f>
        <v>2-Spencer</v>
      </c>
      <c r="B442" s="74" t="str">
        <f>Originals!B148</f>
        <v>NI-SWITCH</v>
      </c>
      <c r="C442" s="74" t="str">
        <f>Originals!C148</f>
        <v>15.0</v>
      </c>
      <c r="D442" s="74" t="str">
        <f>Originals!D148</f>
        <v>32</v>
      </c>
      <c r="E442" s="74" t="str">
        <f>Originals!E148</f>
        <v>2015</v>
      </c>
      <c r="F442" s="74" t="str">
        <f>Originals!F148</f>
        <v>Runtime</v>
      </c>
      <c r="G442" s="74" t="str">
        <f>Originals!G148</f>
        <v>NI</v>
      </c>
      <c r="H442" s="74" t="str">
        <f>Originals!H148</f>
        <v>NI-SWITCH 15.0</v>
      </c>
      <c r="I442" s="74" t="str">
        <f>Originals!I148</f>
        <v>NI Developer Suite 2015 DS2 Install</v>
      </c>
    </row>
    <row r="443" spans="1:9" x14ac:dyDescent="0.25">
      <c r="A443" s="74" t="str">
        <f>Scott!A147</f>
        <v>3-Scott</v>
      </c>
      <c r="B443" s="74" t="str">
        <f>Scott!B147</f>
        <v>NI-SWITCH</v>
      </c>
      <c r="C443" s="74" t="str">
        <f>Scott!C147</f>
        <v>15.0</v>
      </c>
      <c r="D443" s="74">
        <f>Scott!D147</f>
        <v>32</v>
      </c>
      <c r="E443" s="74">
        <f>Scott!E147</f>
        <v>2015</v>
      </c>
      <c r="F443" s="74" t="str">
        <f>Scott!F147</f>
        <v>Development</v>
      </c>
      <c r="G443" s="74" t="str">
        <f>Scott!G147</f>
        <v>NI</v>
      </c>
      <c r="H443" s="74" t="str">
        <f>Scott!H147</f>
        <v>NI-SWITCH 15.0</v>
      </c>
      <c r="I443" s="74" t="str">
        <f>Scott!I147</f>
        <v>NI Developer Suite 2015 DS2 Install</v>
      </c>
    </row>
    <row r="444" spans="1:9" hidden="1" x14ac:dyDescent="0.25">
      <c r="A444" s="74" t="str">
        <f>Scott!A148</f>
        <v>3-Scott</v>
      </c>
      <c r="B444" s="74" t="str">
        <f>Scott!B148</f>
        <v>NI-SWITCH</v>
      </c>
      <c r="C444" s="74" t="str">
        <f>Scott!C148</f>
        <v>15.0</v>
      </c>
      <c r="D444" s="74">
        <f>Scott!D148</f>
        <v>32</v>
      </c>
      <c r="E444" s="74">
        <f>Scott!E148</f>
        <v>2015</v>
      </c>
      <c r="F444" s="74" t="str">
        <f>Scott!F148</f>
        <v>Runtime</v>
      </c>
      <c r="G444" s="74" t="str">
        <f>Scott!G148</f>
        <v>NI</v>
      </c>
      <c r="H444" s="74" t="str">
        <f>Scott!H148</f>
        <v>NI-SWITCH 15.0</v>
      </c>
      <c r="I444" s="74" t="str">
        <f>Scott!I148</f>
        <v>NI Developer Suite 2015 DS2 Install</v>
      </c>
    </row>
    <row r="445" spans="1:9" x14ac:dyDescent="0.25">
      <c r="A445" s="74" t="str">
        <f>Originals!A65</f>
        <v>1-Corey</v>
      </c>
      <c r="B445" s="74" t="str">
        <f>Originals!B65</f>
        <v>NI-SWITCH Configuration Support</v>
      </c>
      <c r="C445" s="74" t="str">
        <f>Originals!C65</f>
        <v>15.0</v>
      </c>
      <c r="D445" s="74" t="str">
        <f>Originals!D65</f>
        <v>32</v>
      </c>
      <c r="E445" s="74" t="str">
        <f>Originals!E65</f>
        <v>2015</v>
      </c>
      <c r="F445" s="74" t="str">
        <f>Originals!F65</f>
        <v>Development</v>
      </c>
      <c r="G445" s="74" t="str">
        <f>Originals!G65</f>
        <v>NI</v>
      </c>
      <c r="H445" s="74" t="str">
        <f>Originals!H65</f>
        <v>NI-SWITCH Configuration Support 15.0</v>
      </c>
      <c r="I445" s="74" t="str">
        <f>Originals!I65</f>
        <v>NI Developer Suite 2015 DS2 Install</v>
      </c>
    </row>
    <row r="446" spans="1:9" x14ac:dyDescent="0.25">
      <c r="A446" s="74" t="str">
        <f>Originals!A149</f>
        <v>2-Spencer</v>
      </c>
      <c r="B446" s="74" t="str">
        <f>Originals!B149</f>
        <v>NI-SWITCH Configuration Support</v>
      </c>
      <c r="C446" s="74" t="str">
        <f>Originals!C149</f>
        <v>15.0</v>
      </c>
      <c r="D446" s="74" t="str">
        <f>Originals!D149</f>
        <v>32</v>
      </c>
      <c r="E446" s="74" t="str">
        <f>Originals!E149</f>
        <v>2015</v>
      </c>
      <c r="F446" s="74" t="str">
        <f>Originals!F149</f>
        <v>Development</v>
      </c>
      <c r="G446" s="74" t="str">
        <f>Originals!G149</f>
        <v>NI</v>
      </c>
      <c r="H446" s="74" t="str">
        <f>Originals!H149</f>
        <v>NI-SWITCH Configuration Support 15.0</v>
      </c>
      <c r="I446" s="74" t="str">
        <f>Originals!I149</f>
        <v>NI Developer Suite 2015 DS2 Install</v>
      </c>
    </row>
    <row r="447" spans="1:9" x14ac:dyDescent="0.25">
      <c r="A447" s="74" t="str">
        <f>Scott!A149</f>
        <v>3-Scott</v>
      </c>
      <c r="B447" s="74" t="str">
        <f>Scott!B149</f>
        <v>NI-SWITCH Configuration Support</v>
      </c>
      <c r="C447" s="74" t="str">
        <f>Scott!C149</f>
        <v>15.0</v>
      </c>
      <c r="D447" s="74">
        <f>Scott!D149</f>
        <v>32</v>
      </c>
      <c r="E447" s="74">
        <f>Scott!E149</f>
        <v>2015</v>
      </c>
      <c r="F447" s="74" t="str">
        <f>Scott!F149</f>
        <v>Development</v>
      </c>
      <c r="G447" s="74" t="str">
        <f>Scott!G149</f>
        <v>NI</v>
      </c>
      <c r="H447" s="74" t="str">
        <f>Scott!H149</f>
        <v>NI-SWITCH Configuration Support 15.0</v>
      </c>
      <c r="I447" s="74" t="str">
        <f>Scott!I149</f>
        <v>NI Developer Suite 2015 DS2 Install</v>
      </c>
    </row>
    <row r="448" spans="1:9" x14ac:dyDescent="0.25">
      <c r="A448" s="74" t="str">
        <f>Originals!A66</f>
        <v>1-Corey</v>
      </c>
      <c r="B448" s="74" t="str">
        <f>Originals!B66</f>
        <v>NI-SWITCH Development Support</v>
      </c>
      <c r="C448" s="74" t="str">
        <f>Originals!C66</f>
        <v>15.0</v>
      </c>
      <c r="D448" s="74" t="str">
        <f>Originals!D66</f>
        <v>32</v>
      </c>
      <c r="E448" s="74" t="str">
        <f>Originals!E66</f>
        <v>2015</v>
      </c>
      <c r="F448" s="74" t="str">
        <f>Originals!F66</f>
        <v>Development</v>
      </c>
      <c r="G448" s="74" t="str">
        <f>Originals!G66</f>
        <v>NI</v>
      </c>
      <c r="H448" s="74" t="str">
        <f>Originals!H66</f>
        <v>NI-SWITCH Development Support 15.0</v>
      </c>
      <c r="I448" s="74" t="str">
        <f>Originals!I66</f>
        <v>NI Developer Suite 2015 DS2 Install</v>
      </c>
    </row>
    <row r="449" spans="1:9" x14ac:dyDescent="0.25">
      <c r="A449" s="74" t="str">
        <f>Originals!A150</f>
        <v>2-Spencer</v>
      </c>
      <c r="B449" s="74" t="str">
        <f>Originals!B150</f>
        <v>NI-SWITCH Development Support</v>
      </c>
      <c r="C449" s="74" t="str">
        <f>Originals!C150</f>
        <v>15.0</v>
      </c>
      <c r="D449" s="74" t="str">
        <f>Originals!D150</f>
        <v>32</v>
      </c>
      <c r="E449" s="74" t="str">
        <f>Originals!E150</f>
        <v>2015</v>
      </c>
      <c r="F449" s="74" t="str">
        <f>Originals!F150</f>
        <v>Development</v>
      </c>
      <c r="G449" s="74" t="str">
        <f>Originals!G150</f>
        <v>NI</v>
      </c>
      <c r="H449" s="74" t="str">
        <f>Originals!H150</f>
        <v>NI-SWITCH Development Support 15.0</v>
      </c>
      <c r="I449" s="74" t="str">
        <f>Originals!I150</f>
        <v>NI Developer Suite 2015 DS2 Install</v>
      </c>
    </row>
    <row r="450" spans="1:9" x14ac:dyDescent="0.25">
      <c r="A450" s="74" t="str">
        <f>Scott!A150</f>
        <v>3-Scott</v>
      </c>
      <c r="B450" s="74" t="str">
        <f>Scott!B150</f>
        <v>NI-SWITCH Development Support</v>
      </c>
      <c r="C450" s="74" t="str">
        <f>Scott!C150</f>
        <v>15.0</v>
      </c>
      <c r="D450" s="74">
        <f>Scott!D150</f>
        <v>32</v>
      </c>
      <c r="E450" s="74">
        <f>Scott!E150</f>
        <v>2015</v>
      </c>
      <c r="F450" s="74" t="str">
        <f>Scott!F150</f>
        <v>Development</v>
      </c>
      <c r="G450" s="74" t="str">
        <f>Scott!G150</f>
        <v>NI</v>
      </c>
      <c r="H450" s="74" t="str">
        <f>Scott!H150</f>
        <v>NI-SWITCH Development Support 15.0</v>
      </c>
      <c r="I450" s="74" t="str">
        <f>Scott!I150</f>
        <v>NI Developer Suite 2015 DS2 Install</v>
      </c>
    </row>
    <row r="451" spans="1:9" x14ac:dyDescent="0.25">
      <c r="A451" s="74" t="str">
        <f>Originals!A67</f>
        <v>1-Corey</v>
      </c>
      <c r="B451" s="74" t="str">
        <f>Originals!B67</f>
        <v>NI-SWITCH Soft Front Panel</v>
      </c>
      <c r="C451" s="74" t="str">
        <f>Originals!C67</f>
        <v>15.0.0</v>
      </c>
      <c r="D451" s="74" t="str">
        <f>Originals!D67</f>
        <v>32</v>
      </c>
      <c r="E451" s="74" t="str">
        <f>Originals!E67</f>
        <v>2015</v>
      </c>
      <c r="F451" s="74" t="str">
        <f>Originals!F67</f>
        <v>Development</v>
      </c>
      <c r="G451" s="74" t="str">
        <f>Originals!G67</f>
        <v>NI</v>
      </c>
      <c r="H451" s="74" t="str">
        <f>Originals!H67</f>
        <v>NI-SWITCH Soft Front Panel 15.0.0</v>
      </c>
      <c r="I451" s="74" t="str">
        <f>Originals!I67</f>
        <v>NI Developer Suite 2015 DS2 Install</v>
      </c>
    </row>
    <row r="452" spans="1:9" x14ac:dyDescent="0.25">
      <c r="A452" s="74" t="str">
        <f>Originals!A151</f>
        <v>2-Spencer</v>
      </c>
      <c r="B452" s="74" t="str">
        <f>Originals!B151</f>
        <v>NI-SWITCH Soft Front Panel</v>
      </c>
      <c r="C452" s="74" t="str">
        <f>Originals!C151</f>
        <v>15.0.0</v>
      </c>
      <c r="D452" s="74" t="str">
        <f>Originals!D151</f>
        <v>32</v>
      </c>
      <c r="E452" s="74" t="str">
        <f>Originals!E151</f>
        <v>2015</v>
      </c>
      <c r="F452" s="74" t="str">
        <f>Originals!F151</f>
        <v>Development</v>
      </c>
      <c r="G452" s="74" t="str">
        <f>Originals!G151</f>
        <v>NI</v>
      </c>
      <c r="H452" s="74" t="str">
        <f>Originals!H151</f>
        <v>NI-SWITCH Soft Front Panel 15.0.0</v>
      </c>
      <c r="I452" s="74" t="str">
        <f>Originals!I151</f>
        <v>NI Developer Suite 2015 DS2 Install</v>
      </c>
    </row>
    <row r="453" spans="1:9" x14ac:dyDescent="0.25">
      <c r="A453" s="74" t="str">
        <f>Scott!A151</f>
        <v>3-Scott</v>
      </c>
      <c r="B453" s="74" t="str">
        <f>Scott!B151</f>
        <v>NI-SWITCH Soft Front Panel</v>
      </c>
      <c r="C453" s="74" t="str">
        <f>Scott!C151</f>
        <v>18.1.0</v>
      </c>
      <c r="D453" s="74" t="str">
        <f>Scott!D151</f>
        <v>32</v>
      </c>
      <c r="E453" s="74" t="str">
        <f>Scott!E151</f>
        <v>2018</v>
      </c>
      <c r="F453" s="74" t="str">
        <f>Scott!F151</f>
        <v>Development</v>
      </c>
      <c r="G453" s="74" t="str">
        <f>Scott!G151</f>
        <v>NI</v>
      </c>
      <c r="H453" s="74" t="str">
        <f>Scott!H151</f>
        <v>NI-Switch Soft Front Panel 18.1.0</v>
      </c>
      <c r="I453" s="74" t="str">
        <f>Scott!I151</f>
        <v>CompactRIO 18.1.0</v>
      </c>
    </row>
    <row r="454" spans="1:9" hidden="1" x14ac:dyDescent="0.25">
      <c r="A454" s="74" t="str">
        <f>Originals!A68</f>
        <v>1-Corey</v>
      </c>
      <c r="B454" s="74" t="str">
        <f>Originals!B68</f>
        <v>NI-SWITCH Support</v>
      </c>
      <c r="C454" s="74" t="str">
        <f>Originals!C68</f>
        <v>15.0</v>
      </c>
      <c r="D454" s="74" t="str">
        <f>Originals!D68</f>
        <v>32</v>
      </c>
      <c r="E454" s="74" t="str">
        <f>Originals!E68</f>
        <v>2015</v>
      </c>
      <c r="F454" s="74" t="str">
        <f>Originals!F68</f>
        <v>Runtime</v>
      </c>
      <c r="G454" s="74" t="str">
        <f>Originals!G68</f>
        <v>NI</v>
      </c>
      <c r="H454" s="74" t="str">
        <f>Originals!H68</f>
        <v>NI-SWITCH Support 15.0</v>
      </c>
      <c r="I454" s="74" t="str">
        <f>Originals!I68</f>
        <v>NI Developer Suite 2015 DS2 Install</v>
      </c>
    </row>
    <row r="455" spans="1:9" x14ac:dyDescent="0.25">
      <c r="A455" s="74" t="str">
        <f>Originals!A69</f>
        <v>1-Corey</v>
      </c>
      <c r="B455" s="74" t="str">
        <f>Originals!B69</f>
        <v>NI-Sync</v>
      </c>
      <c r="C455" s="74" t="str">
        <f>Originals!C69</f>
        <v>15.0.0f0</v>
      </c>
      <c r="D455" s="74" t="str">
        <f>Originals!D69</f>
        <v>32</v>
      </c>
      <c r="E455" s="74" t="str">
        <f>Originals!E69</f>
        <v>2015</v>
      </c>
      <c r="F455" s="74" t="str">
        <f>Originals!F69</f>
        <v>Development</v>
      </c>
      <c r="G455" s="74" t="str">
        <f>Originals!G69</f>
        <v>NI</v>
      </c>
      <c r="H455" s="74" t="str">
        <f>Originals!H69</f>
        <v>NI-Sync 15.0.0f0</v>
      </c>
      <c r="I455" s="74" t="str">
        <f>Originals!I69</f>
        <v>NI Developer Suite 2015 DS2 Install</v>
      </c>
    </row>
    <row r="456" spans="1:9" x14ac:dyDescent="0.25">
      <c r="A456" s="74" t="str">
        <f>Originals!A152</f>
        <v>2-Spencer</v>
      </c>
      <c r="B456" s="74" t="str">
        <f>Originals!B152</f>
        <v>NI-Sync</v>
      </c>
      <c r="C456" s="74" t="str">
        <f>Originals!C152</f>
        <v>15.0.0f0</v>
      </c>
      <c r="D456" s="74" t="str">
        <f>Originals!D152</f>
        <v>32</v>
      </c>
      <c r="E456" s="74" t="str">
        <f>Originals!E152</f>
        <v>2015</v>
      </c>
      <c r="F456" s="74" t="str">
        <f>Originals!F152</f>
        <v>Development</v>
      </c>
      <c r="G456" s="74" t="str">
        <f>Originals!G152</f>
        <v>NI</v>
      </c>
      <c r="H456" s="74" t="str">
        <f>Originals!H152</f>
        <v>NI-Sync 15.0.0f0</v>
      </c>
      <c r="I456" s="74" t="str">
        <f>Originals!I152</f>
        <v>NI Developer Suite 2015 DS2 Install</v>
      </c>
    </row>
    <row r="457" spans="1:9" hidden="1" x14ac:dyDescent="0.25">
      <c r="A457" s="74" t="str">
        <f>Originals!A308</f>
        <v>4-Vinnie</v>
      </c>
      <c r="B457" s="74" t="str">
        <f>Originals!B308</f>
        <v>NI-Sync</v>
      </c>
      <c r="C457" s="74" t="str">
        <f>Originals!C308</f>
        <v>15.0.1f0</v>
      </c>
      <c r="D457" s="74" t="str">
        <f>Originals!D308</f>
        <v>32</v>
      </c>
      <c r="E457" s="74" t="str">
        <f>Originals!E308</f>
        <v>2015</v>
      </c>
      <c r="F457" s="74" t="str">
        <f>Originals!F308</f>
        <v>Runtime</v>
      </c>
      <c r="G457" s="74" t="str">
        <f>Originals!G308</f>
        <v>NI</v>
      </c>
      <c r="H457" s="74" t="str">
        <f>Originals!H308</f>
        <v>NI-Sync 15.0.1f0</v>
      </c>
      <c r="I457" s="74">
        <f>Originals!I308</f>
        <v>0</v>
      </c>
    </row>
    <row r="458" spans="1:9" x14ac:dyDescent="0.25">
      <c r="A458" s="74" t="str">
        <f>Originals!A309</f>
        <v>4-Vinnie</v>
      </c>
      <c r="B458" s="74" t="str">
        <f>Originals!B309</f>
        <v>NI-Sync</v>
      </c>
      <c r="C458" s="74" t="str">
        <f>Originals!C309</f>
        <v>15.0.1f0</v>
      </c>
      <c r="D458" s="74" t="str">
        <f>Originals!D309</f>
        <v>32</v>
      </c>
      <c r="E458" s="74">
        <f>Originals!E309</f>
        <v>2015</v>
      </c>
      <c r="F458" s="74" t="str">
        <f>Originals!F309</f>
        <v>Development</v>
      </c>
      <c r="G458" s="74" t="str">
        <f>Originals!G309</f>
        <v>NI</v>
      </c>
      <c r="H458" s="74" t="str">
        <f>Originals!H309</f>
        <v>NI-Sync 15.0.1f0</v>
      </c>
      <c r="I458" s="74">
        <f>Originals!I309</f>
        <v>0</v>
      </c>
    </row>
    <row r="459" spans="1:9" x14ac:dyDescent="0.25">
      <c r="A459" s="74" t="str">
        <f>Scott!A152</f>
        <v>3-Scott</v>
      </c>
      <c r="B459" s="74" t="str">
        <f>Scott!B152</f>
        <v>NI-Sync</v>
      </c>
      <c r="C459" s="74" t="str">
        <f>Scott!C152</f>
        <v>18.1.0f0</v>
      </c>
      <c r="D459" s="74" t="str">
        <f>Scott!D152</f>
        <v>32</v>
      </c>
      <c r="E459" s="74" t="str">
        <f>Scott!E152</f>
        <v>2018</v>
      </c>
      <c r="F459" s="74" t="str">
        <f>Scott!F152</f>
        <v>Development</v>
      </c>
      <c r="G459" s="74" t="str">
        <f>Scott!G152</f>
        <v>NI</v>
      </c>
      <c r="H459" s="74" t="str">
        <f>Scott!H152</f>
        <v>NI-Sync 18.1.0f0</v>
      </c>
      <c r="I459" s="74" t="str">
        <f>Scott!I152</f>
        <v>CompactRIO 18.1.0</v>
      </c>
    </row>
    <row r="460" spans="1:9" x14ac:dyDescent="0.25">
      <c r="A460" s="74" t="str">
        <f>Originals!A70</f>
        <v>1-Corey</v>
      </c>
      <c r="B460" s="74" t="str">
        <f>Originals!B70</f>
        <v>NI-TClk</v>
      </c>
      <c r="C460" s="74" t="str">
        <f>Originals!C70</f>
        <v>15.0</v>
      </c>
      <c r="D460" s="74" t="str">
        <f>Originals!D70</f>
        <v>32</v>
      </c>
      <c r="E460" s="74" t="str">
        <f>Originals!E70</f>
        <v>2015</v>
      </c>
      <c r="F460" s="74" t="str">
        <f>Originals!F70</f>
        <v>Development</v>
      </c>
      <c r="G460" s="74" t="str">
        <f>Originals!G70</f>
        <v>NI</v>
      </c>
      <c r="H460" s="74" t="str">
        <f>Originals!H70</f>
        <v>NI-TClk 15.0</v>
      </c>
      <c r="I460" s="74" t="str">
        <f>Originals!I70</f>
        <v>NI Developer Suite 2015 DS2 Install</v>
      </c>
    </row>
    <row r="461" spans="1:9" x14ac:dyDescent="0.25">
      <c r="A461" s="74" t="str">
        <f>Originals!A153</f>
        <v>2-Spencer</v>
      </c>
      <c r="B461" s="74" t="str">
        <f>Originals!B153</f>
        <v>NI-TClk</v>
      </c>
      <c r="C461" s="74" t="str">
        <f>Originals!C153</f>
        <v>15.0</v>
      </c>
      <c r="D461" s="74" t="str">
        <f>Originals!D153</f>
        <v>32</v>
      </c>
      <c r="E461" s="74" t="str">
        <f>Originals!E153</f>
        <v>2015</v>
      </c>
      <c r="F461" s="74" t="str">
        <f>Originals!F153</f>
        <v>Development</v>
      </c>
      <c r="G461" s="74" t="str">
        <f>Originals!G153</f>
        <v>NI</v>
      </c>
      <c r="H461" s="74" t="str">
        <f>Originals!H153</f>
        <v>NI-TClk 15.0</v>
      </c>
      <c r="I461" s="74" t="str">
        <f>Originals!I153</f>
        <v>NI Developer Suite 2015 DS2 Install</v>
      </c>
    </row>
    <row r="462" spans="1:9" x14ac:dyDescent="0.25">
      <c r="A462" s="74" t="str">
        <f>Scott!A153</f>
        <v>3-Scott</v>
      </c>
      <c r="B462" s="74" t="str">
        <f>Scott!B153</f>
        <v>NI-TClk</v>
      </c>
      <c r="C462" s="74" t="str">
        <f>Scott!C153</f>
        <v>15.0</v>
      </c>
      <c r="D462" s="74">
        <f>Scott!D153</f>
        <v>32</v>
      </c>
      <c r="E462" s="74">
        <f>Scott!E153</f>
        <v>2015</v>
      </c>
      <c r="F462" s="74" t="str">
        <f>Scott!F153</f>
        <v>Development</v>
      </c>
      <c r="G462" s="74" t="str">
        <f>Scott!G153</f>
        <v>NI</v>
      </c>
      <c r="H462" s="74" t="str">
        <f>Scott!H153</f>
        <v>NI-TClk 15.0</v>
      </c>
      <c r="I462" s="74" t="str">
        <f>Scott!I153</f>
        <v>NI Developer Suite 2015 DS2 Install</v>
      </c>
    </row>
    <row r="463" spans="1:9" x14ac:dyDescent="0.25">
      <c r="A463" s="74" t="str">
        <f>Originals!A71</f>
        <v>1-Corey</v>
      </c>
      <c r="B463" s="74" t="str">
        <f>Originals!B71</f>
        <v>NI-TimeSync</v>
      </c>
      <c r="C463" s="74" t="str">
        <f>Originals!C71</f>
        <v>15.0.0f0</v>
      </c>
      <c r="D463" s="74" t="str">
        <f>Originals!D71</f>
        <v>32</v>
      </c>
      <c r="E463" s="74" t="str">
        <f>Originals!E71</f>
        <v>2015</v>
      </c>
      <c r="F463" s="74" t="str">
        <f>Originals!F71</f>
        <v>Development</v>
      </c>
      <c r="G463" s="74" t="str">
        <f>Originals!G71</f>
        <v>NI</v>
      </c>
      <c r="H463" s="74" t="str">
        <f>Originals!H71</f>
        <v>NI-TimeSync 15.0.0f0</v>
      </c>
      <c r="I463" s="74" t="str">
        <f>Originals!I71</f>
        <v>NI Developer Suite 2015 DS2 Install</v>
      </c>
    </row>
    <row r="464" spans="1:9" x14ac:dyDescent="0.25">
      <c r="A464" s="74" t="str">
        <f>Originals!A154</f>
        <v>2-Spencer</v>
      </c>
      <c r="B464" s="74" t="str">
        <f>Originals!B154</f>
        <v>NI-TimeSync</v>
      </c>
      <c r="C464" s="74" t="str">
        <f>Originals!C154</f>
        <v>15.0.0f0</v>
      </c>
      <c r="D464" s="74" t="str">
        <f>Originals!D154</f>
        <v>32</v>
      </c>
      <c r="E464" s="74" t="str">
        <f>Originals!E154</f>
        <v>2015</v>
      </c>
      <c r="F464" s="74" t="str">
        <f>Originals!F154</f>
        <v>Development</v>
      </c>
      <c r="G464" s="74" t="str">
        <f>Originals!G154</f>
        <v>NI</v>
      </c>
      <c r="H464" s="74" t="str">
        <f>Originals!H154</f>
        <v>NI-TimeSync 15.0.0f0</v>
      </c>
      <c r="I464" s="74" t="str">
        <f>Originals!I154</f>
        <v>NI Developer Suite 2015 DS2 Install</v>
      </c>
    </row>
    <row r="465" spans="1:9" x14ac:dyDescent="0.25">
      <c r="A465" s="74" t="str">
        <f>Originals!A310</f>
        <v>4-Vinnie</v>
      </c>
      <c r="B465" s="74" t="str">
        <f>Originals!B310</f>
        <v>NI-TimeSync</v>
      </c>
      <c r="C465" s="74" t="str">
        <f>Originals!C310</f>
        <v>15.0.0f0</v>
      </c>
      <c r="D465" s="74" t="str">
        <f>Originals!D310</f>
        <v>32</v>
      </c>
      <c r="E465" s="74">
        <f>Originals!E310</f>
        <v>2015</v>
      </c>
      <c r="F465" s="74" t="str">
        <f>Originals!F310</f>
        <v>Development</v>
      </c>
      <c r="G465" s="74" t="str">
        <f>Originals!G310</f>
        <v>NI</v>
      </c>
      <c r="H465" s="74" t="str">
        <f>Originals!H310</f>
        <v>NI-TimeSync 15.0.0f0</v>
      </c>
      <c r="I465" s="74">
        <f>Originals!I310</f>
        <v>0</v>
      </c>
    </row>
    <row r="466" spans="1:9" x14ac:dyDescent="0.25">
      <c r="A466" s="74" t="str">
        <f>Scott!A154</f>
        <v>3-Scott</v>
      </c>
      <c r="B466" s="74" t="str">
        <f>Scott!B154</f>
        <v>NI-TimeSync</v>
      </c>
      <c r="C466" s="74" t="str">
        <f>Scott!C154</f>
        <v>15.0.0f0</v>
      </c>
      <c r="D466" s="74">
        <f>Scott!D154</f>
        <v>32</v>
      </c>
      <c r="E466" s="74">
        <f>Scott!E154</f>
        <v>2015</v>
      </c>
      <c r="F466" s="74" t="str">
        <f>Scott!F154</f>
        <v>Development</v>
      </c>
      <c r="G466" s="74" t="str">
        <f>Scott!G154</f>
        <v>NI</v>
      </c>
      <c r="H466" s="74" t="str">
        <f>Scott!H154</f>
        <v>NI-TimeSync 15.0.0f0</v>
      </c>
      <c r="I466" s="74" t="str">
        <f>Scott!I154</f>
        <v>NI Developer Suite 2015 DS2 Install</v>
      </c>
    </row>
    <row r="467" spans="1:9" x14ac:dyDescent="0.25">
      <c r="A467" s="74" t="str">
        <f>Originals!A72</f>
        <v>1-Corey</v>
      </c>
      <c r="B467" s="74" t="str">
        <f>Originals!B72</f>
        <v>NI-USI</v>
      </c>
      <c r="C467" s="74" t="str">
        <f>Originals!C72</f>
        <v>15.0.1.6118</v>
      </c>
      <c r="D467" s="74" t="str">
        <f>Originals!D72</f>
        <v>32</v>
      </c>
      <c r="E467" s="74" t="str">
        <f>Originals!E72</f>
        <v>2015</v>
      </c>
      <c r="F467" s="74" t="str">
        <f>Originals!F72</f>
        <v>Development</v>
      </c>
      <c r="G467" s="74" t="str">
        <f>Originals!G72</f>
        <v>NI</v>
      </c>
      <c r="H467" s="74" t="str">
        <f>Originals!H72</f>
        <v>NI-USI 15.0.1.6118</v>
      </c>
      <c r="I467" s="74" t="str">
        <f>Originals!I72</f>
        <v>LabVIEW 2015 SP1</v>
      </c>
    </row>
    <row r="468" spans="1:9" x14ac:dyDescent="0.25">
      <c r="A468" s="74" t="str">
        <f>Scott!A155</f>
        <v>3-Scott</v>
      </c>
      <c r="B468" s="74" t="str">
        <f>Scott!B155</f>
        <v>NI-USI</v>
      </c>
      <c r="C468" s="74" t="str">
        <f>Scott!C155</f>
        <v>15.0.1.6118</v>
      </c>
      <c r="D468" s="74">
        <f>Scott!D155</f>
        <v>32</v>
      </c>
      <c r="E468" s="74">
        <f>Scott!E155</f>
        <v>2015</v>
      </c>
      <c r="F468" s="74" t="str">
        <f>Scott!F155</f>
        <v>Development</v>
      </c>
      <c r="G468" s="74" t="str">
        <f>Scott!G155</f>
        <v>NI</v>
      </c>
      <c r="H468" s="74" t="str">
        <f>Scott!H155</f>
        <v>NI-USI 15.0.1.6118</v>
      </c>
      <c r="I468" s="74" t="str">
        <f>Scott!I155</f>
        <v>LabVIEW 2015 SP1</v>
      </c>
    </row>
    <row r="469" spans="1:9" x14ac:dyDescent="0.25">
      <c r="A469" s="74" t="str">
        <f>Originals!A155</f>
        <v>2-Spencer</v>
      </c>
      <c r="B469" s="74" t="str">
        <f>Originals!B155</f>
        <v>NI-USI</v>
      </c>
      <c r="C469" s="74" t="str">
        <f>Originals!C155</f>
        <v>17.0.0.6654</v>
      </c>
      <c r="D469" s="74" t="str">
        <f>Originals!D155</f>
        <v>32</v>
      </c>
      <c r="E469" s="74" t="str">
        <f>Originals!E155</f>
        <v>2017</v>
      </c>
      <c r="F469" s="74" t="str">
        <f>Originals!F155</f>
        <v>Development</v>
      </c>
      <c r="G469" s="74" t="str">
        <f>Originals!G155</f>
        <v>NI</v>
      </c>
      <c r="H469" s="74" t="str">
        <f>Originals!H155</f>
        <v>NI-USI 17.0.0.6654</v>
      </c>
      <c r="I469" s="74">
        <f>Originals!I155</f>
        <v>0</v>
      </c>
    </row>
    <row r="470" spans="1:9" x14ac:dyDescent="0.25">
      <c r="A470" s="74" t="str">
        <f>Originals!A393</f>
        <v>5-Confluence</v>
      </c>
      <c r="B470" s="74" t="str">
        <f>Originals!B393</f>
        <v>NI-USI</v>
      </c>
      <c r="C470" s="74" t="str">
        <f>Originals!C393</f>
        <v>17.0.1</v>
      </c>
      <c r="D470" s="74" t="str">
        <f>Originals!D393</f>
        <v>32</v>
      </c>
      <c r="E470" s="74" t="str">
        <f>Originals!E393</f>
        <v>2018</v>
      </c>
      <c r="F470" s="74" t="str">
        <f>Originals!F393</f>
        <v>Development</v>
      </c>
      <c r="G470" s="74" t="str">
        <f>Originals!G393</f>
        <v>NI</v>
      </c>
      <c r="H470" s="74" t="str">
        <f>Originals!H393</f>
        <v>NI-USI 17.0.1</v>
      </c>
      <c r="I470" s="74">
        <f>Originals!I393</f>
        <v>0</v>
      </c>
    </row>
    <row r="471" spans="1:9" x14ac:dyDescent="0.25">
      <c r="A471" s="74" t="str">
        <f>Originals!A311</f>
        <v>4-Vinnie</v>
      </c>
      <c r="B471" s="74" t="str">
        <f>Originals!B311</f>
        <v>NI-USI</v>
      </c>
      <c r="C471" s="74" t="str">
        <f>Originals!C311</f>
        <v>18.5.5.7372</v>
      </c>
      <c r="D471" s="74" t="str">
        <f>Originals!D311</f>
        <v>32</v>
      </c>
      <c r="E471" s="74" t="str">
        <f>Originals!E311</f>
        <v>2018</v>
      </c>
      <c r="F471" s="74" t="str">
        <f>Originals!F311</f>
        <v>Development</v>
      </c>
      <c r="G471" s="74" t="str">
        <f>Originals!G311</f>
        <v>NI</v>
      </c>
      <c r="H471" s="74" t="str">
        <f>Originals!H311</f>
        <v>NI-USI 18.5.5.7372</v>
      </c>
      <c r="I471" s="74">
        <f>Originals!I311</f>
        <v>0</v>
      </c>
    </row>
    <row r="472" spans="1:9" x14ac:dyDescent="0.25">
      <c r="A472" s="74" t="str">
        <f>Scott!A156</f>
        <v>3-Scott</v>
      </c>
      <c r="B472" s="74" t="str">
        <f>Scott!B156</f>
        <v>NI-VISA</v>
      </c>
      <c r="C472" s="74" t="str">
        <f>Scott!C156</f>
        <v>15.5</v>
      </c>
      <c r="D472" s="74">
        <f>Scott!D156</f>
        <v>32</v>
      </c>
      <c r="E472" s="74">
        <f>Scott!E156</f>
        <v>2015</v>
      </c>
      <c r="F472" s="74" t="str">
        <f>Scott!F156</f>
        <v>Development</v>
      </c>
      <c r="G472" s="74" t="str">
        <f>Scott!G156</f>
        <v>NI</v>
      </c>
      <c r="H472" s="74" t="str">
        <f>Scott!H156</f>
        <v>NI-VISA 15.5</v>
      </c>
      <c r="I472" s="74" t="str">
        <f>Scott!I156</f>
        <v>2015 SP1 Update Service</v>
      </c>
    </row>
    <row r="473" spans="1:9" hidden="1" x14ac:dyDescent="0.25">
      <c r="A473" s="74" t="str">
        <f>Scott!A157</f>
        <v>3-Scott</v>
      </c>
      <c r="B473" s="74" t="str">
        <f>Scott!B157</f>
        <v>NI-VISA</v>
      </c>
      <c r="C473" s="74" t="str">
        <f>Scott!C157</f>
        <v>15.5</v>
      </c>
      <c r="D473" s="74">
        <f>Scott!D157</f>
        <v>32</v>
      </c>
      <c r="E473" s="74">
        <f>Scott!E157</f>
        <v>2015</v>
      </c>
      <c r="F473" s="74" t="str">
        <f>Scott!F157</f>
        <v>Runtime</v>
      </c>
      <c r="G473" s="74" t="str">
        <f>Scott!G157</f>
        <v>NI</v>
      </c>
      <c r="H473" s="74" t="str">
        <f>Scott!H157</f>
        <v>NI-VISA 15.5</v>
      </c>
      <c r="I473" s="74" t="str">
        <f>Scott!I157</f>
        <v>2015 SP1 Update Service</v>
      </c>
    </row>
    <row r="474" spans="1:9" hidden="1" x14ac:dyDescent="0.25">
      <c r="A474" s="74" t="str">
        <f>Originals!A312</f>
        <v>4-Vinnie</v>
      </c>
      <c r="B474" s="74" t="str">
        <f>Originals!B312</f>
        <v>NI-VISA</v>
      </c>
      <c r="C474" s="74" t="str">
        <f>Originals!C312</f>
        <v>15.5.0</v>
      </c>
      <c r="D474" s="74" t="str">
        <f>Originals!D312</f>
        <v>32</v>
      </c>
      <c r="E474" s="74" t="str">
        <f>Originals!E312</f>
        <v>2015</v>
      </c>
      <c r="F474" s="74" t="str">
        <f>Originals!F312</f>
        <v>C-RIO</v>
      </c>
      <c r="G474" s="74" t="str">
        <f>Originals!G312</f>
        <v>NI</v>
      </c>
      <c r="H474" s="74" t="str">
        <f>Originals!H312</f>
        <v>NI-VISA 15.5.0</v>
      </c>
      <c r="I474" s="74">
        <f>Originals!I312</f>
        <v>0</v>
      </c>
    </row>
    <row r="475" spans="1:9" x14ac:dyDescent="0.25">
      <c r="A475" s="74" t="str">
        <f>Originals!A394</f>
        <v>5-Confluence</v>
      </c>
      <c r="B475" s="74" t="str">
        <f>Originals!B394</f>
        <v>NI-VISA</v>
      </c>
      <c r="C475" s="74" t="str">
        <f>Originals!C394</f>
        <v>18.0</v>
      </c>
      <c r="D475" s="74" t="str">
        <f>Originals!D394</f>
        <v>32</v>
      </c>
      <c r="E475" s="74" t="str">
        <f>Originals!E394</f>
        <v>2018</v>
      </c>
      <c r="F475" s="74" t="str">
        <f>Originals!F394</f>
        <v>Development</v>
      </c>
      <c r="G475" s="74" t="str">
        <f>Originals!G394</f>
        <v>NI</v>
      </c>
      <c r="H475" s="74" t="str">
        <f>Originals!H394</f>
        <v>NI-VISA 18.0</v>
      </c>
      <c r="I475" s="74">
        <f>Originals!I394</f>
        <v>0</v>
      </c>
    </row>
    <row r="476" spans="1:9" hidden="1" x14ac:dyDescent="0.25">
      <c r="A476" s="74" t="str">
        <f>Originals!A395</f>
        <v>5-Confluence</v>
      </c>
      <c r="B476" s="74" t="str">
        <f>Originals!B395</f>
        <v>NI-VISA</v>
      </c>
      <c r="C476" s="74" t="str">
        <f>Originals!C395</f>
        <v>18.0</v>
      </c>
      <c r="D476" s="74">
        <v>32</v>
      </c>
      <c r="E476" s="74" t="str">
        <f>Originals!E395</f>
        <v>2018</v>
      </c>
      <c r="F476" s="74" t="str">
        <f>Originals!F395</f>
        <v>Runtime</v>
      </c>
      <c r="G476" s="74" t="str">
        <f>Originals!G395</f>
        <v>NI</v>
      </c>
      <c r="H476" s="74" t="str">
        <f>Originals!H395</f>
        <v>NI-VISA 18.0</v>
      </c>
      <c r="I476" s="74">
        <f>Originals!I395</f>
        <v>0</v>
      </c>
    </row>
    <row r="477" spans="1:9" x14ac:dyDescent="0.25">
      <c r="A477" s="74" t="str">
        <f>Originals!A73</f>
        <v>1-Corey</v>
      </c>
      <c r="B477" s="74" t="str">
        <f>Originals!B73</f>
        <v>NI-VISA</v>
      </c>
      <c r="C477" s="74" t="str">
        <f>Originals!C73</f>
        <v>19.5</v>
      </c>
      <c r="D477" s="74" t="str">
        <f>Originals!D73</f>
        <v>32</v>
      </c>
      <c r="E477" s="74" t="str">
        <f>Originals!E73</f>
        <v>2019</v>
      </c>
      <c r="F477" s="74" t="str">
        <f>Originals!F73</f>
        <v>Development</v>
      </c>
      <c r="G477" s="74" t="str">
        <f>Originals!G73</f>
        <v>NI</v>
      </c>
      <c r="H477" s="74" t="str">
        <f>Originals!H73</f>
        <v>NI-VISA 19.5</v>
      </c>
      <c r="I477" s="74">
        <f>Originals!I73</f>
        <v>0</v>
      </c>
    </row>
    <row r="478" spans="1:9" hidden="1" x14ac:dyDescent="0.25">
      <c r="A478" s="74" t="str">
        <f>Originals!A74</f>
        <v>1-Corey</v>
      </c>
      <c r="B478" s="74" t="str">
        <f>Originals!B74</f>
        <v>NI-VISA</v>
      </c>
      <c r="C478" s="74" t="str">
        <f>Originals!C74</f>
        <v>19.5</v>
      </c>
      <c r="D478" s="74" t="str">
        <f>Originals!D74</f>
        <v>32</v>
      </c>
      <c r="E478" s="74" t="str">
        <f>Originals!E74</f>
        <v>2019</v>
      </c>
      <c r="F478" s="74" t="str">
        <f>Originals!F74</f>
        <v>Runtime</v>
      </c>
      <c r="G478" s="74" t="str">
        <f>Originals!G74</f>
        <v>NI</v>
      </c>
      <c r="H478" s="74" t="str">
        <f>Originals!H74</f>
        <v>NI-VISA 19.5</v>
      </c>
      <c r="I478" s="74">
        <f>Originals!I74</f>
        <v>0</v>
      </c>
    </row>
    <row r="479" spans="1:9" x14ac:dyDescent="0.25">
      <c r="A479" s="74" t="str">
        <f>Originals!A156</f>
        <v>2-Spencer</v>
      </c>
      <c r="B479" s="74" t="str">
        <f>Originals!B156</f>
        <v>NI-VISA</v>
      </c>
      <c r="C479" s="74" t="str">
        <f>Originals!C156</f>
        <v>19.5</v>
      </c>
      <c r="D479" s="74" t="str">
        <f>Originals!D156</f>
        <v>32</v>
      </c>
      <c r="E479" s="74" t="str">
        <f>Originals!E156</f>
        <v>2019</v>
      </c>
      <c r="F479" s="74" t="str">
        <f>Originals!F156</f>
        <v>Development</v>
      </c>
      <c r="G479" s="74" t="str">
        <f>Originals!G156</f>
        <v>NI</v>
      </c>
      <c r="H479" s="74" t="str">
        <f>Originals!H156</f>
        <v>NI-VISA 19.5</v>
      </c>
      <c r="I479" s="74">
        <f>Originals!I156</f>
        <v>0</v>
      </c>
    </row>
    <row r="480" spans="1:9" hidden="1" x14ac:dyDescent="0.25">
      <c r="A480" s="74" t="str">
        <f>Originals!A157</f>
        <v>2-Spencer</v>
      </c>
      <c r="B480" s="74" t="str">
        <f>Originals!B157</f>
        <v>NI-VISA</v>
      </c>
      <c r="C480" s="74" t="str">
        <f>Originals!C157</f>
        <v>19.5</v>
      </c>
      <c r="D480" s="74" t="str">
        <f>Originals!D157</f>
        <v>32</v>
      </c>
      <c r="E480" s="74" t="str">
        <f>Originals!E157</f>
        <v>2019</v>
      </c>
      <c r="F480" s="74" t="str">
        <f>Originals!F157</f>
        <v>Runtime</v>
      </c>
      <c r="G480" s="74" t="str">
        <f>Originals!G157</f>
        <v>NI</v>
      </c>
      <c r="H480" s="74" t="str">
        <f>Originals!H157</f>
        <v>NI-VISA 19.5</v>
      </c>
      <c r="I480" s="74">
        <f>Originals!I157</f>
        <v>0</v>
      </c>
    </row>
    <row r="481" spans="1:9" x14ac:dyDescent="0.25">
      <c r="A481" s="74" t="str">
        <f>Originals!A313</f>
        <v>4-Vinnie</v>
      </c>
      <c r="B481" s="74" t="str">
        <f>Originals!B313</f>
        <v>NI-VISA</v>
      </c>
      <c r="C481" s="74">
        <f>Originals!C313</f>
        <v>19.5</v>
      </c>
      <c r="D481" s="74" t="str">
        <f>Originals!D313</f>
        <v>32</v>
      </c>
      <c r="E481" s="74" t="str">
        <f>Originals!E313</f>
        <v>2019</v>
      </c>
      <c r="F481" s="74" t="str">
        <f>Originals!F313</f>
        <v>Development</v>
      </c>
      <c r="G481" s="74" t="str">
        <f>Originals!G313</f>
        <v>NI</v>
      </c>
      <c r="H481" s="74" t="str">
        <f>Originals!H313</f>
        <v>NI-VISA 19.5</v>
      </c>
      <c r="I481" s="74">
        <f>Originals!I313</f>
        <v>0</v>
      </c>
    </row>
    <row r="482" spans="1:9" hidden="1" x14ac:dyDescent="0.25">
      <c r="A482" s="74" t="str">
        <f>Originals!A314</f>
        <v>4-Vinnie</v>
      </c>
      <c r="B482" s="74" t="str">
        <f>Originals!B314</f>
        <v>NI-VISA</v>
      </c>
      <c r="C482" s="74">
        <f>Originals!C314</f>
        <v>19.5</v>
      </c>
      <c r="D482" s="74" t="str">
        <f>Originals!D314</f>
        <v>32</v>
      </c>
      <c r="E482" s="74" t="str">
        <f>Originals!E314</f>
        <v>2019</v>
      </c>
      <c r="F482" s="74" t="str">
        <f>Originals!F314</f>
        <v>Runtime</v>
      </c>
      <c r="G482" s="74" t="str">
        <f>Originals!G314</f>
        <v>NI</v>
      </c>
      <c r="H482" s="74" t="str">
        <f>Originals!H314</f>
        <v>NI-VISA 19.5</v>
      </c>
      <c r="I482" s="74">
        <f>Originals!I314</f>
        <v>0</v>
      </c>
    </row>
    <row r="483" spans="1:9" x14ac:dyDescent="0.25">
      <c r="A483" s="74" t="str">
        <f>Originals!A75</f>
        <v>1-Corey</v>
      </c>
      <c r="B483" s="74" t="str">
        <f>Originals!B75</f>
        <v>NIvisaic.exe</v>
      </c>
      <c r="C483" s="74" t="str">
        <f>Originals!C75</f>
        <v>15.0.0.49152</v>
      </c>
      <c r="D483" s="74" t="str">
        <f>Originals!D75</f>
        <v>32</v>
      </c>
      <c r="E483" s="74" t="str">
        <f>Originals!E75</f>
        <v>2019</v>
      </c>
      <c r="F483" s="74" t="str">
        <f>Originals!F75</f>
        <v>Development</v>
      </c>
      <c r="G483" s="74" t="str">
        <f>Originals!G75</f>
        <v>NI</v>
      </c>
      <c r="H483" s="74" t="str">
        <f>Originals!H75</f>
        <v>NIvisaic.exe 15.0.0.49152</v>
      </c>
      <c r="I483" s="74" t="str">
        <f>Originals!I75</f>
        <v>NI Developer Suite 2015 DS2 Install</v>
      </c>
    </row>
    <row r="484" spans="1:9" x14ac:dyDescent="0.25">
      <c r="A484" s="74" t="str">
        <f>Originals!A158</f>
        <v>2-Spencer</v>
      </c>
      <c r="B484" s="74" t="str">
        <f>Originals!B158</f>
        <v>NIvisaic.exe</v>
      </c>
      <c r="C484" s="74" t="str">
        <f>Originals!C158</f>
        <v>15.0.0.49152</v>
      </c>
      <c r="D484" s="74">
        <v>32</v>
      </c>
      <c r="E484" s="74" t="str">
        <f>Originals!E158</f>
        <v>2015</v>
      </c>
      <c r="F484" s="74" t="str">
        <f>Originals!F158</f>
        <v>Development</v>
      </c>
      <c r="G484" s="74" t="str">
        <f>Originals!G158</f>
        <v>NI</v>
      </c>
      <c r="H484" s="74" t="str">
        <f>Originals!H158</f>
        <v>NIvisaic.exe 15.0.0.49152</v>
      </c>
      <c r="I484" s="74" t="str">
        <f>Originals!I158</f>
        <v>NI Developer Suite 2015 DS2 Install</v>
      </c>
    </row>
    <row r="485" spans="1:9" x14ac:dyDescent="0.25">
      <c r="A485" s="74" t="str">
        <f>Originals!A396</f>
        <v>5-Confluence</v>
      </c>
      <c r="B485" s="74" t="str">
        <f>Originals!B396</f>
        <v>NIvisaic.exe</v>
      </c>
      <c r="C485" s="74" t="str">
        <f>Originals!C396</f>
        <v>15.0.0.49152</v>
      </c>
      <c r="D485" s="74" t="str">
        <f>Originals!D396</f>
        <v>32</v>
      </c>
      <c r="E485" s="74" t="str">
        <f>Originals!E396</f>
        <v>2018</v>
      </c>
      <c r="F485" s="74" t="str">
        <f>Originals!F396</f>
        <v>Development</v>
      </c>
      <c r="G485" s="74" t="str">
        <f>Originals!G396</f>
        <v>NI</v>
      </c>
      <c r="H485" s="74" t="str">
        <f>Originals!H396</f>
        <v>NIvisaic.exe 15.0.0.49152</v>
      </c>
      <c r="I485" s="74">
        <f>Originals!I396</f>
        <v>0</v>
      </c>
    </row>
    <row r="486" spans="1:9" x14ac:dyDescent="0.25">
      <c r="A486" s="74" t="str">
        <f>Scott!A158</f>
        <v>3-Scott</v>
      </c>
      <c r="B486" s="74" t="str">
        <f>Scott!B158</f>
        <v>NIvisaic.exe</v>
      </c>
      <c r="C486" s="74" t="str">
        <f>Scott!C158</f>
        <v>15.0.0.49152</v>
      </c>
      <c r="D486" s="74">
        <f>Scott!D158</f>
        <v>32</v>
      </c>
      <c r="E486" s="74">
        <f>Scott!E158</f>
        <v>2015</v>
      </c>
      <c r="F486" s="74" t="str">
        <f>Scott!F158</f>
        <v>Development</v>
      </c>
      <c r="G486" s="74" t="str">
        <f>Scott!G158</f>
        <v>NI</v>
      </c>
      <c r="H486" s="74" t="str">
        <f>Scott!H158</f>
        <v>NIvisaic.exe 15.0.0.49152</v>
      </c>
      <c r="I486" s="74" t="str">
        <f>Scott!I158</f>
        <v>NI Developer Suite 2015 DS2 Install</v>
      </c>
    </row>
    <row r="487" spans="1:9" x14ac:dyDescent="0.25">
      <c r="A487" s="74" t="str">
        <f>Originals!A315</f>
        <v>4-Vinnie</v>
      </c>
      <c r="B487" s="74" t="str">
        <f>Originals!B315</f>
        <v>NIvisaic.exe</v>
      </c>
      <c r="C487" s="74" t="str">
        <f>Originals!C315</f>
        <v>18.5.0.49152</v>
      </c>
      <c r="D487" s="74" t="str">
        <f>Originals!D315</f>
        <v>32</v>
      </c>
      <c r="E487" s="74" t="str">
        <f>Originals!E315</f>
        <v>2018</v>
      </c>
      <c r="F487" s="74" t="str">
        <f>Originals!F315</f>
        <v>Development</v>
      </c>
      <c r="G487" s="74" t="str">
        <f>Originals!G315</f>
        <v>NI</v>
      </c>
      <c r="H487" s="74" t="str">
        <f>Originals!H315</f>
        <v>NIvisaic.exe 18.5.0.49152</v>
      </c>
      <c r="I487" s="74" t="str">
        <f>Originals!I315</f>
        <v>NI Developer Suite 2015 DS2 Install</v>
      </c>
    </row>
    <row r="488" spans="1:9" x14ac:dyDescent="0.25">
      <c r="A488" s="74" t="str">
        <f>Originals!A76</f>
        <v>1-Corey</v>
      </c>
      <c r="B488" s="74" t="str">
        <f>Originals!B76</f>
        <v>NiVisaServer.exe</v>
      </c>
      <c r="C488" s="74" t="str">
        <f>Originals!C76</f>
        <v>15.0.0.49152</v>
      </c>
      <c r="D488" s="74" t="str">
        <f>Originals!D76</f>
        <v>32</v>
      </c>
      <c r="E488" s="74" t="str">
        <f>Originals!E76</f>
        <v>2019</v>
      </c>
      <c r="F488" s="74" t="str">
        <f>Originals!F76</f>
        <v>Development</v>
      </c>
      <c r="G488" s="74" t="str">
        <f>Originals!G76</f>
        <v>NI</v>
      </c>
      <c r="H488" s="74" t="str">
        <f>Originals!H76</f>
        <v>NiVisaServer.exe 15.0.0.49152</v>
      </c>
      <c r="I488" s="74" t="str">
        <f>Originals!I76</f>
        <v>NI Developer Suite 2015 DS2 Install</v>
      </c>
    </row>
    <row r="489" spans="1:9" x14ac:dyDescent="0.25">
      <c r="A489" s="74" t="str">
        <f>Originals!A159</f>
        <v>2-Spencer</v>
      </c>
      <c r="B489" s="74" t="str">
        <f>Originals!B159</f>
        <v>NiVisaServer.exe</v>
      </c>
      <c r="C489" s="74" t="str">
        <f>Originals!C159</f>
        <v>15.0.0.49152</v>
      </c>
      <c r="D489" s="74" t="str">
        <f>Originals!D159</f>
        <v>32</v>
      </c>
      <c r="E489" s="74" t="str">
        <f>Originals!E159</f>
        <v>2015</v>
      </c>
      <c r="F489" s="74" t="str">
        <f>Originals!F159</f>
        <v>Development</v>
      </c>
      <c r="G489" s="74" t="str">
        <f>Originals!G159</f>
        <v>NI</v>
      </c>
      <c r="H489" s="74" t="str">
        <f>Originals!H159</f>
        <v>NiVisaServer.exe 15.0.0.49152</v>
      </c>
      <c r="I489" s="74" t="str">
        <f>Originals!I159</f>
        <v>NI Developer Suite 2015 DS2 Install</v>
      </c>
    </row>
    <row r="490" spans="1:9" x14ac:dyDescent="0.25">
      <c r="A490" s="74" t="str">
        <f>Originals!A316</f>
        <v>4-Vinnie</v>
      </c>
      <c r="B490" s="74" t="str">
        <f>Originals!B316</f>
        <v>NiVisaServer.exe</v>
      </c>
      <c r="C490" s="74" t="str">
        <f>Originals!C316</f>
        <v>15.0.0.49152</v>
      </c>
      <c r="D490" s="74" t="str">
        <f>Originals!D316</f>
        <v>32</v>
      </c>
      <c r="E490" s="74">
        <f>Originals!E316</f>
        <v>2015</v>
      </c>
      <c r="F490" s="74" t="str">
        <f>Originals!F316</f>
        <v>Development</v>
      </c>
      <c r="G490" s="74" t="str">
        <f>Originals!G316</f>
        <v>NI</v>
      </c>
      <c r="H490" s="74" t="str">
        <f>Originals!H316</f>
        <v>NiVisaServer.exe 15.0.0.49152</v>
      </c>
      <c r="I490" s="74" t="str">
        <f>Originals!I316</f>
        <v>NI Developer Suite 2015 DS2 Install</v>
      </c>
    </row>
    <row r="491" spans="1:9" x14ac:dyDescent="0.25">
      <c r="A491" s="74" t="str">
        <f>Scott!A159</f>
        <v>3-Scott</v>
      </c>
      <c r="B491" s="74" t="str">
        <f>Scott!B159</f>
        <v>NiVisaServer.exe</v>
      </c>
      <c r="C491" s="74" t="str">
        <f>Scott!C159</f>
        <v>15.0.0.49152</v>
      </c>
      <c r="D491" s="74">
        <f>Scott!D159</f>
        <v>32</v>
      </c>
      <c r="E491" s="74">
        <f>Scott!E159</f>
        <v>2015</v>
      </c>
      <c r="F491" s="74" t="str">
        <f>Scott!F159</f>
        <v>Development</v>
      </c>
      <c r="G491" s="74" t="str">
        <f>Scott!G159</f>
        <v>NI</v>
      </c>
      <c r="H491" s="74" t="str">
        <f>Scott!H159</f>
        <v>NiVisaServer.exe 15.0.0.49152</v>
      </c>
      <c r="I491" s="74" t="str">
        <f>Scott!I159</f>
        <v>NI Developer Suite 2015 DS2 Install</v>
      </c>
    </row>
    <row r="492" spans="1:9" hidden="1" x14ac:dyDescent="0.25">
      <c r="A492" s="74" t="str">
        <f>Originals!A317</f>
        <v>4-Vinnie</v>
      </c>
      <c r="B492" s="74" t="str">
        <f>Originals!B317</f>
        <v>NI-Watchdog</v>
      </c>
      <c r="C492" s="74" t="str">
        <f>Originals!C317</f>
        <v>15.0.0</v>
      </c>
      <c r="D492" s="74" t="str">
        <f>Originals!D317</f>
        <v>32</v>
      </c>
      <c r="E492" s="74" t="str">
        <f>Originals!E317</f>
        <v>2015</v>
      </c>
      <c r="F492" s="74" t="str">
        <f>Originals!F317</f>
        <v>C-RIO</v>
      </c>
      <c r="G492" s="74" t="str">
        <f>Originals!G317</f>
        <v>NI</v>
      </c>
      <c r="H492" s="74" t="str">
        <f>Originals!H317</f>
        <v>NI-Watchdog 15.0.0</v>
      </c>
      <c r="I492" s="74">
        <f>Originals!I317</f>
        <v>0</v>
      </c>
    </row>
    <row r="493" spans="1:9" x14ac:dyDescent="0.25">
      <c r="A493" s="74" t="str">
        <f>Originals!A318</f>
        <v>4-Vinnie</v>
      </c>
      <c r="B493" s="74" t="str">
        <f>Originals!B318</f>
        <v>NI-XNET</v>
      </c>
      <c r="C493" s="74" t="str">
        <f>Originals!C318</f>
        <v>18.5.0f0</v>
      </c>
      <c r="D493" s="74" t="str">
        <f>Originals!D318</f>
        <v>32</v>
      </c>
      <c r="E493" s="74" t="str">
        <f>Originals!E318</f>
        <v>2018</v>
      </c>
      <c r="F493" s="74" t="str">
        <f>Originals!F318</f>
        <v>Development</v>
      </c>
      <c r="G493" s="74" t="str">
        <f>Originals!G318</f>
        <v>NI</v>
      </c>
      <c r="H493" s="74" t="str">
        <f>Originals!H318</f>
        <v>NI-XNET 18.5.0f0</v>
      </c>
      <c r="I493" s="74">
        <f>Originals!I318</f>
        <v>0</v>
      </c>
    </row>
    <row r="494" spans="1:9" x14ac:dyDescent="0.25">
      <c r="A494" s="74" t="str">
        <f>Scott!A206</f>
        <v>3-Scott</v>
      </c>
      <c r="B494" s="74" t="str">
        <f>Scott!B206</f>
        <v>NI-XNET</v>
      </c>
      <c r="C494" s="74" t="str">
        <f>Scott!C206</f>
        <v>18.5.0f0</v>
      </c>
      <c r="D494" s="74" t="str">
        <f>Scott!D206</f>
        <v>32</v>
      </c>
      <c r="E494" s="74" t="str">
        <f>Scott!E206</f>
        <v>2018</v>
      </c>
      <c r="F494" s="74" t="str">
        <f>Scott!F206</f>
        <v>Development</v>
      </c>
      <c r="G494" s="74" t="str">
        <f>Scott!G206</f>
        <v>NI</v>
      </c>
      <c r="H494" s="74" t="str">
        <f>Scott!H206</f>
        <v>NI-XNET 18.5.0f0</v>
      </c>
      <c r="I494" s="74" t="str">
        <f>Scott!I206</f>
        <v>NI-XNET 18.5</v>
      </c>
    </row>
    <row r="495" spans="1:9" hidden="1" x14ac:dyDescent="0.25">
      <c r="A495" s="74" t="str">
        <f>Originals!A319</f>
        <v>4-Vinnie</v>
      </c>
      <c r="B495" s="74" t="str">
        <f>Originals!B319</f>
        <v>NI-XNET</v>
      </c>
      <c r="C495" s="74" t="str">
        <f>Originals!C319</f>
        <v>18.5.0f1</v>
      </c>
      <c r="D495" s="74" t="str">
        <f>Originals!D319</f>
        <v>32</v>
      </c>
      <c r="E495" s="74" t="str">
        <f>Originals!E319</f>
        <v>2018</v>
      </c>
      <c r="F495" s="74" t="str">
        <f>Originals!F319</f>
        <v>Runtime</v>
      </c>
      <c r="G495" s="74" t="str">
        <f>Originals!G319</f>
        <v>NI</v>
      </c>
      <c r="H495" s="74" t="str">
        <f>Originals!H319</f>
        <v>NI-XNET 18.5.0f1</v>
      </c>
      <c r="I495" s="74">
        <f>Originals!I319</f>
        <v>0</v>
      </c>
    </row>
    <row r="496" spans="1:9" hidden="1" x14ac:dyDescent="0.25">
      <c r="A496" s="74" t="str">
        <f>Scott!A160</f>
        <v>3-Scott</v>
      </c>
      <c r="B496" s="74" t="str">
        <f>Scott!B160</f>
        <v>NI-XNET</v>
      </c>
      <c r="C496" s="74" t="str">
        <f>Scott!C160</f>
        <v>19.0.0f1</v>
      </c>
      <c r="D496" s="74" t="str">
        <f>Scott!D160</f>
        <v>32</v>
      </c>
      <c r="E496" s="74" t="str">
        <f>Scott!E160</f>
        <v>2019</v>
      </c>
      <c r="F496" s="74" t="str">
        <f>Scott!F160</f>
        <v>Runtime</v>
      </c>
      <c r="G496" s="74" t="str">
        <f>Scott!G160</f>
        <v>NI</v>
      </c>
      <c r="H496" s="74" t="str">
        <f>Scott!H160</f>
        <v>NI-XNET 2019 19.0.0f1</v>
      </c>
      <c r="I496" s="74" t="str">
        <f>Scott!I160</f>
        <v>LabVIEW 2019</v>
      </c>
    </row>
    <row r="497" spans="1:9" hidden="1" x14ac:dyDescent="0.25">
      <c r="A497" s="74" t="str">
        <f>Scott!A161</f>
        <v>3-Scott</v>
      </c>
      <c r="B497" s="74" t="str">
        <f>Scott!B161</f>
        <v>Open Source GOOP Development Suite</v>
      </c>
      <c r="C497" s="74" t="str">
        <f>Scott!C161</f>
        <v>1.1.17.56</v>
      </c>
      <c r="D497" s="74" t="str">
        <f>Scott!D161</f>
        <v>32</v>
      </c>
      <c r="E497" s="74" t="str">
        <f>Scott!E161</f>
        <v>N/A</v>
      </c>
      <c r="F497" s="74" t="str">
        <f>Scott!F161</f>
        <v>Development</v>
      </c>
      <c r="G497" s="74" t="str">
        <f>Scott!G161</f>
        <v>OpenG.org</v>
      </c>
      <c r="H497" s="74" t="str">
        <f>Scott!H161</f>
        <v>Open Source GOOP Development Suite 1.1.17.56</v>
      </c>
      <c r="I497" s="74" t="str">
        <f>Scott!I161</f>
        <v>VIPM Community</v>
      </c>
    </row>
    <row r="498" spans="1:9" hidden="1" x14ac:dyDescent="0.25">
      <c r="A498" s="74" t="str">
        <f>Originals!A320</f>
        <v>4-Vinnie</v>
      </c>
      <c r="B498" s="74" t="str">
        <f>Originals!B320</f>
        <v>OpenG Application Control Library</v>
      </c>
      <c r="C498" s="74" t="str">
        <f>Originals!C320</f>
        <v>4.1.0.7</v>
      </c>
      <c r="D498" s="74" t="str">
        <f>Originals!D320</f>
        <v>32</v>
      </c>
      <c r="E498" s="74" t="str">
        <f>Originals!E320</f>
        <v>N/A</v>
      </c>
      <c r="F498" s="74" t="str">
        <f>Originals!F320</f>
        <v>Development</v>
      </c>
      <c r="G498" s="74" t="str">
        <f>Originals!G320</f>
        <v>OpenG.org</v>
      </c>
      <c r="H498" s="74" t="str">
        <f>Originals!H320</f>
        <v>OpenG Application Control Library 4.1.0.7</v>
      </c>
      <c r="I498" s="74" t="str">
        <f>Originals!I320</f>
        <v>VIPM Community</v>
      </c>
    </row>
    <row r="499" spans="1:9" hidden="1" x14ac:dyDescent="0.25">
      <c r="A499" s="74" t="str">
        <f>Scott!A162</f>
        <v>3-Scott</v>
      </c>
      <c r="B499" s="74" t="str">
        <f>Scott!B162</f>
        <v>OpenG Application Control Library</v>
      </c>
      <c r="C499" s="74" t="str">
        <f>Scott!C162</f>
        <v>4.1.0.7</v>
      </c>
      <c r="D499" s="74" t="str">
        <f>Scott!D162</f>
        <v>32</v>
      </c>
      <c r="E499" s="74" t="str">
        <f>Scott!E162</f>
        <v>N/A</v>
      </c>
      <c r="F499" s="74" t="str">
        <f>Scott!F162</f>
        <v>Development</v>
      </c>
      <c r="G499" s="74" t="str">
        <f>Scott!G162</f>
        <v>OpenG.org</v>
      </c>
      <c r="H499" s="74" t="str">
        <f>Scott!H162</f>
        <v>OpenG Application Control Library 4.1.0.7</v>
      </c>
      <c r="I499" s="74" t="str">
        <f>Scott!I162</f>
        <v>VIPM Community</v>
      </c>
    </row>
    <row r="500" spans="1:9" hidden="1" x14ac:dyDescent="0.25">
      <c r="A500" s="74" t="str">
        <f>Originals!A321</f>
        <v>4-Vinnie</v>
      </c>
      <c r="B500" s="74" t="str">
        <f>Originals!B321</f>
        <v>OpenG Array Library</v>
      </c>
      <c r="C500" s="74" t="str">
        <f>Originals!C321</f>
        <v>4.1.1.14</v>
      </c>
      <c r="D500" s="74" t="str">
        <f>Originals!D321</f>
        <v>32</v>
      </c>
      <c r="E500" s="74" t="str">
        <f>Originals!E321</f>
        <v>N/A</v>
      </c>
      <c r="F500" s="74" t="str">
        <f>Originals!F321</f>
        <v>Development</v>
      </c>
      <c r="G500" s="74" t="str">
        <f>Originals!G321</f>
        <v>OpenG.org</v>
      </c>
      <c r="H500" s="74" t="str">
        <f>Originals!H321</f>
        <v>OpenG Array Library 4.1.1.14</v>
      </c>
      <c r="I500" s="74" t="str">
        <f>Originals!I321</f>
        <v>VIPM Community</v>
      </c>
    </row>
    <row r="501" spans="1:9" hidden="1" x14ac:dyDescent="0.25">
      <c r="A501" s="74" t="str">
        <f>Scott!A163</f>
        <v>3-Scott</v>
      </c>
      <c r="B501" s="74" t="str">
        <f>Scott!B163</f>
        <v>OpenG Array Library</v>
      </c>
      <c r="C501" s="74" t="str">
        <f>Scott!C163</f>
        <v>4.1.1.14</v>
      </c>
      <c r="D501" s="74" t="str">
        <f>Scott!D163</f>
        <v>32</v>
      </c>
      <c r="E501" s="74" t="str">
        <f>Scott!E163</f>
        <v>N/A</v>
      </c>
      <c r="F501" s="74" t="str">
        <f>Scott!F163</f>
        <v>Development</v>
      </c>
      <c r="G501" s="74" t="str">
        <f>Scott!G163</f>
        <v>OpenG.org</v>
      </c>
      <c r="H501" s="74" t="str">
        <f>Scott!H163</f>
        <v>OpenG Array Library 4.1.1.14</v>
      </c>
      <c r="I501" s="74" t="str">
        <f>Scott!I163</f>
        <v>VIPM Community</v>
      </c>
    </row>
    <row r="502" spans="1:9" hidden="1" x14ac:dyDescent="0.25">
      <c r="A502" s="74" t="str">
        <f>Originals!A322</f>
        <v>4-Vinnie</v>
      </c>
      <c r="B502" s="74" t="str">
        <f>Originals!B322</f>
        <v>OpenG Boolean Library</v>
      </c>
      <c r="C502" s="74" t="str">
        <f>Originals!C322</f>
        <v>4.0.0.7</v>
      </c>
      <c r="D502" s="74" t="str">
        <f>Originals!D322</f>
        <v>32</v>
      </c>
      <c r="E502" s="74" t="str">
        <f>Originals!E322</f>
        <v>N/A</v>
      </c>
      <c r="F502" s="74" t="str">
        <f>Originals!F322</f>
        <v>Development</v>
      </c>
      <c r="G502" s="74" t="str">
        <f>Originals!G322</f>
        <v>OpenG.org</v>
      </c>
      <c r="H502" s="74" t="str">
        <f>Originals!H322</f>
        <v>OpenG Boolean Library 4.0.0.7</v>
      </c>
      <c r="I502" s="74" t="str">
        <f>Originals!I322</f>
        <v>VIPM Community</v>
      </c>
    </row>
    <row r="503" spans="1:9" hidden="1" x14ac:dyDescent="0.25">
      <c r="A503" s="74" t="str">
        <f>Scott!A164</f>
        <v>3-Scott</v>
      </c>
      <c r="B503" s="74" t="str">
        <f>Scott!B164</f>
        <v>OpenG Boolean Library</v>
      </c>
      <c r="C503" s="74" t="str">
        <f>Scott!C164</f>
        <v>4.0.0.7</v>
      </c>
      <c r="D503" s="74" t="str">
        <f>Scott!D164</f>
        <v>32</v>
      </c>
      <c r="E503" s="74" t="str">
        <f>Scott!E164</f>
        <v>N/A</v>
      </c>
      <c r="F503" s="74" t="str">
        <f>Scott!F164</f>
        <v>Development</v>
      </c>
      <c r="G503" s="74" t="str">
        <f>Scott!G164</f>
        <v>OpenG.org</v>
      </c>
      <c r="H503" s="74" t="str">
        <f>Scott!H164</f>
        <v>OpenG Boolean Library 4.0.0.7</v>
      </c>
      <c r="I503" s="74" t="str">
        <f>Scott!I164</f>
        <v>VIPM Community</v>
      </c>
    </row>
    <row r="504" spans="1:9" hidden="1" x14ac:dyDescent="0.25">
      <c r="A504" s="74" t="str">
        <f>Originals!A323</f>
        <v>4-Vinnie</v>
      </c>
      <c r="B504" s="74" t="str">
        <f>Originals!B323</f>
        <v>OpenG Builder</v>
      </c>
      <c r="C504" s="74" t="str">
        <f>Originals!C323</f>
        <v>3.0.1-2</v>
      </c>
      <c r="D504" s="74" t="str">
        <f>Originals!D323</f>
        <v>32</v>
      </c>
      <c r="E504" s="74" t="str">
        <f>Originals!E323</f>
        <v>N/A</v>
      </c>
      <c r="F504" s="74" t="str">
        <f>Originals!F323</f>
        <v>Development</v>
      </c>
      <c r="G504" s="74" t="str">
        <f>Originals!G323</f>
        <v>OpenG.org</v>
      </c>
      <c r="H504" s="74" t="str">
        <f>Originals!H323</f>
        <v>OpenG Builder 3.0.1-2</v>
      </c>
      <c r="I504" s="74" t="str">
        <f>Originals!I323</f>
        <v>VIPM Community</v>
      </c>
    </row>
    <row r="505" spans="1:9" hidden="1" x14ac:dyDescent="0.25">
      <c r="A505" s="74" t="str">
        <f>Scott!A165</f>
        <v>3-Scott</v>
      </c>
      <c r="B505" s="74" t="str">
        <f>Scott!B165</f>
        <v>OpenG Builder</v>
      </c>
      <c r="C505" s="74" t="str">
        <f>Scott!C165</f>
        <v>3.0.1-2</v>
      </c>
      <c r="D505" s="74" t="str">
        <f>Scott!D165</f>
        <v>32</v>
      </c>
      <c r="E505" s="74" t="str">
        <f>Scott!E165</f>
        <v>N/A</v>
      </c>
      <c r="F505" s="74" t="str">
        <f>Scott!F165</f>
        <v>Development</v>
      </c>
      <c r="G505" s="74" t="str">
        <f>Scott!G165</f>
        <v>OpenG.org</v>
      </c>
      <c r="H505" s="74" t="str">
        <f>Scott!H165</f>
        <v>OpenG Builder 3.0.1-2</v>
      </c>
      <c r="I505" s="74" t="str">
        <f>Scott!I165</f>
        <v>VIPM Community</v>
      </c>
    </row>
    <row r="506" spans="1:9" hidden="1" x14ac:dyDescent="0.25">
      <c r="A506" s="74" t="str">
        <f>Originals!A324</f>
        <v>4-Vinnie</v>
      </c>
      <c r="B506" s="74" t="str">
        <f>Originals!B324</f>
        <v>OpenG Buttons Library</v>
      </c>
      <c r="C506" s="74" t="str">
        <f>Originals!C324</f>
        <v>4.0.0.7</v>
      </c>
      <c r="D506" s="74" t="str">
        <f>Originals!D324</f>
        <v>32</v>
      </c>
      <c r="E506" s="74" t="str">
        <f>Originals!E324</f>
        <v>N/A</v>
      </c>
      <c r="F506" s="74" t="str">
        <f>Originals!F324</f>
        <v>Development</v>
      </c>
      <c r="G506" s="74" t="str">
        <f>Originals!G324</f>
        <v>OpenG.org</v>
      </c>
      <c r="H506" s="74" t="str">
        <f>Originals!H324</f>
        <v>OpenG Buttons Library 4.0.0.7</v>
      </c>
      <c r="I506" s="74" t="str">
        <f>Originals!I324</f>
        <v>VIPM Community</v>
      </c>
    </row>
    <row r="507" spans="1:9" hidden="1" x14ac:dyDescent="0.25">
      <c r="A507" s="74" t="str">
        <f>Scott!A166</f>
        <v>3-Scott</v>
      </c>
      <c r="B507" s="74" t="str">
        <f>Scott!B166</f>
        <v>OpenG Buttons Library</v>
      </c>
      <c r="C507" s="74" t="str">
        <f>Scott!C166</f>
        <v>4.0.0.7</v>
      </c>
      <c r="D507" s="74" t="str">
        <f>Scott!D166</f>
        <v>32</v>
      </c>
      <c r="E507" s="74" t="str">
        <f>Scott!E166</f>
        <v>N/A</v>
      </c>
      <c r="F507" s="74" t="str">
        <f>Scott!F166</f>
        <v>Development</v>
      </c>
      <c r="G507" s="74" t="str">
        <f>Scott!G166</f>
        <v>OpenG.org</v>
      </c>
      <c r="H507" s="74" t="str">
        <f>Scott!H166</f>
        <v>OpenG Buttons Library 4.0.0.7</v>
      </c>
      <c r="I507" s="74" t="str">
        <f>Scott!I166</f>
        <v>VIPM Community</v>
      </c>
    </row>
    <row r="508" spans="1:9" hidden="1" x14ac:dyDescent="0.25">
      <c r="A508" s="74" t="str">
        <f>Originals!A325</f>
        <v>4-Vinnie</v>
      </c>
      <c r="B508" s="74" t="str">
        <f>Originals!B325</f>
        <v>OpenG Compare VI To Disk Tool</v>
      </c>
      <c r="C508" s="74" t="str">
        <f>Originals!C325</f>
        <v>4.0.0.9</v>
      </c>
      <c r="D508" s="74" t="str">
        <f>Originals!D325</f>
        <v>32</v>
      </c>
      <c r="E508" s="74" t="str">
        <f>Originals!E325</f>
        <v>N/A</v>
      </c>
      <c r="F508" s="74" t="str">
        <f>Originals!F325</f>
        <v>Development</v>
      </c>
      <c r="G508" s="74" t="str">
        <f>Originals!G325</f>
        <v>OpenG.org</v>
      </c>
      <c r="H508" s="74" t="str">
        <f>Originals!H325</f>
        <v>OpenG Compare VI To Disk Tool 4.0.0.9</v>
      </c>
      <c r="I508" s="74" t="str">
        <f>Originals!I325</f>
        <v>VIPM Community</v>
      </c>
    </row>
    <row r="509" spans="1:9" hidden="1" x14ac:dyDescent="0.25">
      <c r="A509" s="74" t="str">
        <f>Scott!A167</f>
        <v>3-Scott</v>
      </c>
      <c r="B509" s="74" t="str">
        <f>Scott!B167</f>
        <v>OpenG Compare VI To Disk Tool</v>
      </c>
      <c r="C509" s="74" t="str">
        <f>Scott!C167</f>
        <v>4.0.0.9</v>
      </c>
      <c r="D509" s="74" t="str">
        <f>Scott!D167</f>
        <v>32</v>
      </c>
      <c r="E509" s="74" t="str">
        <f>Scott!E167</f>
        <v>N/A</v>
      </c>
      <c r="F509" s="74" t="str">
        <f>Scott!F167</f>
        <v>Development</v>
      </c>
      <c r="G509" s="74" t="str">
        <f>Scott!G167</f>
        <v>OpenG.org</v>
      </c>
      <c r="H509" s="74" t="str">
        <f>Scott!H167</f>
        <v>OpenG Compare VI To Disk Tool 4.0.0.9</v>
      </c>
      <c r="I509" s="74" t="str">
        <f>Scott!I167</f>
        <v>VIPM Community</v>
      </c>
    </row>
    <row r="510" spans="1:9" hidden="1" x14ac:dyDescent="0.25">
      <c r="A510" s="74" t="str">
        <f>Originals!A326</f>
        <v>4-Vinnie</v>
      </c>
      <c r="B510" s="74" t="str">
        <f>Originals!B326</f>
        <v>OpenG Comparison Library</v>
      </c>
      <c r="C510" s="74" t="str">
        <f>Originals!C326</f>
        <v>4.0.0.3</v>
      </c>
      <c r="D510" s="74" t="str">
        <f>Originals!D326</f>
        <v>32</v>
      </c>
      <c r="E510" s="74" t="str">
        <f>Originals!E326</f>
        <v>N/A</v>
      </c>
      <c r="F510" s="74" t="str">
        <f>Originals!F326</f>
        <v>Development</v>
      </c>
      <c r="G510" s="74" t="str">
        <f>Originals!G326</f>
        <v>OpenG.org</v>
      </c>
      <c r="H510" s="74" t="str">
        <f>Originals!H326</f>
        <v>OpenG Comparison Library 4.0.0.3</v>
      </c>
      <c r="I510" s="74" t="str">
        <f>Originals!I326</f>
        <v>VIPM Community</v>
      </c>
    </row>
    <row r="511" spans="1:9" hidden="1" x14ac:dyDescent="0.25">
      <c r="A511" s="74" t="str">
        <f>Scott!A168</f>
        <v>3-Scott</v>
      </c>
      <c r="B511" s="74" t="str">
        <f>Scott!B168</f>
        <v>OpenG Comparison Library</v>
      </c>
      <c r="C511" s="74" t="str">
        <f>Scott!C168</f>
        <v>4.0.0.3</v>
      </c>
      <c r="D511" s="74" t="str">
        <f>Scott!D168</f>
        <v>32</v>
      </c>
      <c r="E511" s="74" t="str">
        <f>Scott!E168</f>
        <v>N/A</v>
      </c>
      <c r="F511" s="74" t="str">
        <f>Scott!F168</f>
        <v>Development</v>
      </c>
      <c r="G511" s="74" t="str">
        <f>Scott!G168</f>
        <v>OpenG.org</v>
      </c>
      <c r="H511" s="74" t="str">
        <f>Scott!H168</f>
        <v>OpenG Comparison Library 4.0.0.3</v>
      </c>
      <c r="I511" s="74" t="str">
        <f>Scott!I168</f>
        <v>VIPM Community</v>
      </c>
    </row>
    <row r="512" spans="1:9" hidden="1" x14ac:dyDescent="0.25">
      <c r="A512" s="74" t="str">
        <f>Originals!A327</f>
        <v>4-Vinnie</v>
      </c>
      <c r="B512" s="74" t="str">
        <f>Originals!B327</f>
        <v>OpenG Dictionary Library</v>
      </c>
      <c r="C512" s="74" t="str">
        <f>Originals!C327</f>
        <v>4.0.0.4</v>
      </c>
      <c r="D512" s="74" t="str">
        <f>Originals!D327</f>
        <v>32</v>
      </c>
      <c r="E512" s="74" t="str">
        <f>Originals!E327</f>
        <v>N/A</v>
      </c>
      <c r="F512" s="74" t="str">
        <f>Originals!F327</f>
        <v>Development</v>
      </c>
      <c r="G512" s="74" t="str">
        <f>Originals!G327</f>
        <v>OpenG.org</v>
      </c>
      <c r="H512" s="74" t="str">
        <f>Originals!H327</f>
        <v>OpenG Dictionary Library 4.0.0.4</v>
      </c>
      <c r="I512" s="74" t="str">
        <f>Originals!I327</f>
        <v>VIPM Community</v>
      </c>
    </row>
    <row r="513" spans="1:9" hidden="1" x14ac:dyDescent="0.25">
      <c r="A513" s="74" t="str">
        <f>Scott!A169</f>
        <v>3-Scott</v>
      </c>
      <c r="B513" s="74" t="str">
        <f>Scott!B169</f>
        <v>OpenG Dictionary Library</v>
      </c>
      <c r="C513" s="74" t="str">
        <f>Scott!C169</f>
        <v>4.0.0.4</v>
      </c>
      <c r="D513" s="74" t="str">
        <f>Scott!D169</f>
        <v>32</v>
      </c>
      <c r="E513" s="74" t="str">
        <f>Scott!E169</f>
        <v>N/A</v>
      </c>
      <c r="F513" s="74" t="str">
        <f>Scott!F169</f>
        <v>Development</v>
      </c>
      <c r="G513" s="74" t="str">
        <f>Scott!G169</f>
        <v>OpenG.org</v>
      </c>
      <c r="H513" s="74" t="str">
        <f>Scott!H169</f>
        <v>OpenG Dictionary Library 4.0.0.4</v>
      </c>
      <c r="I513" s="74" t="str">
        <f>Scott!I169</f>
        <v>VIPM Community</v>
      </c>
    </row>
    <row r="514" spans="1:9" hidden="1" x14ac:dyDescent="0.25">
      <c r="A514" s="74" t="str">
        <f>Originals!A328</f>
        <v>4-Vinnie</v>
      </c>
      <c r="B514" s="74" t="str">
        <f>Originals!B328</f>
        <v>OpenG Error Library</v>
      </c>
      <c r="C514" s="74" t="str">
        <f>Originals!C328</f>
        <v>4.2.0.23</v>
      </c>
      <c r="D514" s="74" t="str">
        <f>Originals!D328</f>
        <v>32</v>
      </c>
      <c r="E514" s="74" t="str">
        <f>Originals!E328</f>
        <v>N/A</v>
      </c>
      <c r="F514" s="74" t="str">
        <f>Originals!F328</f>
        <v>Development</v>
      </c>
      <c r="G514" s="74" t="str">
        <f>Originals!G328</f>
        <v>OpenG.org</v>
      </c>
      <c r="H514" s="74" t="str">
        <f>Originals!H328</f>
        <v>OpenG Error Library 4.2.0.23</v>
      </c>
      <c r="I514" s="74" t="str">
        <f>Originals!I328</f>
        <v>VIPM Community</v>
      </c>
    </row>
    <row r="515" spans="1:9" hidden="1" x14ac:dyDescent="0.25">
      <c r="A515" s="74" t="str">
        <f>Scott!A170</f>
        <v>3-Scott</v>
      </c>
      <c r="B515" s="74" t="str">
        <f>Scott!B170</f>
        <v>OpenG Error Library</v>
      </c>
      <c r="C515" s="74" t="str">
        <f>Scott!C170</f>
        <v>4.2.0.23</v>
      </c>
      <c r="D515" s="74" t="str">
        <f>Scott!D170</f>
        <v>32</v>
      </c>
      <c r="E515" s="74" t="str">
        <f>Scott!E170</f>
        <v>N/A</v>
      </c>
      <c r="F515" s="74" t="str">
        <f>Scott!F170</f>
        <v>Development</v>
      </c>
      <c r="G515" s="74" t="str">
        <f>Scott!G170</f>
        <v>OpenG.org</v>
      </c>
      <c r="H515" s="74" t="str">
        <f>Scott!H170</f>
        <v>OpenG Error Library 4.2.0.23</v>
      </c>
      <c r="I515" s="74" t="str">
        <f>Scott!I170</f>
        <v>VIPM Community</v>
      </c>
    </row>
    <row r="516" spans="1:9" hidden="1" x14ac:dyDescent="0.25">
      <c r="A516" s="74" t="str">
        <f>Originals!A329</f>
        <v>4-Vinnie</v>
      </c>
      <c r="B516" s="74" t="str">
        <f>Originals!B329</f>
        <v>OpenG File Library</v>
      </c>
      <c r="C516" s="74" t="str">
        <f>Originals!C329</f>
        <v>4.0.1.22</v>
      </c>
      <c r="D516" s="74" t="str">
        <f>Originals!D329</f>
        <v>32</v>
      </c>
      <c r="E516" s="74" t="str">
        <f>Originals!E329</f>
        <v>N/A</v>
      </c>
      <c r="F516" s="74" t="str">
        <f>Originals!F329</f>
        <v>Development</v>
      </c>
      <c r="G516" s="74" t="str">
        <f>Originals!G329</f>
        <v>OpenG.org</v>
      </c>
      <c r="H516" s="74" t="str">
        <f>Originals!H329</f>
        <v>OpenG File Library 4.0.1.22</v>
      </c>
      <c r="I516" s="74" t="str">
        <f>Originals!I329</f>
        <v>VIPM Community</v>
      </c>
    </row>
    <row r="517" spans="1:9" hidden="1" x14ac:dyDescent="0.25">
      <c r="A517" s="74" t="str">
        <f>Scott!A171</f>
        <v>3-Scott</v>
      </c>
      <c r="B517" s="74" t="str">
        <f>Scott!B171</f>
        <v>OpenG File Library</v>
      </c>
      <c r="C517" s="74" t="str">
        <f>Scott!C171</f>
        <v>4.0.1.22</v>
      </c>
      <c r="D517" s="74" t="str">
        <f>Scott!D171</f>
        <v>32</v>
      </c>
      <c r="E517" s="74" t="str">
        <f>Scott!E171</f>
        <v>N/A</v>
      </c>
      <c r="F517" s="74" t="str">
        <f>Scott!F171</f>
        <v>Development</v>
      </c>
      <c r="G517" s="74" t="str">
        <f>Scott!G171</f>
        <v>OpenG.org</v>
      </c>
      <c r="H517" s="74" t="str">
        <f>Scott!H171</f>
        <v>OpenG File Library 4.0.1.22</v>
      </c>
      <c r="I517" s="74" t="str">
        <f>Scott!I171</f>
        <v>VIPM Community</v>
      </c>
    </row>
    <row r="518" spans="1:9" hidden="1" x14ac:dyDescent="0.25">
      <c r="A518" s="74" t="str">
        <f>Originals!A330</f>
        <v>4-Vinnie</v>
      </c>
      <c r="B518" s="74" t="str">
        <f>Originals!B330</f>
        <v>OpenG LabPython Library</v>
      </c>
      <c r="C518" s="74" t="str">
        <f>Originals!C330</f>
        <v>4.0.0.4</v>
      </c>
      <c r="D518" s="74" t="str">
        <f>Originals!D330</f>
        <v>32</v>
      </c>
      <c r="E518" s="74" t="str">
        <f>Originals!E330</f>
        <v>N/A</v>
      </c>
      <c r="F518" s="74" t="str">
        <f>Originals!F330</f>
        <v>Development</v>
      </c>
      <c r="G518" s="74" t="str">
        <f>Originals!G330</f>
        <v>OpenG_org</v>
      </c>
      <c r="H518" s="74" t="str">
        <f>Originals!H330</f>
        <v>OpenG LabPython Library 4.0.0.4</v>
      </c>
      <c r="I518" s="74" t="str">
        <f>Originals!I330</f>
        <v>VIPM Community</v>
      </c>
    </row>
    <row r="519" spans="1:9" hidden="1" x14ac:dyDescent="0.25">
      <c r="A519" s="74" t="str">
        <f>Scott!A172</f>
        <v>3-Scott</v>
      </c>
      <c r="B519" s="74" t="str">
        <f>Scott!B172</f>
        <v>OpenG LabPython Library</v>
      </c>
      <c r="C519" s="74" t="str">
        <f>Scott!C172</f>
        <v>4.0.0.4</v>
      </c>
      <c r="D519" s="74" t="str">
        <f>Scott!D172</f>
        <v>32</v>
      </c>
      <c r="E519" s="74" t="str">
        <f>Scott!E172</f>
        <v>N/A</v>
      </c>
      <c r="F519" s="74" t="str">
        <f>Scott!F172</f>
        <v>Development</v>
      </c>
      <c r="G519" s="74" t="str">
        <f>Scott!G172</f>
        <v>OpenG_org</v>
      </c>
      <c r="H519" s="74" t="str">
        <f>Scott!H172</f>
        <v>OpenG LabPython Library 4.0.0.4</v>
      </c>
      <c r="I519" s="74" t="str">
        <f>Scott!I172</f>
        <v>VIPM Community</v>
      </c>
    </row>
    <row r="520" spans="1:9" hidden="1" x14ac:dyDescent="0.25">
      <c r="A520" s="74" t="str">
        <f>Originals!A331</f>
        <v>4-Vinnie</v>
      </c>
      <c r="B520" s="74" t="str">
        <f>Originals!B331</f>
        <v>OpenG LabVIEW Data Library</v>
      </c>
      <c r="C520" s="74" t="str">
        <f>Originals!C331</f>
        <v>4.2.0.21</v>
      </c>
      <c r="D520" s="74" t="str">
        <f>Originals!D331</f>
        <v>32</v>
      </c>
      <c r="E520" s="74" t="str">
        <f>Originals!E331</f>
        <v>N/A</v>
      </c>
      <c r="F520" s="74" t="str">
        <f>Originals!F331</f>
        <v>Development</v>
      </c>
      <c r="G520" s="74" t="str">
        <f>Originals!G331</f>
        <v>Openg.org</v>
      </c>
      <c r="H520" s="74" t="str">
        <f>Originals!H331</f>
        <v>OpenG LabVIEW Data Library 4.2.0.21</v>
      </c>
      <c r="I520" s="74" t="str">
        <f>Originals!I331</f>
        <v>VIPM Community</v>
      </c>
    </row>
    <row r="521" spans="1:9" hidden="1" x14ac:dyDescent="0.25">
      <c r="A521" s="74" t="str">
        <f>Scott!A173</f>
        <v>3-Scott</v>
      </c>
      <c r="B521" s="74" t="str">
        <f>Scott!B173</f>
        <v>OpenG LabVIEW Data Library</v>
      </c>
      <c r="C521" s="74" t="str">
        <f>Scott!C173</f>
        <v>4.2.0.21</v>
      </c>
      <c r="D521" s="74" t="str">
        <f>Scott!D173</f>
        <v>32</v>
      </c>
      <c r="E521" s="74" t="str">
        <f>Scott!E173</f>
        <v>N/A</v>
      </c>
      <c r="F521" s="74" t="str">
        <f>Scott!F173</f>
        <v>Development</v>
      </c>
      <c r="G521" s="74" t="str">
        <f>Scott!G173</f>
        <v>LAVA</v>
      </c>
      <c r="H521" s="74" t="str">
        <f>Scott!H173</f>
        <v>OpenG LabVIEW Data Library 4.2.0.21</v>
      </c>
      <c r="I521" s="74" t="str">
        <f>Scott!I173</f>
        <v>VIPM Community</v>
      </c>
    </row>
    <row r="522" spans="1:9" hidden="1" x14ac:dyDescent="0.25">
      <c r="A522" s="74" t="str">
        <f>Originals!A332</f>
        <v>4-Vinnie</v>
      </c>
      <c r="B522" s="74" t="str">
        <f>Originals!B332</f>
        <v>OpenG LabVIEW ZIP Library</v>
      </c>
      <c r="C522" s="74" t="str">
        <f>Originals!C332</f>
        <v>4.0.0-2</v>
      </c>
      <c r="D522" s="74" t="str">
        <f>Originals!D332</f>
        <v>32</v>
      </c>
      <c r="E522" s="74" t="str">
        <f>Originals!E332</f>
        <v>N/A</v>
      </c>
      <c r="F522" s="74" t="str">
        <f>Originals!F332</f>
        <v>Development</v>
      </c>
      <c r="G522" s="74" t="str">
        <f>Originals!G332</f>
        <v>OpenG.org</v>
      </c>
      <c r="H522" s="74" t="str">
        <f>Originals!H332</f>
        <v>OpenG LabVIEW ZIP Library 4.0.0-2</v>
      </c>
      <c r="I522" s="74" t="str">
        <f>Originals!I332</f>
        <v>VIPM Community</v>
      </c>
    </row>
    <row r="523" spans="1:9" hidden="1" x14ac:dyDescent="0.25">
      <c r="A523" s="74" t="str">
        <f>Scott!A174</f>
        <v>3-Scott</v>
      </c>
      <c r="B523" s="74" t="str">
        <f>Scott!B174</f>
        <v>OpenG LabVIEW ZIP Library</v>
      </c>
      <c r="C523" s="74" t="str">
        <f>Scott!C174</f>
        <v>4.0.0-2</v>
      </c>
      <c r="D523" s="74" t="str">
        <f>Scott!D174</f>
        <v>32</v>
      </c>
      <c r="E523" s="74" t="str">
        <f>Scott!E174</f>
        <v>N/A</v>
      </c>
      <c r="F523" s="74" t="str">
        <f>Scott!F174</f>
        <v>Development</v>
      </c>
      <c r="G523" s="74" t="str">
        <f>Scott!G174</f>
        <v>OpenG.org</v>
      </c>
      <c r="H523" s="74" t="str">
        <f>Scott!H174</f>
        <v>OpenG LabVIEW ZIP Library 4.0.0-2</v>
      </c>
      <c r="I523" s="74" t="str">
        <f>Scott!I174</f>
        <v>VIPM Community</v>
      </c>
    </row>
    <row r="524" spans="1:9" hidden="1" x14ac:dyDescent="0.25">
      <c r="A524" s="74" t="str">
        <f>Originals!A333</f>
        <v>4-Vinnie</v>
      </c>
      <c r="B524" s="74" t="str">
        <f>Originals!B333</f>
        <v>OpenG Large File Library</v>
      </c>
      <c r="C524" s="74" t="str">
        <f>Originals!C333</f>
        <v>4.0.0.3</v>
      </c>
      <c r="D524" s="74" t="str">
        <f>Originals!D333</f>
        <v>32</v>
      </c>
      <c r="E524" s="74" t="str">
        <f>Originals!E333</f>
        <v>N/A</v>
      </c>
      <c r="F524" s="74" t="str">
        <f>Originals!F333</f>
        <v>Development</v>
      </c>
      <c r="G524" s="74" t="str">
        <f>Originals!G333</f>
        <v>OpenG.org</v>
      </c>
      <c r="H524" s="74" t="str">
        <f>Originals!H333</f>
        <v>OpenG Large File Library 4.0.0.3</v>
      </c>
      <c r="I524" s="74" t="str">
        <f>Originals!I333</f>
        <v>VIPM Community</v>
      </c>
    </row>
    <row r="525" spans="1:9" hidden="1" x14ac:dyDescent="0.25">
      <c r="A525" s="74" t="str">
        <f>Scott!A175</f>
        <v>3-Scott</v>
      </c>
      <c r="B525" s="74" t="str">
        <f>Scott!B175</f>
        <v>OpenG Large File Library</v>
      </c>
      <c r="C525" s="74" t="str">
        <f>Scott!C175</f>
        <v>4.0.0.3</v>
      </c>
      <c r="D525" s="74" t="str">
        <f>Scott!D175</f>
        <v>32</v>
      </c>
      <c r="E525" s="74" t="str">
        <f>Scott!E175</f>
        <v>N/A</v>
      </c>
      <c r="F525" s="74" t="str">
        <f>Scott!F175</f>
        <v>Development</v>
      </c>
      <c r="G525" s="74" t="str">
        <f>Scott!G175</f>
        <v>OpenG.org</v>
      </c>
      <c r="H525" s="74" t="str">
        <f>Scott!H175</f>
        <v>OpenG Large File Library 4.0.0.3</v>
      </c>
      <c r="I525" s="74" t="str">
        <f>Scott!I175</f>
        <v>VIPM Community</v>
      </c>
    </row>
    <row r="526" spans="1:9" hidden="1" x14ac:dyDescent="0.25">
      <c r="A526" s="74" t="str">
        <f>Originals!A334</f>
        <v>4-Vinnie</v>
      </c>
      <c r="B526" s="74" t="str">
        <f>Originals!B334</f>
        <v>OpenG Locate File In Project Tool</v>
      </c>
      <c r="C526" s="74" t="str">
        <f>Originals!C334</f>
        <v>4.0.0.7</v>
      </c>
      <c r="D526" s="74" t="str">
        <f>Originals!D334</f>
        <v>32</v>
      </c>
      <c r="E526" s="74" t="str">
        <f>Originals!E334</f>
        <v>N/A</v>
      </c>
      <c r="F526" s="74" t="str">
        <f>Originals!F334</f>
        <v>Development</v>
      </c>
      <c r="G526" s="74" t="str">
        <f>Originals!G334</f>
        <v>OpenG.org</v>
      </c>
      <c r="H526" s="74" t="str">
        <f>Originals!H334</f>
        <v>OpenG Locate File In Project Tool 4.0.0.7</v>
      </c>
      <c r="I526" s="74" t="str">
        <f>Originals!I334</f>
        <v>VIPM Community</v>
      </c>
    </row>
    <row r="527" spans="1:9" hidden="1" x14ac:dyDescent="0.25">
      <c r="A527" s="74" t="str">
        <f>Scott!A176</f>
        <v>3-Scott</v>
      </c>
      <c r="B527" s="74" t="str">
        <f>Scott!B176</f>
        <v>OpenG Locate File In Project Tool</v>
      </c>
      <c r="C527" s="74" t="str">
        <f>Scott!C176</f>
        <v>4.0.0.7</v>
      </c>
      <c r="D527" s="74" t="str">
        <f>Scott!D176</f>
        <v>32</v>
      </c>
      <c r="E527" s="74" t="str">
        <f>Scott!E176</f>
        <v>N/A</v>
      </c>
      <c r="F527" s="74" t="str">
        <f>Scott!F176</f>
        <v>Development</v>
      </c>
      <c r="G527" s="74" t="str">
        <f>Scott!G176</f>
        <v>OpenG.org</v>
      </c>
      <c r="H527" s="74" t="str">
        <f>Scott!H176</f>
        <v>OpenG Locate File In Project Tool 4.0.0.7</v>
      </c>
      <c r="I527" s="74" t="str">
        <f>Scott!I176</f>
        <v>VIPM Community</v>
      </c>
    </row>
    <row r="528" spans="1:9" hidden="1" x14ac:dyDescent="0.25">
      <c r="A528" s="74" t="str">
        <f>Originals!A335</f>
        <v>4-Vinnie</v>
      </c>
      <c r="B528" s="74" t="str">
        <f>Originals!B335</f>
        <v>OpenG MD5 Digest Library</v>
      </c>
      <c r="C528" s="74" t="str">
        <f>Originals!C335</f>
        <v>4.1.1.10</v>
      </c>
      <c r="D528" s="74" t="str">
        <f>Originals!D335</f>
        <v>32</v>
      </c>
      <c r="E528" s="74" t="str">
        <f>Originals!E335</f>
        <v>N/A</v>
      </c>
      <c r="F528" s="74" t="str">
        <f>Originals!F335</f>
        <v>Development</v>
      </c>
      <c r="G528" s="74" t="str">
        <f>Originals!G335</f>
        <v>OpenG.org</v>
      </c>
      <c r="H528" s="74" t="str">
        <f>Originals!H335</f>
        <v>OpenG MD5 Digest Library 4.1.1.10</v>
      </c>
      <c r="I528" s="74" t="str">
        <f>Originals!I335</f>
        <v>VIPM Community</v>
      </c>
    </row>
    <row r="529" spans="1:9" hidden="1" x14ac:dyDescent="0.25">
      <c r="A529" s="74" t="str">
        <f>Scott!A177</f>
        <v>3-Scott</v>
      </c>
      <c r="B529" s="74" t="str">
        <f>Scott!B177</f>
        <v>OpenG MD5 Digest Library</v>
      </c>
      <c r="C529" s="74" t="str">
        <f>Scott!C177</f>
        <v>4.1.1.10</v>
      </c>
      <c r="D529" s="74" t="str">
        <f>Scott!D177</f>
        <v>32</v>
      </c>
      <c r="E529" s="74" t="str">
        <f>Scott!E177</f>
        <v>N/A</v>
      </c>
      <c r="F529" s="74" t="str">
        <f>Scott!F177</f>
        <v>Development</v>
      </c>
      <c r="G529" s="74" t="str">
        <f>Scott!G177</f>
        <v>OpenG.org</v>
      </c>
      <c r="H529" s="74" t="str">
        <f>Scott!H177</f>
        <v>OpenG MD5 Digest Library 4.1.1.10</v>
      </c>
      <c r="I529" s="74" t="str">
        <f>Scott!I177</f>
        <v>VIPM Community</v>
      </c>
    </row>
    <row r="530" spans="1:9" hidden="1" x14ac:dyDescent="0.25">
      <c r="A530" s="74" t="str">
        <f>Originals!A336</f>
        <v>4-Vinnie</v>
      </c>
      <c r="B530" s="74" t="str">
        <f>Originals!B336</f>
        <v>OpenG Message Queue Library</v>
      </c>
      <c r="C530" s="74" t="str">
        <f>Originals!C336</f>
        <v>4.0.0.15</v>
      </c>
      <c r="D530" s="74" t="str">
        <f>Originals!D336</f>
        <v>32</v>
      </c>
      <c r="E530" s="74" t="str">
        <f>Originals!E336</f>
        <v>N/A</v>
      </c>
      <c r="F530" s="74" t="str">
        <f>Originals!F336</f>
        <v>Development</v>
      </c>
      <c r="G530" s="74" t="str">
        <f>Originals!G336</f>
        <v>OpenG.org</v>
      </c>
      <c r="H530" s="74" t="str">
        <f>Originals!H336</f>
        <v>OpenG Message Queue Library 4.0.0.15</v>
      </c>
      <c r="I530" s="74" t="str">
        <f>Originals!I336</f>
        <v>VIPM Community</v>
      </c>
    </row>
    <row r="531" spans="1:9" hidden="1" x14ac:dyDescent="0.25">
      <c r="A531" s="74" t="str">
        <f>Scott!A178</f>
        <v>3-Scott</v>
      </c>
      <c r="B531" s="74" t="str">
        <f>Scott!B178</f>
        <v>OpenG Message Queue Library</v>
      </c>
      <c r="C531" s="74" t="str">
        <f>Scott!C178</f>
        <v>4.0.0.15</v>
      </c>
      <c r="D531" s="74" t="str">
        <f>Scott!D178</f>
        <v>32</v>
      </c>
      <c r="E531" s="74" t="str">
        <f>Scott!E178</f>
        <v>N/A</v>
      </c>
      <c r="F531" s="74" t="str">
        <f>Scott!F178</f>
        <v>Development</v>
      </c>
      <c r="G531" s="74" t="str">
        <f>Scott!G178</f>
        <v>OpenG.org</v>
      </c>
      <c r="H531" s="74" t="str">
        <f>Scott!H178</f>
        <v>OpenG Message Queue Library 4.0.0.15</v>
      </c>
      <c r="I531" s="74" t="str">
        <f>Scott!I178</f>
        <v>VIPM Community</v>
      </c>
    </row>
    <row r="532" spans="1:9" hidden="1" x14ac:dyDescent="0.25">
      <c r="A532" s="74" t="str">
        <f>Originals!A337</f>
        <v>4-Vinnie</v>
      </c>
      <c r="B532" s="74" t="str">
        <f>Originals!B337</f>
        <v>OpenG Numeric Library</v>
      </c>
      <c r="C532" s="74" t="str">
        <f>Originals!C337</f>
        <v>4.1.0.8</v>
      </c>
      <c r="D532" s="74" t="str">
        <f>Originals!D337</f>
        <v>32</v>
      </c>
      <c r="E532" s="74" t="str">
        <f>Originals!E337</f>
        <v>N/A</v>
      </c>
      <c r="F532" s="74" t="str">
        <f>Originals!F337</f>
        <v>Development</v>
      </c>
      <c r="G532" s="74" t="str">
        <f>Originals!G337</f>
        <v>OpenG.org</v>
      </c>
      <c r="H532" s="74" t="str">
        <f>Originals!H337</f>
        <v>OpenG Numeric Library 4.1.0.8</v>
      </c>
      <c r="I532" s="74" t="str">
        <f>Originals!I337</f>
        <v>VIPM Community</v>
      </c>
    </row>
    <row r="533" spans="1:9" hidden="1" x14ac:dyDescent="0.25">
      <c r="A533" s="74" t="str">
        <f>Scott!A179</f>
        <v>3-Scott</v>
      </c>
      <c r="B533" s="74" t="str">
        <f>Scott!B179</f>
        <v>OpenG Numeric Library</v>
      </c>
      <c r="C533" s="74" t="str">
        <f>Scott!C179</f>
        <v>4.1.0.8</v>
      </c>
      <c r="D533" s="74" t="str">
        <f>Scott!D179</f>
        <v>32</v>
      </c>
      <c r="E533" s="74" t="str">
        <f>Scott!E179</f>
        <v>N/A</v>
      </c>
      <c r="F533" s="74" t="str">
        <f>Scott!F179</f>
        <v>Development</v>
      </c>
      <c r="G533" s="74" t="str">
        <f>Scott!G179</f>
        <v>OpenG.org</v>
      </c>
      <c r="H533" s="74" t="str">
        <f>Scott!H179</f>
        <v>OpenG Numeric Library 4.1.0.8</v>
      </c>
      <c r="I533" s="74" t="str">
        <f>Scott!I179</f>
        <v>VIPM Community</v>
      </c>
    </row>
    <row r="534" spans="1:9" hidden="1" x14ac:dyDescent="0.25">
      <c r="A534" s="74" t="str">
        <f>Originals!A338</f>
        <v>4-Vinnie</v>
      </c>
      <c r="B534" s="74" t="str">
        <f>Originals!B338</f>
        <v>OpenG Picture Library</v>
      </c>
      <c r="C534" s="74" t="str">
        <f>Originals!C338</f>
        <v>4.0.0.13</v>
      </c>
      <c r="D534" s="74" t="str">
        <f>Originals!D338</f>
        <v>32</v>
      </c>
      <c r="E534" s="74" t="str">
        <f>Originals!E338</f>
        <v>N/A</v>
      </c>
      <c r="F534" s="74" t="str">
        <f>Originals!F338</f>
        <v>Development</v>
      </c>
      <c r="G534" s="74" t="str">
        <f>Originals!G338</f>
        <v>OpenG.org</v>
      </c>
      <c r="H534" s="74" t="str">
        <f>Originals!H338</f>
        <v>OpenG Picture Library 4.0.0.13</v>
      </c>
      <c r="I534" s="74" t="str">
        <f>Originals!I338</f>
        <v>VIPM Community</v>
      </c>
    </row>
    <row r="535" spans="1:9" hidden="1" x14ac:dyDescent="0.25">
      <c r="A535" s="74" t="str">
        <f>Scott!A180</f>
        <v>3-Scott</v>
      </c>
      <c r="B535" s="74" t="str">
        <f>Scott!B180</f>
        <v>OpenG Picture Library</v>
      </c>
      <c r="C535" s="74" t="str">
        <f>Scott!C180</f>
        <v>4.0.0.13</v>
      </c>
      <c r="D535" s="74" t="str">
        <f>Scott!D180</f>
        <v>32</v>
      </c>
      <c r="E535" s="74" t="str">
        <f>Scott!E180</f>
        <v>N/A</v>
      </c>
      <c r="F535" s="74" t="str">
        <f>Scott!F180</f>
        <v>Development</v>
      </c>
      <c r="G535" s="74" t="str">
        <f>Scott!G180</f>
        <v>OpenG.org</v>
      </c>
      <c r="H535" s="74" t="str">
        <f>Scott!H180</f>
        <v>OpenG Picture Library 4.0.0.13</v>
      </c>
      <c r="I535" s="74" t="str">
        <f>Scott!I180</f>
        <v>VIPM Community</v>
      </c>
    </row>
    <row r="536" spans="1:9" hidden="1" x14ac:dyDescent="0.25">
      <c r="A536" s="74" t="str">
        <f>Originals!A339</f>
        <v>4-Vinnie</v>
      </c>
      <c r="B536" s="74" t="str">
        <f>Originals!B339</f>
        <v>OpenG Port IO</v>
      </c>
      <c r="C536" s="74" t="str">
        <f>Originals!C339</f>
        <v>4.0.0-2</v>
      </c>
      <c r="D536" s="74" t="str">
        <f>Originals!D339</f>
        <v>32</v>
      </c>
      <c r="E536" s="74" t="str">
        <f>Originals!E339</f>
        <v>N/A</v>
      </c>
      <c r="F536" s="74" t="str">
        <f>Originals!F339</f>
        <v>Development</v>
      </c>
      <c r="G536" s="74" t="str">
        <f>Originals!G339</f>
        <v>OpenG.org</v>
      </c>
      <c r="H536" s="74" t="str">
        <f>Originals!H339</f>
        <v>OpenG Port IO 4.0.0-2</v>
      </c>
      <c r="I536" s="74" t="str">
        <f>Originals!I339</f>
        <v>VIPM Community</v>
      </c>
    </row>
    <row r="537" spans="1:9" hidden="1" x14ac:dyDescent="0.25">
      <c r="A537" s="74" t="str">
        <f>Scott!A181</f>
        <v>3-Scott</v>
      </c>
      <c r="B537" s="74" t="str">
        <f>Scott!B181</f>
        <v>OpenG Port IO</v>
      </c>
      <c r="C537" s="74" t="str">
        <f>Scott!C181</f>
        <v>4.0.0-2</v>
      </c>
      <c r="D537" s="74" t="str">
        <f>Scott!D181</f>
        <v>32</v>
      </c>
      <c r="E537" s="74" t="str">
        <f>Scott!E181</f>
        <v>N/A</v>
      </c>
      <c r="F537" s="74" t="str">
        <f>Scott!F181</f>
        <v>Development</v>
      </c>
      <c r="G537" s="74" t="str">
        <f>Scott!G181</f>
        <v>OpenG.org</v>
      </c>
      <c r="H537" s="74" t="str">
        <f>Scott!H181</f>
        <v>OpenG Port IO 4.0.0-2</v>
      </c>
      <c r="I537" s="74" t="str">
        <f>Scott!I181</f>
        <v>VIPM Community</v>
      </c>
    </row>
    <row r="538" spans="1:9" hidden="1" x14ac:dyDescent="0.25">
      <c r="A538" s="74" t="str">
        <f>Originals!A340</f>
        <v>4-Vinnie</v>
      </c>
      <c r="B538" s="74" t="str">
        <f>Originals!B340</f>
        <v>OpenG Rename Folder of VIs Tool</v>
      </c>
      <c r="C538" s="74" t="str">
        <f>Originals!C340</f>
        <v>4.0.0.15</v>
      </c>
      <c r="D538" s="74" t="str">
        <f>Originals!D340</f>
        <v>32</v>
      </c>
      <c r="E538" s="74" t="str">
        <f>Originals!E340</f>
        <v>N/A</v>
      </c>
      <c r="F538" s="74" t="str">
        <f>Originals!F340</f>
        <v>Development</v>
      </c>
      <c r="G538" s="74" t="str">
        <f>Originals!G340</f>
        <v>OpenG.org</v>
      </c>
      <c r="H538" s="74" t="str">
        <f>Originals!H340</f>
        <v>OpenG Rename Folder of VIs Tool 4.0.0.15</v>
      </c>
      <c r="I538" s="74" t="str">
        <f>Originals!I340</f>
        <v>VIPM Community</v>
      </c>
    </row>
    <row r="539" spans="1:9" hidden="1" x14ac:dyDescent="0.25">
      <c r="A539" s="74" t="str">
        <f>Scott!A182</f>
        <v>3-Scott</v>
      </c>
      <c r="B539" s="74" t="str">
        <f>Scott!B182</f>
        <v>OpenG Rename Folder of VIs Tool</v>
      </c>
      <c r="C539" s="74" t="str">
        <f>Scott!C182</f>
        <v>4.0.0.15</v>
      </c>
      <c r="D539" s="74" t="str">
        <f>Scott!D182</f>
        <v>32</v>
      </c>
      <c r="E539" s="74" t="str">
        <f>Scott!E182</f>
        <v>N/A</v>
      </c>
      <c r="F539" s="74" t="str">
        <f>Scott!F182</f>
        <v>Development</v>
      </c>
      <c r="G539" s="74" t="str">
        <f>Scott!G182</f>
        <v>OpenG.org</v>
      </c>
      <c r="H539" s="74" t="str">
        <f>Scott!H182</f>
        <v>OpenG Rename Folder of VIs Tool 4.0.0.15</v>
      </c>
      <c r="I539" s="74" t="str">
        <f>Scott!I182</f>
        <v>VIPM Community</v>
      </c>
    </row>
    <row r="540" spans="1:9" hidden="1" x14ac:dyDescent="0.25">
      <c r="A540" s="74" t="str">
        <f>Originals!A341</f>
        <v>4-Vinnie</v>
      </c>
      <c r="B540" s="74" t="str">
        <f>Originals!B341</f>
        <v>OpenG String Library</v>
      </c>
      <c r="C540" s="74" t="str">
        <f>Originals!C341</f>
        <v>4.1.0.12</v>
      </c>
      <c r="D540" s="74" t="str">
        <f>Originals!D341</f>
        <v>32</v>
      </c>
      <c r="E540" s="74" t="str">
        <f>Originals!E341</f>
        <v>N/A</v>
      </c>
      <c r="F540" s="74" t="str">
        <f>Originals!F341</f>
        <v>Development</v>
      </c>
      <c r="G540" s="74" t="str">
        <f>Originals!G341</f>
        <v>OpenG.org</v>
      </c>
      <c r="H540" s="74" t="str">
        <f>Originals!H341</f>
        <v>OpenG String Library 4.1.0.12</v>
      </c>
      <c r="I540" s="74" t="str">
        <f>Originals!I341</f>
        <v>VIPM Community</v>
      </c>
    </row>
    <row r="541" spans="1:9" hidden="1" x14ac:dyDescent="0.25">
      <c r="A541" s="74" t="str">
        <f>Scott!A183</f>
        <v>3-Scott</v>
      </c>
      <c r="B541" s="74" t="str">
        <f>Scott!B183</f>
        <v>OpenG String Library</v>
      </c>
      <c r="C541" s="74" t="str">
        <f>Scott!C183</f>
        <v>4.1.0.12</v>
      </c>
      <c r="D541" s="74" t="str">
        <f>Scott!D183</f>
        <v>32</v>
      </c>
      <c r="E541" s="74" t="str">
        <f>Scott!E183</f>
        <v>N/A</v>
      </c>
      <c r="F541" s="74" t="str">
        <f>Scott!F183</f>
        <v>Development</v>
      </c>
      <c r="G541" s="74" t="str">
        <f>Scott!G183</f>
        <v>OpenG.org</v>
      </c>
      <c r="H541" s="74" t="str">
        <f>Scott!H183</f>
        <v>OpenG String Library 4.1.0.12</v>
      </c>
      <c r="I541" s="74" t="str">
        <f>Scott!I183</f>
        <v>VIPM Community</v>
      </c>
    </row>
    <row r="542" spans="1:9" hidden="1" x14ac:dyDescent="0.25">
      <c r="A542" s="74" t="str">
        <f>Originals!A342</f>
        <v>4-Vinnie</v>
      </c>
      <c r="B542" s="74" t="str">
        <f>Originals!B342</f>
        <v>OpenG Time Library</v>
      </c>
      <c r="C542" s="74" t="str">
        <f>Originals!C342</f>
        <v>4.0.1.3</v>
      </c>
      <c r="D542" s="74" t="str">
        <f>Originals!D342</f>
        <v>32</v>
      </c>
      <c r="E542" s="74" t="str">
        <f>Originals!E342</f>
        <v>N/A</v>
      </c>
      <c r="F542" s="74" t="str">
        <f>Originals!F342</f>
        <v>Development</v>
      </c>
      <c r="G542" s="74" t="str">
        <f>Originals!G342</f>
        <v>OpenG.org</v>
      </c>
      <c r="H542" s="74" t="str">
        <f>Originals!H342</f>
        <v>OpenG Time Library 4.0.1.3</v>
      </c>
      <c r="I542" s="74" t="str">
        <f>Originals!I342</f>
        <v>VIPM Community</v>
      </c>
    </row>
    <row r="543" spans="1:9" hidden="1" x14ac:dyDescent="0.25">
      <c r="A543" s="74" t="str">
        <f>Originals!A343</f>
        <v>4-Vinnie</v>
      </c>
      <c r="B543" s="74" t="str">
        <f>Originals!B343</f>
        <v>OpenG Toolkit</v>
      </c>
      <c r="C543" s="74" t="str">
        <f>Originals!C343</f>
        <v>4.0.1.9</v>
      </c>
      <c r="D543" s="74" t="str">
        <f>Originals!D343</f>
        <v>32</v>
      </c>
      <c r="E543" s="74" t="str">
        <f>Originals!E343</f>
        <v>N/A</v>
      </c>
      <c r="F543" s="74" t="str">
        <f>Originals!F343</f>
        <v>Development</v>
      </c>
      <c r="G543" s="74" t="str">
        <f>Originals!G343</f>
        <v>OpenG.org</v>
      </c>
      <c r="H543" s="74" t="str">
        <f>Originals!H343</f>
        <v>OpenG Toolkit 4.0.1.9</v>
      </c>
      <c r="I543" s="74" t="str">
        <f>Originals!I343</f>
        <v>VIPM Community</v>
      </c>
    </row>
    <row r="544" spans="1:9" hidden="1" x14ac:dyDescent="0.25">
      <c r="A544" s="74" t="str">
        <f>Scott!A184</f>
        <v>3-Scott</v>
      </c>
      <c r="B544" s="74" t="str">
        <f>Scott!B184</f>
        <v>OpenG Toolkit</v>
      </c>
      <c r="C544" s="74" t="str">
        <f>Scott!C184</f>
        <v>4.0.1.9</v>
      </c>
      <c r="D544" s="74" t="str">
        <f>Scott!D184</f>
        <v>32</v>
      </c>
      <c r="E544" s="74" t="str">
        <f>Scott!E184</f>
        <v>N/A</v>
      </c>
      <c r="F544" s="74" t="str">
        <f>Scott!F184</f>
        <v>Development</v>
      </c>
      <c r="G544" s="74" t="str">
        <f>Scott!G184</f>
        <v>OpenG.org</v>
      </c>
      <c r="H544" s="74" t="str">
        <f>Scott!H184</f>
        <v>OpenG Toolkit 4.0.1.9</v>
      </c>
      <c r="I544" s="74" t="str">
        <f>Scott!I184</f>
        <v>VIPM Community</v>
      </c>
    </row>
    <row r="545" spans="1:9" hidden="1" x14ac:dyDescent="0.25">
      <c r="A545" s="74" t="str">
        <f>Originals!A344</f>
        <v>4-Vinnie</v>
      </c>
      <c r="B545" s="74" t="str">
        <f>Originals!B344</f>
        <v>OpenG Variant Configuration File Library</v>
      </c>
      <c r="C545" s="74" t="str">
        <f>Originals!C344</f>
        <v>4.0.0.5</v>
      </c>
      <c r="D545" s="74" t="str">
        <f>Originals!D344</f>
        <v>32</v>
      </c>
      <c r="E545" s="74" t="str">
        <f>Originals!E344</f>
        <v>N/A</v>
      </c>
      <c r="F545" s="74" t="str">
        <f>Originals!F344</f>
        <v>Development</v>
      </c>
      <c r="G545" s="74" t="str">
        <f>Originals!G344</f>
        <v>OpenG.org</v>
      </c>
      <c r="H545" s="74" t="str">
        <f>Originals!H344</f>
        <v>OpenG Variant Configuration File Library 4.0.0.5</v>
      </c>
      <c r="I545" s="74" t="str">
        <f>Originals!I344</f>
        <v>VIPM Community</v>
      </c>
    </row>
    <row r="546" spans="1:9" hidden="1" x14ac:dyDescent="0.25">
      <c r="A546" s="74" t="str">
        <f>Scott!A185</f>
        <v>3-Scott</v>
      </c>
      <c r="B546" s="74" t="str">
        <f>Scott!B185</f>
        <v>OpenG Variant Configuration File Library</v>
      </c>
      <c r="C546" s="74" t="str">
        <f>Scott!C185</f>
        <v>4.0.0.5</v>
      </c>
      <c r="D546" s="74" t="str">
        <f>Scott!D185</f>
        <v>32</v>
      </c>
      <c r="E546" s="74" t="str">
        <f>Scott!E185</f>
        <v>N/A</v>
      </c>
      <c r="F546" s="74" t="str">
        <f>Scott!F185</f>
        <v>Development</v>
      </c>
      <c r="G546" s="74" t="str">
        <f>Scott!G185</f>
        <v>OpenG.org</v>
      </c>
      <c r="H546" s="74" t="str">
        <f>Scott!H185</f>
        <v>OpenG Variant Configuration File Library 4.0.0.5</v>
      </c>
      <c r="I546" s="74" t="str">
        <f>Scott!I185</f>
        <v>VIPM Community</v>
      </c>
    </row>
    <row r="547" spans="1:9" hidden="1" x14ac:dyDescent="0.25">
      <c r="A547" s="74" t="str">
        <f>Originals!A345</f>
        <v>4-Vinnie</v>
      </c>
      <c r="B547" s="74" t="str">
        <f>Originals!B345</f>
        <v>OpenGDS</v>
      </c>
      <c r="C547" s="74" t="str">
        <f>Originals!C345</f>
        <v>1.1.17</v>
      </c>
      <c r="D547" s="74" t="str">
        <f>Originals!D345</f>
        <v>32</v>
      </c>
      <c r="E547" s="74" t="str">
        <f>Originals!E345</f>
        <v>N/A</v>
      </c>
      <c r="F547" s="74" t="str">
        <f>Originals!F345</f>
        <v>Development</v>
      </c>
      <c r="G547" s="74" t="str">
        <f>Originals!G345</f>
        <v>OpenGDS</v>
      </c>
      <c r="H547" s="74" t="str">
        <f>Originals!H345</f>
        <v>OpenGDS 1.1.17</v>
      </c>
      <c r="I547" s="74" t="str">
        <f>Originals!I345</f>
        <v>VIPM Community</v>
      </c>
    </row>
    <row r="548" spans="1:9" hidden="1" x14ac:dyDescent="0.25">
      <c r="A548" s="74" t="str">
        <f>Scott!A186</f>
        <v>3-Scott</v>
      </c>
      <c r="B548" s="74" t="str">
        <f>Scott!B186</f>
        <v>OpenGDS</v>
      </c>
      <c r="C548" s="74" t="str">
        <f>Scott!C186</f>
        <v>1.1.17</v>
      </c>
      <c r="D548" s="74" t="str">
        <f>Scott!D186</f>
        <v>32</v>
      </c>
      <c r="E548" s="74" t="str">
        <f>Scott!E186</f>
        <v>N/A</v>
      </c>
      <c r="F548" s="74" t="str">
        <f>Scott!F186</f>
        <v>Development</v>
      </c>
      <c r="G548" s="74" t="str">
        <f>Scott!G186</f>
        <v>OpenGDS</v>
      </c>
      <c r="H548" s="74" t="str">
        <f>Scott!H186</f>
        <v>OpenGDS 1.1.17</v>
      </c>
      <c r="I548" s="74" t="str">
        <f>Scott!I186</f>
        <v>VIPM Community</v>
      </c>
    </row>
    <row r="549" spans="1:9" x14ac:dyDescent="0.25">
      <c r="A549" s="74" t="str">
        <f>Scott!A187</f>
        <v>3-Scott</v>
      </c>
      <c r="B549" s="74" t="str">
        <f>Scott!B187</f>
        <v>PID Toolkit</v>
      </c>
      <c r="C549" s="74" t="str">
        <f>Scott!C187</f>
        <v>2.1.0</v>
      </c>
      <c r="D549" s="74">
        <f>Scott!D187</f>
        <v>32</v>
      </c>
      <c r="E549" s="74">
        <f>Scott!E187</f>
        <v>2015</v>
      </c>
      <c r="F549" s="74" t="str">
        <f>Scott!F187</f>
        <v>Development</v>
      </c>
      <c r="G549" s="74" t="str">
        <f>Scott!G187</f>
        <v>NI</v>
      </c>
      <c r="H549" s="74" t="str">
        <f>Scott!H187</f>
        <v>PID Toolkit 2.1.0</v>
      </c>
      <c r="I549" s="74" t="str">
        <f>Scott!I187</f>
        <v>NI Developer Suite 2015 DS2 Install</v>
      </c>
    </row>
    <row r="550" spans="1:9" x14ac:dyDescent="0.25">
      <c r="A550" s="74" t="str">
        <f>Scott!A188</f>
        <v>3-Scott</v>
      </c>
      <c r="B550" s="74" t="str">
        <f>Scott!B188</f>
        <v>Profiler Toolkit</v>
      </c>
      <c r="C550" s="74" t="str">
        <f>Scott!C188</f>
        <v>1.0.0</v>
      </c>
      <c r="D550" s="74">
        <f>Scott!D188</f>
        <v>32</v>
      </c>
      <c r="E550" s="74">
        <f>Scott!E188</f>
        <v>2015</v>
      </c>
      <c r="F550" s="74" t="str">
        <f>Scott!F188</f>
        <v>Development</v>
      </c>
      <c r="G550" s="74" t="str">
        <f>Scott!G188</f>
        <v>NI</v>
      </c>
      <c r="H550" s="74" t="str">
        <f>Scott!H188</f>
        <v>Profiler Toolkit 1.0.0</v>
      </c>
      <c r="I550" s="74" t="str">
        <f>Scott!I188</f>
        <v>NI Developer Suite 2015 DS2 Install</v>
      </c>
    </row>
    <row r="551" spans="1:9" x14ac:dyDescent="0.25">
      <c r="A551" s="74" t="str">
        <f>Scott!A189</f>
        <v>3-Scott</v>
      </c>
      <c r="B551" s="74" t="str">
        <f>Scott!B189</f>
        <v>Real-Time</v>
      </c>
      <c r="C551" s="74" t="str">
        <f>Scott!C189</f>
        <v>15.0.0</v>
      </c>
      <c r="D551" s="74">
        <f>Scott!D189</f>
        <v>32</v>
      </c>
      <c r="E551" s="74">
        <f>Scott!E189</f>
        <v>2015</v>
      </c>
      <c r="F551" s="74" t="str">
        <f>Scott!F189</f>
        <v>Development</v>
      </c>
      <c r="G551" s="74" t="str">
        <f>Scott!G189</f>
        <v>NI</v>
      </c>
      <c r="H551" s="74" t="str">
        <f>Scott!H189</f>
        <v>Real-Time 15.0.0</v>
      </c>
      <c r="I551" s="74" t="str">
        <f>Scott!I189</f>
        <v>NI Developer Suite 2015 DS2 Install</v>
      </c>
    </row>
    <row r="552" spans="1:9" x14ac:dyDescent="0.25">
      <c r="A552" s="74" t="str">
        <f>Originals!A77</f>
        <v>1-Corey</v>
      </c>
      <c r="B552" s="74" t="str">
        <f>Originals!B77</f>
        <v>Real-Time</v>
      </c>
      <c r="C552" s="74" t="str">
        <f>Originals!C77</f>
        <v>15.0.1</v>
      </c>
      <c r="D552" s="74" t="str">
        <f>Originals!D77</f>
        <v>32</v>
      </c>
      <c r="E552" s="74" t="str">
        <f>Originals!E77</f>
        <v>2015</v>
      </c>
      <c r="F552" s="74" t="str">
        <f>Originals!F77</f>
        <v>Development</v>
      </c>
      <c r="G552" s="74" t="str">
        <f>Originals!G77</f>
        <v>NI</v>
      </c>
      <c r="H552" s="74" t="str">
        <f>Originals!H77</f>
        <v>Real-Time 15.0.1</v>
      </c>
      <c r="I552" s="74" t="str">
        <f>Originals!I77</f>
        <v>2015 SP1 Update Service</v>
      </c>
    </row>
    <row r="553" spans="1:9" x14ac:dyDescent="0.25">
      <c r="A553" s="74" t="str">
        <f>Originals!A160</f>
        <v>2-Spencer</v>
      </c>
      <c r="B553" s="74" t="str">
        <f>Originals!B160</f>
        <v>Real-Time</v>
      </c>
      <c r="C553" s="74" t="str">
        <f>Originals!C160</f>
        <v>15.0.1</v>
      </c>
      <c r="D553" s="74" t="str">
        <f>Originals!D160</f>
        <v>32</v>
      </c>
      <c r="E553" s="74" t="str">
        <f>Originals!E160</f>
        <v>2015</v>
      </c>
      <c r="F553" s="74" t="str">
        <f>Originals!F160</f>
        <v>Development</v>
      </c>
      <c r="G553" s="74" t="str">
        <f>Originals!G160</f>
        <v>NI</v>
      </c>
      <c r="H553" s="74" t="str">
        <f>Originals!H160</f>
        <v>Real-Time 15.0.1</v>
      </c>
      <c r="I553" s="74" t="str">
        <f>Originals!I160</f>
        <v>2015 SP1 Update Service</v>
      </c>
    </row>
    <row r="554" spans="1:9" x14ac:dyDescent="0.25">
      <c r="A554" s="74" t="str">
        <f>Originals!A346</f>
        <v>4-Vinnie</v>
      </c>
      <c r="B554" s="74" t="str">
        <f>Originals!B346</f>
        <v>Real-Time</v>
      </c>
      <c r="C554" s="74" t="str">
        <f>Originals!C346</f>
        <v>15.0.1</v>
      </c>
      <c r="D554" s="74" t="str">
        <f>Originals!D346</f>
        <v>32</v>
      </c>
      <c r="E554" s="74" t="str">
        <f>Originals!E346</f>
        <v>2015</v>
      </c>
      <c r="F554" s="74" t="str">
        <f>Originals!F346</f>
        <v>Development</v>
      </c>
      <c r="G554" s="74" t="str">
        <f>Originals!G346</f>
        <v>NI</v>
      </c>
      <c r="H554" s="74" t="str">
        <f>Originals!H346</f>
        <v>Real-Time 15.0.1</v>
      </c>
      <c r="I554" s="74" t="str">
        <f>Originals!I346</f>
        <v>2015 SP1 Update Service</v>
      </c>
    </row>
    <row r="555" spans="1:9" x14ac:dyDescent="0.25">
      <c r="A555" s="74" t="str">
        <f>Originals!A347</f>
        <v>4-Vinnie</v>
      </c>
      <c r="B555" s="74" t="str">
        <f>Originals!B347</f>
        <v>Real-Time</v>
      </c>
      <c r="C555" s="74" t="str">
        <f>Originals!C347</f>
        <v>15.0.1</v>
      </c>
      <c r="D555" s="74" t="str">
        <f>Originals!D347</f>
        <v>32</v>
      </c>
      <c r="E555" s="74">
        <f>Originals!E347</f>
        <v>2015</v>
      </c>
      <c r="F555" s="74" t="str">
        <f>Originals!F347</f>
        <v>Development</v>
      </c>
      <c r="G555" s="74" t="str">
        <f>Originals!G347</f>
        <v>NI</v>
      </c>
      <c r="H555" s="74" t="str">
        <f>Originals!H347</f>
        <v>Real-Time 15.0.1</v>
      </c>
      <c r="I555" s="74" t="str">
        <f>Originals!I347</f>
        <v>2015 SP1 Update Service</v>
      </c>
    </row>
    <row r="556" spans="1:9" x14ac:dyDescent="0.25">
      <c r="A556" s="74" t="str">
        <f>Originals!A397</f>
        <v>5-Confluence</v>
      </c>
      <c r="B556" s="74" t="str">
        <f>Originals!B397</f>
        <v>Real-Time</v>
      </c>
      <c r="C556" s="74" t="str">
        <f>Originals!C397</f>
        <v>15.0.1</v>
      </c>
      <c r="D556" s="74" t="str">
        <f>Originals!D397</f>
        <v>32</v>
      </c>
      <c r="E556" s="74" t="str">
        <f>Originals!E397</f>
        <v>2015</v>
      </c>
      <c r="F556" s="74" t="str">
        <f>Originals!F397</f>
        <v>Development</v>
      </c>
      <c r="G556" s="74" t="str">
        <f>Originals!G397</f>
        <v>NI</v>
      </c>
      <c r="H556" s="74" t="str">
        <f>Originals!H397</f>
        <v>Real-Time 15.0.1</v>
      </c>
      <c r="I556" s="74">
        <f>Originals!I397</f>
        <v>0</v>
      </c>
    </row>
    <row r="557" spans="1:9" x14ac:dyDescent="0.25">
      <c r="A557" s="74" t="str">
        <f>Scott!A190</f>
        <v>3-Scott</v>
      </c>
      <c r="B557" s="74" t="str">
        <f>Scott!B190</f>
        <v>Real-Time</v>
      </c>
      <c r="C557" s="74" t="str">
        <f>Scott!C190</f>
        <v>15.0.1</v>
      </c>
      <c r="D557" s="74">
        <f>Scott!D190</f>
        <v>32</v>
      </c>
      <c r="E557" s="74">
        <f>Scott!E190</f>
        <v>2015</v>
      </c>
      <c r="F557" s="74" t="str">
        <f>Scott!F190</f>
        <v>Development</v>
      </c>
      <c r="G557" s="74" t="str">
        <f>Scott!G190</f>
        <v>NI</v>
      </c>
      <c r="H557" s="74" t="str">
        <f>Scott!H190</f>
        <v>Real-Time 15.0.1</v>
      </c>
      <c r="I557" s="74" t="str">
        <f>Scott!I190</f>
        <v>2015 SP1 Update Service</v>
      </c>
    </row>
    <row r="558" spans="1:9" x14ac:dyDescent="0.25">
      <c r="A558" s="74" t="str">
        <f>Scott!A191</f>
        <v>3-Scott</v>
      </c>
      <c r="B558" s="74" t="str">
        <f>Scott!B191</f>
        <v>Real-Time Trace Viewer - CVI Support</v>
      </c>
      <c r="C558" s="74" t="str">
        <f>Scott!C191</f>
        <v>15.0.0</v>
      </c>
      <c r="D558" s="74">
        <f>Scott!D191</f>
        <v>32</v>
      </c>
      <c r="E558" s="74">
        <f>Scott!E191</f>
        <v>2015</v>
      </c>
      <c r="F558" s="74" t="str">
        <f>Scott!F191</f>
        <v>Development</v>
      </c>
      <c r="G558" s="74" t="str">
        <f>Scott!G191</f>
        <v>NI</v>
      </c>
      <c r="H558" s="74" t="str">
        <f>Scott!H191</f>
        <v>Real-Time Trace Viewer - CVI Support 15.0.0</v>
      </c>
      <c r="I558" s="74" t="str">
        <f>Scott!I191</f>
        <v>NI Developer Suite 2015 DS2 Install</v>
      </c>
    </row>
    <row r="559" spans="1:9" x14ac:dyDescent="0.25">
      <c r="A559" s="74" t="str">
        <f>Originals!A78</f>
        <v>1-Corey</v>
      </c>
      <c r="B559" s="74" t="str">
        <f>Originals!B78</f>
        <v>Real-Time Trace Viewer - LabVIEW 2015 Support</v>
      </c>
      <c r="C559" s="74" t="str">
        <f>Originals!C78</f>
        <v>15.0.1</v>
      </c>
      <c r="D559" s="74" t="str">
        <f>Originals!D78</f>
        <v>32</v>
      </c>
      <c r="E559" s="74" t="str">
        <f>Originals!E78</f>
        <v>2015</v>
      </c>
      <c r="F559" s="74" t="str">
        <f>Originals!F78</f>
        <v>Development</v>
      </c>
      <c r="G559" s="74" t="str">
        <f>Originals!G78</f>
        <v>NI</v>
      </c>
      <c r="H559" s="74" t="str">
        <f>Originals!H78</f>
        <v>Real-Time Trace Viewer - LabVIEW 2015 Support 15.0.1</v>
      </c>
      <c r="I559" s="74" t="str">
        <f>Originals!I78</f>
        <v>2015 SP1 Update Service</v>
      </c>
    </row>
    <row r="560" spans="1:9" x14ac:dyDescent="0.25">
      <c r="A560" s="74" t="str">
        <f>Originals!A161</f>
        <v>2-Spencer</v>
      </c>
      <c r="B560" s="74" t="str">
        <f>Originals!B161</f>
        <v>Real-Time Trace Viewer - LabVIEW 2015 Support</v>
      </c>
      <c r="C560" s="74" t="str">
        <f>Originals!C161</f>
        <v>15.0.1</v>
      </c>
      <c r="D560" s="74" t="str">
        <f>Originals!D161</f>
        <v>32</v>
      </c>
      <c r="E560" s="74" t="str">
        <f>Originals!E161</f>
        <v>2015</v>
      </c>
      <c r="F560" s="74" t="str">
        <f>Originals!F161</f>
        <v>Development</v>
      </c>
      <c r="G560" s="74" t="str">
        <f>Originals!G161</f>
        <v>NI</v>
      </c>
      <c r="H560" s="74" t="str">
        <f>Originals!H161</f>
        <v>Real-Time Trace Viewer - LabVIEW 2015 Support 15.0.1</v>
      </c>
      <c r="I560" s="74" t="str">
        <f>Originals!I161</f>
        <v>2015 SP1 Update Service</v>
      </c>
    </row>
    <row r="561" spans="1:9" x14ac:dyDescent="0.25">
      <c r="A561" s="74" t="str">
        <f>Originals!A348</f>
        <v>4-Vinnie</v>
      </c>
      <c r="B561" s="74" t="str">
        <f>Originals!B348</f>
        <v>Real-Time Trace Viewer - LabVIEW 2015 Support</v>
      </c>
      <c r="C561" s="74" t="str">
        <f>Originals!C348</f>
        <v>15.0.1</v>
      </c>
      <c r="D561" s="74" t="str">
        <f>Originals!D348</f>
        <v>32</v>
      </c>
      <c r="E561" s="74">
        <f>Originals!E348</f>
        <v>2015</v>
      </c>
      <c r="F561" s="74" t="str">
        <f>Originals!F348</f>
        <v>Development</v>
      </c>
      <c r="G561" s="74" t="str">
        <f>Originals!G348</f>
        <v>NI</v>
      </c>
      <c r="H561" s="74" t="str">
        <f>Originals!H348</f>
        <v>Real-Time Trace Viewer - LabVIEW 2015 Support 15.0.1</v>
      </c>
      <c r="I561" s="74">
        <f>Originals!I348</f>
        <v>0</v>
      </c>
    </row>
    <row r="562" spans="1:9" x14ac:dyDescent="0.25">
      <c r="A562" s="74" t="str">
        <f>Originals!A398</f>
        <v>5-Confluence</v>
      </c>
      <c r="B562" s="74" t="str">
        <f>Originals!B398</f>
        <v>Real-Time Trace Viewer - LabVIEW 2015 Support</v>
      </c>
      <c r="C562" s="74" t="str">
        <f>Originals!C398</f>
        <v>15.0.1</v>
      </c>
      <c r="D562" s="74" t="str">
        <f>Originals!D398</f>
        <v>32</v>
      </c>
      <c r="E562" s="74" t="str">
        <f>Originals!E398</f>
        <v>2015</v>
      </c>
      <c r="F562" s="74" t="str">
        <f>Originals!F398</f>
        <v>Development</v>
      </c>
      <c r="G562" s="74" t="str">
        <f>Originals!G398</f>
        <v>NI</v>
      </c>
      <c r="H562" s="74" t="str">
        <f>Originals!H398</f>
        <v>Real-Time Trace Viewer - LabVIEW 2015 Support 15.0.1</v>
      </c>
      <c r="I562" s="74">
        <f>Originals!I398</f>
        <v>0</v>
      </c>
    </row>
    <row r="563" spans="1:9" x14ac:dyDescent="0.25">
      <c r="A563" s="74" t="str">
        <f>Scott!A192</f>
        <v>3-Scott</v>
      </c>
      <c r="B563" s="74" t="str">
        <f>Scott!B192</f>
        <v>Real-Time Trace Viewer - LabVIEW 2015 Support</v>
      </c>
      <c r="C563" s="74" t="str">
        <f>Scott!C192</f>
        <v>15.0.1</v>
      </c>
      <c r="D563" s="74">
        <f>Scott!D192</f>
        <v>32</v>
      </c>
      <c r="E563" s="74">
        <f>Scott!E192</f>
        <v>2015</v>
      </c>
      <c r="F563" s="74" t="str">
        <f>Scott!F192</f>
        <v>Development</v>
      </c>
      <c r="G563" s="74" t="str">
        <f>Scott!G192</f>
        <v>NI</v>
      </c>
      <c r="H563" s="74" t="str">
        <f>Scott!H192</f>
        <v>Real-Time Trace Viewer - LabVIEW 2015 Support 15.0.1</v>
      </c>
      <c r="I563" s="74" t="str">
        <f>Scott!I192</f>
        <v>2015 SP1 Update Service</v>
      </c>
    </row>
    <row r="564" spans="1:9" x14ac:dyDescent="0.25">
      <c r="A564" s="74" t="str">
        <f>Originals!A79</f>
        <v>1-Corey</v>
      </c>
      <c r="B564" s="74" t="str">
        <f>Originals!B79</f>
        <v>Report Generation Toolkit For Microsoft Office</v>
      </c>
      <c r="C564" s="74" t="str">
        <f>Originals!C79</f>
        <v>15.0.0</v>
      </c>
      <c r="D564" s="74" t="str">
        <f>Originals!D79</f>
        <v>32</v>
      </c>
      <c r="E564" s="74" t="str">
        <f>Originals!E79</f>
        <v>2015</v>
      </c>
      <c r="F564" s="74" t="str">
        <f>Originals!F79</f>
        <v>Development</v>
      </c>
      <c r="G564" s="74" t="str">
        <f>Originals!G79</f>
        <v>NI</v>
      </c>
      <c r="H564" s="74" t="str">
        <f>Originals!H79</f>
        <v>Report Generation Toolkit For Microsoft Office 15.0.0</v>
      </c>
      <c r="I564" s="74" t="str">
        <f>Originals!I79</f>
        <v>NI Developer Suite 2015 DS2 Install</v>
      </c>
    </row>
    <row r="565" spans="1:9" x14ac:dyDescent="0.25">
      <c r="A565" s="74" t="str">
        <f>Originals!A162</f>
        <v>2-Spencer</v>
      </c>
      <c r="B565" s="74" t="str">
        <f>Originals!B162</f>
        <v>Report Generation Toolkit For Microsoft Office</v>
      </c>
      <c r="C565" s="74" t="str">
        <f>Originals!C162</f>
        <v>15.0.0</v>
      </c>
      <c r="D565" s="74" t="str">
        <f>Originals!D162</f>
        <v>32</v>
      </c>
      <c r="E565" s="74" t="str">
        <f>Originals!E162</f>
        <v>2015</v>
      </c>
      <c r="F565" s="74" t="str">
        <f>Originals!F162</f>
        <v>Development</v>
      </c>
      <c r="G565" s="74" t="str">
        <f>Originals!G162</f>
        <v>NI</v>
      </c>
      <c r="H565" s="74" t="str">
        <f>Originals!H162</f>
        <v>Report Generation Toolkit For Microsoft Office 15.0.0</v>
      </c>
      <c r="I565" s="74" t="str">
        <f>Originals!I162</f>
        <v>NI Developer Suite 2015 DS2 Install</v>
      </c>
    </row>
    <row r="566" spans="1:9" x14ac:dyDescent="0.25">
      <c r="A566" s="74" t="str">
        <f>Originals!A349</f>
        <v>4-Vinnie</v>
      </c>
      <c r="B566" s="74" t="str">
        <f>Originals!B349</f>
        <v>Report Generation Toolkit For Microsoft Office</v>
      </c>
      <c r="C566" s="74" t="str">
        <f>Originals!C349</f>
        <v>15.0.0</v>
      </c>
      <c r="D566" s="74" t="str">
        <f>Originals!D349</f>
        <v>32</v>
      </c>
      <c r="E566" s="74">
        <f>Originals!E349</f>
        <v>2015</v>
      </c>
      <c r="F566" s="74" t="str">
        <f>Originals!F349</f>
        <v>Development</v>
      </c>
      <c r="G566" s="74" t="str">
        <f>Originals!G349</f>
        <v>NI</v>
      </c>
      <c r="H566" s="74" t="str">
        <f>Originals!H349</f>
        <v>Report Generation Toolkit For Microsoft Office 15.0.0</v>
      </c>
      <c r="I566" s="74" t="str">
        <f>Originals!I349</f>
        <v>NI Developer Suite 2015 DS2 Install</v>
      </c>
    </row>
    <row r="567" spans="1:9" x14ac:dyDescent="0.25">
      <c r="A567" s="74" t="str">
        <f>Originals!A399</f>
        <v>5-Confluence</v>
      </c>
      <c r="B567" s="74" t="str">
        <f>Originals!B399</f>
        <v>Report Generation Toolkit For Microsoft Office</v>
      </c>
      <c r="C567" s="74" t="str">
        <f>Originals!C399</f>
        <v>15.0.0</v>
      </c>
      <c r="D567" s="74" t="str">
        <f>Originals!D399</f>
        <v>32</v>
      </c>
      <c r="E567" s="74" t="str">
        <f>Originals!E399</f>
        <v>2015</v>
      </c>
      <c r="F567" s="74" t="str">
        <f>Originals!F399</f>
        <v>Development</v>
      </c>
      <c r="G567" s="74" t="str">
        <f>Originals!G399</f>
        <v>NI</v>
      </c>
      <c r="H567" s="74" t="str">
        <f>Originals!H399</f>
        <v>Report Generation Toolkit For Microsoft Office 15.0.0</v>
      </c>
      <c r="I567" s="74">
        <f>Originals!I399</f>
        <v>0</v>
      </c>
    </row>
    <row r="568" spans="1:9" x14ac:dyDescent="0.25">
      <c r="A568" s="74" t="str">
        <f>Scott!A193</f>
        <v>3-Scott</v>
      </c>
      <c r="B568" s="74" t="str">
        <f>Scott!B193</f>
        <v>Report Generation Toolkit For Microsoft Office</v>
      </c>
      <c r="C568" s="74" t="str">
        <f>Scott!C193</f>
        <v>15.0.0</v>
      </c>
      <c r="D568" s="74">
        <f>Scott!D193</f>
        <v>32</v>
      </c>
      <c r="E568" s="74">
        <f>Scott!E193</f>
        <v>2015</v>
      </c>
      <c r="F568" s="74" t="str">
        <f>Scott!F193</f>
        <v>Development</v>
      </c>
      <c r="G568" s="74" t="str">
        <f>Scott!G193</f>
        <v>NI</v>
      </c>
      <c r="H568" s="74" t="str">
        <f>Scott!H193</f>
        <v>Report Generation Toolkit For Microsoft Office 15.0.0</v>
      </c>
      <c r="I568" s="74" t="str">
        <f>Scott!I193</f>
        <v>NI Developer Suite 2015 DS2 Install</v>
      </c>
    </row>
    <row r="569" spans="1:9" hidden="1" x14ac:dyDescent="0.25">
      <c r="A569" s="74" t="str">
        <f>Originals!A350</f>
        <v>4-Vinnie</v>
      </c>
      <c r="B569" s="74" t="str">
        <f>Originals!B350</f>
        <v>Run-Time Enginer for Web Services</v>
      </c>
      <c r="C569" s="74" t="str">
        <f>Originals!C350</f>
        <v>15.0.0</v>
      </c>
      <c r="D569" s="74" t="str">
        <f>Originals!D350</f>
        <v>32</v>
      </c>
      <c r="E569" s="74" t="str">
        <f>Originals!E350</f>
        <v>2015</v>
      </c>
      <c r="F569" s="74" t="str">
        <f>Originals!F350</f>
        <v>C-RIO</v>
      </c>
      <c r="G569" s="74" t="str">
        <f>Originals!G350</f>
        <v>NI</v>
      </c>
      <c r="H569" s="74" t="str">
        <f>Originals!H350</f>
        <v>Run-Time Enginer for Web Services 15.0.0</v>
      </c>
      <c r="I569" s="74">
        <f>Originals!I350</f>
        <v>0</v>
      </c>
    </row>
    <row r="570" spans="1:9" x14ac:dyDescent="0.25">
      <c r="A570" s="74" t="str">
        <f>Scott!A194</f>
        <v>3-Scott</v>
      </c>
      <c r="B570" s="74" t="str">
        <f>Scott!B194</f>
        <v>Signal Processing Toolkit</v>
      </c>
      <c r="C570" s="74" t="str">
        <f>Scott!C194</f>
        <v>7.0.2</v>
      </c>
      <c r="D570" s="74">
        <f>Scott!D194</f>
        <v>32</v>
      </c>
      <c r="E570" s="74">
        <f>Scott!E194</f>
        <v>2015</v>
      </c>
      <c r="F570" s="74" t="str">
        <f>Scott!F194</f>
        <v>Development</v>
      </c>
      <c r="G570" s="74" t="str">
        <f>Scott!G194</f>
        <v>NI</v>
      </c>
      <c r="H570" s="74" t="str">
        <f>Scott!H194</f>
        <v>Signal Processing Toolkit 7.0.2</v>
      </c>
      <c r="I570" s="74" t="str">
        <f>Scott!I194</f>
        <v>NI Developer Suite 2015 DS2 Install</v>
      </c>
    </row>
    <row r="571" spans="1:9" hidden="1" x14ac:dyDescent="0.25">
      <c r="A571" s="74" t="str">
        <f>Originals!A351</f>
        <v>4-Vinnie</v>
      </c>
      <c r="B571" s="74" t="str">
        <f>Originals!B351</f>
        <v>Software Management Web Support</v>
      </c>
      <c r="C571" s="74" t="str">
        <f>Originals!C351</f>
        <v>15.0.0</v>
      </c>
      <c r="D571" s="74" t="str">
        <f>Originals!D351</f>
        <v>32</v>
      </c>
      <c r="E571" s="74" t="str">
        <f>Originals!E351</f>
        <v>2015</v>
      </c>
      <c r="F571" s="74" t="str">
        <f>Originals!F351</f>
        <v>C-RIO</v>
      </c>
      <c r="G571" s="74" t="str">
        <f>Originals!G351</f>
        <v>NI</v>
      </c>
      <c r="H571" s="74" t="str">
        <f>Originals!H351</f>
        <v>Software Management Web Support 15.0.0</v>
      </c>
      <c r="I571" s="74">
        <f>Originals!I351</f>
        <v>0</v>
      </c>
    </row>
    <row r="572" spans="1:9" x14ac:dyDescent="0.25">
      <c r="A572" s="74" t="str">
        <f>Scott!A195</f>
        <v>3-Scott</v>
      </c>
      <c r="B572" s="74" t="str">
        <f>Scott!B195</f>
        <v>SQL Toolkit</v>
      </c>
      <c r="C572" s="74" t="str">
        <f>Scott!C195</f>
        <v>2.3.0</v>
      </c>
      <c r="D572" s="74">
        <f>Scott!D195</f>
        <v>32</v>
      </c>
      <c r="E572" s="74">
        <f>Scott!E195</f>
        <v>2015</v>
      </c>
      <c r="F572" s="74" t="str">
        <f>Scott!F195</f>
        <v>Development</v>
      </c>
      <c r="G572" s="74" t="str">
        <f>Scott!G195</f>
        <v>NI</v>
      </c>
      <c r="H572" s="74" t="str">
        <f>Scott!H195</f>
        <v>SQL Toolkit 2.3.0</v>
      </c>
      <c r="I572" s="74" t="str">
        <f>Scott!I195</f>
        <v>NI Developer Suite 2015 DS2 Install</v>
      </c>
    </row>
    <row r="573" spans="1:9" hidden="1" x14ac:dyDescent="0.25">
      <c r="A573" s="74" t="str">
        <f>Originals!A352</f>
        <v>4-Vinnie</v>
      </c>
      <c r="B573" s="74" t="str">
        <f>Originals!B352</f>
        <v>SSL Support for LabVIEW</v>
      </c>
      <c r="C573" s="74" t="str">
        <f>Originals!C352</f>
        <v>15.0.0</v>
      </c>
      <c r="D573" s="74" t="str">
        <f>Originals!D352</f>
        <v>32</v>
      </c>
      <c r="E573" s="74" t="str">
        <f>Originals!E352</f>
        <v>2015</v>
      </c>
      <c r="F573" s="74" t="str">
        <f>Originals!F352</f>
        <v>C-RIO</v>
      </c>
      <c r="G573" s="74" t="str">
        <f>Originals!G352</f>
        <v>NI</v>
      </c>
      <c r="H573" s="74" t="str">
        <f>Originals!H352</f>
        <v>SSL Support for LabVIEW 15.0.0</v>
      </c>
      <c r="I573" s="74">
        <f>Originals!I352</f>
        <v>0</v>
      </c>
    </row>
    <row r="574" spans="1:9" x14ac:dyDescent="0.25">
      <c r="A574" s="74" t="str">
        <f>Originals!A80</f>
        <v>1-Corey</v>
      </c>
      <c r="B574" s="74" t="str">
        <f>Originals!B80</f>
        <v>Statechart Module</v>
      </c>
      <c r="C574" s="74" t="str">
        <f>Originals!C80</f>
        <v>15.0</v>
      </c>
      <c r="D574" s="74" t="str">
        <f>Originals!D80</f>
        <v>32</v>
      </c>
      <c r="E574" s="74" t="str">
        <f>Originals!E80</f>
        <v>2015</v>
      </c>
      <c r="F574" s="74" t="str">
        <f>Originals!F80</f>
        <v>Development</v>
      </c>
      <c r="G574" s="74" t="str">
        <f>Originals!G80</f>
        <v>NI</v>
      </c>
      <c r="H574" s="74" t="str">
        <f>Originals!H80</f>
        <v>Statechart Module 15.0</v>
      </c>
      <c r="I574" s="74" t="str">
        <f>Originals!I80</f>
        <v>NI Developer Suite 2015 DS2 Install</v>
      </c>
    </row>
    <row r="575" spans="1:9" x14ac:dyDescent="0.25">
      <c r="A575" s="74" t="str">
        <f>Originals!A163</f>
        <v>2-Spencer</v>
      </c>
      <c r="B575" s="74" t="str">
        <f>Originals!B163</f>
        <v>Statechart Module</v>
      </c>
      <c r="C575" s="74" t="str">
        <f>Originals!C163</f>
        <v>15.0</v>
      </c>
      <c r="D575" s="74" t="str">
        <f>Originals!D163</f>
        <v>32</v>
      </c>
      <c r="E575" s="74" t="str">
        <f>Originals!E163</f>
        <v>2015</v>
      </c>
      <c r="F575" s="74" t="str">
        <f>Originals!F163</f>
        <v>Development</v>
      </c>
      <c r="G575" s="74" t="str">
        <f>Originals!G163</f>
        <v>NI</v>
      </c>
      <c r="H575" s="74" t="str">
        <f>Originals!H163</f>
        <v>Statechart Module 15.0</v>
      </c>
      <c r="I575" s="74" t="str">
        <f>Originals!I163</f>
        <v>NI Developer Suite 2015 DS2 Install</v>
      </c>
    </row>
    <row r="576" spans="1:9" x14ac:dyDescent="0.25">
      <c r="A576" s="74" t="str">
        <f>Scott!A196</f>
        <v>3-Scott</v>
      </c>
      <c r="B576" s="74" t="str">
        <f>Scott!B196</f>
        <v>Statechart Module</v>
      </c>
      <c r="C576" s="74" t="str">
        <f>Scott!C196</f>
        <v>15.0.0</v>
      </c>
      <c r="D576" s="74">
        <f>Scott!D196</f>
        <v>32</v>
      </c>
      <c r="E576" s="74">
        <f>Scott!E196</f>
        <v>2015</v>
      </c>
      <c r="F576" s="74" t="str">
        <f>Scott!F196</f>
        <v>Development</v>
      </c>
      <c r="G576" s="74" t="str">
        <f>Scott!G196</f>
        <v>NI</v>
      </c>
      <c r="H576" s="74" t="str">
        <f>Scott!H196</f>
        <v>Statechart Module 15.0.0</v>
      </c>
      <c r="I576" s="74" t="str">
        <f>Scott!I196</f>
        <v>NI Developer Suite 2015 DS2 Install</v>
      </c>
    </row>
    <row r="577" spans="1:9" hidden="1" x14ac:dyDescent="0.25">
      <c r="A577" s="74" t="str">
        <f>Originals!A353</f>
        <v>4-Vinnie</v>
      </c>
      <c r="B577" s="74" t="str">
        <f>Originals!B353</f>
        <v>Structure Error Handler</v>
      </c>
      <c r="C577" s="74" t="str">
        <f>Originals!C353</f>
        <v>2.1.10.1</v>
      </c>
      <c r="D577" s="74" t="str">
        <f>Originals!D353</f>
        <v>32</v>
      </c>
      <c r="E577" s="74" t="str">
        <f>Originals!E353</f>
        <v>N/A</v>
      </c>
      <c r="F577" s="74" t="str">
        <f>Originals!F353</f>
        <v>Development</v>
      </c>
      <c r="G577" s="74" t="str">
        <f>Originals!G353</f>
        <v>NI</v>
      </c>
      <c r="H577" s="74" t="str">
        <f>Originals!H353</f>
        <v>Structure Error Handler 2.1.10.1</v>
      </c>
      <c r="I577" s="74" t="str">
        <f>Originals!I353</f>
        <v>VIPM Community</v>
      </c>
    </row>
    <row r="578" spans="1:9" hidden="1" x14ac:dyDescent="0.25">
      <c r="A578" s="74" t="str">
        <f>Scott!A197</f>
        <v>3-Scott</v>
      </c>
      <c r="B578" s="74" t="str">
        <f>Scott!B197</f>
        <v>Structure Error Handler</v>
      </c>
      <c r="C578" s="74" t="str">
        <f>Scott!C197</f>
        <v>2.1.10.1</v>
      </c>
      <c r="D578" s="74" t="str">
        <f>Scott!D197</f>
        <v>32</v>
      </c>
      <c r="E578" s="74" t="str">
        <f>Scott!E197</f>
        <v>N/A</v>
      </c>
      <c r="F578" s="74" t="str">
        <f>Scott!F197</f>
        <v>Development</v>
      </c>
      <c r="G578" s="74" t="str">
        <f>Scott!G197</f>
        <v>NI</v>
      </c>
      <c r="H578" s="74" t="str">
        <f>Scott!H197</f>
        <v>Structure Error Handler 2.1.10.1</v>
      </c>
      <c r="I578" s="74" t="str">
        <f>Scott!I197</f>
        <v>VIPM Community</v>
      </c>
    </row>
    <row r="579" spans="1:9" hidden="1" x14ac:dyDescent="0.25">
      <c r="A579" s="74" t="str">
        <f>Originals!A354</f>
        <v>4-Vinnie</v>
      </c>
      <c r="B579" s="74" t="str">
        <f>Originals!B354</f>
        <v>Time Configuration Web Support</v>
      </c>
      <c r="C579" s="74" t="str">
        <f>Originals!C354</f>
        <v>15.0.0</v>
      </c>
      <c r="D579" s="74" t="str">
        <f>Originals!D354</f>
        <v>32</v>
      </c>
      <c r="E579" s="74" t="str">
        <f>Originals!E354</f>
        <v>2015</v>
      </c>
      <c r="F579" s="74" t="str">
        <f>Originals!F354</f>
        <v>C-RIO</v>
      </c>
      <c r="G579" s="74" t="str">
        <f>Originals!G354</f>
        <v>NI</v>
      </c>
      <c r="H579" s="74" t="str">
        <f>Originals!H354</f>
        <v>Time Configuration Web Support 15.0.0</v>
      </c>
      <c r="I579" s="74">
        <f>Originals!I354</f>
        <v>0</v>
      </c>
    </row>
    <row r="580" spans="1:9" hidden="1" x14ac:dyDescent="0.25">
      <c r="A580" s="74" t="str">
        <f>Originals!A355</f>
        <v>4-Vinnie</v>
      </c>
      <c r="B580" s="74" t="str">
        <f>Originals!B355</f>
        <v>UI Tools</v>
      </c>
      <c r="C580" s="74" t="str">
        <f>Originals!C355</f>
        <v>1.4.1.74</v>
      </c>
      <c r="D580" s="74" t="str">
        <f>Originals!D355</f>
        <v>32</v>
      </c>
      <c r="E580" s="74" t="str">
        <f>Originals!E355</f>
        <v>N/A</v>
      </c>
      <c r="F580" s="74" t="str">
        <f>Originals!F355</f>
        <v>Development</v>
      </c>
      <c r="G580" s="74" t="str">
        <f>Originals!G355</f>
        <v>LAVA</v>
      </c>
      <c r="H580" s="74" t="str">
        <f>Originals!H355</f>
        <v>UI Tools 1.4.1.74</v>
      </c>
      <c r="I580" s="74" t="str">
        <f>Originals!I355</f>
        <v>VIPM Community</v>
      </c>
    </row>
    <row r="581" spans="1:9" hidden="1" x14ac:dyDescent="0.25">
      <c r="A581" s="74" t="str">
        <f>Scott!A204</f>
        <v>3-Scott</v>
      </c>
      <c r="B581" s="74" t="str">
        <f>Scott!B204</f>
        <v>UI Tools</v>
      </c>
      <c r="C581" s="74" t="str">
        <f>Scott!C204</f>
        <v>1.4.1.74</v>
      </c>
      <c r="D581" s="74" t="str">
        <f>Scott!D204</f>
        <v>32</v>
      </c>
      <c r="E581" s="74" t="str">
        <f>Scott!E204</f>
        <v>N/A</v>
      </c>
      <c r="F581" s="74" t="str">
        <f>Scott!F204</f>
        <v>Development</v>
      </c>
      <c r="G581" s="74" t="str">
        <f>Scott!G204</f>
        <v>NI</v>
      </c>
      <c r="H581" s="74" t="str">
        <f>Scott!H204</f>
        <v>UI Tools 1.4.1.74</v>
      </c>
      <c r="I581" s="74" t="str">
        <f>Scott!I204</f>
        <v>VIPM Community</v>
      </c>
    </row>
    <row r="582" spans="1:9" x14ac:dyDescent="0.25">
      <c r="A582" s="74" t="str">
        <f>Originals!A81</f>
        <v>1-Corey</v>
      </c>
      <c r="B582" s="74" t="str">
        <f>Originals!B81</f>
        <v>Unit Test Framework Toolkit</v>
      </c>
      <c r="C582" s="74" t="str">
        <f>Originals!C81</f>
        <v>15.0.0</v>
      </c>
      <c r="D582" s="74" t="str">
        <f>Originals!D81</f>
        <v>32</v>
      </c>
      <c r="E582" s="74" t="str">
        <f>Originals!E81</f>
        <v>2015</v>
      </c>
      <c r="F582" s="74" t="str">
        <f>Originals!F81</f>
        <v>Development</v>
      </c>
      <c r="G582" s="74" t="str">
        <f>Originals!G81</f>
        <v>NI</v>
      </c>
      <c r="H582" s="74" t="str">
        <f>Originals!H81</f>
        <v>Unit Test Framework Toolkit 15.0.0</v>
      </c>
      <c r="I582" s="74" t="str">
        <f>Originals!I81</f>
        <v>NI Developer Suite 2015 DS2 Install</v>
      </c>
    </row>
    <row r="583" spans="1:9" x14ac:dyDescent="0.25">
      <c r="A583" s="74" t="str">
        <f>Originals!A164</f>
        <v>2-Spencer</v>
      </c>
      <c r="B583" s="74" t="str">
        <f>Originals!B164</f>
        <v>Unit Test Framework Toolkit</v>
      </c>
      <c r="C583" s="74" t="str">
        <f>Originals!C164</f>
        <v>15.0.0</v>
      </c>
      <c r="D583" s="74" t="str">
        <f>Originals!D164</f>
        <v>32</v>
      </c>
      <c r="E583" s="74" t="str">
        <f>Originals!E164</f>
        <v>2015</v>
      </c>
      <c r="F583" s="74" t="str">
        <f>Originals!F164</f>
        <v>Development</v>
      </c>
      <c r="G583" s="74" t="str">
        <f>Originals!G164</f>
        <v>NI</v>
      </c>
      <c r="H583" s="74" t="str">
        <f>Originals!H164</f>
        <v>Unit Test Framework Toolkit 15.0.0</v>
      </c>
      <c r="I583" s="74" t="str">
        <f>Originals!I164</f>
        <v>NI Developer Suite 2015 DS2 Install</v>
      </c>
    </row>
    <row r="584" spans="1:9" x14ac:dyDescent="0.25">
      <c r="A584" s="74" t="str">
        <f>Scott!A198</f>
        <v>3-Scott</v>
      </c>
      <c r="B584" s="74" t="str">
        <f>Scott!B198</f>
        <v>Unit Test Framework Toolkit</v>
      </c>
      <c r="C584" s="74" t="str">
        <f>Scott!C198</f>
        <v>15.0.0</v>
      </c>
      <c r="D584" s="74">
        <f>Scott!D198</f>
        <v>32</v>
      </c>
      <c r="E584" s="74">
        <f>Scott!E198</f>
        <v>2015</v>
      </c>
      <c r="F584" s="74" t="str">
        <f>Scott!F198</f>
        <v>Development</v>
      </c>
      <c r="G584" s="74" t="str">
        <f>Scott!G198</f>
        <v>NI</v>
      </c>
      <c r="H584" s="74" t="str">
        <f>Scott!H198</f>
        <v>Unit Test Framework Toolkit 15.0.0</v>
      </c>
      <c r="I584" s="74" t="str">
        <f>Scott!I198</f>
        <v>NI Developer Suite 2015 DS2 Install</v>
      </c>
    </row>
    <row r="585" spans="1:9" x14ac:dyDescent="0.25">
      <c r="A585" s="74" t="str">
        <f>Originals!A356</f>
        <v>4-Vinnie</v>
      </c>
      <c r="B585" s="74" t="str">
        <f>Originals!B356</f>
        <v>USB3 Vision Driver</v>
      </c>
      <c r="C585" s="74" t="str">
        <f>Originals!C356</f>
        <v>18.5.0.49152</v>
      </c>
      <c r="D585" s="74" t="str">
        <f>Originals!D356</f>
        <v>32</v>
      </c>
      <c r="E585" s="74" t="str">
        <f>Originals!E356</f>
        <v>2018</v>
      </c>
      <c r="F585" s="74" t="str">
        <f>Originals!F356</f>
        <v>Development</v>
      </c>
      <c r="G585" s="74" t="str">
        <f>Originals!G356</f>
        <v>NI</v>
      </c>
      <c r="H585" s="74" t="str">
        <f>Originals!H356</f>
        <v>USB3 Vision Driver 18.5.0.49152</v>
      </c>
      <c r="I585" s="74">
        <f>Originals!I356</f>
        <v>0</v>
      </c>
    </row>
    <row r="586" spans="1:9" x14ac:dyDescent="0.25">
      <c r="A586" s="74" t="str">
        <f>Scott!A199</f>
        <v>3-Scott</v>
      </c>
      <c r="B586" s="74" t="str">
        <f>Scott!B199</f>
        <v>USB3 Vision Driver</v>
      </c>
      <c r="C586" s="74" t="str">
        <f>Scott!C199</f>
        <v>19.0.0.49152</v>
      </c>
      <c r="D586" s="74" t="str">
        <f>Scott!D199</f>
        <v>32</v>
      </c>
      <c r="E586" s="74" t="str">
        <f>Scott!E199</f>
        <v>2019</v>
      </c>
      <c r="F586" s="74" t="str">
        <f>Scott!F199</f>
        <v>Development</v>
      </c>
      <c r="G586" s="74" t="str">
        <f>Scott!G199</f>
        <v>NI</v>
      </c>
      <c r="H586" s="74" t="str">
        <f>Scott!H199</f>
        <v>USB3 Vision Driver 19.0.0.49152</v>
      </c>
      <c r="I586" s="74" t="str">
        <f>Scott!I199</f>
        <v>LabVIEW 2019</v>
      </c>
    </row>
    <row r="587" spans="1:9" hidden="1" x14ac:dyDescent="0.25">
      <c r="A587" s="74" t="str">
        <f>Originals!A357</f>
        <v>4-Vinnie</v>
      </c>
      <c r="B587" s="74" t="str">
        <f>Originals!B357</f>
        <v>Variable Client Support for LabVIEW RT</v>
      </c>
      <c r="C587" s="74" t="str">
        <f>Originals!C357</f>
        <v>15.0.0</v>
      </c>
      <c r="D587" s="74" t="str">
        <f>Originals!D357</f>
        <v>32</v>
      </c>
      <c r="E587" s="74" t="str">
        <f>Originals!E357</f>
        <v>2015</v>
      </c>
      <c r="F587" s="74" t="str">
        <f>Originals!F357</f>
        <v>C-RIO</v>
      </c>
      <c r="G587" s="74" t="str">
        <f>Originals!G357</f>
        <v>NI</v>
      </c>
      <c r="H587" s="74" t="str">
        <f>Originals!H357</f>
        <v>Variable Client Support for LabVIEW RT 15.0.0</v>
      </c>
      <c r="I587" s="74">
        <f>Originals!I357</f>
        <v>0</v>
      </c>
    </row>
    <row r="588" spans="1:9" hidden="1" x14ac:dyDescent="0.25">
      <c r="A588" s="74" t="str">
        <f>Originals!A358</f>
        <v>4-Vinnie</v>
      </c>
      <c r="B588" s="74" t="str">
        <f>Originals!B358</f>
        <v>Variable Legacy Protocol Support</v>
      </c>
      <c r="C588" s="74" t="str">
        <f>Originals!C358</f>
        <v>5.7.1</v>
      </c>
      <c r="D588" s="74" t="str">
        <f>Originals!D358</f>
        <v>32</v>
      </c>
      <c r="E588" s="74" t="str">
        <f>Originals!E358</f>
        <v>2015</v>
      </c>
      <c r="F588" s="74" t="str">
        <f>Originals!F358</f>
        <v>C-RIO</v>
      </c>
      <c r="G588" s="74" t="str">
        <f>Originals!G358</f>
        <v>NI</v>
      </c>
      <c r="H588" s="74" t="str">
        <f>Originals!H358</f>
        <v>Variable Legacy Protocol Support 5.7.1</v>
      </c>
      <c r="I588" s="74">
        <f>Originals!I358</f>
        <v>0</v>
      </c>
    </row>
    <row r="589" spans="1:9" hidden="1" x14ac:dyDescent="0.25">
      <c r="A589" s="74" t="str">
        <f>Originals!A359</f>
        <v>4-Vinnie</v>
      </c>
      <c r="B589" s="74" t="str">
        <f>Originals!B359</f>
        <v>Variable Legacy Server Support</v>
      </c>
      <c r="C589" s="74" t="str">
        <f>Originals!C359</f>
        <v>5.7.1</v>
      </c>
      <c r="D589" s="74" t="str">
        <f>Originals!D359</f>
        <v>32</v>
      </c>
      <c r="E589" s="74" t="str">
        <f>Originals!E359</f>
        <v>2015</v>
      </c>
      <c r="F589" s="74" t="str">
        <f>Originals!F359</f>
        <v>C-RIO</v>
      </c>
      <c r="G589" s="74" t="str">
        <f>Originals!G359</f>
        <v>NI</v>
      </c>
      <c r="H589" s="74" t="str">
        <f>Originals!H359</f>
        <v>Variable Legacy Server Support 5.7.1</v>
      </c>
      <c r="I589" s="74">
        <f>Originals!I359</f>
        <v>0</v>
      </c>
    </row>
    <row r="590" spans="1:9" x14ac:dyDescent="0.25">
      <c r="A590" s="74" t="str">
        <f>Originals!A82</f>
        <v>1-Corey</v>
      </c>
      <c r="B590" s="74" t="str">
        <f>Originals!B82</f>
        <v>VI Analyzer Toolkit</v>
      </c>
      <c r="C590" s="74" t="str">
        <f>Originals!C82</f>
        <v>15.0.0</v>
      </c>
      <c r="D590" s="74" t="str">
        <f>Originals!D82</f>
        <v>32</v>
      </c>
      <c r="E590" s="74" t="str">
        <f>Originals!E82</f>
        <v>2015</v>
      </c>
      <c r="F590" s="74" t="str">
        <f>Originals!F82</f>
        <v>Development</v>
      </c>
      <c r="G590" s="74" t="str">
        <f>Originals!G82</f>
        <v>NI</v>
      </c>
      <c r="H590" s="74" t="str">
        <f>Originals!H82</f>
        <v>VI Analyzer Toolkit 15.0.0</v>
      </c>
      <c r="I590" s="74" t="str">
        <f>Originals!I82</f>
        <v>NI Developer Suite 2015 DS2 Install</v>
      </c>
    </row>
    <row r="591" spans="1:9" x14ac:dyDescent="0.25">
      <c r="A591" s="74" t="str">
        <f>Originals!A165</f>
        <v>2-Spencer</v>
      </c>
      <c r="B591" s="74" t="str">
        <f>Originals!B165</f>
        <v>VI Analyzer Toolkit</v>
      </c>
      <c r="C591" s="74" t="str">
        <f>Originals!C165</f>
        <v>15.0.0</v>
      </c>
      <c r="D591" s="74" t="str">
        <f>Originals!D165</f>
        <v>32</v>
      </c>
      <c r="E591" s="74" t="str">
        <f>Originals!E165</f>
        <v>2015</v>
      </c>
      <c r="F591" s="74" t="str">
        <f>Originals!F165</f>
        <v>Development</v>
      </c>
      <c r="G591" s="74" t="str">
        <f>Originals!G165</f>
        <v>NI</v>
      </c>
      <c r="H591" s="74" t="str">
        <f>Originals!H165</f>
        <v>VI Analyzer Toolkit 15.0.0</v>
      </c>
      <c r="I591" s="74" t="str">
        <f>Originals!I165</f>
        <v>NI Developer Suite 2015 DS2 Install</v>
      </c>
    </row>
    <row r="592" spans="1:9" x14ac:dyDescent="0.25">
      <c r="A592" s="74" t="str">
        <f>Scott!A200</f>
        <v>3-Scott</v>
      </c>
      <c r="B592" s="74" t="str">
        <f>Scott!B200</f>
        <v>VI Analyzer Toolkit</v>
      </c>
      <c r="C592" s="74" t="str">
        <f>Scott!C200</f>
        <v>15.0.0</v>
      </c>
      <c r="D592" s="74">
        <f>Scott!D200</f>
        <v>32</v>
      </c>
      <c r="E592" s="74">
        <f>Scott!E200</f>
        <v>2015</v>
      </c>
      <c r="F592" s="74" t="str">
        <f>Scott!F200</f>
        <v>Development</v>
      </c>
      <c r="G592" s="74" t="str">
        <f>Scott!G200</f>
        <v>NI</v>
      </c>
      <c r="H592" s="74" t="str">
        <f>Scott!H200</f>
        <v>VI Analyzer Toolkit 15.0.0</v>
      </c>
      <c r="I592" s="74" t="str">
        <f>Scott!I200</f>
        <v>NI Developer Suite 2015 DS2 Install</v>
      </c>
    </row>
    <row r="593" spans="1:9" x14ac:dyDescent="0.25">
      <c r="A593" s="74" t="str">
        <f>Originals!A360</f>
        <v>4-Vinnie</v>
      </c>
      <c r="B593" s="74" t="str">
        <f>Originals!B360</f>
        <v>Vision Assistant</v>
      </c>
      <c r="C593" s="74" t="str">
        <f>Originals!C360</f>
        <v>18.5.0</v>
      </c>
      <c r="D593" s="74" t="str">
        <f>Originals!D360</f>
        <v>32</v>
      </c>
      <c r="E593" s="74" t="str">
        <f>Originals!E360</f>
        <v>2018</v>
      </c>
      <c r="F593" s="74" t="str">
        <f>Originals!F360</f>
        <v>Development</v>
      </c>
      <c r="G593" s="74" t="str">
        <f>Originals!G360</f>
        <v>NI</v>
      </c>
      <c r="H593" s="74" t="str">
        <f>Originals!H360</f>
        <v>Vision Assistant 18.5.0</v>
      </c>
      <c r="I593" s="74">
        <f>Originals!I360</f>
        <v>0</v>
      </c>
    </row>
    <row r="594" spans="1:9" hidden="1" x14ac:dyDescent="0.25">
      <c r="A594" s="74" t="str">
        <f>Originals!A361</f>
        <v>4-Vinnie</v>
      </c>
      <c r="B594" s="74" t="str">
        <f>Originals!B361</f>
        <v>Vision Assistant</v>
      </c>
      <c r="C594" s="74" t="str">
        <f>Originals!C361</f>
        <v>18.5.0</v>
      </c>
      <c r="D594" s="74" t="str">
        <f>Originals!D361</f>
        <v>64</v>
      </c>
      <c r="E594" s="74" t="str">
        <f>Originals!E361</f>
        <v>2018</v>
      </c>
      <c r="F594" s="74" t="str">
        <f>Originals!F361</f>
        <v>Development</v>
      </c>
      <c r="G594" s="74" t="str">
        <f>Originals!G361</f>
        <v>NI</v>
      </c>
      <c r="H594" s="74" t="str">
        <f>Originals!H361</f>
        <v>Vision Assistant 18.5.0</v>
      </c>
      <c r="I594" s="74">
        <f>Originals!I361</f>
        <v>0</v>
      </c>
    </row>
    <row r="595" spans="1:9" x14ac:dyDescent="0.25">
      <c r="A595" s="74" t="str">
        <f>Scott!A201</f>
        <v>3-Scott</v>
      </c>
      <c r="B595" s="74" t="str">
        <f>Scott!B201</f>
        <v>Vision Common Resources</v>
      </c>
      <c r="C595" s="74" t="str">
        <f>Scott!C201</f>
        <v>19.0.0</v>
      </c>
      <c r="D595" s="74" t="str">
        <f>Scott!D201</f>
        <v>32</v>
      </c>
      <c r="E595" s="74" t="str">
        <f>Scott!E201</f>
        <v>2019</v>
      </c>
      <c r="F595" s="74" t="str">
        <f>Scott!F201</f>
        <v>Development</v>
      </c>
      <c r="G595" s="74" t="str">
        <f>Scott!G201</f>
        <v>NI</v>
      </c>
      <c r="H595" s="74" t="str">
        <f>Scott!H201</f>
        <v>Vision Common Resources 19.0.0</v>
      </c>
      <c r="I595" s="74" t="str">
        <f>Scott!I201</f>
        <v>LabVIEW 2019</v>
      </c>
    </row>
    <row r="596" spans="1:9" x14ac:dyDescent="0.25">
      <c r="A596" s="74" t="str">
        <f>Originals!A362</f>
        <v>4-Vinnie</v>
      </c>
      <c r="B596" s="74" t="str">
        <f>Originals!B362</f>
        <v>Vision Common Resources</v>
      </c>
      <c r="C596" s="74" t="str">
        <f>Originals!C362</f>
        <v>19.5.0</v>
      </c>
      <c r="D596" s="74" t="str">
        <f>Originals!D362</f>
        <v>32</v>
      </c>
      <c r="E596" s="74" t="str">
        <f>Originals!E362</f>
        <v>2019</v>
      </c>
      <c r="F596" s="74" t="str">
        <f>Originals!F362</f>
        <v>Development</v>
      </c>
      <c r="G596" s="74" t="str">
        <f>Originals!G362</f>
        <v>NI</v>
      </c>
      <c r="H596" s="74" t="str">
        <f>Originals!H362</f>
        <v>Vision Common Resources 19.5.0</v>
      </c>
      <c r="I596" s="74">
        <f>Originals!I362</f>
        <v>0</v>
      </c>
    </row>
    <row r="597" spans="1:9" x14ac:dyDescent="0.25">
      <c r="A597" s="74" t="str">
        <f>Originals!A363</f>
        <v>4-Vinnie</v>
      </c>
      <c r="B597" s="74" t="str">
        <f>Originals!B363</f>
        <v>Vision Development Module</v>
      </c>
      <c r="C597" s="74" t="str">
        <f>Originals!C363</f>
        <v>18.5.0</v>
      </c>
      <c r="D597" s="74" t="str">
        <f>Originals!D363</f>
        <v>32</v>
      </c>
      <c r="E597" s="74" t="str">
        <f>Originals!E363</f>
        <v>2018</v>
      </c>
      <c r="F597" s="74" t="str">
        <f>Originals!F363</f>
        <v>Development</v>
      </c>
      <c r="G597" s="74" t="str">
        <f>Originals!G363</f>
        <v>NI</v>
      </c>
      <c r="H597" s="74" t="str">
        <f>Originals!H363</f>
        <v>Vision Development Module 18.5.0</v>
      </c>
      <c r="I597" s="74">
        <f>Originals!I363</f>
        <v>0</v>
      </c>
    </row>
    <row r="598" spans="1:9" x14ac:dyDescent="0.25">
      <c r="A598" s="74" t="str">
        <f>Scott!A202</f>
        <v>3-Scott</v>
      </c>
      <c r="B598" s="74" t="str">
        <f>Scott!B202</f>
        <v>Vision Development Module</v>
      </c>
      <c r="C598" s="74" t="str">
        <f>Scott!C202</f>
        <v>19.0.0</v>
      </c>
      <c r="D598" s="74" t="str">
        <f>Scott!D202</f>
        <v>32</v>
      </c>
      <c r="E598" s="74" t="str">
        <f>Scott!E202</f>
        <v>2019</v>
      </c>
      <c r="F598" s="74" t="str">
        <f>Scott!F202</f>
        <v>Development</v>
      </c>
      <c r="G598" s="74" t="str">
        <f>Scott!G202</f>
        <v>NI</v>
      </c>
      <c r="H598" s="74" t="str">
        <f>Scott!H202</f>
        <v>Vision Development Module 19.0.0</v>
      </c>
      <c r="I598" s="74" t="str">
        <f>Scott!I202</f>
        <v>LabVIEW 2019</v>
      </c>
    </row>
    <row r="599" spans="1:9" x14ac:dyDescent="0.25">
      <c r="A599" s="74" t="str">
        <f>Originals!A364</f>
        <v>4-Vinnie</v>
      </c>
      <c r="B599" s="74" t="str">
        <f>Originals!B364</f>
        <v>Vision Development Module</v>
      </c>
      <c r="C599" s="74" t="str">
        <f>Originals!C364</f>
        <v>19.5.0</v>
      </c>
      <c r="D599" s="74" t="str">
        <f>Originals!D364</f>
        <v>32</v>
      </c>
      <c r="E599" s="74" t="str">
        <f>Originals!E364</f>
        <v>2019</v>
      </c>
      <c r="F599" s="74" t="str">
        <f>Originals!F364</f>
        <v>Development</v>
      </c>
      <c r="G599" s="74" t="str">
        <f>Originals!G364</f>
        <v>NI</v>
      </c>
      <c r="H599" s="74" t="str">
        <f>Originals!H364</f>
        <v>Vision Development Module 19.5.0</v>
      </c>
      <c r="I599" s="74">
        <f>Originals!I364</f>
        <v>0</v>
      </c>
    </row>
    <row r="600" spans="1:9" x14ac:dyDescent="0.25">
      <c r="A600" s="74" t="str">
        <f>Originals!A365</f>
        <v>4-Vinnie</v>
      </c>
      <c r="B600" s="74" t="str">
        <f>Originals!B365</f>
        <v>Vision Development Module Development Support</v>
      </c>
      <c r="C600" s="74" t="str">
        <f>Originals!C365</f>
        <v>18.5.0 SP1</v>
      </c>
      <c r="D600" s="74" t="str">
        <f>Originals!D365</f>
        <v>32</v>
      </c>
      <c r="E600" s="74" t="str">
        <f>Originals!E365</f>
        <v>2018</v>
      </c>
      <c r="F600" s="74" t="str">
        <f>Originals!F365</f>
        <v>Development</v>
      </c>
      <c r="G600" s="74" t="str">
        <f>Originals!G365</f>
        <v>NI</v>
      </c>
      <c r="H600" s="74" t="str">
        <f>Originals!H365</f>
        <v>Vision Development Module Development Support 18.5.0 SP1</v>
      </c>
      <c r="I600" s="74">
        <f>Originals!I365</f>
        <v>0</v>
      </c>
    </row>
    <row r="601" spans="1:9" hidden="1" x14ac:dyDescent="0.25">
      <c r="A601" s="74" t="str">
        <f>Scott!A203</f>
        <v>3-Scott</v>
      </c>
      <c r="B601" s="74" t="str">
        <f>Scott!B203</f>
        <v>Vision Development Module Support</v>
      </c>
      <c r="C601" s="74" t="str">
        <f>Scott!C203</f>
        <v>19.0.0</v>
      </c>
      <c r="D601" s="74" t="str">
        <f>Scott!D203</f>
        <v>32</v>
      </c>
      <c r="E601" s="74" t="str">
        <f>Scott!E203</f>
        <v>2019</v>
      </c>
      <c r="F601" s="74" t="str">
        <f>Scott!F203</f>
        <v>Runtime</v>
      </c>
      <c r="G601" s="74" t="str">
        <f>Scott!G203</f>
        <v>NI</v>
      </c>
      <c r="H601" s="74" t="str">
        <f>Scott!H203</f>
        <v>Vision Development Module Support 19.0.0</v>
      </c>
      <c r="I601" s="74" t="str">
        <f>Scott!I203</f>
        <v>LabVIEW 2019</v>
      </c>
    </row>
    <row r="602" spans="1:9" hidden="1" x14ac:dyDescent="0.25">
      <c r="A602" s="74" t="str">
        <f>Originals!A366</f>
        <v>4-Vinnie</v>
      </c>
      <c r="B602" s="74" t="str">
        <f>Originals!B366</f>
        <v>Vision Development Module Support</v>
      </c>
      <c r="C602" s="74" t="str">
        <f>Originals!C366</f>
        <v>19.5.0 SP1</v>
      </c>
      <c r="D602" s="74" t="str">
        <f>Originals!D366</f>
        <v>32</v>
      </c>
      <c r="E602" s="74" t="str">
        <f>Originals!E366</f>
        <v>2019</v>
      </c>
      <c r="F602" s="74" t="str">
        <f>Originals!F366</f>
        <v>Runtime</v>
      </c>
      <c r="G602" s="74" t="str">
        <f>Originals!G366</f>
        <v>NI</v>
      </c>
      <c r="H602" s="74" t="str">
        <f>Originals!H366</f>
        <v>Vision Development Module Support 19.5.0 SP1</v>
      </c>
      <c r="I602" s="74">
        <f>Originals!I366</f>
        <v>0</v>
      </c>
    </row>
    <row r="603" spans="1:9" hidden="1" x14ac:dyDescent="0.25">
      <c r="A603" s="74" t="str">
        <f>Originals!A367</f>
        <v>4-Vinnie</v>
      </c>
      <c r="B603" s="74" t="str">
        <f>Originals!B367</f>
        <v>WebDAV Cleitn with SSL Support</v>
      </c>
      <c r="C603" s="74" t="str">
        <f>Originals!C367</f>
        <v>15.0.0</v>
      </c>
      <c r="D603" s="74" t="str">
        <f>Originals!D367</f>
        <v>32</v>
      </c>
      <c r="E603" s="74" t="str">
        <f>Originals!E367</f>
        <v>2015</v>
      </c>
      <c r="F603" s="74" t="str">
        <f>Originals!F367</f>
        <v>C-RIO</v>
      </c>
      <c r="G603" s="74" t="str">
        <f>Originals!G367</f>
        <v>NI</v>
      </c>
      <c r="H603" s="74" t="str">
        <f>Originals!H367</f>
        <v>WebDAV Cleitn with SSL Support 15.0.0</v>
      </c>
      <c r="I603" s="74">
        <f>Originals!I367</f>
        <v>0</v>
      </c>
    </row>
    <row r="604" spans="1:9" hidden="1" x14ac:dyDescent="0.25">
      <c r="A604" s="74" t="str">
        <f>Originals!A368</f>
        <v>4-Vinnie</v>
      </c>
      <c r="B604" s="74" t="str">
        <f>Originals!B368</f>
        <v>WebDAV Server</v>
      </c>
      <c r="C604" s="74" t="str">
        <f>Originals!C368</f>
        <v>15.0.0</v>
      </c>
      <c r="D604" s="74" t="str">
        <f>Originals!D368</f>
        <v>32</v>
      </c>
      <c r="E604" s="74" t="str">
        <f>Originals!E368</f>
        <v>2015</v>
      </c>
      <c r="F604" s="74" t="str">
        <f>Originals!F368</f>
        <v>C-RIO</v>
      </c>
      <c r="G604" s="74" t="str">
        <f>Originals!G368</f>
        <v>NI</v>
      </c>
      <c r="H604" s="74" t="str">
        <f>Originals!H368</f>
        <v>WebDAV Server 15.0.0</v>
      </c>
      <c r="I604" s="74">
        <f>Originals!I368</f>
        <v>0</v>
      </c>
    </row>
  </sheetData>
  <autoFilter ref="A3:I604" xr:uid="{7507DAF1-67F4-4979-B49F-B59086354299}">
    <filterColumn colId="3">
      <filters>
        <filter val="32"/>
      </filters>
    </filterColumn>
    <filterColumn colId="5">
      <filters>
        <filter val="Development"/>
      </filters>
    </filterColumn>
    <filterColumn colId="8">
      <filters blank="1">
        <filter val="2015 SP1 Update Service"/>
        <filter val="CompactRIO 18.1.0"/>
        <filter val="LabVIEW 2015 SP1"/>
        <filter val="LabVIEW 2019"/>
        <filter val="NI CAN 15.0"/>
        <filter val="NI Developer Suite 2015 DS2 Install"/>
        <filter val="NI FieldPoint 15.0"/>
        <filter val="NI-CAN 15.0"/>
        <filter val="NI-Industrial Communications for EtherCAT on &quot;Y' Drive"/>
        <filter val="NI-XNET 18.5"/>
      </filters>
    </filterColumn>
    <sortState xmlns:xlrd2="http://schemas.microsoft.com/office/spreadsheetml/2017/richdata2" ref="A4:I604">
      <sortCondition ref="H3:H604"/>
    </sortState>
  </autoFilter>
  <mergeCells count="1">
    <mergeCell ref="B1: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5412E-67A0-4436-B27C-26CC56C27032}">
  <dimension ref="A1:J409"/>
  <sheetViews>
    <sheetView showZeros="0" topLeftCell="A82" zoomScaleNormal="100" workbookViewId="0">
      <selection activeCell="B22" sqref="B22"/>
    </sheetView>
  </sheetViews>
  <sheetFormatPr defaultRowHeight="15" x14ac:dyDescent="0.25"/>
  <cols>
    <col min="1" max="1" width="9.7109375" style="171" bestFit="1" customWidth="1"/>
    <col min="2" max="2" width="44.140625" style="171" bestFit="1" customWidth="1"/>
    <col min="3" max="3" width="12.42578125" style="171" bestFit="1" customWidth="1"/>
    <col min="4" max="4" width="12.28515625" style="171" bestFit="1" customWidth="1"/>
    <col min="5" max="5" width="11.140625" style="171" bestFit="1" customWidth="1"/>
    <col min="6" max="6" width="26.85546875" style="171" customWidth="1"/>
    <col min="7" max="7" width="15.28515625" style="171" bestFit="1" customWidth="1"/>
    <col min="8" max="8" width="51" style="171" bestFit="1" customWidth="1"/>
    <col min="9" max="9" width="44" style="171" bestFit="1" customWidth="1"/>
    <col min="10" max="10" width="18.5703125" style="171" bestFit="1" customWidth="1"/>
    <col min="11" max="16384" width="9.140625" style="171"/>
  </cols>
  <sheetData>
    <row r="1" spans="1:10" x14ac:dyDescent="0.25">
      <c r="A1" s="13" t="s">
        <v>98</v>
      </c>
      <c r="B1" s="1" t="s">
        <v>99</v>
      </c>
      <c r="C1" s="1" t="s">
        <v>3</v>
      </c>
      <c r="D1" s="1" t="s">
        <v>4</v>
      </c>
      <c r="E1" s="1" t="s">
        <v>5</v>
      </c>
      <c r="F1" s="1" t="s">
        <v>100</v>
      </c>
      <c r="G1" s="1" t="s">
        <v>6</v>
      </c>
      <c r="H1" s="3" t="s">
        <v>101</v>
      </c>
      <c r="I1" s="4" t="s">
        <v>7</v>
      </c>
      <c r="J1" s="171" t="s">
        <v>548</v>
      </c>
    </row>
    <row r="2" spans="1:10" x14ac:dyDescent="0.25">
      <c r="A2" s="36" t="str">
        <f>Scott!A4</f>
        <v>3-Scott</v>
      </c>
      <c r="B2" s="36" t="str">
        <f>Scott!B4</f>
        <v>Advanced Signal Processing Toolkit</v>
      </c>
      <c r="C2" s="36" t="str">
        <f>Scott!C4</f>
        <v>15.0.0</v>
      </c>
      <c r="D2" s="36">
        <f>Scott!D4</f>
        <v>32</v>
      </c>
      <c r="E2" s="36">
        <f>Scott!E4</f>
        <v>2015</v>
      </c>
      <c r="F2" s="36" t="str">
        <f>Scott!F4</f>
        <v>Development</v>
      </c>
      <c r="G2" s="36" t="str">
        <f>Scott!G4</f>
        <v>NI</v>
      </c>
      <c r="H2" s="36" t="str">
        <f>Scott!H4</f>
        <v>Advanced Signal Processing Toolkit 15.0.0</v>
      </c>
      <c r="I2" s="36" t="str">
        <f>Scott!I4</f>
        <v>NI Developer Suite 2015 DS2 Install</v>
      </c>
    </row>
    <row r="3" spans="1:10" x14ac:dyDescent="0.25">
      <c r="A3" s="36" t="str">
        <f>Scott!A5</f>
        <v>3-Scott</v>
      </c>
      <c r="B3" s="36" t="str">
        <f>Scott!B5</f>
        <v>C Series Module Support</v>
      </c>
      <c r="C3" s="36" t="str">
        <f>Scott!C5</f>
        <v>18.1.0</v>
      </c>
      <c r="D3" s="36" t="str">
        <f>Scott!D5</f>
        <v>32</v>
      </c>
      <c r="E3" s="36" t="str">
        <f>Scott!E5</f>
        <v>2018</v>
      </c>
      <c r="F3" s="36" t="str">
        <f>Scott!F5</f>
        <v>Development</v>
      </c>
      <c r="G3" s="36" t="str">
        <f>Scott!G5</f>
        <v>NI</v>
      </c>
      <c r="H3" s="36" t="str">
        <f>Scott!H5</f>
        <v>C Series Module Support 18.1.0</v>
      </c>
      <c r="I3" s="36" t="str">
        <f>Scott!I5</f>
        <v>CompactRIO 18.1.0</v>
      </c>
    </row>
    <row r="4" spans="1:10" x14ac:dyDescent="0.25">
      <c r="A4" s="172" t="str">
        <f>Originals!A166</f>
        <v>4-Vinnie</v>
      </c>
      <c r="B4" s="172" t="str">
        <f>Originals!B166</f>
        <v>C Series Module Support</v>
      </c>
      <c r="C4" s="172" t="str">
        <f>Originals!C166</f>
        <v>15.5.0</v>
      </c>
      <c r="D4" s="172" t="str">
        <f>Originals!D166</f>
        <v>32</v>
      </c>
      <c r="E4" s="172">
        <f>Originals!E166</f>
        <v>2015</v>
      </c>
      <c r="F4" s="172" t="str">
        <f>Originals!F166</f>
        <v>Development</v>
      </c>
      <c r="G4" s="172" t="str">
        <f>Originals!G166</f>
        <v>NI</v>
      </c>
      <c r="H4" s="172" t="str">
        <f>Originals!H166</f>
        <v>C Series Module Support 15.5.0</v>
      </c>
      <c r="I4" s="172">
        <f>Originals!I166</f>
        <v>0</v>
      </c>
    </row>
    <row r="5" spans="1:10" x14ac:dyDescent="0.25">
      <c r="A5" s="36" t="str">
        <f>Scott!A6</f>
        <v>3-Scott</v>
      </c>
      <c r="B5" s="36" t="str">
        <f>Scott!B6</f>
        <v>Caraya Unit Test Framework</v>
      </c>
      <c r="C5" s="36" t="str">
        <f>Scott!C6</f>
        <v>0.6.3.54</v>
      </c>
      <c r="D5" s="36" t="str">
        <f>Scott!D6</f>
        <v>32</v>
      </c>
      <c r="E5" s="36" t="str">
        <f>Scott!E6</f>
        <v>N/A</v>
      </c>
      <c r="F5" s="36" t="str">
        <f>Scott!F6</f>
        <v>Development</v>
      </c>
      <c r="G5" s="36" t="str">
        <f>Scott!G6</f>
        <v>JKI</v>
      </c>
      <c r="H5" s="36" t="str">
        <f>Scott!H6</f>
        <v>Caraya Unit Test Framework 0.6.3.54</v>
      </c>
      <c r="I5" s="36" t="str">
        <f>Scott!I6</f>
        <v>VIPM Community</v>
      </c>
    </row>
    <row r="6" spans="1:10" x14ac:dyDescent="0.25">
      <c r="A6" s="172" t="str">
        <f>Originals!A167</f>
        <v>4-Vinnie</v>
      </c>
      <c r="B6" s="172" t="str">
        <f>Originals!B167</f>
        <v>Caraya Unit Test Framework</v>
      </c>
      <c r="C6" s="172" t="str">
        <f>Originals!C167</f>
        <v>0.6.3.54</v>
      </c>
      <c r="D6" s="172" t="str">
        <f>Originals!D167</f>
        <v>32</v>
      </c>
      <c r="E6" s="172" t="str">
        <f>Originals!E167</f>
        <v>N/A</v>
      </c>
      <c r="F6" s="172" t="str">
        <f>Originals!F167</f>
        <v>Development</v>
      </c>
      <c r="G6" s="172" t="str">
        <f>Originals!G167</f>
        <v>JKI</v>
      </c>
      <c r="H6" s="172" t="str">
        <f>Originals!H167</f>
        <v>Caraya Unit Test Framework 0.6.3.54</v>
      </c>
      <c r="I6" s="172" t="str">
        <f>Originals!I167</f>
        <v>VIPM Community</v>
      </c>
    </row>
    <row r="7" spans="1:10" x14ac:dyDescent="0.25">
      <c r="A7" s="36" t="str">
        <f>Scott!A7</f>
        <v>3-Scott</v>
      </c>
      <c r="B7" s="36" t="str">
        <f>Scott!B7</f>
        <v>CompactRIO</v>
      </c>
      <c r="C7" s="36" t="str">
        <f>Scott!C7</f>
        <v>18.1.0</v>
      </c>
      <c r="D7" s="36" t="str">
        <f>Scott!D7</f>
        <v>32</v>
      </c>
      <c r="E7" s="36" t="str">
        <f>Scott!E7</f>
        <v>2018</v>
      </c>
      <c r="F7" s="36" t="str">
        <f>Scott!F7</f>
        <v>Development</v>
      </c>
      <c r="G7" s="36" t="str">
        <f>Scott!G7</f>
        <v>NI</v>
      </c>
      <c r="H7" s="36" t="str">
        <f>Scott!H7</f>
        <v>CompactRIO 18.1.0</v>
      </c>
      <c r="I7" s="36" t="str">
        <f>Scott!I7</f>
        <v>CompactRIO 18.1.0</v>
      </c>
    </row>
    <row r="8" spans="1:10" x14ac:dyDescent="0.25">
      <c r="A8" s="172" t="str">
        <f>Originals!A168</f>
        <v>4-Vinnie</v>
      </c>
      <c r="B8" s="172" t="str">
        <f>Originals!B168</f>
        <v>CompactRIO</v>
      </c>
      <c r="C8" s="172" t="str">
        <f>Originals!C168</f>
        <v>15.5.0</v>
      </c>
      <c r="D8" s="172" t="str">
        <f>Originals!D168</f>
        <v>32</v>
      </c>
      <c r="E8" s="172">
        <f>Originals!E168</f>
        <v>2015</v>
      </c>
      <c r="F8" s="172" t="str">
        <f>Originals!F168</f>
        <v>Development</v>
      </c>
      <c r="G8" s="172" t="str">
        <f>Originals!G168</f>
        <v>NI</v>
      </c>
      <c r="H8" s="172" t="str">
        <f>Originals!H168</f>
        <v>CompactRIO 15.5.0</v>
      </c>
      <c r="I8" s="172">
        <f>Originals!I168</f>
        <v>0</v>
      </c>
    </row>
    <row r="9" spans="1:10" x14ac:dyDescent="0.25">
      <c r="A9" s="172" t="str">
        <f>Originals!A169</f>
        <v>4-Vinnie</v>
      </c>
      <c r="B9" s="172" t="str">
        <f>Originals!B169</f>
        <v>CompactRIO Suport</v>
      </c>
      <c r="C9" s="172" t="str">
        <f>Originals!C169</f>
        <v>15.5</v>
      </c>
      <c r="D9" s="172" t="str">
        <f>Originals!D169</f>
        <v>32</v>
      </c>
      <c r="E9" s="172" t="str">
        <f>Originals!E169</f>
        <v>2015</v>
      </c>
      <c r="F9" s="172" t="str">
        <f>Originals!F169</f>
        <v>C-RIO</v>
      </c>
      <c r="G9" s="172" t="str">
        <f>Originals!G169</f>
        <v>NI</v>
      </c>
      <c r="H9" s="172" t="str">
        <f>Originals!H169</f>
        <v>CompactRIO Suport 15.5</v>
      </c>
      <c r="I9" s="172">
        <f>Originals!I169</f>
        <v>0</v>
      </c>
    </row>
    <row r="10" spans="1:10" x14ac:dyDescent="0.25">
      <c r="A10" s="36" t="str">
        <f>Scott!A8</f>
        <v>3-Scott</v>
      </c>
      <c r="B10" s="36" t="str">
        <f>Scott!B8</f>
        <v>CVI</v>
      </c>
      <c r="C10" s="36" t="str">
        <f>Scott!C8</f>
        <v>15.0.0</v>
      </c>
      <c r="D10" s="36">
        <f>Scott!D8</f>
        <v>32</v>
      </c>
      <c r="E10" s="36">
        <f>Scott!E8</f>
        <v>2015</v>
      </c>
      <c r="F10" s="36" t="str">
        <f>Scott!F8</f>
        <v>Development</v>
      </c>
      <c r="G10" s="36" t="str">
        <f>Scott!G8</f>
        <v>NI</v>
      </c>
      <c r="H10" s="36" t="str">
        <f>Scott!H8</f>
        <v>CVI 15.0.0</v>
      </c>
      <c r="I10" s="36" t="str">
        <f>Scott!I8</f>
        <v>NI Developer Suite 2015 DS2 Install</v>
      </c>
    </row>
    <row r="11" spans="1:10" x14ac:dyDescent="0.25">
      <c r="A11" s="36" t="str">
        <f>Scott!A9</f>
        <v>3-Scott</v>
      </c>
      <c r="B11" s="36" t="str">
        <f>Scott!B9</f>
        <v>CVI</v>
      </c>
      <c r="C11" s="36" t="str">
        <f>Scott!C9</f>
        <v>15.0.0.408</v>
      </c>
      <c r="D11" s="36">
        <f>Scott!D9</f>
        <v>32</v>
      </c>
      <c r="E11" s="36">
        <f>Scott!E9</f>
        <v>2015</v>
      </c>
      <c r="F11" s="36" t="str">
        <f>Scott!F9</f>
        <v>Runtime</v>
      </c>
      <c r="G11" s="36" t="str">
        <f>Scott!G9</f>
        <v>NI</v>
      </c>
      <c r="H11" s="36" t="str">
        <f>Scott!H9</f>
        <v>CVI 15.0.0.408</v>
      </c>
      <c r="I11" s="36" t="str">
        <f>Scott!I9</f>
        <v>LabVIEW 2015 SP1</v>
      </c>
    </row>
    <row r="12" spans="1:10" x14ac:dyDescent="0.25">
      <c r="A12" s="172" t="str">
        <f>Originals!A170</f>
        <v>4-Vinnie</v>
      </c>
      <c r="B12" s="172" t="str">
        <f>Originals!B170</f>
        <v>CVI</v>
      </c>
      <c r="C12" s="172" t="str">
        <f>Originals!C170</f>
        <v>19.0.0.49154</v>
      </c>
      <c r="D12" s="172" t="str">
        <f>Originals!D170</f>
        <v>32</v>
      </c>
      <c r="E12" s="172" t="str">
        <f>Originals!E170</f>
        <v>2019</v>
      </c>
      <c r="F12" s="172" t="str">
        <f>Originals!F170</f>
        <v>Runtime</v>
      </c>
      <c r="G12" s="172" t="str">
        <f>Originals!G170</f>
        <v>NI</v>
      </c>
      <c r="H12" s="172" t="str">
        <f>Originals!H170</f>
        <v>CVI 19.0.0.49154</v>
      </c>
      <c r="I12" s="172">
        <f>Originals!I170</f>
        <v>0</v>
      </c>
    </row>
    <row r="13" spans="1:10" x14ac:dyDescent="0.25">
      <c r="A13" s="36" t="str">
        <f>Scott!A10</f>
        <v>3-Scott</v>
      </c>
      <c r="B13" s="36" t="str">
        <f>Scott!B10</f>
        <v>CVI AddOns</v>
      </c>
      <c r="C13" s="36">
        <f>Scott!C10</f>
        <v>0</v>
      </c>
      <c r="D13" s="36">
        <f>Scott!D10</f>
        <v>32</v>
      </c>
      <c r="E13" s="36">
        <f>Scott!E10</f>
        <v>2015</v>
      </c>
      <c r="F13" s="36" t="str">
        <f>Scott!F10</f>
        <v>Development</v>
      </c>
      <c r="G13" s="36" t="str">
        <f>Scott!G10</f>
        <v>NI</v>
      </c>
      <c r="H13" s="36" t="str">
        <f>Scott!H10</f>
        <v xml:space="preserve">CVI AddOns </v>
      </c>
      <c r="I13" s="36" t="str">
        <f>Scott!I10</f>
        <v>NI Developer Suite 2015 DS2 Install</v>
      </c>
    </row>
    <row r="14" spans="1:10" x14ac:dyDescent="0.25">
      <c r="A14" s="36" t="str">
        <f>Scott!A11</f>
        <v>3-Scott</v>
      </c>
      <c r="B14" s="36" t="str">
        <f>Scott!B11</f>
        <v>Database Connectivity Toolkit</v>
      </c>
      <c r="C14" s="36" t="str">
        <f>Scott!C11</f>
        <v>15.0.0</v>
      </c>
      <c r="D14" s="36">
        <f>Scott!D11</f>
        <v>32</v>
      </c>
      <c r="E14" s="36">
        <f>Scott!E11</f>
        <v>2015</v>
      </c>
      <c r="F14" s="36" t="str">
        <f>Scott!F11</f>
        <v>Development</v>
      </c>
      <c r="G14" s="36" t="str">
        <f>Scott!G11</f>
        <v>NI</v>
      </c>
      <c r="H14" s="36" t="str">
        <f>Scott!H11</f>
        <v>Database Connectivity Toolkit 15.0.0</v>
      </c>
      <c r="I14" s="36" t="str">
        <f>Scott!I11</f>
        <v>NI Developer Suite 2015 DS2 Install</v>
      </c>
    </row>
    <row r="15" spans="1:10" x14ac:dyDescent="0.25">
      <c r="A15" s="172" t="str">
        <f>Originals!A171</f>
        <v>4-Vinnie</v>
      </c>
      <c r="B15" s="172" t="str">
        <f>Originals!B171</f>
        <v>Database Connectivity Toolkit</v>
      </c>
      <c r="C15" s="172" t="str">
        <f>Originals!C171</f>
        <v>15.0.0</v>
      </c>
      <c r="D15" s="172" t="str">
        <f>Originals!D171</f>
        <v>32</v>
      </c>
      <c r="E15" s="172">
        <f>Originals!E171</f>
        <v>2015</v>
      </c>
      <c r="F15" s="172" t="str">
        <f>Originals!F171</f>
        <v>Development</v>
      </c>
      <c r="G15" s="172" t="str">
        <f>Originals!G171</f>
        <v>NI</v>
      </c>
      <c r="H15" s="172" t="str">
        <f>Originals!H171</f>
        <v>Database Connectivity Toolkit 15.0.0</v>
      </c>
      <c r="I15" s="172" t="str">
        <f>Originals!I171</f>
        <v>NI Developer Suite 2015 DS2 Install</v>
      </c>
    </row>
    <row r="16" spans="1:10" x14ac:dyDescent="0.25">
      <c r="A16" s="36" t="str">
        <f>Scott!A12</f>
        <v>3-Scott</v>
      </c>
      <c r="B16" s="36" t="str">
        <f>Scott!B12</f>
        <v>DataFinder Toolkit</v>
      </c>
      <c r="C16" s="36" t="str">
        <f>Scott!C12</f>
        <v>15.0.06020</v>
      </c>
      <c r="D16" s="36">
        <f>Scott!D12</f>
        <v>32</v>
      </c>
      <c r="E16" s="36">
        <f>Scott!E12</f>
        <v>2015</v>
      </c>
      <c r="F16" s="36" t="str">
        <f>Scott!F12</f>
        <v>Development</v>
      </c>
      <c r="G16" s="36" t="str">
        <f>Scott!G12</f>
        <v>NI</v>
      </c>
      <c r="H16" s="36" t="str">
        <f>Scott!H12</f>
        <v>DataFinder Toolkit 15.0.06020</v>
      </c>
      <c r="I16" s="36" t="str">
        <f>Scott!I12</f>
        <v>NI Developer Suite 2015 DS2 Install</v>
      </c>
    </row>
    <row r="17" spans="1:9" x14ac:dyDescent="0.25">
      <c r="A17" s="36" t="str">
        <f>Scott!A13</f>
        <v>3-Scott</v>
      </c>
      <c r="B17" s="36" t="str">
        <f>Scott!B13</f>
        <v>Delacor QMH</v>
      </c>
      <c r="C17" s="36" t="str">
        <f>Scott!C13</f>
        <v>4.0.0.28</v>
      </c>
      <c r="D17" s="36" t="str">
        <f>Scott!D13</f>
        <v>32</v>
      </c>
      <c r="E17" s="36" t="str">
        <f>Scott!E13</f>
        <v>N/A</v>
      </c>
      <c r="F17" s="36" t="str">
        <f>Scott!F13</f>
        <v>Development</v>
      </c>
      <c r="G17" s="36" t="str">
        <f>Scott!G13</f>
        <v>DQMH Consortium</v>
      </c>
      <c r="H17" s="36" t="str">
        <f>Scott!H13</f>
        <v>Delacor QMH 4.0.0.28</v>
      </c>
      <c r="I17" s="36" t="str">
        <f>Scott!I13</f>
        <v>VIPM Community</v>
      </c>
    </row>
    <row r="18" spans="1:9" x14ac:dyDescent="0.25">
      <c r="A18" s="172" t="str">
        <f>Originals!A172</f>
        <v>4-Vinnie</v>
      </c>
      <c r="B18" s="172" t="str">
        <f>Originals!B172</f>
        <v>Delacor QMH</v>
      </c>
      <c r="C18" s="172" t="str">
        <f>Originals!C172</f>
        <v>4.0.0.28</v>
      </c>
      <c r="D18" s="172" t="str">
        <f>Originals!D172</f>
        <v>32</v>
      </c>
      <c r="E18" s="172" t="str">
        <f>Originals!E172</f>
        <v>N/A</v>
      </c>
      <c r="F18" s="172" t="str">
        <f>Originals!F172</f>
        <v>Development</v>
      </c>
      <c r="G18" s="172" t="str">
        <f>Originals!G172</f>
        <v>DQMH Consortium</v>
      </c>
      <c r="H18" s="172" t="str">
        <f>Originals!H172</f>
        <v>Delacor QMH 4.0.0.28</v>
      </c>
      <c r="I18" s="172" t="str">
        <f>Originals!I172</f>
        <v>VIPM Community</v>
      </c>
    </row>
    <row r="19" spans="1:9" x14ac:dyDescent="0.25">
      <c r="A19" s="36" t="str">
        <f>Scott!A14</f>
        <v>3-Scott</v>
      </c>
      <c r="B19" s="36" t="str">
        <f>Scott!B14</f>
        <v>Delacor QMH Event Scripter</v>
      </c>
      <c r="C19" s="36" t="str">
        <f>Scott!C14</f>
        <v>4.0.0.68</v>
      </c>
      <c r="D19" s="36" t="str">
        <f>Scott!D14</f>
        <v>32</v>
      </c>
      <c r="E19" s="36" t="str">
        <f>Scott!E14</f>
        <v>N/A</v>
      </c>
      <c r="F19" s="36" t="str">
        <f>Scott!F14</f>
        <v>Development</v>
      </c>
      <c r="G19" s="36" t="str">
        <f>Scott!G14</f>
        <v>DQMH Consortium</v>
      </c>
      <c r="H19" s="36" t="str">
        <f>Scott!H14</f>
        <v>Delacor QMH Event Scripter 4.0.0.68</v>
      </c>
      <c r="I19" s="36" t="str">
        <f>Scott!I14</f>
        <v>VIPM Community</v>
      </c>
    </row>
    <row r="20" spans="1:9" x14ac:dyDescent="0.25">
      <c r="A20" s="172" t="str">
        <f>Originals!A173</f>
        <v>4-Vinnie</v>
      </c>
      <c r="B20" s="172" t="str">
        <f>Originals!B173</f>
        <v>Delacor QMH Event Scripter</v>
      </c>
      <c r="C20" s="172" t="str">
        <f>Originals!C173</f>
        <v>4.0.0.68</v>
      </c>
      <c r="D20" s="172" t="str">
        <f>Originals!D173</f>
        <v>32</v>
      </c>
      <c r="E20" s="172" t="str">
        <f>Originals!E173</f>
        <v>N/A</v>
      </c>
      <c r="F20" s="172" t="str">
        <f>Originals!F173</f>
        <v>Development</v>
      </c>
      <c r="G20" s="172" t="str">
        <f>Originals!G173</f>
        <v>DQMH Consortium</v>
      </c>
      <c r="H20" s="172" t="str">
        <f>Originals!H173</f>
        <v>Delacor QMH Event Scripter 4.0.0.68</v>
      </c>
      <c r="I20" s="172" t="str">
        <f>Originals!I173</f>
        <v>VIPM Community</v>
      </c>
    </row>
    <row r="21" spans="1:9" x14ac:dyDescent="0.25">
      <c r="A21" s="36" t="str">
        <f>Scott!A15</f>
        <v>3-Scott</v>
      </c>
      <c r="B21" s="36" t="str">
        <f>Scott!B15</f>
        <v>Delacor QMH Palette</v>
      </c>
      <c r="C21" s="36" t="str">
        <f>Scott!C15</f>
        <v>3.0.0.1</v>
      </c>
      <c r="D21" s="36" t="str">
        <f>Scott!D15</f>
        <v>32</v>
      </c>
      <c r="E21" s="36" t="str">
        <f>Scott!E15</f>
        <v>N/A</v>
      </c>
      <c r="F21" s="36" t="str">
        <f>Scott!F15</f>
        <v>Development</v>
      </c>
      <c r="G21" s="36" t="str">
        <f>Scott!G15</f>
        <v>DQMH Consortium</v>
      </c>
      <c r="H21" s="36" t="str">
        <f>Scott!H15</f>
        <v>Delacor QMH Palette 3.0.0.1</v>
      </c>
      <c r="I21" s="36" t="str">
        <f>Scott!I15</f>
        <v>VIPM Community</v>
      </c>
    </row>
    <row r="22" spans="1:9" x14ac:dyDescent="0.25">
      <c r="A22" s="172" t="str">
        <f>Originals!A174</f>
        <v>4-Vinnie</v>
      </c>
      <c r="B22" s="172" t="str">
        <f>Originals!B174</f>
        <v>Delacor QMH Palette</v>
      </c>
      <c r="C22" s="172" t="str">
        <f>Originals!C174</f>
        <v>3.0.0.1</v>
      </c>
      <c r="D22" s="172" t="str">
        <f>Originals!D174</f>
        <v>32</v>
      </c>
      <c r="E22" s="172" t="str">
        <f>Originals!E174</f>
        <v>N/A</v>
      </c>
      <c r="F22" s="172" t="str">
        <f>Originals!F174</f>
        <v>Development</v>
      </c>
      <c r="G22" s="172" t="str">
        <f>Originals!G174</f>
        <v>DQMH Consortium</v>
      </c>
      <c r="H22" s="172" t="str">
        <f>Originals!H174</f>
        <v>Delacor QMH Palette 3.0.0.1</v>
      </c>
      <c r="I22" s="172" t="str">
        <f>Originals!I174</f>
        <v>VIPM Community</v>
      </c>
    </row>
    <row r="23" spans="1:9" x14ac:dyDescent="0.25">
      <c r="A23" s="36" t="str">
        <f>Scott!A16</f>
        <v>3-Scott</v>
      </c>
      <c r="B23" s="36" t="str">
        <f>Scott!B16</f>
        <v>Delacor QMH Project Template</v>
      </c>
      <c r="C23" s="36" t="str">
        <f>Scott!C16</f>
        <v>4.0.0.47</v>
      </c>
      <c r="D23" s="36" t="str">
        <f>Scott!D16</f>
        <v>32</v>
      </c>
      <c r="E23" s="36" t="str">
        <f>Scott!E16</f>
        <v>N/A</v>
      </c>
      <c r="F23" s="36" t="str">
        <f>Scott!F16</f>
        <v>Development</v>
      </c>
      <c r="G23" s="36" t="str">
        <f>Scott!G16</f>
        <v>DQMH Consortium</v>
      </c>
      <c r="H23" s="36" t="str">
        <f>Scott!H16</f>
        <v>Delacor QMH Project Template 4.0.0.47</v>
      </c>
      <c r="I23" s="36" t="str">
        <f>Scott!I16</f>
        <v>VIPM Community</v>
      </c>
    </row>
    <row r="24" spans="1:9" x14ac:dyDescent="0.25">
      <c r="A24" s="172" t="str">
        <f>Originals!A175</f>
        <v>4-Vinnie</v>
      </c>
      <c r="B24" s="172" t="str">
        <f>Originals!B175</f>
        <v>Delacor QMH Project Template</v>
      </c>
      <c r="C24" s="172" t="str">
        <f>Originals!C175</f>
        <v>4.0.0.47</v>
      </c>
      <c r="D24" s="172" t="str">
        <f>Originals!D175</f>
        <v>32</v>
      </c>
      <c r="E24" s="172" t="str">
        <f>Originals!E175</f>
        <v>N/A</v>
      </c>
      <c r="F24" s="172" t="str">
        <f>Originals!F175</f>
        <v>Development</v>
      </c>
      <c r="G24" s="172" t="str">
        <f>Originals!G175</f>
        <v>DQMH Consortium</v>
      </c>
      <c r="H24" s="172" t="str">
        <f>Originals!H175</f>
        <v>Delacor QMH Project Template 4.0.0.47</v>
      </c>
      <c r="I24" s="172" t="str">
        <f>Originals!I175</f>
        <v>VIPM Community</v>
      </c>
    </row>
    <row r="25" spans="1:9" x14ac:dyDescent="0.25">
      <c r="A25" s="36" t="str">
        <f>Scott!A17</f>
        <v>3-Scott</v>
      </c>
      <c r="B25" s="36" t="str">
        <f>Scott!B17</f>
        <v>Delacor QMH Thermal Chamber Examples</v>
      </c>
      <c r="C25" s="36" t="str">
        <f>Scott!C17</f>
        <v>4.0.0.21</v>
      </c>
      <c r="D25" s="36" t="str">
        <f>Scott!D17</f>
        <v>32</v>
      </c>
      <c r="E25" s="36" t="str">
        <f>Scott!E17</f>
        <v>N/A</v>
      </c>
      <c r="F25" s="36" t="str">
        <f>Scott!F17</f>
        <v>Development</v>
      </c>
      <c r="G25" s="36" t="str">
        <f>Scott!G17</f>
        <v>DQMH Consortium</v>
      </c>
      <c r="H25" s="36" t="str">
        <f>Scott!H17</f>
        <v>Delacor QMH Thermal Chamber Examples 4.0.0.21</v>
      </c>
      <c r="I25" s="36" t="str">
        <f>Scott!I17</f>
        <v>VIPM Community</v>
      </c>
    </row>
    <row r="26" spans="1:9" x14ac:dyDescent="0.25">
      <c r="A26" s="172" t="str">
        <f>Originals!A176</f>
        <v>4-Vinnie</v>
      </c>
      <c r="B26" s="172" t="str">
        <f>Originals!B176</f>
        <v>Delacor QMH Thermal Chamber Examples</v>
      </c>
      <c r="C26" s="172" t="str">
        <f>Originals!C176</f>
        <v>4.0.0.21</v>
      </c>
      <c r="D26" s="172" t="str">
        <f>Originals!D176</f>
        <v>32</v>
      </c>
      <c r="E26" s="172" t="str">
        <f>Originals!E176</f>
        <v>N/A</v>
      </c>
      <c r="F26" s="172" t="str">
        <f>Originals!F176</f>
        <v>Development</v>
      </c>
      <c r="G26" s="172" t="str">
        <f>Originals!G176</f>
        <v>DQMH Consortium</v>
      </c>
      <c r="H26" s="172" t="str">
        <f>Originals!H176</f>
        <v>Delacor QMH Thermal Chamber Examples 4.0.0.21</v>
      </c>
      <c r="I26" s="172" t="str">
        <f>Originals!I176</f>
        <v>VIPM Community</v>
      </c>
    </row>
    <row r="27" spans="1:9" x14ac:dyDescent="0.25">
      <c r="A27" s="36" t="str">
        <f>Scott!A18</f>
        <v>3-Scott</v>
      </c>
      <c r="B27" s="36" t="str">
        <f>Scott!B18</f>
        <v>Digital Filter Design Toolkit</v>
      </c>
      <c r="C27" s="36" t="str">
        <f>Scott!C18</f>
        <v>15.0.0</v>
      </c>
      <c r="D27" s="36">
        <f>Scott!D18</f>
        <v>32</v>
      </c>
      <c r="E27" s="36">
        <f>Scott!E18</f>
        <v>2015</v>
      </c>
      <c r="F27" s="36" t="str">
        <f>Scott!F18</f>
        <v>Development</v>
      </c>
      <c r="G27" s="36" t="str">
        <f>Scott!G18</f>
        <v>NI</v>
      </c>
      <c r="H27" s="36" t="str">
        <f>Scott!H18</f>
        <v>Digital Filter Design Toolkit 15.0.0</v>
      </c>
      <c r="I27" s="36" t="str">
        <f>Scott!I18</f>
        <v>NI Developer Suite 2015 DS2 Install</v>
      </c>
    </row>
    <row r="28" spans="1:9" x14ac:dyDescent="0.25">
      <c r="A28" s="36" t="str">
        <f>Scott!A19</f>
        <v>3-Scott</v>
      </c>
      <c r="B28" s="36" t="str">
        <f>Scott!B19</f>
        <v>DMC UX Toolkit</v>
      </c>
      <c r="C28" s="36" t="str">
        <f>Scott!C19</f>
        <v>1.0.0.2</v>
      </c>
      <c r="D28" s="36" t="str">
        <f>Scott!D19</f>
        <v>32</v>
      </c>
      <c r="E28" s="36" t="str">
        <f>Scott!E19</f>
        <v>2015</v>
      </c>
      <c r="F28" s="36">
        <f>Scott!F19</f>
        <v>0</v>
      </c>
      <c r="G28" s="36">
        <f>Scott!G19</f>
        <v>0</v>
      </c>
      <c r="H28" s="36" t="str">
        <f>Scott!H19</f>
        <v>DMC UX Toolkit 1.0.0.2</v>
      </c>
      <c r="I28" s="36" t="str">
        <f>Scott!I19</f>
        <v>VIPM Community</v>
      </c>
    </row>
    <row r="29" spans="1:9" x14ac:dyDescent="0.25">
      <c r="A29" s="172" t="str">
        <f>Originals!A177</f>
        <v>4-Vinnie</v>
      </c>
      <c r="B29" s="172" t="str">
        <f>Originals!B177</f>
        <v>DMC UX Toolkit</v>
      </c>
      <c r="C29" s="172" t="str">
        <f>Originals!C177</f>
        <v>1.0.0.2</v>
      </c>
      <c r="D29" s="172" t="str">
        <f>Originals!D177</f>
        <v>32</v>
      </c>
      <c r="E29" s="172" t="str">
        <f>Originals!E177</f>
        <v>N/A</v>
      </c>
      <c r="F29" s="172" t="str">
        <f>Originals!F177</f>
        <v>Development</v>
      </c>
      <c r="G29" s="172" t="str">
        <f>Originals!G177</f>
        <v>DMC</v>
      </c>
      <c r="H29" s="172" t="str">
        <f>Originals!H177</f>
        <v>DMC UX Toolkit 1.0.0.2</v>
      </c>
      <c r="I29" s="172" t="str">
        <f>Originals!I177</f>
        <v>VIPM Community</v>
      </c>
    </row>
    <row r="30" spans="1:9" x14ac:dyDescent="0.25">
      <c r="A30" s="36" t="str">
        <f>Scott!A207</f>
        <v>3-Scott</v>
      </c>
      <c r="B30" s="36" t="str">
        <f>Scott!B207</f>
        <v>FieldPoint</v>
      </c>
      <c r="C30" s="36">
        <f>Scott!C207</f>
        <v>15</v>
      </c>
      <c r="D30" s="36">
        <f>Scott!D207</f>
        <v>32</v>
      </c>
      <c r="E30" s="36">
        <f>Scott!E207</f>
        <v>2015</v>
      </c>
      <c r="F30" s="36" t="str">
        <f>Scott!F207</f>
        <v>Development</v>
      </c>
      <c r="G30" s="36" t="str">
        <f>Scott!G207</f>
        <v>NI</v>
      </c>
      <c r="H30" s="36" t="str">
        <f>Scott!H207</f>
        <v>FieldPoint 15</v>
      </c>
      <c r="I30" s="36" t="str">
        <f>Scott!I207</f>
        <v>NI FieldPoint 15.0</v>
      </c>
    </row>
    <row r="31" spans="1:9" x14ac:dyDescent="0.25">
      <c r="A31" s="172" t="str">
        <f>Originals!A178</f>
        <v>4-Vinnie</v>
      </c>
      <c r="B31" s="172" t="str">
        <f>Originals!B178</f>
        <v>FieldPoint</v>
      </c>
      <c r="C31" s="172">
        <f>Originals!C178</f>
        <v>15</v>
      </c>
      <c r="D31" s="172" t="str">
        <f>Originals!D178</f>
        <v>32</v>
      </c>
      <c r="E31" s="172" t="str">
        <f>Originals!E178</f>
        <v>2015</v>
      </c>
      <c r="F31" s="172" t="str">
        <f>Originals!F178</f>
        <v>Development</v>
      </c>
      <c r="G31" s="172" t="str">
        <f>Originals!G178</f>
        <v>NI</v>
      </c>
      <c r="H31" s="172" t="str">
        <f>Originals!H178</f>
        <v>FieldPoint 15</v>
      </c>
      <c r="I31" s="172">
        <f>Originals!I178</f>
        <v>0</v>
      </c>
    </row>
    <row r="32" spans="1:9" x14ac:dyDescent="0.25">
      <c r="A32" s="36" t="str">
        <f>Scott!A20</f>
        <v>3-Scott</v>
      </c>
      <c r="B32" s="36" t="str">
        <f>Scott!B20</f>
        <v>FlexRIO</v>
      </c>
      <c r="C32" s="36" t="str">
        <f>Scott!C20</f>
        <v>15.0.0f0</v>
      </c>
      <c r="D32" s="36">
        <f>Scott!D20</f>
        <v>32</v>
      </c>
      <c r="E32" s="36">
        <f>Scott!E20</f>
        <v>2015</v>
      </c>
      <c r="F32" s="36" t="str">
        <f>Scott!F20</f>
        <v>Development</v>
      </c>
      <c r="G32" s="36" t="str">
        <f>Scott!G20</f>
        <v>NI</v>
      </c>
      <c r="H32" s="36" t="str">
        <f>Scott!H20</f>
        <v>FlexRIO 15.0.0f0</v>
      </c>
      <c r="I32" s="36" t="str">
        <f>Scott!I20</f>
        <v>NI Developer Suite 2015 DS2 Install</v>
      </c>
    </row>
    <row r="33" spans="1:9" x14ac:dyDescent="0.25">
      <c r="A33" s="172" t="str">
        <f>Originals!A179</f>
        <v>4-Vinnie</v>
      </c>
      <c r="B33" s="172" t="str">
        <f>Originals!B179</f>
        <v>FlexRIO</v>
      </c>
      <c r="C33" s="172" t="str">
        <f>Originals!C179</f>
        <v>15.5.0f0</v>
      </c>
      <c r="D33" s="172" t="str">
        <f>Originals!D179</f>
        <v>32</v>
      </c>
      <c r="E33" s="172">
        <f>Originals!E179</f>
        <v>2015</v>
      </c>
      <c r="F33" s="172" t="str">
        <f>Originals!F179</f>
        <v>Development</v>
      </c>
      <c r="G33" s="172" t="str">
        <f>Originals!G179</f>
        <v>NI</v>
      </c>
      <c r="H33" s="172" t="str">
        <f>Originals!H179</f>
        <v>FlexRIO 15.5.0f0</v>
      </c>
      <c r="I33" s="172">
        <f>Originals!I179</f>
        <v>0</v>
      </c>
    </row>
    <row r="34" spans="1:9" x14ac:dyDescent="0.25">
      <c r="A34" s="172" t="str">
        <f>Originals!A180</f>
        <v>4-Vinnie</v>
      </c>
      <c r="B34" s="172" t="str">
        <f>Originals!B180</f>
        <v>FPGA</v>
      </c>
      <c r="C34" s="172" t="str">
        <f>Originals!C180</f>
        <v>15.0.1</v>
      </c>
      <c r="D34" s="172" t="str">
        <f>Originals!D180</f>
        <v>32</v>
      </c>
      <c r="E34" s="172">
        <f>Originals!E180</f>
        <v>2015</v>
      </c>
      <c r="F34" s="172" t="str">
        <f>Originals!F180</f>
        <v>Development</v>
      </c>
      <c r="G34" s="172" t="str">
        <f>Originals!G180</f>
        <v>NI</v>
      </c>
      <c r="H34" s="172" t="str">
        <f>Originals!H180</f>
        <v>FPGA 15.0.1</v>
      </c>
      <c r="I34" s="172">
        <f>Originals!I180</f>
        <v>0</v>
      </c>
    </row>
    <row r="35" spans="1:9" x14ac:dyDescent="0.25">
      <c r="A35" s="36" t="str">
        <f>Scott!A21</f>
        <v>3-Scott</v>
      </c>
      <c r="B35" s="36" t="str">
        <f>Scott!B21</f>
        <v>GigE Vision Driver</v>
      </c>
      <c r="C35" s="36" t="str">
        <f>Scott!C21</f>
        <v>1.9.3.49152</v>
      </c>
      <c r="D35" s="36" t="str">
        <f>Scott!D21</f>
        <v>32</v>
      </c>
      <c r="E35" s="36" t="str">
        <f>Scott!E21</f>
        <v>2019</v>
      </c>
      <c r="F35" s="36" t="str">
        <f>Scott!F21</f>
        <v>Development</v>
      </c>
      <c r="G35" s="36" t="str">
        <f>Scott!G21</f>
        <v>NI</v>
      </c>
      <c r="H35" s="36" t="str">
        <f>Scott!H21</f>
        <v>GigE Vision Driver 2019 1.9.3.49152</v>
      </c>
      <c r="I35" s="36" t="str">
        <f>Scott!I21</f>
        <v>LabVIEW 2019</v>
      </c>
    </row>
    <row r="36" spans="1:9" x14ac:dyDescent="0.25">
      <c r="A36" s="36" t="str">
        <f>Scott!A22</f>
        <v>3-Scott</v>
      </c>
      <c r="B36" s="36" t="str">
        <f>Scott!B22</f>
        <v>GPower All Toolsets</v>
      </c>
      <c r="C36" s="36" t="str">
        <f>Scott!C22</f>
        <v>2017.0.0.11</v>
      </c>
      <c r="D36" s="36" t="str">
        <f>Scott!D22</f>
        <v>32</v>
      </c>
      <c r="E36" s="36" t="str">
        <f>Scott!E22</f>
        <v>N/A</v>
      </c>
      <c r="F36" s="36" t="str">
        <f>Scott!F22</f>
        <v>Development</v>
      </c>
      <c r="G36" s="36" t="str">
        <f>Scott!G22</f>
        <v>GPower</v>
      </c>
      <c r="H36" s="36" t="str">
        <f>Scott!H22</f>
        <v>GPower All Toolsets 2017.0.0.11</v>
      </c>
      <c r="I36" s="36" t="str">
        <f>Scott!I22</f>
        <v>VIPM Community</v>
      </c>
    </row>
    <row r="37" spans="1:9" x14ac:dyDescent="0.25">
      <c r="A37" s="172" t="str">
        <f>Originals!A181</f>
        <v>4-Vinnie</v>
      </c>
      <c r="B37" s="172" t="str">
        <f>Originals!B181</f>
        <v>GPower All Toolsets</v>
      </c>
      <c r="C37" s="172" t="str">
        <f>Originals!C181</f>
        <v>2017.0.0.11</v>
      </c>
      <c r="D37" s="172" t="str">
        <f>Originals!D181</f>
        <v>32</v>
      </c>
      <c r="E37" s="172" t="str">
        <f>Originals!E181</f>
        <v>N/A</v>
      </c>
      <c r="F37" s="172" t="str">
        <f>Originals!F181</f>
        <v>Development</v>
      </c>
      <c r="G37" s="172" t="str">
        <f>Originals!G181</f>
        <v>GPower</v>
      </c>
      <c r="H37" s="172" t="str">
        <f>Originals!H181</f>
        <v>GPower All Toolsets 2017.0.0.11</v>
      </c>
      <c r="I37" s="172" t="str">
        <f>Originals!I181</f>
        <v>VIPM Community</v>
      </c>
    </row>
    <row r="38" spans="1:9" x14ac:dyDescent="0.25">
      <c r="A38" s="36" t="str">
        <f>Scott!A23</f>
        <v>3-Scott</v>
      </c>
      <c r="B38" s="36" t="str">
        <f>Scott!B23</f>
        <v>GPower Array</v>
      </c>
      <c r="C38" s="36" t="str">
        <f>Scott!C23</f>
        <v>2016.2.0.27</v>
      </c>
      <c r="D38" s="36" t="str">
        <f>Scott!D23</f>
        <v>32</v>
      </c>
      <c r="E38" s="36" t="str">
        <f>Scott!E23</f>
        <v>N/A</v>
      </c>
      <c r="F38" s="36" t="str">
        <f>Scott!F23</f>
        <v>Development</v>
      </c>
      <c r="G38" s="36" t="str">
        <f>Scott!G23</f>
        <v>GPower</v>
      </c>
      <c r="H38" s="36" t="str">
        <f>Scott!H23</f>
        <v>GPower Array 2016.2.0.27</v>
      </c>
      <c r="I38" s="36" t="str">
        <f>Scott!I23</f>
        <v>VIPM Community</v>
      </c>
    </row>
    <row r="39" spans="1:9" x14ac:dyDescent="0.25">
      <c r="A39" s="172" t="str">
        <f>Originals!A182</f>
        <v>4-Vinnie</v>
      </c>
      <c r="B39" s="172" t="str">
        <f>Originals!B182</f>
        <v>GPower Array</v>
      </c>
      <c r="C39" s="172" t="str">
        <f>Originals!C182</f>
        <v>2016.2.0.27</v>
      </c>
      <c r="D39" s="172" t="str">
        <f>Originals!D182</f>
        <v>32</v>
      </c>
      <c r="E39" s="172" t="str">
        <f>Originals!E182</f>
        <v>N/A</v>
      </c>
      <c r="F39" s="172" t="str">
        <f>Originals!F182</f>
        <v>Development</v>
      </c>
      <c r="G39" s="172" t="str">
        <f>Originals!G182</f>
        <v>GPower</v>
      </c>
      <c r="H39" s="172" t="str">
        <f>Originals!H182</f>
        <v>GPower Array 2016.2.0.27</v>
      </c>
      <c r="I39" s="172" t="str">
        <f>Originals!I182</f>
        <v>VIPM Community</v>
      </c>
    </row>
    <row r="40" spans="1:9" x14ac:dyDescent="0.25">
      <c r="A40" s="172" t="str">
        <f>Originals!A183</f>
        <v>4-Vinnie</v>
      </c>
      <c r="B40" s="172" t="str">
        <f>Originals!B183</f>
        <v>Gpower Array Library</v>
      </c>
      <c r="C40" s="172" t="str">
        <f>Originals!C183</f>
        <v>2016.2.0.27</v>
      </c>
      <c r="D40" s="172" t="str">
        <f>Originals!D183</f>
        <v>32</v>
      </c>
      <c r="E40" s="172" t="str">
        <f>Originals!E183</f>
        <v>2016</v>
      </c>
      <c r="F40" s="172" t="str">
        <f>Originals!F183</f>
        <v>Development</v>
      </c>
      <c r="G40" s="172" t="str">
        <f>Originals!G183</f>
        <v>Gpower</v>
      </c>
      <c r="H40" s="172" t="str">
        <f>Originals!H183</f>
        <v>Gpower Array Library 2016.2.0.27</v>
      </c>
      <c r="I40" s="172" t="str">
        <f>Originals!I183</f>
        <v>VIPM Community</v>
      </c>
    </row>
    <row r="41" spans="1:9" x14ac:dyDescent="0.25">
      <c r="A41" s="36" t="str">
        <f>Scott!A24</f>
        <v>3-Scott</v>
      </c>
      <c r="B41" s="36" t="str">
        <f>Scott!B24</f>
        <v>GPower Comparison</v>
      </c>
      <c r="C41" s="36" t="str">
        <f>Scott!C24</f>
        <v>2016.0.0.4</v>
      </c>
      <c r="D41" s="36" t="str">
        <f>Scott!D24</f>
        <v>32</v>
      </c>
      <c r="E41" s="36" t="str">
        <f>Scott!E24</f>
        <v>N/A</v>
      </c>
      <c r="F41" s="36" t="str">
        <f>Scott!F24</f>
        <v>Development</v>
      </c>
      <c r="G41" s="36" t="str">
        <f>Scott!G24</f>
        <v>GPower</v>
      </c>
      <c r="H41" s="36" t="str">
        <f>Scott!H24</f>
        <v>GPower Comparison 2016.0.0.4</v>
      </c>
      <c r="I41" s="36" t="str">
        <f>Scott!I24</f>
        <v>VIPM Community</v>
      </c>
    </row>
    <row r="42" spans="1:9" x14ac:dyDescent="0.25">
      <c r="A42" s="172" t="str">
        <f>Originals!A184</f>
        <v>4-Vinnie</v>
      </c>
      <c r="B42" s="172" t="str">
        <f>Originals!B184</f>
        <v>GPower Comparison</v>
      </c>
      <c r="C42" s="172" t="str">
        <f>Originals!C184</f>
        <v>2016.0.0.4</v>
      </c>
      <c r="D42" s="172" t="str">
        <f>Originals!D184</f>
        <v>32</v>
      </c>
      <c r="E42" s="172" t="str">
        <f>Originals!E184</f>
        <v>N/A</v>
      </c>
      <c r="F42" s="172" t="str">
        <f>Originals!F184</f>
        <v>Development</v>
      </c>
      <c r="G42" s="172" t="str">
        <f>Originals!G184</f>
        <v>GPower</v>
      </c>
      <c r="H42" s="172" t="str">
        <f>Originals!H184</f>
        <v>GPower Comparison 2016.0.0.4</v>
      </c>
      <c r="I42" s="172" t="str">
        <f>Originals!I184</f>
        <v>VIPM Community</v>
      </c>
    </row>
    <row r="43" spans="1:9" x14ac:dyDescent="0.25">
      <c r="A43" s="36" t="str">
        <f>Scott!A25</f>
        <v>3-Scott</v>
      </c>
      <c r="B43" s="36" t="str">
        <f>Scott!B25</f>
        <v>GPower Error &amp; Warning</v>
      </c>
      <c r="C43" s="36" t="str">
        <f>Scott!C25</f>
        <v>2014.0.0.38</v>
      </c>
      <c r="D43" s="36" t="str">
        <f>Scott!D25</f>
        <v>32</v>
      </c>
      <c r="E43" s="36" t="str">
        <f>Scott!E25</f>
        <v>N/A</v>
      </c>
      <c r="F43" s="36" t="str">
        <f>Scott!F25</f>
        <v>Development</v>
      </c>
      <c r="G43" s="36" t="str">
        <f>Scott!G25</f>
        <v>GPower</v>
      </c>
      <c r="H43" s="36" t="str">
        <f>Scott!H25</f>
        <v>GPower Error &amp; Warning 2014.0.0.38</v>
      </c>
      <c r="I43" s="36" t="str">
        <f>Scott!I25</f>
        <v>VIPM Community</v>
      </c>
    </row>
    <row r="44" spans="1:9" x14ac:dyDescent="0.25">
      <c r="A44" s="172" t="str">
        <f>Originals!A185</f>
        <v>4-Vinnie</v>
      </c>
      <c r="B44" s="172" t="str">
        <f>Originals!B185</f>
        <v>GPower Error &amp; Warning</v>
      </c>
      <c r="C44" s="172" t="str">
        <f>Originals!C185</f>
        <v>2014.0.0.38</v>
      </c>
      <c r="D44" s="172" t="str">
        <f>Originals!D185</f>
        <v>32</v>
      </c>
      <c r="E44" s="172" t="str">
        <f>Originals!E185</f>
        <v>N/A</v>
      </c>
      <c r="F44" s="172" t="str">
        <f>Originals!F185</f>
        <v>Development</v>
      </c>
      <c r="G44" s="172" t="str">
        <f>Originals!G185</f>
        <v>GPower</v>
      </c>
      <c r="H44" s="172" t="str">
        <f>Originals!H185</f>
        <v>GPower Error &amp; Warning 2014.0.0.38</v>
      </c>
      <c r="I44" s="172" t="str">
        <f>Originals!I185</f>
        <v>VIPM Community</v>
      </c>
    </row>
    <row r="45" spans="1:9" x14ac:dyDescent="0.25">
      <c r="A45" s="36" t="str">
        <f>Scott!A26</f>
        <v>3-Scott</v>
      </c>
      <c r="B45" s="36" t="str">
        <f>Scott!B26</f>
        <v>GPower Events</v>
      </c>
      <c r="C45" s="36" t="str">
        <f>Scott!C26</f>
        <v>2012.0.0.7</v>
      </c>
      <c r="D45" s="36" t="str">
        <f>Scott!D26</f>
        <v>32</v>
      </c>
      <c r="E45" s="36" t="str">
        <f>Scott!E26</f>
        <v>N/A</v>
      </c>
      <c r="F45" s="36" t="str">
        <f>Scott!F26</f>
        <v>Development</v>
      </c>
      <c r="G45" s="36" t="str">
        <f>Scott!G26</f>
        <v>GPower</v>
      </c>
      <c r="H45" s="36" t="str">
        <f>Scott!H26</f>
        <v>GPower Events 2012.0.0.7</v>
      </c>
      <c r="I45" s="36" t="str">
        <f>Scott!I26</f>
        <v>VIPM Community</v>
      </c>
    </row>
    <row r="46" spans="1:9" x14ac:dyDescent="0.25">
      <c r="A46" s="172" t="str">
        <f>Originals!A186</f>
        <v>4-Vinnie</v>
      </c>
      <c r="B46" s="172" t="str">
        <f>Originals!B186</f>
        <v>GPower Events</v>
      </c>
      <c r="C46" s="172" t="str">
        <f>Originals!C186</f>
        <v>2012.0.0.7</v>
      </c>
      <c r="D46" s="172" t="str">
        <f>Originals!D186</f>
        <v>32</v>
      </c>
      <c r="E46" s="172" t="str">
        <f>Originals!E186</f>
        <v>N/A</v>
      </c>
      <c r="F46" s="172" t="str">
        <f>Originals!F186</f>
        <v>Development</v>
      </c>
      <c r="G46" s="172" t="str">
        <f>Originals!G186</f>
        <v>GPower</v>
      </c>
      <c r="H46" s="172" t="str">
        <f>Originals!H186</f>
        <v>GPower Events 2012.0.0.7</v>
      </c>
      <c r="I46" s="172" t="str">
        <f>Originals!I186</f>
        <v>VIPM Community</v>
      </c>
    </row>
    <row r="47" spans="1:9" x14ac:dyDescent="0.25">
      <c r="A47" s="36" t="str">
        <f>Scott!A27</f>
        <v>3-Scott</v>
      </c>
      <c r="B47" s="36" t="str">
        <f>Scott!B27</f>
        <v>GPower Math</v>
      </c>
      <c r="C47" s="36" t="str">
        <f>Scott!C27</f>
        <v>2012.1.0.6</v>
      </c>
      <c r="D47" s="36" t="str">
        <f>Scott!D27</f>
        <v>32</v>
      </c>
      <c r="E47" s="36" t="str">
        <f>Scott!E27</f>
        <v>N/A</v>
      </c>
      <c r="F47" s="36" t="str">
        <f>Scott!F27</f>
        <v>Development</v>
      </c>
      <c r="G47" s="36" t="str">
        <f>Scott!G27</f>
        <v>GPower</v>
      </c>
      <c r="H47" s="36" t="str">
        <f>Scott!H27</f>
        <v>GPower Math 2012.1.0.6</v>
      </c>
      <c r="I47" s="36" t="str">
        <f>Scott!I27</f>
        <v>VIPM Community</v>
      </c>
    </row>
    <row r="48" spans="1:9" x14ac:dyDescent="0.25">
      <c r="A48" s="172" t="str">
        <f>Originals!A187</f>
        <v>4-Vinnie</v>
      </c>
      <c r="B48" s="172" t="str">
        <f>Originals!B187</f>
        <v>GPower Math</v>
      </c>
      <c r="C48" s="172" t="str">
        <f>Originals!C187</f>
        <v>2012.1.0.6</v>
      </c>
      <c r="D48" s="172" t="str">
        <f>Originals!D187</f>
        <v>32</v>
      </c>
      <c r="E48" s="172" t="str">
        <f>Originals!E187</f>
        <v>N/A</v>
      </c>
      <c r="F48" s="172" t="str">
        <f>Originals!F187</f>
        <v>Development</v>
      </c>
      <c r="G48" s="172" t="str">
        <f>Originals!G187</f>
        <v>GPower</v>
      </c>
      <c r="H48" s="172" t="str">
        <f>Originals!H187</f>
        <v>GPower Math 2012.1.0.6</v>
      </c>
      <c r="I48" s="172" t="str">
        <f>Originals!I187</f>
        <v>VIPM Community</v>
      </c>
    </row>
    <row r="49" spans="1:9" x14ac:dyDescent="0.25">
      <c r="A49" s="36" t="str">
        <f>Scott!A28</f>
        <v>3-Scott</v>
      </c>
      <c r="B49" s="36" t="str">
        <f>Scott!B28</f>
        <v>GPower Numeric</v>
      </c>
      <c r="C49" s="36" t="str">
        <f>Scott!C28</f>
        <v>2016.2.0.14</v>
      </c>
      <c r="D49" s="36" t="str">
        <f>Scott!D28</f>
        <v>32</v>
      </c>
      <c r="E49" s="36" t="str">
        <f>Scott!E28</f>
        <v>N/A</v>
      </c>
      <c r="F49" s="36" t="str">
        <f>Scott!F28</f>
        <v>Development</v>
      </c>
      <c r="G49" s="36" t="str">
        <f>Scott!G28</f>
        <v>GPower</v>
      </c>
      <c r="H49" s="36" t="str">
        <f>Scott!H28</f>
        <v>GPower Numeric 2016.2.0.14</v>
      </c>
      <c r="I49" s="36" t="str">
        <f>Scott!I28</f>
        <v>VIPM Community</v>
      </c>
    </row>
    <row r="50" spans="1:9" x14ac:dyDescent="0.25">
      <c r="A50" s="172" t="str">
        <f>Originals!A188</f>
        <v>4-Vinnie</v>
      </c>
      <c r="B50" s="172" t="str">
        <f>Originals!B188</f>
        <v>GPower Numeric</v>
      </c>
      <c r="C50" s="172" t="str">
        <f>Originals!C188</f>
        <v>2016.2.0.14</v>
      </c>
      <c r="D50" s="172" t="str">
        <f>Originals!D188</f>
        <v>32</v>
      </c>
      <c r="E50" s="172" t="str">
        <f>Originals!E188</f>
        <v>N/A</v>
      </c>
      <c r="F50" s="172" t="str">
        <f>Originals!F188</f>
        <v>Development</v>
      </c>
      <c r="G50" s="172" t="str">
        <f>Originals!G188</f>
        <v>GPower</v>
      </c>
      <c r="H50" s="172" t="str">
        <f>Originals!H188</f>
        <v>GPower Numeric 2016.2.0.14</v>
      </c>
      <c r="I50" s="172" t="str">
        <f>Originals!I188</f>
        <v>VIPM Community</v>
      </c>
    </row>
    <row r="51" spans="1:9" x14ac:dyDescent="0.25">
      <c r="A51" s="36" t="str">
        <f>Scott!A29</f>
        <v>3-Scott</v>
      </c>
      <c r="B51" s="36" t="str">
        <f>Scott!B29</f>
        <v>GPower Overflow</v>
      </c>
      <c r="C51" s="36" t="str">
        <f>Scott!C29</f>
        <v>2014.0.0.4</v>
      </c>
      <c r="D51" s="36" t="str">
        <f>Scott!D29</f>
        <v>32</v>
      </c>
      <c r="E51" s="36" t="str">
        <f>Scott!E29</f>
        <v>N/A</v>
      </c>
      <c r="F51" s="36" t="str">
        <f>Scott!F29</f>
        <v>Development</v>
      </c>
      <c r="G51" s="36" t="str">
        <f>Scott!G29</f>
        <v>GPower</v>
      </c>
      <c r="H51" s="36" t="str">
        <f>Scott!H29</f>
        <v>GPower Overflow 2014.0.0.4</v>
      </c>
      <c r="I51" s="36" t="str">
        <f>Scott!I29</f>
        <v>VIPM Community</v>
      </c>
    </row>
    <row r="52" spans="1:9" x14ac:dyDescent="0.25">
      <c r="A52" s="172" t="str">
        <f>Originals!A189</f>
        <v>4-Vinnie</v>
      </c>
      <c r="B52" s="172" t="str">
        <f>Originals!B189</f>
        <v>GPower Overflow</v>
      </c>
      <c r="C52" s="172" t="str">
        <f>Originals!C189</f>
        <v>2014.0.0.4</v>
      </c>
      <c r="D52" s="172" t="str">
        <f>Originals!D189</f>
        <v>32</v>
      </c>
      <c r="E52" s="172" t="str">
        <f>Originals!E189</f>
        <v>N/A</v>
      </c>
      <c r="F52" s="172" t="str">
        <f>Originals!F189</f>
        <v>Development</v>
      </c>
      <c r="G52" s="172" t="str">
        <f>Originals!G189</f>
        <v>GPower</v>
      </c>
      <c r="H52" s="172" t="str">
        <f>Originals!H189</f>
        <v>GPower Overflow 2014.0.0.4</v>
      </c>
      <c r="I52" s="172" t="str">
        <f>Originals!I189</f>
        <v>VIPM Community</v>
      </c>
    </row>
    <row r="53" spans="1:9" x14ac:dyDescent="0.25">
      <c r="A53" s="36" t="str">
        <f>Scott!A30</f>
        <v>3-Scott</v>
      </c>
      <c r="B53" s="36" t="str">
        <f>Scott!B30</f>
        <v>GPower String</v>
      </c>
      <c r="C53" s="36" t="str">
        <f>Scott!C30</f>
        <v>2016.1.0.11</v>
      </c>
      <c r="D53" s="36" t="str">
        <f>Scott!D30</f>
        <v>32</v>
      </c>
      <c r="E53" s="36" t="str">
        <f>Scott!E30</f>
        <v>N/A</v>
      </c>
      <c r="F53" s="36" t="str">
        <f>Scott!F30</f>
        <v>Development</v>
      </c>
      <c r="G53" s="36" t="str">
        <f>Scott!G30</f>
        <v>GPower</v>
      </c>
      <c r="H53" s="36" t="str">
        <f>Scott!H30</f>
        <v>GPower String 2016.1.0.11</v>
      </c>
      <c r="I53" s="36" t="str">
        <f>Scott!I30</f>
        <v>VIPM Community</v>
      </c>
    </row>
    <row r="54" spans="1:9" x14ac:dyDescent="0.25">
      <c r="A54" s="172" t="str">
        <f>Originals!A190</f>
        <v>4-Vinnie</v>
      </c>
      <c r="B54" s="172" t="str">
        <f>Originals!B190</f>
        <v>GPower String</v>
      </c>
      <c r="C54" s="172" t="str">
        <f>Originals!C190</f>
        <v>2016.1.0.11</v>
      </c>
      <c r="D54" s="172" t="str">
        <f>Originals!D190</f>
        <v>32</v>
      </c>
      <c r="E54" s="172" t="str">
        <f>Originals!E190</f>
        <v>N/A</v>
      </c>
      <c r="F54" s="172" t="str">
        <f>Originals!F190</f>
        <v>Development</v>
      </c>
      <c r="G54" s="172" t="str">
        <f>Originals!G190</f>
        <v>GPower</v>
      </c>
      <c r="H54" s="172" t="str">
        <f>Originals!H190</f>
        <v>GPower String 2016.1.0.11</v>
      </c>
      <c r="I54" s="172" t="str">
        <f>Originals!I190</f>
        <v>VIPM Community</v>
      </c>
    </row>
    <row r="55" spans="1:9" x14ac:dyDescent="0.25">
      <c r="A55" s="36" t="str">
        <f>Scott!A31</f>
        <v>3-Scott</v>
      </c>
      <c r="B55" s="36" t="str">
        <f>Scott!B31</f>
        <v>GPower Timing</v>
      </c>
      <c r="C55" s="36" t="str">
        <f>Scott!C31</f>
        <v>2017.0.0.26</v>
      </c>
      <c r="D55" s="36" t="str">
        <f>Scott!D31</f>
        <v>32</v>
      </c>
      <c r="E55" s="36" t="str">
        <f>Scott!E31</f>
        <v>N/A</v>
      </c>
      <c r="F55" s="36" t="str">
        <f>Scott!F31</f>
        <v>Development</v>
      </c>
      <c r="G55" s="36" t="str">
        <f>Scott!G31</f>
        <v>GPower</v>
      </c>
      <c r="H55" s="36" t="str">
        <f>Scott!H31</f>
        <v>GPower Timing 2017.0.0.26</v>
      </c>
      <c r="I55" s="36" t="str">
        <f>Scott!I31</f>
        <v>VIPM Community</v>
      </c>
    </row>
    <row r="56" spans="1:9" x14ac:dyDescent="0.25">
      <c r="A56" s="172" t="str">
        <f>Originals!A191</f>
        <v>4-Vinnie</v>
      </c>
      <c r="B56" s="172" t="str">
        <f>Originals!B191</f>
        <v>GPower Timing</v>
      </c>
      <c r="C56" s="172" t="str">
        <f>Originals!C191</f>
        <v>2017.0.0.26</v>
      </c>
      <c r="D56" s="172" t="str">
        <f>Originals!D191</f>
        <v>32</v>
      </c>
      <c r="E56" s="172" t="str">
        <f>Originals!E191</f>
        <v>N/A</v>
      </c>
      <c r="F56" s="172" t="str">
        <f>Originals!F191</f>
        <v>Development</v>
      </c>
      <c r="G56" s="172" t="str">
        <f>Originals!G191</f>
        <v>GPower</v>
      </c>
      <c r="H56" s="172" t="str">
        <f>Originals!H191</f>
        <v>GPower Timing 2017.0.0.26</v>
      </c>
      <c r="I56" s="172" t="str">
        <f>Originals!I191</f>
        <v>VIPM Community</v>
      </c>
    </row>
    <row r="57" spans="1:9" x14ac:dyDescent="0.25">
      <c r="A57" s="36" t="str">
        <f>Scott!A32</f>
        <v>3-Scott</v>
      </c>
      <c r="B57" s="36" t="str">
        <f>Scott!B32</f>
        <v>GPower VI Launcher</v>
      </c>
      <c r="C57" s="36" t="str">
        <f>Scott!C32</f>
        <v>2012.2.0.26</v>
      </c>
      <c r="D57" s="36" t="str">
        <f>Scott!D32</f>
        <v>32</v>
      </c>
      <c r="E57" s="36" t="str">
        <f>Scott!E32</f>
        <v>N/A</v>
      </c>
      <c r="F57" s="36" t="str">
        <f>Scott!F32</f>
        <v>Development</v>
      </c>
      <c r="G57" s="36" t="str">
        <f>Scott!G32</f>
        <v>GPower</v>
      </c>
      <c r="H57" s="36" t="str">
        <f>Scott!H32</f>
        <v>GPower VI Launcher 2012.2.0.26</v>
      </c>
      <c r="I57" s="36" t="str">
        <f>Scott!I32</f>
        <v>VIPM Community</v>
      </c>
    </row>
    <row r="58" spans="1:9" x14ac:dyDescent="0.25">
      <c r="A58" s="172" t="str">
        <f>Originals!A192</f>
        <v>4-Vinnie</v>
      </c>
      <c r="B58" s="172" t="str">
        <f>Originals!B192</f>
        <v>GPower VI Launcher</v>
      </c>
      <c r="C58" s="172" t="str">
        <f>Originals!C192</f>
        <v>2012.2.0.26</v>
      </c>
      <c r="D58" s="172" t="str">
        <f>Originals!D192</f>
        <v>32</v>
      </c>
      <c r="E58" s="172" t="str">
        <f>Originals!E192</f>
        <v>N/A</v>
      </c>
      <c r="F58" s="172" t="str">
        <f>Originals!F192</f>
        <v>Development</v>
      </c>
      <c r="G58" s="172" t="str">
        <f>Originals!G192</f>
        <v>GPower</v>
      </c>
      <c r="H58" s="172" t="str">
        <f>Originals!H192</f>
        <v>GPower VI Launcher 2012.2.0.26</v>
      </c>
      <c r="I58" s="172" t="str">
        <f>Originals!I192</f>
        <v>VIPM Community</v>
      </c>
    </row>
    <row r="59" spans="1:9" x14ac:dyDescent="0.25">
      <c r="A59" s="36" t="str">
        <f>Scott!A33</f>
        <v>3-Scott</v>
      </c>
      <c r="B59" s="36" t="str">
        <f>Scott!B33</f>
        <v>GPower VI Register</v>
      </c>
      <c r="C59" s="36" t="str">
        <f>Scott!C33</f>
        <v>2016.0.0.31</v>
      </c>
      <c r="D59" s="36" t="str">
        <f>Scott!D33</f>
        <v>32</v>
      </c>
      <c r="E59" s="36" t="str">
        <f>Scott!E33</f>
        <v>N/A</v>
      </c>
      <c r="F59" s="36" t="str">
        <f>Scott!F33</f>
        <v>Development</v>
      </c>
      <c r="G59" s="36" t="str">
        <f>Scott!G33</f>
        <v>GPower</v>
      </c>
      <c r="H59" s="36" t="str">
        <f>Scott!H33</f>
        <v>GPower VI Register 2016.0.0.31</v>
      </c>
      <c r="I59" s="36" t="str">
        <f>Scott!I33</f>
        <v>VIPM Community</v>
      </c>
    </row>
    <row r="60" spans="1:9" x14ac:dyDescent="0.25">
      <c r="A60" s="172" t="str">
        <f>Originals!A193</f>
        <v>4-Vinnie</v>
      </c>
      <c r="B60" s="172" t="str">
        <f>Originals!B193</f>
        <v>GPower VI Register</v>
      </c>
      <c r="C60" s="172" t="str">
        <f>Originals!C193</f>
        <v>2016.0.0.31</v>
      </c>
      <c r="D60" s="172" t="str">
        <f>Originals!D193</f>
        <v>32</v>
      </c>
      <c r="E60" s="172" t="str">
        <f>Originals!E193</f>
        <v>N/A</v>
      </c>
      <c r="F60" s="172" t="str">
        <f>Originals!F193</f>
        <v>Development</v>
      </c>
      <c r="G60" s="172" t="str">
        <f>Originals!G193</f>
        <v>GPower</v>
      </c>
      <c r="H60" s="172" t="str">
        <f>Originals!H193</f>
        <v>GPower VI Register 2016.0.0.31</v>
      </c>
      <c r="I60" s="172" t="str">
        <f>Originals!I193</f>
        <v>VIPM Community</v>
      </c>
    </row>
    <row r="61" spans="1:9" x14ac:dyDescent="0.25">
      <c r="A61" s="172" t="str">
        <f>Originals!A194</f>
        <v>4-Vinnie</v>
      </c>
      <c r="B61" s="172" t="str">
        <f>Originals!B194</f>
        <v>Hardware Configuration and Web Support</v>
      </c>
      <c r="C61" s="172" t="str">
        <f>Originals!C194</f>
        <v>15.0.0</v>
      </c>
      <c r="D61" s="172" t="str">
        <f>Originals!D194</f>
        <v>32</v>
      </c>
      <c r="E61" s="172" t="str">
        <f>Originals!E194</f>
        <v>2015</v>
      </c>
      <c r="F61" s="172" t="str">
        <f>Originals!F194</f>
        <v>C-RIO</v>
      </c>
      <c r="G61" s="172" t="str">
        <f>Originals!G194</f>
        <v>NI</v>
      </c>
      <c r="H61" s="172" t="str">
        <f>Originals!H194</f>
        <v>Hardware Configuration and Web Support 15.0.0</v>
      </c>
      <c r="I61" s="172">
        <f>Originals!I194</f>
        <v>0</v>
      </c>
    </row>
    <row r="62" spans="1:9" x14ac:dyDescent="0.25">
      <c r="A62" s="172" t="str">
        <f>Originals!A195</f>
        <v>4-Vinnie</v>
      </c>
      <c r="B62" s="172" t="str">
        <f>Originals!B195</f>
        <v>HTTP Client with SSL Support</v>
      </c>
      <c r="C62" s="172" t="str">
        <f>Originals!C195</f>
        <v>15.0.0</v>
      </c>
      <c r="D62" s="172" t="str">
        <f>Originals!D195</f>
        <v>32</v>
      </c>
      <c r="E62" s="172" t="str">
        <f>Originals!E195</f>
        <v>2015</v>
      </c>
      <c r="F62" s="172" t="str">
        <f>Originals!F195</f>
        <v>C-RIO</v>
      </c>
      <c r="G62" s="172" t="str">
        <f>Originals!G195</f>
        <v>NI</v>
      </c>
      <c r="H62" s="172" t="str">
        <f>Originals!H195</f>
        <v>HTTP Client with SSL Support 15.0.0</v>
      </c>
      <c r="I62" s="172">
        <f>Originals!I195</f>
        <v>0</v>
      </c>
    </row>
    <row r="63" spans="1:9" x14ac:dyDescent="0.25">
      <c r="A63" s="172" t="str">
        <f>Originals!A196</f>
        <v>4-Vinnie</v>
      </c>
      <c r="B63" s="172" t="str">
        <f>Originals!B196</f>
        <v>I/O Variable Remorte Configuration Web Server</v>
      </c>
      <c r="C63" s="172">
        <f>Originals!C196</f>
        <v>0</v>
      </c>
      <c r="D63" s="172" t="str">
        <f>Originals!D196</f>
        <v>32</v>
      </c>
      <c r="E63" s="172" t="str">
        <f>Originals!E196</f>
        <v>N/A</v>
      </c>
      <c r="F63" s="172" t="str">
        <f>Originals!F196</f>
        <v>C-RIO</v>
      </c>
      <c r="G63" s="172" t="str">
        <f>Originals!G196</f>
        <v>NI</v>
      </c>
      <c r="H63" s="172" t="str">
        <f>Originals!H196</f>
        <v xml:space="preserve">I/O Variable Remorte Configuration Web Server </v>
      </c>
      <c r="I63" s="172">
        <f>Originals!I196</f>
        <v>0</v>
      </c>
    </row>
    <row r="64" spans="1:9" x14ac:dyDescent="0.25">
      <c r="A64" s="36" t="str">
        <f>Scott!A34</f>
        <v>3-Scott</v>
      </c>
      <c r="B64" s="36" t="str">
        <f>Scott!B34</f>
        <v>Image Processing and Machine Vision</v>
      </c>
      <c r="C64" s="36" t="str">
        <f>Scott!C34</f>
        <v>19.5.0.49152</v>
      </c>
      <c r="D64" s="36" t="str">
        <f>Scott!D34</f>
        <v>32</v>
      </c>
      <c r="E64" s="36" t="str">
        <f>Scott!E34</f>
        <v>2019</v>
      </c>
      <c r="F64" s="36" t="str">
        <f>Scott!F34</f>
        <v>Development</v>
      </c>
      <c r="G64" s="36" t="str">
        <f>Scott!G34</f>
        <v>NI</v>
      </c>
      <c r="H64" s="36" t="str">
        <f>Scott!H34</f>
        <v>Image Processing and Machine Vision 19.5.0.49152</v>
      </c>
      <c r="I64" s="36" t="str">
        <f>Scott!I34</f>
        <v>LabVIEW 2019</v>
      </c>
    </row>
    <row r="65" spans="1:9" x14ac:dyDescent="0.25">
      <c r="A65" s="172" t="str">
        <f>Originals!A197</f>
        <v>4-Vinnie</v>
      </c>
      <c r="B65" s="172" t="str">
        <f>Originals!B197</f>
        <v>Image Processing and Machine Vision</v>
      </c>
      <c r="C65" s="172" t="str">
        <f>Originals!C197</f>
        <v>19.5.0.49152</v>
      </c>
      <c r="D65" s="172" t="str">
        <f>Originals!D197</f>
        <v>32</v>
      </c>
      <c r="E65" s="172" t="str">
        <f>Originals!E197</f>
        <v>2019</v>
      </c>
      <c r="F65" s="172" t="str">
        <f>Originals!F197</f>
        <v>Development</v>
      </c>
      <c r="G65" s="172" t="str">
        <f>Originals!G197</f>
        <v>NI</v>
      </c>
      <c r="H65" s="172" t="str">
        <f>Originals!H197</f>
        <v>Image Processing and Machine Vision 19.5.0.49152</v>
      </c>
      <c r="I65" s="172" t="str">
        <f>Originals!I197</f>
        <v>LabVIEW 2019</v>
      </c>
    </row>
    <row r="66" spans="1:9" x14ac:dyDescent="0.25">
      <c r="A66" s="36" t="str">
        <f>Scott!A35</f>
        <v>3-Scott</v>
      </c>
      <c r="B66" s="36" t="str">
        <f>Scott!B35</f>
        <v>Image Services</v>
      </c>
      <c r="C66" s="36" t="str">
        <f>Scott!C35</f>
        <v>19.5.0.49152</v>
      </c>
      <c r="D66" s="36" t="str">
        <f>Scott!D35</f>
        <v>32</v>
      </c>
      <c r="E66" s="36" t="str">
        <f>Scott!E35</f>
        <v>2019</v>
      </c>
      <c r="F66" s="36" t="str">
        <f>Scott!F35</f>
        <v>Development</v>
      </c>
      <c r="G66" s="36" t="str">
        <f>Scott!G35</f>
        <v>NI</v>
      </c>
      <c r="H66" s="36" t="str">
        <f>Scott!H35</f>
        <v>Image Services 19.5.0.49152</v>
      </c>
      <c r="I66" s="36" t="str">
        <f>Scott!I35</f>
        <v>LabVIEW 2019</v>
      </c>
    </row>
    <row r="67" spans="1:9" x14ac:dyDescent="0.25">
      <c r="A67" s="172" t="str">
        <f>Originals!A198</f>
        <v>4-Vinnie</v>
      </c>
      <c r="B67" s="172" t="str">
        <f>Originals!B198</f>
        <v>Image Services</v>
      </c>
      <c r="C67" s="172" t="str">
        <f>Originals!C198</f>
        <v>19.5.0.49152</v>
      </c>
      <c r="D67" s="172" t="str">
        <f>Originals!D198</f>
        <v>32</v>
      </c>
      <c r="E67" s="172" t="str">
        <f>Originals!E198</f>
        <v>2019</v>
      </c>
      <c r="F67" s="172" t="str">
        <f>Originals!F198</f>
        <v>Development</v>
      </c>
      <c r="G67" s="172" t="str">
        <f>Originals!G198</f>
        <v>NI</v>
      </c>
      <c r="H67" s="172" t="str">
        <f>Originals!H198</f>
        <v>Image Services 19.5.0.49152</v>
      </c>
      <c r="I67" s="172" t="str">
        <f>Originals!I198</f>
        <v>LabVIEW 2019</v>
      </c>
    </row>
    <row r="68" spans="1:9" x14ac:dyDescent="0.25">
      <c r="A68" s="36" t="str">
        <f>Scott!A36</f>
        <v>3-Scott</v>
      </c>
      <c r="B68" s="36" t="str">
        <f>Scott!B36</f>
        <v>IVI Compliance Package</v>
      </c>
      <c r="C68" s="36" t="str">
        <f>Scott!C36</f>
        <v>15.0</v>
      </c>
      <c r="D68" s="36">
        <f>Scott!D36</f>
        <v>32</v>
      </c>
      <c r="E68" s="36">
        <f>Scott!E36</f>
        <v>2015</v>
      </c>
      <c r="F68" s="36" t="str">
        <f>Scott!F36</f>
        <v>Development</v>
      </c>
      <c r="G68" s="36" t="str">
        <f>Scott!G36</f>
        <v>NI</v>
      </c>
      <c r="H68" s="36" t="str">
        <f>Scott!H36</f>
        <v>IVI Compliance Package 15.0</v>
      </c>
      <c r="I68" s="36" t="str">
        <f>Scott!I36</f>
        <v>NI Developer Suite 2015 DS2 Install</v>
      </c>
    </row>
    <row r="69" spans="1:9" x14ac:dyDescent="0.25">
      <c r="A69" s="172" t="str">
        <f>Originals!A199</f>
        <v>4-Vinnie</v>
      </c>
      <c r="B69" s="172" t="str">
        <f>Originals!B199</f>
        <v>IVI Driver Toolset</v>
      </c>
      <c r="C69" s="172">
        <f>Originals!C199</f>
        <v>1.5</v>
      </c>
      <c r="D69" s="172" t="str">
        <f>Originals!D199</f>
        <v>32</v>
      </c>
      <c r="E69" s="172" t="str">
        <f>Originals!E199</f>
        <v>N/A</v>
      </c>
      <c r="F69" s="172" t="str">
        <f>Originals!F199</f>
        <v>Development</v>
      </c>
      <c r="G69" s="172" t="str">
        <f>Originals!G199</f>
        <v>NI</v>
      </c>
      <c r="H69" s="172" t="str">
        <f>Originals!H199</f>
        <v>IVI Driver Toolset 1.5</v>
      </c>
      <c r="I69" s="172">
        <f>Originals!I199</f>
        <v>0</v>
      </c>
    </row>
    <row r="70" spans="1:9" x14ac:dyDescent="0.25">
      <c r="A70" s="172" t="str">
        <f>Originals!A200</f>
        <v>4-Vinnie</v>
      </c>
      <c r="B70" s="172" t="str">
        <f>Originals!B200</f>
        <v>IVI Engine</v>
      </c>
      <c r="C70" s="172" t="str">
        <f>Originals!C200</f>
        <v>15.0.0.f0</v>
      </c>
      <c r="D70" s="172" t="str">
        <f>Originals!D200</f>
        <v>32</v>
      </c>
      <c r="E70" s="172">
        <f>Originals!E200</f>
        <v>2015</v>
      </c>
      <c r="F70" s="172" t="str">
        <f>Originals!F200</f>
        <v>Development</v>
      </c>
      <c r="G70" s="172" t="str">
        <f>Originals!G200</f>
        <v>NI</v>
      </c>
      <c r="H70" s="172" t="str">
        <f>Originals!H200</f>
        <v>IVI Engine 15.0.0.f0</v>
      </c>
      <c r="I70" s="172">
        <f>Originals!I200</f>
        <v>0</v>
      </c>
    </row>
    <row r="71" spans="1:9" x14ac:dyDescent="0.25">
      <c r="A71" s="36" t="str">
        <f>Scott!A37</f>
        <v>3-Scott</v>
      </c>
      <c r="B71" s="36" t="str">
        <f>Scott!B37</f>
        <v>JKI State Machine</v>
      </c>
      <c r="C71" s="36" t="str">
        <f>Scott!C37</f>
        <v>3.0.0.8</v>
      </c>
      <c r="D71" s="36" t="str">
        <f>Scott!D37</f>
        <v>32</v>
      </c>
      <c r="E71" s="36" t="str">
        <f>Scott!E37</f>
        <v>N/A</v>
      </c>
      <c r="F71" s="36" t="str">
        <f>Scott!F37</f>
        <v>Development</v>
      </c>
      <c r="G71" s="36" t="str">
        <f>Scott!G37</f>
        <v>JKI</v>
      </c>
      <c r="H71" s="36" t="str">
        <f>Scott!H37</f>
        <v>JKI State Machine 3.0.0.8</v>
      </c>
      <c r="I71" s="36" t="str">
        <f>Scott!I37</f>
        <v>VIPM Community</v>
      </c>
    </row>
    <row r="72" spans="1:9" x14ac:dyDescent="0.25">
      <c r="A72" s="172" t="str">
        <f>Originals!A201</f>
        <v>4-Vinnie</v>
      </c>
      <c r="B72" s="172" t="str">
        <f>Originals!B201</f>
        <v>JKI State Machine</v>
      </c>
      <c r="C72" s="172" t="str">
        <f>Originals!C201</f>
        <v>3.0.0.8</v>
      </c>
      <c r="D72" s="172" t="str">
        <f>Originals!D201</f>
        <v>32</v>
      </c>
      <c r="E72" s="172" t="str">
        <f>Originals!E201</f>
        <v>N/A</v>
      </c>
      <c r="F72" s="172" t="str">
        <f>Originals!F201</f>
        <v>Development</v>
      </c>
      <c r="G72" s="172" t="str">
        <f>Originals!G201</f>
        <v>JKI</v>
      </c>
      <c r="H72" s="172" t="str">
        <f>Originals!H201</f>
        <v>JKI State Machine 3.0.0.8</v>
      </c>
      <c r="I72" s="172" t="str">
        <f>Originals!I201</f>
        <v>VIPM Community</v>
      </c>
    </row>
    <row r="73" spans="1:9" x14ac:dyDescent="0.25">
      <c r="A73" s="36" t="str">
        <f>Scott!A38</f>
        <v>3-Scott</v>
      </c>
      <c r="B73" s="36" t="str">
        <f>Scott!B38</f>
        <v>JKI State Machine Editor</v>
      </c>
      <c r="C73" s="36" t="str">
        <f>Scott!C38</f>
        <v>2013.6.3.239</v>
      </c>
      <c r="D73" s="36" t="str">
        <f>Scott!D38</f>
        <v>32</v>
      </c>
      <c r="E73" s="36" t="str">
        <f>Scott!E38</f>
        <v>N/A</v>
      </c>
      <c r="F73" s="36" t="str">
        <f>Scott!F38</f>
        <v>Development</v>
      </c>
      <c r="G73" s="36" t="str">
        <f>Scott!G38</f>
        <v>JKI</v>
      </c>
      <c r="H73" s="36" t="str">
        <f>Scott!H38</f>
        <v>JKI State Machine Editor 2013.6.3.239</v>
      </c>
      <c r="I73" s="36" t="str">
        <f>Scott!I38</f>
        <v>VIPM Community</v>
      </c>
    </row>
    <row r="74" spans="1:9" x14ac:dyDescent="0.25">
      <c r="A74" s="172" t="str">
        <f>Originals!A202</f>
        <v>4-Vinnie</v>
      </c>
      <c r="B74" s="172" t="str">
        <f>Originals!B202</f>
        <v>JKI State Machine Editor</v>
      </c>
      <c r="C74" s="172" t="str">
        <f>Originals!C202</f>
        <v>2013.6.3.239</v>
      </c>
      <c r="D74" s="172" t="str">
        <f>Originals!D202</f>
        <v>32</v>
      </c>
      <c r="E74" s="172" t="str">
        <f>Originals!E202</f>
        <v>N/A</v>
      </c>
      <c r="F74" s="172" t="str">
        <f>Originals!F202</f>
        <v>Development</v>
      </c>
      <c r="G74" s="172" t="str">
        <f>Originals!G202</f>
        <v>JKI</v>
      </c>
      <c r="H74" s="172" t="str">
        <f>Originals!H202</f>
        <v>JKI State Machine Editor 2013.6.3.239</v>
      </c>
      <c r="I74" s="172" t="str">
        <f>Originals!I202</f>
        <v>VIPM Community</v>
      </c>
    </row>
    <row r="75" spans="1:9" x14ac:dyDescent="0.25">
      <c r="A75" s="36" t="str">
        <f>Scott!A39</f>
        <v>3-Scott</v>
      </c>
      <c r="B75" s="36" t="str">
        <f>Scott!B39</f>
        <v>JKI State Machine Objects (SMO)</v>
      </c>
      <c r="C75" s="36" t="str">
        <f>Scott!C39</f>
        <v>1.3.0.56</v>
      </c>
      <c r="D75" s="36" t="str">
        <f>Scott!D39</f>
        <v>32</v>
      </c>
      <c r="E75" s="36" t="str">
        <f>Scott!E39</f>
        <v>N/A</v>
      </c>
      <c r="F75" s="36" t="str">
        <f>Scott!F39</f>
        <v>Development</v>
      </c>
      <c r="G75" s="36" t="str">
        <f>Scott!G39</f>
        <v>JKI</v>
      </c>
      <c r="H75" s="36" t="str">
        <f>Scott!H39</f>
        <v>JKI State Machine Objects (SMO) 1.3.0.56</v>
      </c>
      <c r="I75" s="36" t="str">
        <f>Scott!I39</f>
        <v>VIPM Community</v>
      </c>
    </row>
    <row r="76" spans="1:9" x14ac:dyDescent="0.25">
      <c r="A76" s="172" t="str">
        <f>Originals!A203</f>
        <v>4-Vinnie</v>
      </c>
      <c r="B76" s="172" t="str">
        <f>Originals!B203</f>
        <v>JKI State Machine Objects (SMO)</v>
      </c>
      <c r="C76" s="172" t="str">
        <f>Originals!C203</f>
        <v>1.3.0.56</v>
      </c>
      <c r="D76" s="172" t="str">
        <f>Originals!D203</f>
        <v>32</v>
      </c>
      <c r="E76" s="172" t="str">
        <f>Originals!E203</f>
        <v>N/A</v>
      </c>
      <c r="F76" s="172" t="str">
        <f>Originals!F203</f>
        <v>Development</v>
      </c>
      <c r="G76" s="172" t="str">
        <f>Originals!G203</f>
        <v>JKI</v>
      </c>
      <c r="H76" s="172" t="str">
        <f>Originals!H203</f>
        <v>JKI State Machine Objects (SMO) 1.3.0.56</v>
      </c>
      <c r="I76" s="172" t="str">
        <f>Originals!I203</f>
        <v>VIPM Community</v>
      </c>
    </row>
    <row r="77" spans="1:9" x14ac:dyDescent="0.25">
      <c r="A77" s="172" t="str">
        <f>Originals!A204</f>
        <v>4-Vinnie</v>
      </c>
      <c r="B77" s="172" t="str">
        <f>Originals!B204</f>
        <v>JKI VIPM</v>
      </c>
      <c r="C77" s="172">
        <f>Originals!C204</f>
        <v>0</v>
      </c>
      <c r="D77" s="172">
        <f>Originals!D204</f>
        <v>0</v>
      </c>
      <c r="E77" s="172" t="str">
        <f>Originals!E204</f>
        <v>N/A</v>
      </c>
      <c r="F77" s="172" t="str">
        <f>Originals!F204</f>
        <v>Development</v>
      </c>
      <c r="G77" s="172" t="str">
        <f>Originals!G204</f>
        <v>NI</v>
      </c>
      <c r="H77" s="172" t="str">
        <f>Originals!H204</f>
        <v xml:space="preserve">JKI VIPM </v>
      </c>
      <c r="I77" s="172" t="str">
        <f>Originals!I204</f>
        <v>vipm-22.0.2371-windows-setup</v>
      </c>
    </row>
    <row r="78" spans="1:9" x14ac:dyDescent="0.25">
      <c r="A78" s="36" t="str">
        <f>Scott!A40</f>
        <v>3-Scott</v>
      </c>
      <c r="B78" s="36" t="str">
        <f>Scott!B40</f>
        <v>jki_rsc_toolkits_palette</v>
      </c>
      <c r="C78" s="36" t="str">
        <f>Scott!C40</f>
        <v>1.1-1</v>
      </c>
      <c r="D78" s="36" t="str">
        <f>Scott!D40</f>
        <v>32</v>
      </c>
      <c r="E78" s="36" t="str">
        <f>Scott!E40</f>
        <v>N/A</v>
      </c>
      <c r="F78" s="36" t="str">
        <f>Scott!F40</f>
        <v>Development</v>
      </c>
      <c r="G78" s="36" t="str">
        <f>Scott!G40</f>
        <v>JKI Software</v>
      </c>
      <c r="H78" s="36" t="str">
        <f>Scott!H40</f>
        <v>jki_rsc_toolkits_palette 1.1-1</v>
      </c>
      <c r="I78" s="36" t="str">
        <f>Scott!I40</f>
        <v>VIPM Community</v>
      </c>
    </row>
    <row r="79" spans="1:9" x14ac:dyDescent="0.25">
      <c r="A79" s="172" t="str">
        <f>Originals!A205</f>
        <v>4-Vinnie</v>
      </c>
      <c r="B79" s="172" t="str">
        <f>Originals!B205</f>
        <v>jki_rsc_toolkits_palette</v>
      </c>
      <c r="C79" s="172" t="str">
        <f>Originals!C205</f>
        <v>1.1-1</v>
      </c>
      <c r="D79" s="172" t="str">
        <f>Originals!D205</f>
        <v>32</v>
      </c>
      <c r="E79" s="172" t="str">
        <f>Originals!E205</f>
        <v>N/A</v>
      </c>
      <c r="F79" s="172" t="str">
        <f>Originals!F205</f>
        <v>Development</v>
      </c>
      <c r="G79" s="172" t="str">
        <f>Originals!G205</f>
        <v>JKI Software</v>
      </c>
      <c r="H79" s="172" t="str">
        <f>Originals!H205</f>
        <v>jki_rsc_toolkits_palette 1.1-1</v>
      </c>
      <c r="I79" s="172" t="str">
        <f>Originals!I205</f>
        <v>VIPM Community</v>
      </c>
    </row>
    <row r="80" spans="1:9" x14ac:dyDescent="0.25">
      <c r="A80" s="36" t="str">
        <f>Scott!A41</f>
        <v>3-Scott</v>
      </c>
      <c r="B80" s="36" t="str">
        <f>Scott!B41</f>
        <v>LabVIEW</v>
      </c>
      <c r="C80" s="36" t="str">
        <f>Scott!C41</f>
        <v>15.0.1</v>
      </c>
      <c r="D80" s="36">
        <f>Scott!D41</f>
        <v>32</v>
      </c>
      <c r="E80" s="36" t="str">
        <f>Scott!E41</f>
        <v>2015 SP1</v>
      </c>
      <c r="F80" s="36" t="str">
        <f>Scott!F41</f>
        <v>Development</v>
      </c>
      <c r="G80" s="36" t="str">
        <f>Scott!G41</f>
        <v>NI</v>
      </c>
      <c r="H80" s="36" t="str">
        <f>Scott!H41</f>
        <v>LabVIEW 2015 SP1 15.0.1</v>
      </c>
      <c r="I80" s="36" t="str">
        <f>Scott!I41</f>
        <v>LabVIEW 2015 SP1</v>
      </c>
    </row>
    <row r="81" spans="1:9" x14ac:dyDescent="0.25">
      <c r="A81" s="36" t="str">
        <f>Scott!A42</f>
        <v>3-Scott</v>
      </c>
      <c r="B81" s="36" t="str">
        <f>Scott!B42</f>
        <v>LabVIEW</v>
      </c>
      <c r="C81" s="36" t="str">
        <f>Scott!C42</f>
        <v>15.0.0</v>
      </c>
      <c r="D81" s="36">
        <f>Scott!D42</f>
        <v>64</v>
      </c>
      <c r="E81" s="36">
        <f>Scott!E42</f>
        <v>2015</v>
      </c>
      <c r="F81" s="36" t="str">
        <f>Scott!F42</f>
        <v>Development</v>
      </c>
      <c r="G81" s="36" t="str">
        <f>Scott!G42</f>
        <v>NI</v>
      </c>
      <c r="H81" s="36" t="str">
        <f>Scott!H42</f>
        <v>LabVIEW 2015 15.0.0</v>
      </c>
      <c r="I81" s="36" t="str">
        <f>Scott!I42</f>
        <v>NI Developer Suite 2015 DS2 Install</v>
      </c>
    </row>
    <row r="82" spans="1:9" x14ac:dyDescent="0.25">
      <c r="A82" s="36" t="str">
        <f>Scott!A43</f>
        <v>3-Scott</v>
      </c>
      <c r="B82" s="36" t="str">
        <f>Scott!B43</f>
        <v>LabVIEW</v>
      </c>
      <c r="C82" s="36" t="str">
        <f>Scott!C43</f>
        <v>12.0.1</v>
      </c>
      <c r="D82" s="36">
        <f>Scott!D43</f>
        <v>32</v>
      </c>
      <c r="E82" s="36" t="str">
        <f>Scott!E43</f>
        <v>2012 SP1 f9</v>
      </c>
      <c r="F82" s="36" t="str">
        <f>Scott!F43</f>
        <v>Runtime</v>
      </c>
      <c r="G82" s="36" t="str">
        <f>Scott!G43</f>
        <v>NI</v>
      </c>
      <c r="H82" s="36" t="str">
        <f>Scott!H43</f>
        <v>LabVIEW 2012 SP1 f9 12.0.1</v>
      </c>
      <c r="I82" s="36" t="str">
        <f>Scott!I43</f>
        <v>NI Developer Suite 2015 DS2 Install</v>
      </c>
    </row>
    <row r="83" spans="1:9" x14ac:dyDescent="0.25">
      <c r="A83" s="36" t="str">
        <f>Scott!A44</f>
        <v>3-Scott</v>
      </c>
      <c r="B83" s="36" t="str">
        <f>Scott!B44</f>
        <v>LabVIEW</v>
      </c>
      <c r="C83" s="36" t="str">
        <f>Scott!C44</f>
        <v>12.0.1</v>
      </c>
      <c r="D83" s="36">
        <f>Scott!D44</f>
        <v>64</v>
      </c>
      <c r="E83" s="36" t="str">
        <f>Scott!E44</f>
        <v>2012 SP1 f9</v>
      </c>
      <c r="F83" s="36" t="str">
        <f>Scott!F44</f>
        <v>Runtime</v>
      </c>
      <c r="G83" s="36" t="str">
        <f>Scott!G44</f>
        <v>NI</v>
      </c>
      <c r="H83" s="36" t="str">
        <f>Scott!H44</f>
        <v>LabVIEW 2012 SP1 f9 12.0.1</v>
      </c>
      <c r="I83" s="36" t="str">
        <f>Scott!I44</f>
        <v>NI Developer Suite 2015 DS2 Install</v>
      </c>
    </row>
    <row r="84" spans="1:9" x14ac:dyDescent="0.25">
      <c r="A84" s="36" t="str">
        <f>Scott!A45</f>
        <v>3-Scott</v>
      </c>
      <c r="B84" s="36" t="str">
        <f>Scott!B45</f>
        <v>LabVIEW</v>
      </c>
      <c r="C84" s="36" t="str">
        <f>Scott!C45</f>
        <v>13.0.1</v>
      </c>
      <c r="D84" s="36">
        <f>Scott!D45</f>
        <v>32</v>
      </c>
      <c r="E84" s="36" t="str">
        <f>Scott!E45</f>
        <v>2013 SP1 f6</v>
      </c>
      <c r="F84" s="36" t="str">
        <f>Scott!F45</f>
        <v>Runtime</v>
      </c>
      <c r="G84" s="36" t="str">
        <f>Scott!G45</f>
        <v>NI</v>
      </c>
      <c r="H84" s="36" t="str">
        <f>Scott!H45</f>
        <v>LabVIEW 2013 SP1 f6 13.0.1</v>
      </c>
      <c r="I84" s="36" t="str">
        <f>Scott!I45</f>
        <v>NI Developer Suite 2015 DS2 Install</v>
      </c>
    </row>
    <row r="85" spans="1:9" x14ac:dyDescent="0.25">
      <c r="A85" s="36" t="str">
        <f>Scott!A46</f>
        <v>3-Scott</v>
      </c>
      <c r="B85" s="36" t="str">
        <f>Scott!B46</f>
        <v>LabVIEW</v>
      </c>
      <c r="C85" s="36" t="str">
        <f>Scott!C46</f>
        <v>14.0.1</v>
      </c>
      <c r="D85" s="36">
        <f>Scott!D46</f>
        <v>32</v>
      </c>
      <c r="E85" s="36" t="str">
        <f>Scott!E46</f>
        <v>2014 SP1 f11</v>
      </c>
      <c r="F85" s="36" t="str">
        <f>Scott!F46</f>
        <v>Runtime</v>
      </c>
      <c r="G85" s="36" t="str">
        <f>Scott!G46</f>
        <v>NI</v>
      </c>
      <c r="H85" s="36" t="str">
        <f>Scott!H46</f>
        <v>LabVIEW 2014 SP1 f11 14.0.1</v>
      </c>
      <c r="I85" s="36" t="str">
        <f>Scott!I46</f>
        <v>2015 SP1 Update Service</v>
      </c>
    </row>
    <row r="86" spans="1:9" x14ac:dyDescent="0.25">
      <c r="A86" s="36" t="str">
        <f>Scott!A47</f>
        <v>3-Scott</v>
      </c>
      <c r="B86" s="36" t="str">
        <f>Scott!B47</f>
        <v>LabVIEW</v>
      </c>
      <c r="C86" s="36" t="str">
        <f>Scott!C47</f>
        <v>15.0.1</v>
      </c>
      <c r="D86" s="36">
        <f>Scott!D47</f>
        <v>32</v>
      </c>
      <c r="E86" s="36" t="str">
        <f>Scott!E47</f>
        <v>2015 SP1</v>
      </c>
      <c r="F86" s="36" t="str">
        <f>Scott!F47</f>
        <v>Runtime</v>
      </c>
      <c r="G86" s="36" t="str">
        <f>Scott!G47</f>
        <v>NI</v>
      </c>
      <c r="H86" s="36" t="str">
        <f>Scott!H47</f>
        <v>LabVIEW 2015 SP1 15.0.1</v>
      </c>
      <c r="I86" s="36" t="str">
        <f>Scott!I47</f>
        <v>LabVIEW 2015 SP1</v>
      </c>
    </row>
    <row r="87" spans="1:9" x14ac:dyDescent="0.25">
      <c r="A87" s="36" t="str">
        <f>Scott!A48</f>
        <v>3-Scott</v>
      </c>
      <c r="B87" s="36" t="str">
        <f>Scott!B48</f>
        <v>LabVIEW</v>
      </c>
      <c r="C87" s="36" t="str">
        <f>Scott!C48</f>
        <v>19.0.0</v>
      </c>
      <c r="D87" s="36" t="str">
        <f>Scott!D48</f>
        <v>32</v>
      </c>
      <c r="E87" s="36" t="str">
        <f>Scott!E48</f>
        <v>2019</v>
      </c>
      <c r="F87" s="36" t="str">
        <f>Scott!F48</f>
        <v>Runtime</v>
      </c>
      <c r="G87" s="36" t="str">
        <f>Scott!G48</f>
        <v>NI</v>
      </c>
      <c r="H87" s="36" t="str">
        <f>Scott!H48</f>
        <v>LabVIEW 2019 19.0.0</v>
      </c>
      <c r="I87" s="36" t="str">
        <f>Scott!I48</f>
        <v>LabVIEW 2019</v>
      </c>
    </row>
    <row r="88" spans="1:9" x14ac:dyDescent="0.25">
      <c r="A88" s="36" t="str">
        <f>Scott!A49</f>
        <v>3-Scott</v>
      </c>
      <c r="B88" s="36" t="str">
        <f>Scott!B49</f>
        <v>LabVIEW</v>
      </c>
      <c r="C88" s="36" t="str">
        <f>Scott!C49</f>
        <v>18.0.1</v>
      </c>
      <c r="D88" s="36" t="str">
        <f>Scott!D49</f>
        <v>32</v>
      </c>
      <c r="E88" s="36" t="str">
        <f>Scott!E49</f>
        <v>2018 SP1 f3</v>
      </c>
      <c r="F88" s="36" t="str">
        <f>Scott!F49</f>
        <v>Runtime</v>
      </c>
      <c r="G88" s="36" t="str">
        <f>Scott!G49</f>
        <v>NI</v>
      </c>
      <c r="H88" s="36" t="str">
        <f>Scott!H49</f>
        <v>LabVIEW 2019 SP1 f3 18.0.1</v>
      </c>
      <c r="I88" s="36" t="str">
        <f>Scott!I49</f>
        <v>LabVIEW 2019</v>
      </c>
    </row>
    <row r="89" spans="1:9" x14ac:dyDescent="0.25">
      <c r="A89" s="36" t="str">
        <f>Scott!A50</f>
        <v>3-Scott</v>
      </c>
      <c r="B89" s="36" t="str">
        <f>Scott!B50</f>
        <v>LabVIEW</v>
      </c>
      <c r="C89" s="36" t="str">
        <f>Scott!C50</f>
        <v>14.0.1</v>
      </c>
      <c r="D89" s="36">
        <f>Scott!D50</f>
        <v>64</v>
      </c>
      <c r="E89" s="36" t="str">
        <f>Scott!E50</f>
        <v>2014 SP1 f11</v>
      </c>
      <c r="F89" s="36" t="str">
        <f>Scott!F50</f>
        <v>Runtime</v>
      </c>
      <c r="G89" s="36" t="str">
        <f>Scott!G50</f>
        <v>NI</v>
      </c>
      <c r="H89" s="36" t="str">
        <f>Scott!H50</f>
        <v>LabVIEW 2014 SP1 f11 14.0.1</v>
      </c>
      <c r="I89" s="36" t="str">
        <f>Scott!I50</f>
        <v>2015 SP1 Update Service</v>
      </c>
    </row>
    <row r="90" spans="1:9" x14ac:dyDescent="0.25">
      <c r="A90" s="36" t="str">
        <f>Scott!A51</f>
        <v>3-Scott</v>
      </c>
      <c r="B90" s="36" t="str">
        <f>Scott!B51</f>
        <v>LabVIEW</v>
      </c>
      <c r="C90" s="36" t="str">
        <f>Scott!C51</f>
        <v>15.0.0</v>
      </c>
      <c r="D90" s="36">
        <f>Scott!D51</f>
        <v>64</v>
      </c>
      <c r="E90" s="36" t="str">
        <f>Scott!E51</f>
        <v>2015 f2</v>
      </c>
      <c r="F90" s="36" t="str">
        <f>Scott!F51</f>
        <v>Runtime</v>
      </c>
      <c r="G90" s="36" t="str">
        <f>Scott!G51</f>
        <v>NI</v>
      </c>
      <c r="H90" s="36" t="str">
        <f>Scott!H51</f>
        <v>LabVIEW 2015 f2 15.0.0</v>
      </c>
      <c r="I90" s="36" t="str">
        <f>Scott!I51</f>
        <v>2015 SP1 Update Service</v>
      </c>
    </row>
    <row r="91" spans="1:9" x14ac:dyDescent="0.25">
      <c r="A91" s="36" t="str">
        <f>Scott!A52</f>
        <v>3-Scott</v>
      </c>
      <c r="B91" s="36" t="str">
        <f>Scott!B52</f>
        <v>LabVIEW</v>
      </c>
      <c r="C91" s="36" t="str">
        <f>Scott!C52</f>
        <v>16.0.0</v>
      </c>
      <c r="D91" s="36" t="str">
        <f>Scott!D52</f>
        <v>32</v>
      </c>
      <c r="E91" s="36" t="str">
        <f>Scott!E52</f>
        <v>2016 f5</v>
      </c>
      <c r="F91" s="36" t="str">
        <f>Scott!F52</f>
        <v>Runtime</v>
      </c>
      <c r="G91" s="36" t="str">
        <f>Scott!G52</f>
        <v>NI</v>
      </c>
      <c r="H91" s="36" t="str">
        <f>Scott!H52</f>
        <v>LabVIEW 2016 f5 16.0.0</v>
      </c>
      <c r="I91" s="36" t="str">
        <f>Scott!I52</f>
        <v>CompactRIO 18.1.0</v>
      </c>
    </row>
    <row r="92" spans="1:9" x14ac:dyDescent="0.25">
      <c r="A92" s="36" t="str">
        <f>Scott!A53</f>
        <v>3-Scott</v>
      </c>
      <c r="B92" s="36" t="str">
        <f>Scott!B53</f>
        <v>LabVIEW</v>
      </c>
      <c r="C92" s="36" t="str">
        <f>Scott!C53</f>
        <v>17.0.1</v>
      </c>
      <c r="D92" s="36" t="str">
        <f>Scott!D53</f>
        <v>32</v>
      </c>
      <c r="E92" s="36" t="str">
        <f>Scott!E53</f>
        <v>2017 SP1 f3</v>
      </c>
      <c r="F92" s="36" t="str">
        <f>Scott!F53</f>
        <v>Runtime</v>
      </c>
      <c r="G92" s="36" t="str">
        <f>Scott!G53</f>
        <v>NI</v>
      </c>
      <c r="H92" s="36" t="str">
        <f>Scott!H53</f>
        <v>LabVIEW 2017 SP1 f3 17.0.1</v>
      </c>
      <c r="I92" s="36" t="str">
        <f>Scott!I53</f>
        <v>EtherCAT Update Service</v>
      </c>
    </row>
    <row r="93" spans="1:9" x14ac:dyDescent="0.25">
      <c r="A93" s="172" t="str">
        <f>Originals!A206</f>
        <v>4-Vinnie</v>
      </c>
      <c r="B93" s="172" t="str">
        <f>Originals!B206</f>
        <v>LabVIEW</v>
      </c>
      <c r="C93" s="172" t="str">
        <f>Originals!C206</f>
        <v>12.0.1</v>
      </c>
      <c r="D93" s="172" t="str">
        <f>Originals!D206</f>
        <v>32</v>
      </c>
      <c r="E93" s="172" t="str">
        <f>Originals!E206</f>
        <v>2012 SP1 f9</v>
      </c>
      <c r="F93" s="172" t="str">
        <f>Originals!F206</f>
        <v>Runtime</v>
      </c>
      <c r="G93" s="172" t="str">
        <f>Originals!G206</f>
        <v>NI</v>
      </c>
      <c r="H93" s="172" t="str">
        <f>Originals!H206</f>
        <v>LabVIEW 2012 SP1 f9 12.0.1</v>
      </c>
      <c r="I93" s="172" t="str">
        <f>Originals!I206</f>
        <v>NI Developer Suite 2015 DS2 Install</v>
      </c>
    </row>
    <row r="94" spans="1:9" x14ac:dyDescent="0.25">
      <c r="A94" s="172" t="str">
        <f>Originals!A207</f>
        <v>4-Vinnie</v>
      </c>
      <c r="B94" s="172" t="str">
        <f>Originals!B207</f>
        <v>LabVIEW</v>
      </c>
      <c r="C94" s="172" t="str">
        <f>Originals!C207</f>
        <v>14.0.1</v>
      </c>
      <c r="D94" s="172" t="str">
        <f>Originals!D207</f>
        <v>32</v>
      </c>
      <c r="E94" s="172" t="str">
        <f>Originals!E207</f>
        <v>2014 SP1 f11</v>
      </c>
      <c r="F94" s="172" t="str">
        <f>Originals!F207</f>
        <v>Runtime</v>
      </c>
      <c r="G94" s="172" t="str">
        <f>Originals!G207</f>
        <v>NI</v>
      </c>
      <c r="H94" s="172" t="str">
        <f>Originals!H207</f>
        <v>LabVIEW 2014 SP1 f11 14.0.1</v>
      </c>
      <c r="I94" s="172" t="str">
        <f>Originals!I207</f>
        <v>2015 SP1 Update Service</v>
      </c>
    </row>
    <row r="95" spans="1:9" x14ac:dyDescent="0.25">
      <c r="A95" s="172" t="str">
        <f>Originals!A208</f>
        <v>4-Vinnie</v>
      </c>
      <c r="B95" s="172" t="str">
        <f>Originals!B208</f>
        <v>LabVIEW</v>
      </c>
      <c r="C95" s="172" t="str">
        <f>Originals!C208</f>
        <v>16.0.0</v>
      </c>
      <c r="D95" s="172" t="str">
        <f>Originals!D208</f>
        <v>32</v>
      </c>
      <c r="E95" s="172" t="str">
        <f>Originals!E208</f>
        <v>2016  f6</v>
      </c>
      <c r="F95" s="172" t="str">
        <f>Originals!F208</f>
        <v>Runtime</v>
      </c>
      <c r="G95" s="172" t="str">
        <f>Originals!G208</f>
        <v>NI</v>
      </c>
      <c r="H95" s="172" t="str">
        <f>Originals!H208</f>
        <v>LabVIEW 2016  f6 16.0.0</v>
      </c>
      <c r="I95" s="172">
        <f>Originals!I208</f>
        <v>0</v>
      </c>
    </row>
    <row r="96" spans="1:9" x14ac:dyDescent="0.25">
      <c r="A96" s="172" t="str">
        <f>Originals!A209</f>
        <v>4-Vinnie</v>
      </c>
      <c r="B96" s="172" t="str">
        <f>Originals!B209</f>
        <v>LabVIEW</v>
      </c>
      <c r="C96" s="172" t="str">
        <f>Originals!C209</f>
        <v>17.0.1</v>
      </c>
      <c r="D96" s="172" t="str">
        <f>Originals!D209</f>
        <v>32</v>
      </c>
      <c r="E96" s="172" t="str">
        <f>Originals!E209</f>
        <v>2017 SP1 f3</v>
      </c>
      <c r="F96" s="172" t="str">
        <f>Originals!F209</f>
        <v>Runtime</v>
      </c>
      <c r="G96" s="172" t="str">
        <f>Originals!G209</f>
        <v>NI</v>
      </c>
      <c r="H96" s="172" t="str">
        <f>Originals!H209</f>
        <v>LabVIEW 2017 SP1 f3 17.0.1</v>
      </c>
      <c r="I96" s="172">
        <f>Originals!I209</f>
        <v>0</v>
      </c>
    </row>
    <row r="97" spans="1:9" x14ac:dyDescent="0.25">
      <c r="A97" s="172" t="str">
        <f>Originals!A210</f>
        <v>4-Vinnie</v>
      </c>
      <c r="B97" s="172" t="str">
        <f>Originals!B210</f>
        <v>LabVIEW</v>
      </c>
      <c r="C97" s="172" t="str">
        <f>Originals!C210</f>
        <v>18.0.1</v>
      </c>
      <c r="D97" s="172" t="str">
        <f>Originals!D210</f>
        <v>64</v>
      </c>
      <c r="E97" s="172" t="str">
        <f>Originals!E210</f>
        <v>2018 SP1</v>
      </c>
      <c r="F97" s="172" t="str">
        <f>Originals!F210</f>
        <v>Runtime</v>
      </c>
      <c r="G97" s="172" t="str">
        <f>Originals!G210</f>
        <v>NI</v>
      </c>
      <c r="H97" s="172" t="str">
        <f>Originals!H210</f>
        <v>LabVIEW 2018 SP1 18.0.1</v>
      </c>
      <c r="I97" s="172" t="str">
        <f>Originals!I210</f>
        <v>LabVIEW 2019</v>
      </c>
    </row>
    <row r="98" spans="1:9" x14ac:dyDescent="0.25">
      <c r="A98" s="172" t="str">
        <f>Originals!A211</f>
        <v>4-Vinnie</v>
      </c>
      <c r="B98" s="172" t="str">
        <f>Originals!B211</f>
        <v>LabVIEW</v>
      </c>
      <c r="C98" s="172" t="str">
        <f>Originals!C211</f>
        <v>19.0.1</v>
      </c>
      <c r="D98" s="172" t="str">
        <f>Originals!D211</f>
        <v>32</v>
      </c>
      <c r="E98" s="172" t="str">
        <f>Originals!E211</f>
        <v>2019 SP1 f1</v>
      </c>
      <c r="F98" s="172" t="str">
        <f>Originals!F211</f>
        <v>Runtime</v>
      </c>
      <c r="G98" s="172" t="str">
        <f>Originals!G211</f>
        <v>NI</v>
      </c>
      <c r="H98" s="172" t="str">
        <f>Originals!H211</f>
        <v>LabVIEW 2019 SP1 f1 19.0.1</v>
      </c>
      <c r="I98" s="172">
        <f>Originals!I211</f>
        <v>0</v>
      </c>
    </row>
    <row r="99" spans="1:9" x14ac:dyDescent="0.25">
      <c r="A99" s="172" t="str">
        <f>Originals!A212</f>
        <v>4-Vinnie</v>
      </c>
      <c r="B99" s="172" t="str">
        <f>Originals!B212</f>
        <v>LabVIEW</v>
      </c>
      <c r="C99" s="172" t="str">
        <f>Originals!C212</f>
        <v>15</v>
      </c>
      <c r="D99" s="172" t="str">
        <f>Originals!D212</f>
        <v>32</v>
      </c>
      <c r="E99" s="172" t="str">
        <f>Originals!E212</f>
        <v>2015 SP1 f7</v>
      </c>
      <c r="F99" s="172" t="str">
        <f>Originals!F212</f>
        <v>Development</v>
      </c>
      <c r="G99" s="172" t="str">
        <f>Originals!G212</f>
        <v>NI</v>
      </c>
      <c r="H99" s="172" t="str">
        <f>Originals!H212</f>
        <v>LabVIEW 2015 SP1 f7 15</v>
      </c>
      <c r="I99" s="172">
        <f>Originals!I212</f>
        <v>0</v>
      </c>
    </row>
    <row r="100" spans="1:9" x14ac:dyDescent="0.25">
      <c r="A100" s="172" t="str">
        <f>Originals!A213</f>
        <v>4-Vinnie</v>
      </c>
      <c r="B100" s="172" t="str">
        <f>Originals!B213</f>
        <v>LabVIEW</v>
      </c>
      <c r="C100" s="172" t="str">
        <f>Originals!C213</f>
        <v>15.0.1</v>
      </c>
      <c r="D100" s="172" t="str">
        <f>Originals!D213</f>
        <v>32</v>
      </c>
      <c r="E100" s="172" t="str">
        <f>Originals!E213</f>
        <v>2015</v>
      </c>
      <c r="F100" s="172" t="str">
        <f>Originals!F213</f>
        <v>Development</v>
      </c>
      <c r="G100" s="172" t="str">
        <f>Originals!G213</f>
        <v>NI</v>
      </c>
      <c r="H100" s="172" t="str">
        <f>Originals!H213</f>
        <v>LabVIEW 2015 15.0.1</v>
      </c>
      <c r="I100" s="172" t="str">
        <f>Originals!I213</f>
        <v>LabVIEW 2015 SP1</v>
      </c>
    </row>
    <row r="101" spans="1:9" x14ac:dyDescent="0.25">
      <c r="A101" s="172" t="str">
        <f>Originals!A214</f>
        <v>4-Vinnie</v>
      </c>
      <c r="B101" s="172" t="str">
        <f>Originals!B214</f>
        <v>LabVIEW</v>
      </c>
      <c r="C101" s="172" t="str">
        <f>Originals!C214</f>
        <v>15.0.1</v>
      </c>
      <c r="D101" s="172" t="str">
        <f>Originals!D214</f>
        <v>32</v>
      </c>
      <c r="E101" s="172" t="str">
        <f>Originals!E214</f>
        <v>2015 SP1</v>
      </c>
      <c r="F101" s="172" t="str">
        <f>Originals!F214</f>
        <v>Runtime</v>
      </c>
      <c r="G101" s="172" t="str">
        <f>Originals!G214</f>
        <v>NI</v>
      </c>
      <c r="H101" s="172" t="str">
        <f>Originals!H214</f>
        <v>LabVIEW 2015 SP1 15.0.1</v>
      </c>
      <c r="I101" s="172" t="str">
        <f>Originals!I214</f>
        <v>LabVIEW 2015 SP1</v>
      </c>
    </row>
    <row r="102" spans="1:9" x14ac:dyDescent="0.25">
      <c r="A102" s="36" t="str">
        <f>Scott!A208</f>
        <v>3-Scott</v>
      </c>
      <c r="B102" s="36" t="str">
        <f>Scott!B208</f>
        <v>LabVIEW Interface</v>
      </c>
      <c r="C102" s="36">
        <f>Scott!C208</f>
        <v>15</v>
      </c>
      <c r="D102" s="36">
        <f>Scott!D208</f>
        <v>32</v>
      </c>
      <c r="E102" s="36">
        <f>Scott!E208</f>
        <v>2015</v>
      </c>
      <c r="F102" s="36" t="str">
        <f>Scott!F208</f>
        <v>Development</v>
      </c>
      <c r="G102" s="36" t="str">
        <f>Scott!G208</f>
        <v>NI</v>
      </c>
      <c r="H102" s="36" t="str">
        <f>Scott!H208</f>
        <v>LabVIEW Interface 15</v>
      </c>
      <c r="I102" s="36" t="str">
        <f>Scott!I208</f>
        <v>NI FieldPoint 15.0</v>
      </c>
    </row>
    <row r="103" spans="1:9" x14ac:dyDescent="0.25">
      <c r="A103" s="172" t="str">
        <f>Originals!A215</f>
        <v>4-Vinnie</v>
      </c>
      <c r="B103" s="172" t="str">
        <f>Originals!B215</f>
        <v>LabVIEW Real-Time</v>
      </c>
      <c r="C103" s="172" t="str">
        <f>Originals!C215</f>
        <v>15.0.1</v>
      </c>
      <c r="D103" s="172" t="str">
        <f>Originals!D215</f>
        <v>32</v>
      </c>
      <c r="E103" s="172" t="str">
        <f>Originals!E215</f>
        <v>2015</v>
      </c>
      <c r="F103" s="172" t="str">
        <f>Originals!F215</f>
        <v>C-RIO</v>
      </c>
      <c r="G103" s="172" t="str">
        <f>Originals!G215</f>
        <v>NI</v>
      </c>
      <c r="H103" s="172" t="str">
        <f>Originals!H215</f>
        <v>LabVIEW Real-Time 15.0.1</v>
      </c>
      <c r="I103" s="172">
        <f>Originals!I215</f>
        <v>0</v>
      </c>
    </row>
    <row r="104" spans="1:9" x14ac:dyDescent="0.25">
      <c r="A104" s="36" t="str">
        <f>Scott!A54</f>
        <v>3-Scott</v>
      </c>
      <c r="B104" s="36" t="str">
        <f>Scott!B54</f>
        <v>LAVA Palette</v>
      </c>
      <c r="C104" s="36" t="str">
        <f>Scott!C54</f>
        <v>1.0.0.1</v>
      </c>
      <c r="D104" s="36" t="str">
        <f>Scott!D54</f>
        <v>32</v>
      </c>
      <c r="E104" s="36" t="str">
        <f>Scott!E54</f>
        <v>N/A</v>
      </c>
      <c r="F104" s="36" t="str">
        <f>Scott!F54</f>
        <v>Development</v>
      </c>
      <c r="G104" s="36" t="str">
        <f>Scott!G54</f>
        <v>LAVA</v>
      </c>
      <c r="H104" s="36" t="str">
        <f>Scott!H54</f>
        <v>LAVA Palette 1.0.0.1</v>
      </c>
      <c r="I104" s="36" t="str">
        <f>Scott!I54</f>
        <v>VIPM Community</v>
      </c>
    </row>
    <row r="105" spans="1:9" x14ac:dyDescent="0.25">
      <c r="A105" s="172" t="str">
        <f>Originals!A216</f>
        <v>4-Vinnie</v>
      </c>
      <c r="B105" s="172" t="str">
        <f>Originals!B216</f>
        <v>LAVA Palette</v>
      </c>
      <c r="C105" s="172" t="str">
        <f>Originals!C216</f>
        <v>1.0.0.1</v>
      </c>
      <c r="D105" s="172" t="str">
        <f>Originals!D216</f>
        <v>32</v>
      </c>
      <c r="E105" s="172" t="str">
        <f>Originals!E216</f>
        <v>N/A</v>
      </c>
      <c r="F105" s="172" t="str">
        <f>Originals!F216</f>
        <v>Development</v>
      </c>
      <c r="G105" s="172" t="str">
        <f>Originals!G216</f>
        <v>LAVA</v>
      </c>
      <c r="H105" s="172" t="str">
        <f>Originals!H216</f>
        <v>LAVA Palette 1.0.0.1</v>
      </c>
      <c r="I105" s="172" t="str">
        <f>Originals!I216</f>
        <v>VIPM Community</v>
      </c>
    </row>
    <row r="106" spans="1:9" x14ac:dyDescent="0.25">
      <c r="A106" s="36" t="str">
        <f>Scott!A55</f>
        <v>3-Scott</v>
      </c>
      <c r="B106" s="36" t="str">
        <f>Scott!B55</f>
        <v>MathScript RT Module</v>
      </c>
      <c r="C106" s="36" t="str">
        <f>Scott!C55</f>
        <v>15.0.0</v>
      </c>
      <c r="D106" s="36">
        <f>Scott!D55</f>
        <v>32</v>
      </c>
      <c r="E106" s="36">
        <f>Scott!E55</f>
        <v>2015</v>
      </c>
      <c r="F106" s="36" t="str">
        <f>Scott!F55</f>
        <v>Development</v>
      </c>
      <c r="G106" s="36" t="str">
        <f>Scott!G55</f>
        <v>NI</v>
      </c>
      <c r="H106" s="36" t="str">
        <f>Scott!H55</f>
        <v>MathScript RT Module 15.0.0</v>
      </c>
      <c r="I106" s="36" t="str">
        <f>Scott!I55</f>
        <v>NI Developer Suite 2015 DS2 Install</v>
      </c>
    </row>
    <row r="107" spans="1:9" x14ac:dyDescent="0.25">
      <c r="A107" s="36" t="str">
        <f>Scott!A56</f>
        <v>3-Scott</v>
      </c>
      <c r="B107" s="36" t="str">
        <f>Scott!B56</f>
        <v>Measurement &amp; Automation Explorer</v>
      </c>
      <c r="C107" s="36" t="str">
        <f>Scott!C56</f>
        <v>18.0.0f0</v>
      </c>
      <c r="D107" s="36" t="str">
        <f>Scott!D56</f>
        <v>32</v>
      </c>
      <c r="E107" s="36" t="str">
        <f>Scott!E56</f>
        <v>2018</v>
      </c>
      <c r="F107" s="36" t="str">
        <f>Scott!F56</f>
        <v>Development</v>
      </c>
      <c r="G107" s="36" t="str">
        <f>Scott!G56</f>
        <v>NI</v>
      </c>
      <c r="H107" s="36" t="str">
        <f>Scott!H56</f>
        <v>Measurement &amp; Automation Explorer 18.0.0f0</v>
      </c>
      <c r="I107" s="36" t="str">
        <f>Scott!I56</f>
        <v>CompactRIO 18.1.0</v>
      </c>
    </row>
    <row r="108" spans="1:9" x14ac:dyDescent="0.25">
      <c r="A108" s="172" t="str">
        <f>Originals!A217</f>
        <v>4-Vinnie</v>
      </c>
      <c r="B108" s="172" t="str">
        <f>Originals!B217</f>
        <v>Measurement &amp; Automation Explorer</v>
      </c>
      <c r="C108" s="172" t="str">
        <f>Originals!C217</f>
        <v>19.5.0f0</v>
      </c>
      <c r="D108" s="172" t="str">
        <f>Originals!D217</f>
        <v>32</v>
      </c>
      <c r="E108" s="172" t="str">
        <f>Originals!E217</f>
        <v>2019</v>
      </c>
      <c r="F108" s="172" t="str">
        <f>Originals!F217</f>
        <v>Development</v>
      </c>
      <c r="G108" s="172" t="str">
        <f>Originals!G217</f>
        <v>NI</v>
      </c>
      <c r="H108" s="172" t="str">
        <f>Originals!H217</f>
        <v>Measurement &amp; Automation Explorer 19.5.0f0</v>
      </c>
      <c r="I108" s="172">
        <f>Originals!I217</f>
        <v>0</v>
      </c>
    </row>
    <row r="109" spans="1:9" x14ac:dyDescent="0.25">
      <c r="A109" s="36" t="str">
        <f>Scott!A57</f>
        <v>3-Scott</v>
      </c>
      <c r="B109" s="36" t="str">
        <f>Scott!B57</f>
        <v>Measurement Studio</v>
      </c>
      <c r="C109" s="36">
        <f>Scott!C57</f>
        <v>0</v>
      </c>
      <c r="D109" s="36">
        <f>Scott!D57</f>
        <v>32</v>
      </c>
      <c r="E109" s="36">
        <f>Scott!E57</f>
        <v>2010</v>
      </c>
      <c r="F109" s="36" t="str">
        <f>Scott!F57</f>
        <v>Development</v>
      </c>
      <c r="G109" s="36" t="str">
        <f>Scott!G57</f>
        <v>NI</v>
      </c>
      <c r="H109" s="36" t="str">
        <f>Scott!H57</f>
        <v xml:space="preserve">Measurement Studio </v>
      </c>
      <c r="I109" s="36" t="str">
        <f>Scott!I57</f>
        <v>NI Developer Suite 2015 DS2 Install</v>
      </c>
    </row>
    <row r="110" spans="1:9" x14ac:dyDescent="0.25">
      <c r="A110" s="172" t="str">
        <f>Originals!A218</f>
        <v>4-Vinnie</v>
      </c>
      <c r="B110" s="172" t="str">
        <f>Originals!B218</f>
        <v>Measurement Studio</v>
      </c>
      <c r="C110" s="172">
        <f>Originals!C218</f>
        <v>0</v>
      </c>
      <c r="D110" s="172" t="str">
        <f>Originals!D218</f>
        <v>32</v>
      </c>
      <c r="E110" s="172" t="str">
        <f>Originals!E218</f>
        <v>2005</v>
      </c>
      <c r="F110" s="172" t="str">
        <f>Originals!F218</f>
        <v>Development</v>
      </c>
      <c r="G110" s="172" t="str">
        <f>Originals!G218</f>
        <v>NI</v>
      </c>
      <c r="H110" s="172" t="str">
        <f>Originals!H218</f>
        <v xml:space="preserve">Measurement Studio </v>
      </c>
      <c r="I110" s="172">
        <f>Originals!I218</f>
        <v>0</v>
      </c>
    </row>
    <row r="111" spans="1:9" x14ac:dyDescent="0.25">
      <c r="A111" s="172" t="str">
        <f>Originals!A219</f>
        <v>4-Vinnie</v>
      </c>
      <c r="B111" s="172" t="str">
        <f>Originals!B219</f>
        <v>Measurement Studio</v>
      </c>
      <c r="C111" s="172">
        <f>Originals!C219</f>
        <v>0</v>
      </c>
      <c r="D111" s="172" t="str">
        <f>Originals!D219</f>
        <v>32</v>
      </c>
      <c r="E111" s="172" t="str">
        <f>Originals!E219</f>
        <v>2018</v>
      </c>
      <c r="F111" s="172" t="str">
        <f>Originals!F219</f>
        <v>Development</v>
      </c>
      <c r="G111" s="172" t="str">
        <f>Originals!G219</f>
        <v>NI</v>
      </c>
      <c r="H111" s="172" t="str">
        <f>Originals!H219</f>
        <v xml:space="preserve">Measurement Studio </v>
      </c>
      <c r="I111" s="172">
        <f>Originals!I219</f>
        <v>0</v>
      </c>
    </row>
    <row r="112" spans="1:9" x14ac:dyDescent="0.25">
      <c r="A112" s="172" t="str">
        <f>Originals!A220</f>
        <v>4-Vinnie</v>
      </c>
      <c r="B112" s="172" t="str">
        <f>Originals!B220</f>
        <v>Measurement Studio</v>
      </c>
      <c r="C112" s="172">
        <f>Originals!C220</f>
        <v>0</v>
      </c>
      <c r="D112" s="172" t="str">
        <f>Originals!D220</f>
        <v>32</v>
      </c>
      <c r="E112" s="172" t="str">
        <f>Originals!E220</f>
        <v>2010</v>
      </c>
      <c r="F112" s="172" t="str">
        <f>Originals!F220</f>
        <v>Development</v>
      </c>
      <c r="G112" s="172" t="str">
        <f>Originals!G220</f>
        <v>NI</v>
      </c>
      <c r="H112" s="172" t="str">
        <f>Originals!H220</f>
        <v xml:space="preserve">Measurement Studio </v>
      </c>
      <c r="I112" s="172" t="str">
        <f>Originals!I220</f>
        <v>NI Developer Suite 2015 DS2 Install</v>
      </c>
    </row>
    <row r="113" spans="1:9" x14ac:dyDescent="0.25">
      <c r="A113" s="36" t="str">
        <f>Scott!A58</f>
        <v>3-Scott</v>
      </c>
      <c r="B113" s="36" t="str">
        <f>Scott!B58</f>
        <v>Measurement Studio Common</v>
      </c>
      <c r="C113" s="36" t="str">
        <f>Scott!C58</f>
        <v>15.0.40.49154</v>
      </c>
      <c r="D113" s="36">
        <f>Scott!D58</f>
        <v>32</v>
      </c>
      <c r="E113" s="36">
        <f>Scott!E58</f>
        <v>2015</v>
      </c>
      <c r="F113" s="36" t="str">
        <f>Scott!F58</f>
        <v>Development</v>
      </c>
      <c r="G113" s="36" t="str">
        <f>Scott!G58</f>
        <v>NI</v>
      </c>
      <c r="H113" s="36" t="str">
        <f>Scott!H58</f>
        <v>Measurement Studio Common 15.0.40.49154</v>
      </c>
      <c r="I113" s="36" t="str">
        <f>Scott!I58</f>
        <v>NI Developer Suite 2015 DS2 Install</v>
      </c>
    </row>
    <row r="114" spans="1:9" x14ac:dyDescent="0.25">
      <c r="A114" s="36" t="str">
        <f>Scott!A59</f>
        <v>3-Scott</v>
      </c>
      <c r="B114" s="36" t="str">
        <f>Scott!B59</f>
        <v>Measurement Studio Common</v>
      </c>
      <c r="C114" s="36" t="str">
        <f>Scott!C59</f>
        <v>15.0.40.49154</v>
      </c>
      <c r="D114" s="36">
        <f>Scott!D59</f>
        <v>64</v>
      </c>
      <c r="E114" s="36">
        <f>Scott!E59</f>
        <v>2015</v>
      </c>
      <c r="F114" s="36" t="str">
        <f>Scott!F59</f>
        <v>Development</v>
      </c>
      <c r="G114" s="36" t="str">
        <f>Scott!G59</f>
        <v>NI</v>
      </c>
      <c r="H114" s="36" t="str">
        <f>Scott!H59</f>
        <v>Measurement Studio Common 15.0.40.49154</v>
      </c>
      <c r="I114" s="36" t="str">
        <f>Scott!I59</f>
        <v>NI Developer Suite 2015 DS2 Install</v>
      </c>
    </row>
    <row r="115" spans="1:9" x14ac:dyDescent="0.25">
      <c r="A115" s="172" t="str">
        <f>Originals!A221</f>
        <v>4-Vinnie</v>
      </c>
      <c r="B115" s="172" t="str">
        <f>Originals!B221</f>
        <v>Measurement Studio Common</v>
      </c>
      <c r="C115" s="172" t="str">
        <f>Originals!C221</f>
        <v>12.0.20.258</v>
      </c>
      <c r="D115" s="172" t="str">
        <f>Originals!D221</f>
        <v>32</v>
      </c>
      <c r="E115" s="172" t="str">
        <f>Originals!E221</f>
        <v>2005</v>
      </c>
      <c r="F115" s="172" t="str">
        <f>Originals!F221</f>
        <v>Development</v>
      </c>
      <c r="G115" s="172" t="str">
        <f>Originals!G221</f>
        <v>NI</v>
      </c>
      <c r="H115" s="172" t="str">
        <f>Originals!H221</f>
        <v>Measurement Studio Common 12.0.20.258</v>
      </c>
      <c r="I115" s="172">
        <f>Originals!I221</f>
        <v>0</v>
      </c>
    </row>
    <row r="116" spans="1:9" x14ac:dyDescent="0.25">
      <c r="A116" s="172" t="str">
        <f>Originals!A222</f>
        <v>4-Vinnie</v>
      </c>
      <c r="B116" s="172" t="str">
        <f>Originals!B222</f>
        <v>Measurement Studio Common</v>
      </c>
      <c r="C116" s="172" t="str">
        <f>Originals!C222</f>
        <v>13.5.35.173</v>
      </c>
      <c r="D116" s="172" t="str">
        <f>Originals!D222</f>
        <v>32</v>
      </c>
      <c r="E116" s="172" t="str">
        <f>Originals!E222</f>
        <v>2018</v>
      </c>
      <c r="F116" s="172" t="str">
        <f>Originals!F222</f>
        <v>Development</v>
      </c>
      <c r="G116" s="172" t="str">
        <f>Originals!G222</f>
        <v>NI</v>
      </c>
      <c r="H116" s="172" t="str">
        <f>Originals!H222</f>
        <v>Measurement Studio Common 13.5.35.173</v>
      </c>
      <c r="I116" s="172">
        <f>Originals!I222</f>
        <v>0</v>
      </c>
    </row>
    <row r="117" spans="1:9" x14ac:dyDescent="0.25">
      <c r="A117" s="172" t="str">
        <f>Originals!A223</f>
        <v>4-Vinnie</v>
      </c>
      <c r="B117" s="172" t="str">
        <f>Originals!B223</f>
        <v>Measurement Studio Common</v>
      </c>
      <c r="C117" s="172" t="str">
        <f>Originals!C223</f>
        <v>13.5.35.173</v>
      </c>
      <c r="D117" s="172" t="str">
        <f>Originals!D223</f>
        <v>64</v>
      </c>
      <c r="E117" s="172" t="str">
        <f>Originals!E223</f>
        <v>2018</v>
      </c>
      <c r="F117" s="172" t="str">
        <f>Originals!F223</f>
        <v>Development</v>
      </c>
      <c r="G117" s="172" t="str">
        <f>Originals!G223</f>
        <v>NI</v>
      </c>
      <c r="H117" s="172" t="str">
        <f>Originals!H223</f>
        <v>Measurement Studio Common 13.5.35.173</v>
      </c>
      <c r="I117" s="172">
        <f>Originals!I223</f>
        <v>0</v>
      </c>
    </row>
    <row r="118" spans="1:9" x14ac:dyDescent="0.25">
      <c r="A118" s="172" t="str">
        <f>Originals!A224</f>
        <v>4-Vinnie</v>
      </c>
      <c r="B118" s="172" t="str">
        <f>Originals!B224</f>
        <v>Measurement Studio Common</v>
      </c>
      <c r="C118" s="172" t="str">
        <f>Originals!C224</f>
        <v>15.0.40.49154</v>
      </c>
      <c r="D118" s="172" t="str">
        <f>Originals!D224</f>
        <v>32</v>
      </c>
      <c r="E118" s="172" t="str">
        <f>Originals!E224</f>
        <v>2015</v>
      </c>
      <c r="F118" s="172" t="str">
        <f>Originals!F224</f>
        <v>Development</v>
      </c>
      <c r="G118" s="172" t="str">
        <f>Originals!G224</f>
        <v>NI</v>
      </c>
      <c r="H118" s="172" t="str">
        <f>Originals!H224</f>
        <v>Measurement Studio Common 15.0.40.49154</v>
      </c>
      <c r="I118" s="172" t="str">
        <f>Originals!I224</f>
        <v>NI Developer Suite 2015 DS2 Install</v>
      </c>
    </row>
    <row r="119" spans="1:9" x14ac:dyDescent="0.25">
      <c r="A119" s="172" t="str">
        <f>Originals!A225</f>
        <v>4-Vinnie</v>
      </c>
      <c r="B119" s="172" t="str">
        <f>Originals!B225</f>
        <v>Measurement Studio Common</v>
      </c>
      <c r="C119" s="172" t="str">
        <f>Originals!C225</f>
        <v>15.0.40.49154</v>
      </c>
      <c r="D119" s="172" t="str">
        <f>Originals!D225</f>
        <v>64</v>
      </c>
      <c r="E119" s="172" t="str">
        <f>Originals!E225</f>
        <v>2015</v>
      </c>
      <c r="F119" s="172" t="str">
        <f>Originals!F225</f>
        <v>Development</v>
      </c>
      <c r="G119" s="172" t="str">
        <f>Originals!G225</f>
        <v>NI</v>
      </c>
      <c r="H119" s="172" t="str">
        <f>Originals!H225</f>
        <v>Measurement Studio Common 15.0.40.49154</v>
      </c>
      <c r="I119" s="172" t="str">
        <f>Originals!I225</f>
        <v>NI Developer Suite 2015 DS2 Install</v>
      </c>
    </row>
    <row r="120" spans="1:9" x14ac:dyDescent="0.25">
      <c r="A120" s="36" t="str">
        <f>Scott!A60</f>
        <v>3-Scott</v>
      </c>
      <c r="B120" s="36" t="str">
        <f>Scott!B60</f>
        <v>Measurement Studio DotNET</v>
      </c>
      <c r="C120" s="36">
        <f>Scott!C60</f>
        <v>0</v>
      </c>
      <c r="D120" s="36">
        <f>Scott!D60</f>
        <v>32</v>
      </c>
      <c r="E120" s="36">
        <f>Scott!E60</f>
        <v>2010</v>
      </c>
      <c r="F120" s="36" t="str">
        <f>Scott!F60</f>
        <v>Development</v>
      </c>
      <c r="G120" s="36" t="str">
        <f>Scott!G60</f>
        <v>NI</v>
      </c>
      <c r="H120" s="36" t="str">
        <f>Scott!H60</f>
        <v xml:space="preserve">Measurement Studio DotNET </v>
      </c>
      <c r="I120" s="36" t="str">
        <f>Scott!I60</f>
        <v>NI Developer Suite 2015 DS2 Install</v>
      </c>
    </row>
    <row r="121" spans="1:9" x14ac:dyDescent="0.25">
      <c r="A121" s="172" t="str">
        <f>Originals!A226</f>
        <v>4-Vinnie</v>
      </c>
      <c r="B121" s="172" t="str">
        <f>Originals!B226</f>
        <v>Measurement Studio DotNET</v>
      </c>
      <c r="C121" s="172">
        <f>Originals!C226</f>
        <v>0</v>
      </c>
      <c r="D121" s="172" t="str">
        <f>Originals!D226</f>
        <v>32</v>
      </c>
      <c r="E121" s="172" t="str">
        <f>Originals!E226</f>
        <v>2005</v>
      </c>
      <c r="F121" s="172" t="str">
        <f>Originals!F226</f>
        <v>Development</v>
      </c>
      <c r="G121" s="172" t="str">
        <f>Originals!G226</f>
        <v>NI</v>
      </c>
      <c r="H121" s="172" t="str">
        <f>Originals!H226</f>
        <v xml:space="preserve">Measurement Studio DotNET </v>
      </c>
      <c r="I121" s="172">
        <f>Originals!I226</f>
        <v>0</v>
      </c>
    </row>
    <row r="122" spans="1:9" x14ac:dyDescent="0.25">
      <c r="A122" s="172" t="str">
        <f>Originals!A227</f>
        <v>4-Vinnie</v>
      </c>
      <c r="B122" s="172" t="str">
        <f>Originals!B227</f>
        <v>Measurement Studio DotNET</v>
      </c>
      <c r="C122" s="172">
        <f>Originals!C227</f>
        <v>0</v>
      </c>
      <c r="D122" s="172" t="str">
        <f>Originals!D227</f>
        <v>32</v>
      </c>
      <c r="E122" s="172" t="str">
        <f>Originals!E227</f>
        <v>2018</v>
      </c>
      <c r="F122" s="172" t="str">
        <f>Originals!F227</f>
        <v>Development</v>
      </c>
      <c r="G122" s="172" t="str">
        <f>Originals!G227</f>
        <v>NI</v>
      </c>
      <c r="H122" s="172" t="str">
        <f>Originals!H227</f>
        <v xml:space="preserve">Measurement Studio DotNET </v>
      </c>
      <c r="I122" s="172">
        <f>Originals!I227</f>
        <v>0</v>
      </c>
    </row>
    <row r="123" spans="1:9" x14ac:dyDescent="0.25">
      <c r="A123" s="172" t="str">
        <f>Originals!A228</f>
        <v>4-Vinnie</v>
      </c>
      <c r="B123" s="172" t="str">
        <f>Originals!B228</f>
        <v>Measurement Studio DotNET</v>
      </c>
      <c r="C123" s="172">
        <f>Originals!C228</f>
        <v>0</v>
      </c>
      <c r="D123" s="172" t="str">
        <f>Originals!D228</f>
        <v>32</v>
      </c>
      <c r="E123" s="172" t="str">
        <f>Originals!E228</f>
        <v>2010</v>
      </c>
      <c r="F123" s="172" t="str">
        <f>Originals!F228</f>
        <v>Development</v>
      </c>
      <c r="G123" s="172" t="str">
        <f>Originals!G228</f>
        <v>NI</v>
      </c>
      <c r="H123" s="172" t="str">
        <f>Originals!H228</f>
        <v xml:space="preserve">Measurement Studio DotNET </v>
      </c>
      <c r="I123" s="172" t="str">
        <f>Originals!I228</f>
        <v>NI Developer Suite 2015 DS2 Install</v>
      </c>
    </row>
    <row r="124" spans="1:9" x14ac:dyDescent="0.25">
      <c r="A124" s="172" t="str">
        <f>Originals!A229</f>
        <v>4-Vinnie</v>
      </c>
      <c r="B124" s="172" t="str">
        <f>Originals!B229</f>
        <v>Measurement Studio Vision</v>
      </c>
      <c r="C124" s="172">
        <f>Originals!C229</f>
        <v>0</v>
      </c>
      <c r="D124" s="172" t="str">
        <f>Originals!D229</f>
        <v>32</v>
      </c>
      <c r="E124" s="172" t="str">
        <f>Originals!E229</f>
        <v>2005</v>
      </c>
      <c r="F124" s="172" t="str">
        <f>Originals!F229</f>
        <v>Development</v>
      </c>
      <c r="G124" s="172" t="str">
        <f>Originals!G229</f>
        <v>NI</v>
      </c>
      <c r="H124" s="172" t="str">
        <f>Originals!H229</f>
        <v xml:space="preserve">Measurement Studio Vision </v>
      </c>
      <c r="I124" s="172">
        <f>Originals!I229</f>
        <v>0</v>
      </c>
    </row>
    <row r="125" spans="1:9" x14ac:dyDescent="0.25">
      <c r="A125" s="172" t="str">
        <f>Originals!A230</f>
        <v>4-Vinnie</v>
      </c>
      <c r="B125" s="172" t="str">
        <f>Originals!B230</f>
        <v>Measurement Studio Vision</v>
      </c>
      <c r="C125" s="172">
        <f>Originals!C230</f>
        <v>0</v>
      </c>
      <c r="D125" s="172" t="str">
        <f>Originals!D230</f>
        <v>32</v>
      </c>
      <c r="E125" s="172" t="str">
        <f>Originals!E230</f>
        <v>2018</v>
      </c>
      <c r="F125" s="172" t="str">
        <f>Originals!F230</f>
        <v>Development</v>
      </c>
      <c r="G125" s="172" t="str">
        <f>Originals!G230</f>
        <v>NI</v>
      </c>
      <c r="H125" s="172" t="str">
        <f>Originals!H230</f>
        <v xml:space="preserve">Measurement Studio Vision </v>
      </c>
      <c r="I125" s="172">
        <f>Originals!I230</f>
        <v>0</v>
      </c>
    </row>
    <row r="126" spans="1:9" x14ac:dyDescent="0.25">
      <c r="A126" s="36" t="str">
        <f>Scott!A61</f>
        <v>3-Scott</v>
      </c>
      <c r="B126" s="36" t="str">
        <f>Scott!B61</f>
        <v>MGI 1D Array</v>
      </c>
      <c r="C126" s="36" t="str">
        <f>Scott!C61</f>
        <v>1.0.2.3</v>
      </c>
      <c r="D126" s="36" t="str">
        <f>Scott!D61</f>
        <v>32</v>
      </c>
      <c r="E126" s="36" t="str">
        <f>Scott!E61</f>
        <v>N/A</v>
      </c>
      <c r="F126" s="36" t="str">
        <f>Scott!F61</f>
        <v>Development</v>
      </c>
      <c r="G126" s="36" t="str">
        <f>Scott!G61</f>
        <v>MGI</v>
      </c>
      <c r="H126" s="36" t="str">
        <f>Scott!H61</f>
        <v>MGI 1D Array 1.0.2.3</v>
      </c>
      <c r="I126" s="36" t="str">
        <f>Scott!I61</f>
        <v>VIPM Community</v>
      </c>
    </row>
    <row r="127" spans="1:9" x14ac:dyDescent="0.25">
      <c r="A127" s="172" t="str">
        <f>Originals!A231</f>
        <v>4-Vinnie</v>
      </c>
      <c r="B127" s="172" t="str">
        <f>Originals!B231</f>
        <v>MGI 1D Array</v>
      </c>
      <c r="C127" s="172" t="str">
        <f>Originals!C231</f>
        <v>1.0.2.3</v>
      </c>
      <c r="D127" s="172" t="str">
        <f>Originals!D231</f>
        <v>32</v>
      </c>
      <c r="E127" s="172" t="str">
        <f>Originals!E231</f>
        <v>N/A</v>
      </c>
      <c r="F127" s="172" t="str">
        <f>Originals!F231</f>
        <v>Development</v>
      </c>
      <c r="G127" s="172" t="str">
        <f>Originals!G231</f>
        <v>MGI</v>
      </c>
      <c r="H127" s="172" t="str">
        <f>Originals!H231</f>
        <v>MGI 1D Array 1.0.2.3</v>
      </c>
      <c r="I127" s="172" t="str">
        <f>Originals!I231</f>
        <v>VIPM Community</v>
      </c>
    </row>
    <row r="128" spans="1:9" x14ac:dyDescent="0.25">
      <c r="A128" s="36" t="str">
        <f>Scott!A62</f>
        <v>3-Scott</v>
      </c>
      <c r="B128" s="36" t="str">
        <f>Scott!B62</f>
        <v>MGI 2D Array</v>
      </c>
      <c r="C128" s="36" t="str">
        <f>Scott!C62</f>
        <v>1.1.1.5</v>
      </c>
      <c r="D128" s="36" t="str">
        <f>Scott!D62</f>
        <v>32</v>
      </c>
      <c r="E128" s="36" t="str">
        <f>Scott!E62</f>
        <v>N/A</v>
      </c>
      <c r="F128" s="36" t="str">
        <f>Scott!F62</f>
        <v>Development</v>
      </c>
      <c r="G128" s="36" t="str">
        <f>Scott!G62</f>
        <v>MGI</v>
      </c>
      <c r="H128" s="36" t="str">
        <f>Scott!H62</f>
        <v>MGI 2D Array 1.1.1.5</v>
      </c>
      <c r="I128" s="36" t="str">
        <f>Scott!I62</f>
        <v>VIPM Community</v>
      </c>
    </row>
    <row r="129" spans="1:9" x14ac:dyDescent="0.25">
      <c r="A129" s="172" t="str">
        <f>Originals!A232</f>
        <v>4-Vinnie</v>
      </c>
      <c r="B129" s="172" t="str">
        <f>Originals!B232</f>
        <v>MGI 2D Array</v>
      </c>
      <c r="C129" s="172" t="str">
        <f>Originals!C232</f>
        <v>1.1.1.5</v>
      </c>
      <c r="D129" s="172" t="str">
        <f>Originals!D232</f>
        <v>32</v>
      </c>
      <c r="E129" s="172" t="str">
        <f>Originals!E232</f>
        <v>N/A</v>
      </c>
      <c r="F129" s="172" t="str">
        <f>Originals!F232</f>
        <v>Development</v>
      </c>
      <c r="G129" s="172" t="str">
        <f>Originals!G232</f>
        <v>MGI</v>
      </c>
      <c r="H129" s="172" t="str">
        <f>Originals!H232</f>
        <v>MGI 2D Array 1.1.1.5</v>
      </c>
      <c r="I129" s="172" t="str">
        <f>Originals!I232</f>
        <v>VIPM Community</v>
      </c>
    </row>
    <row r="130" spans="1:9" x14ac:dyDescent="0.25">
      <c r="A130" s="36" t="str">
        <f>Scott!A63</f>
        <v>3-Scott</v>
      </c>
      <c r="B130" s="36" t="str">
        <f>Scott!B63</f>
        <v>MGI Actor Framework Message Maker</v>
      </c>
      <c r="C130" s="36" t="str">
        <f>Scott!C63</f>
        <v>1.0.1.6</v>
      </c>
      <c r="D130" s="36" t="str">
        <f>Scott!D63</f>
        <v>32</v>
      </c>
      <c r="E130" s="36" t="str">
        <f>Scott!E63</f>
        <v>N/A</v>
      </c>
      <c r="F130" s="36" t="str">
        <f>Scott!F63</f>
        <v>Development</v>
      </c>
      <c r="G130" s="36" t="str">
        <f>Scott!G63</f>
        <v>MGI</v>
      </c>
      <c r="H130" s="36" t="str">
        <f>Scott!H63</f>
        <v>MGI Actor Framework Message Maker 1.0.1.6</v>
      </c>
      <c r="I130" s="36" t="str">
        <f>Scott!I63</f>
        <v>VIPM Community</v>
      </c>
    </row>
    <row r="131" spans="1:9" x14ac:dyDescent="0.25">
      <c r="A131" s="172" t="str">
        <f>Originals!A233</f>
        <v>4-Vinnie</v>
      </c>
      <c r="B131" s="172" t="str">
        <f>Originals!B233</f>
        <v>MGI Actor Framework Message Maker</v>
      </c>
      <c r="C131" s="172" t="str">
        <f>Originals!C233</f>
        <v>1.0.1.6</v>
      </c>
      <c r="D131" s="172" t="str">
        <f>Originals!D233</f>
        <v>32</v>
      </c>
      <c r="E131" s="172" t="str">
        <f>Originals!E233</f>
        <v>N/A</v>
      </c>
      <c r="F131" s="172" t="str">
        <f>Originals!F233</f>
        <v>Development</v>
      </c>
      <c r="G131" s="172" t="str">
        <f>Originals!G233</f>
        <v>MGI</v>
      </c>
      <c r="H131" s="172" t="str">
        <f>Originals!H233</f>
        <v>MGI Actor Framework Message Maker 1.0.1.6</v>
      </c>
      <c r="I131" s="172" t="str">
        <f>Originals!I233</f>
        <v>VIPM Community</v>
      </c>
    </row>
    <row r="132" spans="1:9" x14ac:dyDescent="0.25">
      <c r="A132" s="36" t="str">
        <f>Scott!A64</f>
        <v>3-Scott</v>
      </c>
      <c r="B132" s="36" t="str">
        <f>Scott!B64</f>
        <v>MGI Application Control</v>
      </c>
      <c r="C132" s="36" t="str">
        <f>Scott!C64</f>
        <v>1.1.1.10</v>
      </c>
      <c r="D132" s="36" t="str">
        <f>Scott!D64</f>
        <v>32</v>
      </c>
      <c r="E132" s="36" t="str">
        <f>Scott!E64</f>
        <v>N/A</v>
      </c>
      <c r="F132" s="36" t="str">
        <f>Scott!F64</f>
        <v>Development</v>
      </c>
      <c r="G132" s="36" t="str">
        <f>Scott!G64</f>
        <v>MGI</v>
      </c>
      <c r="H132" s="36" t="str">
        <f>Scott!H64</f>
        <v>MGI Application Control 1.1.1.10</v>
      </c>
      <c r="I132" s="36" t="str">
        <f>Scott!I64</f>
        <v>VIPM Community</v>
      </c>
    </row>
    <row r="133" spans="1:9" x14ac:dyDescent="0.25">
      <c r="A133" s="172" t="str">
        <f>Originals!A234</f>
        <v>4-Vinnie</v>
      </c>
      <c r="B133" s="172" t="str">
        <f>Originals!B234</f>
        <v>MGI Application Control</v>
      </c>
      <c r="C133" s="172" t="str">
        <f>Originals!C234</f>
        <v>1.1.1.10</v>
      </c>
      <c r="D133" s="172" t="str">
        <f>Originals!D234</f>
        <v>32</v>
      </c>
      <c r="E133" s="172" t="str">
        <f>Originals!E234</f>
        <v>N/A</v>
      </c>
      <c r="F133" s="172" t="str">
        <f>Originals!F234</f>
        <v>Development</v>
      </c>
      <c r="G133" s="172" t="str">
        <f>Originals!G234</f>
        <v>MGI</v>
      </c>
      <c r="H133" s="172" t="str">
        <f>Originals!H234</f>
        <v>MGI Application Control 1.1.1.10</v>
      </c>
      <c r="I133" s="172" t="str">
        <f>Originals!I234</f>
        <v>VIPM Community</v>
      </c>
    </row>
    <row r="134" spans="1:9" x14ac:dyDescent="0.25">
      <c r="A134" s="36" t="str">
        <f>Scott!A65</f>
        <v>3-Scott</v>
      </c>
      <c r="B134" s="36" t="str">
        <f>Scott!B65</f>
        <v>MGI Bezier</v>
      </c>
      <c r="C134" s="36" t="str">
        <f>Scott!C65</f>
        <v>1.1.1.2</v>
      </c>
      <c r="D134" s="36" t="str">
        <f>Scott!D65</f>
        <v>32</v>
      </c>
      <c r="E134" s="36" t="str">
        <f>Scott!E65</f>
        <v>N/A</v>
      </c>
      <c r="F134" s="36" t="str">
        <f>Scott!F65</f>
        <v>Development</v>
      </c>
      <c r="G134" s="36" t="str">
        <f>Scott!G65</f>
        <v>MGI</v>
      </c>
      <c r="H134" s="36" t="str">
        <f>Scott!H65</f>
        <v>MGI Bezier 1.1.1.2</v>
      </c>
      <c r="I134" s="36" t="str">
        <f>Scott!I65</f>
        <v>VIPM Community</v>
      </c>
    </row>
    <row r="135" spans="1:9" x14ac:dyDescent="0.25">
      <c r="A135" s="172" t="str">
        <f>Originals!A235</f>
        <v>4-Vinnie</v>
      </c>
      <c r="B135" s="172" t="str">
        <f>Originals!B235</f>
        <v>MGI Bezier</v>
      </c>
      <c r="C135" s="172" t="str">
        <f>Originals!C235</f>
        <v>1.1.1.2</v>
      </c>
      <c r="D135" s="172" t="str">
        <f>Originals!D235</f>
        <v>32</v>
      </c>
      <c r="E135" s="172" t="str">
        <f>Originals!E235</f>
        <v>N/A</v>
      </c>
      <c r="F135" s="172" t="str">
        <f>Originals!F235</f>
        <v>Development</v>
      </c>
      <c r="G135" s="172" t="str">
        <f>Originals!G235</f>
        <v>MGI</v>
      </c>
      <c r="H135" s="172" t="str">
        <f>Originals!H235</f>
        <v>MGI Bezier 1.1.1.2</v>
      </c>
      <c r="I135" s="172" t="str">
        <f>Originals!I235</f>
        <v>VIPM Community</v>
      </c>
    </row>
    <row r="136" spans="1:9" x14ac:dyDescent="0.25">
      <c r="A136" s="36" t="str">
        <f>Scott!A66</f>
        <v>3-Scott</v>
      </c>
      <c r="B136" s="36" t="str">
        <f>Scott!B66</f>
        <v>MGI Boolean</v>
      </c>
      <c r="C136" s="36" t="str">
        <f>Scott!C66</f>
        <v>1.0.1.3</v>
      </c>
      <c r="D136" s="36" t="str">
        <f>Scott!D66</f>
        <v>32</v>
      </c>
      <c r="E136" s="36" t="str">
        <f>Scott!E66</f>
        <v>N/A</v>
      </c>
      <c r="F136" s="36" t="str">
        <f>Scott!F66</f>
        <v>Development</v>
      </c>
      <c r="G136" s="36" t="str">
        <f>Scott!G66</f>
        <v>MGI</v>
      </c>
      <c r="H136" s="36" t="str">
        <f>Scott!H66</f>
        <v>MGI Boolean 1.0.1.3</v>
      </c>
      <c r="I136" s="36" t="str">
        <f>Scott!I66</f>
        <v>VIPM Community</v>
      </c>
    </row>
    <row r="137" spans="1:9" x14ac:dyDescent="0.25">
      <c r="A137" s="172" t="str">
        <f>Originals!A236</f>
        <v>4-Vinnie</v>
      </c>
      <c r="B137" s="172" t="str">
        <f>Originals!B236</f>
        <v>MGI Boolean</v>
      </c>
      <c r="C137" s="172" t="str">
        <f>Originals!C236</f>
        <v>1.0.1.3</v>
      </c>
      <c r="D137" s="172" t="str">
        <f>Originals!D236</f>
        <v>32</v>
      </c>
      <c r="E137" s="172" t="str">
        <f>Originals!E236</f>
        <v>N/A</v>
      </c>
      <c r="F137" s="172" t="str">
        <f>Originals!F236</f>
        <v>Development</v>
      </c>
      <c r="G137" s="172" t="str">
        <f>Originals!G236</f>
        <v>MGI</v>
      </c>
      <c r="H137" s="172" t="str">
        <f>Originals!H236</f>
        <v>MGI Boolean 1.0.1.3</v>
      </c>
      <c r="I137" s="172" t="str">
        <f>Originals!I236</f>
        <v>VIPM Community</v>
      </c>
    </row>
    <row r="138" spans="1:9" x14ac:dyDescent="0.25">
      <c r="A138" s="36" t="str">
        <f>Scott!A67</f>
        <v>3-Scott</v>
      </c>
      <c r="B138" s="36" t="str">
        <f>Scott!B67</f>
        <v>MGI Class Method Browser</v>
      </c>
      <c r="C138" s="36" t="str">
        <f>Scott!C67</f>
        <v>1.0.0.20</v>
      </c>
      <c r="D138" s="36" t="str">
        <f>Scott!D67</f>
        <v>32</v>
      </c>
      <c r="E138" s="36" t="str">
        <f>Scott!E67</f>
        <v>N/A</v>
      </c>
      <c r="F138" s="36" t="str">
        <f>Scott!F67</f>
        <v>Development</v>
      </c>
      <c r="G138" s="36" t="str">
        <f>Scott!G67</f>
        <v>MGI</v>
      </c>
      <c r="H138" s="36" t="str">
        <f>Scott!H67</f>
        <v>MGI Class Method Browser 1.0.0.20</v>
      </c>
      <c r="I138" s="36" t="str">
        <f>Scott!I67</f>
        <v>VIPM Community</v>
      </c>
    </row>
    <row r="139" spans="1:9" x14ac:dyDescent="0.25">
      <c r="A139" s="172" t="str">
        <f>Originals!A237</f>
        <v>4-Vinnie</v>
      </c>
      <c r="B139" s="172" t="str">
        <f>Originals!B237</f>
        <v>MGI Class Method Browser</v>
      </c>
      <c r="C139" s="172" t="str">
        <f>Originals!C237</f>
        <v>1.0.0.20</v>
      </c>
      <c r="D139" s="172" t="str">
        <f>Originals!D237</f>
        <v>32</v>
      </c>
      <c r="E139" s="172" t="str">
        <f>Originals!E237</f>
        <v>N/A</v>
      </c>
      <c r="F139" s="172" t="str">
        <f>Originals!F237</f>
        <v>Development</v>
      </c>
      <c r="G139" s="172" t="str">
        <f>Originals!G237</f>
        <v>MGI</v>
      </c>
      <c r="H139" s="172" t="str">
        <f>Originals!H237</f>
        <v>MGI Class Method Browser 1.0.0.20</v>
      </c>
      <c r="I139" s="172" t="str">
        <f>Originals!I237</f>
        <v>VIPM Community</v>
      </c>
    </row>
    <row r="140" spans="1:9" x14ac:dyDescent="0.25">
      <c r="A140" s="36" t="str">
        <f>Scott!A68</f>
        <v>3-Scott</v>
      </c>
      <c r="B140" s="36" t="str">
        <f>Scott!B68</f>
        <v>MGI Cluster</v>
      </c>
      <c r="C140" s="36" t="str">
        <f>Scott!C68</f>
        <v>1.1.0.1</v>
      </c>
      <c r="D140" s="36" t="str">
        <f>Scott!D68</f>
        <v>32</v>
      </c>
      <c r="E140" s="36" t="str">
        <f>Scott!E68</f>
        <v>N/A</v>
      </c>
      <c r="F140" s="36" t="str">
        <f>Scott!F68</f>
        <v>Development</v>
      </c>
      <c r="G140" s="36" t="str">
        <f>Scott!G68</f>
        <v>MGI</v>
      </c>
      <c r="H140" s="36" t="str">
        <f>Scott!H68</f>
        <v>MGI Cluster 1.1.0.1</v>
      </c>
      <c r="I140" s="36" t="str">
        <f>Scott!I68</f>
        <v>VIPM Community</v>
      </c>
    </row>
    <row r="141" spans="1:9" x14ac:dyDescent="0.25">
      <c r="A141" s="172" t="str">
        <f>Originals!A238</f>
        <v>4-Vinnie</v>
      </c>
      <c r="B141" s="172" t="str">
        <f>Originals!B238</f>
        <v>MGI Cluster</v>
      </c>
      <c r="C141" s="172" t="str">
        <f>Originals!C238</f>
        <v>1.1.0.1</v>
      </c>
      <c r="D141" s="172" t="str">
        <f>Originals!D238</f>
        <v>32</v>
      </c>
      <c r="E141" s="172" t="str">
        <f>Originals!E238</f>
        <v>N/A</v>
      </c>
      <c r="F141" s="172" t="str">
        <f>Originals!F238</f>
        <v>Development</v>
      </c>
      <c r="G141" s="172" t="str">
        <f>Originals!G238</f>
        <v>MGI</v>
      </c>
      <c r="H141" s="172" t="str">
        <f>Originals!H238</f>
        <v>MGI Cluster 1.1.0.1</v>
      </c>
      <c r="I141" s="172" t="str">
        <f>Originals!I238</f>
        <v>VIPM Community</v>
      </c>
    </row>
    <row r="142" spans="1:9" x14ac:dyDescent="0.25">
      <c r="A142" s="36" t="str">
        <f>Scott!A69</f>
        <v>3-Scott</v>
      </c>
      <c r="B142" s="36" t="str">
        <f>Scott!B69</f>
        <v>MGI Coordinates</v>
      </c>
      <c r="C142" s="36" t="str">
        <f>Scott!C69</f>
        <v>1.1.1.2</v>
      </c>
      <c r="D142" s="36" t="str">
        <f>Scott!D69</f>
        <v>32</v>
      </c>
      <c r="E142" s="36" t="str">
        <f>Scott!E69</f>
        <v>N/A</v>
      </c>
      <c r="F142" s="36" t="str">
        <f>Scott!F69</f>
        <v>Development</v>
      </c>
      <c r="G142" s="36" t="str">
        <f>Scott!G69</f>
        <v>MGI</v>
      </c>
      <c r="H142" s="36" t="str">
        <f>Scott!H69</f>
        <v>MGI Coordinates 1.1.1.2</v>
      </c>
      <c r="I142" s="36" t="str">
        <f>Scott!I69</f>
        <v>VIPM Community</v>
      </c>
    </row>
    <row r="143" spans="1:9" x14ac:dyDescent="0.25">
      <c r="A143" s="172" t="str">
        <f>Originals!A239</f>
        <v>4-Vinnie</v>
      </c>
      <c r="B143" s="172" t="str">
        <f>Originals!B239</f>
        <v>MGI Coordinates</v>
      </c>
      <c r="C143" s="172" t="str">
        <f>Originals!C239</f>
        <v>1.1.1.2</v>
      </c>
      <c r="D143" s="172" t="str">
        <f>Originals!D239</f>
        <v>32</v>
      </c>
      <c r="E143" s="172" t="str">
        <f>Originals!E239</f>
        <v>N/A</v>
      </c>
      <c r="F143" s="172" t="str">
        <f>Originals!F239</f>
        <v>Development</v>
      </c>
      <c r="G143" s="172" t="str">
        <f>Originals!G239</f>
        <v>MGI</v>
      </c>
      <c r="H143" s="172" t="str">
        <f>Originals!H239</f>
        <v>MGI Coordinates 1.1.1.2</v>
      </c>
      <c r="I143" s="172" t="str">
        <f>Originals!I239</f>
        <v>VIPM Community</v>
      </c>
    </row>
    <row r="144" spans="1:9" x14ac:dyDescent="0.25">
      <c r="A144" s="36" t="str">
        <f>Scott!A70</f>
        <v>3-Scott</v>
      </c>
      <c r="B144" s="36" t="str">
        <f>Scott!B70</f>
        <v>MGI Error Handling</v>
      </c>
      <c r="C144" s="36" t="str">
        <f>Scott!C70</f>
        <v>1.1.1.3</v>
      </c>
      <c r="D144" s="36" t="str">
        <f>Scott!D70</f>
        <v>32</v>
      </c>
      <c r="E144" s="36" t="str">
        <f>Scott!E70</f>
        <v>N/A</v>
      </c>
      <c r="F144" s="36" t="str">
        <f>Scott!F70</f>
        <v>Development</v>
      </c>
      <c r="G144" s="36" t="str">
        <f>Scott!G70</f>
        <v>MGI</v>
      </c>
      <c r="H144" s="36" t="str">
        <f>Scott!H70</f>
        <v>MGI Error Handling 1.1.1.3</v>
      </c>
      <c r="I144" s="36" t="str">
        <f>Scott!I70</f>
        <v>VIPM Community</v>
      </c>
    </row>
    <row r="145" spans="1:9" x14ac:dyDescent="0.25">
      <c r="A145" s="172" t="str">
        <f>Originals!A240</f>
        <v>4-Vinnie</v>
      </c>
      <c r="B145" s="172" t="str">
        <f>Originals!B240</f>
        <v>MGI Error Handling</v>
      </c>
      <c r="C145" s="172" t="str">
        <f>Originals!C240</f>
        <v>1.1.1.3</v>
      </c>
      <c r="D145" s="172" t="str">
        <f>Originals!D240</f>
        <v>32</v>
      </c>
      <c r="E145" s="172" t="str">
        <f>Originals!E240</f>
        <v>N/A</v>
      </c>
      <c r="F145" s="172" t="str">
        <f>Originals!F240</f>
        <v>Development</v>
      </c>
      <c r="G145" s="172" t="str">
        <f>Originals!G240</f>
        <v>MGI</v>
      </c>
      <c r="H145" s="172" t="str">
        <f>Originals!H240</f>
        <v>MGI Error Handling 1.1.1.3</v>
      </c>
      <c r="I145" s="172" t="str">
        <f>Originals!I240</f>
        <v>VIPM Community</v>
      </c>
    </row>
    <row r="146" spans="1:9" x14ac:dyDescent="0.25">
      <c r="A146" s="36" t="str">
        <f>Scott!A71</f>
        <v>3-Scott</v>
      </c>
      <c r="B146" s="36" t="str">
        <f>Scott!B71</f>
        <v>MGI Error Reporter</v>
      </c>
      <c r="C146" s="36" t="str">
        <f>Scott!C71</f>
        <v>1.0.2.5</v>
      </c>
      <c r="D146" s="36" t="str">
        <f>Scott!D71</f>
        <v>32</v>
      </c>
      <c r="E146" s="36" t="str">
        <f>Scott!E71</f>
        <v>N/A</v>
      </c>
      <c r="F146" s="36" t="str">
        <f>Scott!F71</f>
        <v>Development</v>
      </c>
      <c r="G146" s="36" t="str">
        <f>Scott!G71</f>
        <v>MGI</v>
      </c>
      <c r="H146" s="36" t="str">
        <f>Scott!H71</f>
        <v>MGI Error Reporter 1.0.2.5</v>
      </c>
      <c r="I146" s="36" t="str">
        <f>Scott!I71</f>
        <v>VIPM Community</v>
      </c>
    </row>
    <row r="147" spans="1:9" x14ac:dyDescent="0.25">
      <c r="A147" s="172" t="str">
        <f>Originals!A241</f>
        <v>4-Vinnie</v>
      </c>
      <c r="B147" s="172" t="str">
        <f>Originals!B241</f>
        <v>MGI Error Reporter</v>
      </c>
      <c r="C147" s="172" t="str">
        <f>Originals!C241</f>
        <v>1.0.2.5</v>
      </c>
      <c r="D147" s="172" t="str">
        <f>Originals!D241</f>
        <v>32</v>
      </c>
      <c r="E147" s="172" t="str">
        <f>Originals!E241</f>
        <v>N/A</v>
      </c>
      <c r="F147" s="172" t="str">
        <f>Originals!F241</f>
        <v>Development</v>
      </c>
      <c r="G147" s="172" t="str">
        <f>Originals!G241</f>
        <v>MGI</v>
      </c>
      <c r="H147" s="172" t="str">
        <f>Originals!H241</f>
        <v>MGI Error Reporter 1.0.2.5</v>
      </c>
      <c r="I147" s="172" t="str">
        <f>Originals!I241</f>
        <v>VIPM Community</v>
      </c>
    </row>
    <row r="148" spans="1:9" x14ac:dyDescent="0.25">
      <c r="A148" s="36" t="str">
        <f>Scott!A72</f>
        <v>3-Scott</v>
      </c>
      <c r="B148" s="36" t="str">
        <f>Scott!B72</f>
        <v>MGI File</v>
      </c>
      <c r="C148" s="36" t="str">
        <f>Scott!C72</f>
        <v>1.1.0.4</v>
      </c>
      <c r="D148" s="36" t="str">
        <f>Scott!D72</f>
        <v>32</v>
      </c>
      <c r="E148" s="36" t="str">
        <f>Scott!E72</f>
        <v>N/A</v>
      </c>
      <c r="F148" s="36" t="str">
        <f>Scott!F72</f>
        <v>Development</v>
      </c>
      <c r="G148" s="36" t="str">
        <f>Scott!G72</f>
        <v>MGI</v>
      </c>
      <c r="H148" s="36" t="str">
        <f>Scott!H72</f>
        <v>MGI File 1.1.0.4</v>
      </c>
      <c r="I148" s="36" t="str">
        <f>Scott!I72</f>
        <v>VIPM Community</v>
      </c>
    </row>
    <row r="149" spans="1:9" x14ac:dyDescent="0.25">
      <c r="A149" s="172" t="str">
        <f>Originals!A242</f>
        <v>4-Vinnie</v>
      </c>
      <c r="B149" s="172" t="str">
        <f>Originals!B242</f>
        <v>MGI File</v>
      </c>
      <c r="C149" s="172" t="str">
        <f>Originals!C242</f>
        <v>1.1.0.4</v>
      </c>
      <c r="D149" s="172" t="str">
        <f>Originals!D242</f>
        <v>32</v>
      </c>
      <c r="E149" s="172" t="str">
        <f>Originals!E242</f>
        <v>N/A</v>
      </c>
      <c r="F149" s="172" t="str">
        <f>Originals!F242</f>
        <v>Development</v>
      </c>
      <c r="G149" s="172" t="str">
        <f>Originals!G242</f>
        <v>MGI</v>
      </c>
      <c r="H149" s="172" t="str">
        <f>Originals!H242</f>
        <v>MGI File 1.1.0.4</v>
      </c>
      <c r="I149" s="172" t="str">
        <f>Originals!I242</f>
        <v>VIPM Community</v>
      </c>
    </row>
    <row r="150" spans="1:9" x14ac:dyDescent="0.25">
      <c r="A150" s="36" t="str">
        <f>Scott!A73</f>
        <v>3-Scott</v>
      </c>
      <c r="B150" s="36" t="str">
        <f>Scott!B73</f>
        <v>MGI Graph</v>
      </c>
      <c r="C150" s="36" t="str">
        <f>Scott!C73</f>
        <v>1.0.2.6</v>
      </c>
      <c r="D150" s="36" t="str">
        <f>Scott!D73</f>
        <v>32</v>
      </c>
      <c r="E150" s="36" t="str">
        <f>Scott!E73</f>
        <v>N/A</v>
      </c>
      <c r="F150" s="36" t="str">
        <f>Scott!F73</f>
        <v>Development</v>
      </c>
      <c r="G150" s="36" t="str">
        <f>Scott!G73</f>
        <v>MGI</v>
      </c>
      <c r="H150" s="36" t="str">
        <f>Scott!H73</f>
        <v>MGI Graph 1.0.2.6</v>
      </c>
      <c r="I150" s="36" t="str">
        <f>Scott!I73</f>
        <v>VIPM Community</v>
      </c>
    </row>
    <row r="151" spans="1:9" x14ac:dyDescent="0.25">
      <c r="A151" s="172" t="str">
        <f>Originals!A243</f>
        <v>4-Vinnie</v>
      </c>
      <c r="B151" s="172" t="str">
        <f>Originals!B243</f>
        <v>MGI Graph</v>
      </c>
      <c r="C151" s="172" t="str">
        <f>Originals!C243</f>
        <v>1.0.2.6</v>
      </c>
      <c r="D151" s="172" t="str">
        <f>Originals!D243</f>
        <v>32</v>
      </c>
      <c r="E151" s="172" t="str">
        <f>Originals!E243</f>
        <v>N/A</v>
      </c>
      <c r="F151" s="172" t="str">
        <f>Originals!F243</f>
        <v>Development</v>
      </c>
      <c r="G151" s="172" t="str">
        <f>Originals!G243</f>
        <v>MGI</v>
      </c>
      <c r="H151" s="172" t="str">
        <f>Originals!H243</f>
        <v>MGI Graph 1.0.2.6</v>
      </c>
      <c r="I151" s="172" t="str">
        <f>Originals!I243</f>
        <v>VIPM Community</v>
      </c>
    </row>
    <row r="152" spans="1:9" x14ac:dyDescent="0.25">
      <c r="A152" s="36" t="str">
        <f>Scott!A74</f>
        <v>3-Scott</v>
      </c>
      <c r="B152" s="36" t="str">
        <f>Scott!B74</f>
        <v>MGI Library</v>
      </c>
      <c r="C152" s="36" t="str">
        <f>Scott!C74</f>
        <v>1.2.0.4</v>
      </c>
      <c r="D152" s="36" t="str">
        <f>Scott!D74</f>
        <v>32</v>
      </c>
      <c r="E152" s="36" t="str">
        <f>Scott!E74</f>
        <v>N/A</v>
      </c>
      <c r="F152" s="36" t="str">
        <f>Scott!F74</f>
        <v>Development</v>
      </c>
      <c r="G152" s="36" t="str">
        <f>Scott!G74</f>
        <v>MGI</v>
      </c>
      <c r="H152" s="36" t="str">
        <f>Scott!H74</f>
        <v>MGI Library 1.2.0.4</v>
      </c>
      <c r="I152" s="36" t="str">
        <f>Scott!I74</f>
        <v>VIPM Community</v>
      </c>
    </row>
    <row r="153" spans="1:9" x14ac:dyDescent="0.25">
      <c r="A153" s="172" t="str">
        <f>Originals!A244</f>
        <v>4-Vinnie</v>
      </c>
      <c r="B153" s="172" t="str">
        <f>Originals!B244</f>
        <v>MGI Library</v>
      </c>
      <c r="C153" s="172" t="str">
        <f>Originals!C244</f>
        <v>1.2.0.4</v>
      </c>
      <c r="D153" s="172" t="str">
        <f>Originals!D244</f>
        <v>32</v>
      </c>
      <c r="E153" s="172" t="str">
        <f>Originals!E244</f>
        <v>N/A</v>
      </c>
      <c r="F153" s="172" t="str">
        <f>Originals!F244</f>
        <v>Development</v>
      </c>
      <c r="G153" s="172" t="str">
        <f>Originals!G244</f>
        <v>MGI</v>
      </c>
      <c r="H153" s="172" t="str">
        <f>Originals!H244</f>
        <v>MGI Library 1.2.0.4</v>
      </c>
      <c r="I153" s="172" t="str">
        <f>Originals!I244</f>
        <v>VIPM Community</v>
      </c>
    </row>
    <row r="154" spans="1:9" x14ac:dyDescent="0.25">
      <c r="A154" s="36" t="str">
        <f>Scott!A75</f>
        <v>3-Scott</v>
      </c>
      <c r="B154" s="36" t="str">
        <f>Scott!B75</f>
        <v>MGI Matrix &amp; Vector</v>
      </c>
      <c r="C154" s="36" t="str">
        <f>Scott!C75</f>
        <v>1.1.0.1</v>
      </c>
      <c r="D154" s="36" t="str">
        <f>Scott!D75</f>
        <v>32</v>
      </c>
      <c r="E154" s="36" t="str">
        <f>Scott!E75</f>
        <v>N/A</v>
      </c>
      <c r="F154" s="36" t="str">
        <f>Scott!F75</f>
        <v>Development</v>
      </c>
      <c r="G154" s="36" t="str">
        <f>Scott!G75</f>
        <v>MGI</v>
      </c>
      <c r="H154" s="36" t="str">
        <f>Scott!H75</f>
        <v>MGI Matrix &amp; Vector 1.1.0.1</v>
      </c>
      <c r="I154" s="36" t="str">
        <f>Scott!I75</f>
        <v>VIPM Community</v>
      </c>
    </row>
    <row r="155" spans="1:9" x14ac:dyDescent="0.25">
      <c r="A155" s="172" t="str">
        <f>Originals!A245</f>
        <v>4-Vinnie</v>
      </c>
      <c r="B155" s="172" t="str">
        <f>Originals!B245</f>
        <v>MGI Matrix &amp; Vector</v>
      </c>
      <c r="C155" s="172" t="str">
        <f>Originals!C245</f>
        <v>1.1.0.1</v>
      </c>
      <c r="D155" s="172" t="str">
        <f>Originals!D245</f>
        <v>32</v>
      </c>
      <c r="E155" s="172" t="str">
        <f>Originals!E245</f>
        <v>N/A</v>
      </c>
      <c r="F155" s="172" t="str">
        <f>Originals!F245</f>
        <v>Development</v>
      </c>
      <c r="G155" s="172" t="str">
        <f>Originals!G245</f>
        <v>MGI</v>
      </c>
      <c r="H155" s="172" t="str">
        <f>Originals!H245</f>
        <v>MGI Matrix &amp; Vector 1.1.0.1</v>
      </c>
      <c r="I155" s="172" t="str">
        <f>Originals!I245</f>
        <v>VIPM Community</v>
      </c>
    </row>
    <row r="156" spans="1:9" x14ac:dyDescent="0.25">
      <c r="A156" s="36" t="str">
        <f>Scott!A76</f>
        <v>3-Scott</v>
      </c>
      <c r="B156" s="36" t="str">
        <f>Scott!B76</f>
        <v>MGI Menu Building</v>
      </c>
      <c r="C156" s="36" t="str">
        <f>Scott!C76</f>
        <v>1.0.1.4</v>
      </c>
      <c r="D156" s="36" t="str">
        <f>Scott!D76</f>
        <v>32</v>
      </c>
      <c r="E156" s="36" t="str">
        <f>Scott!E76</f>
        <v>N/A</v>
      </c>
      <c r="F156" s="36" t="str">
        <f>Scott!F76</f>
        <v>Development</v>
      </c>
      <c r="G156" s="36" t="str">
        <f>Scott!G76</f>
        <v>MGI</v>
      </c>
      <c r="H156" s="36" t="str">
        <f>Scott!H76</f>
        <v>MGI Menu Building 1.0.1.4</v>
      </c>
      <c r="I156" s="36" t="str">
        <f>Scott!I76</f>
        <v>VIPM Community</v>
      </c>
    </row>
    <row r="157" spans="1:9" x14ac:dyDescent="0.25">
      <c r="A157" s="172" t="str">
        <f>Originals!A246</f>
        <v>4-Vinnie</v>
      </c>
      <c r="B157" s="172" t="str">
        <f>Originals!B246</f>
        <v>MGI Menu Building</v>
      </c>
      <c r="C157" s="172" t="str">
        <f>Originals!C246</f>
        <v>1.0.1.4</v>
      </c>
      <c r="D157" s="172" t="str">
        <f>Originals!D246</f>
        <v>32</v>
      </c>
      <c r="E157" s="172" t="str">
        <f>Originals!E246</f>
        <v>N/A</v>
      </c>
      <c r="F157" s="172" t="str">
        <f>Originals!F246</f>
        <v>Development</v>
      </c>
      <c r="G157" s="172" t="str">
        <f>Originals!G246</f>
        <v>MGI</v>
      </c>
      <c r="H157" s="172" t="str">
        <f>Originals!H246</f>
        <v>MGI Menu Building 1.0.1.4</v>
      </c>
      <c r="I157" s="172" t="str">
        <f>Originals!I246</f>
        <v>VIPM Community</v>
      </c>
    </row>
    <row r="158" spans="1:9" x14ac:dyDescent="0.25">
      <c r="A158" s="36" t="str">
        <f>Scott!A77</f>
        <v>3-Scott</v>
      </c>
      <c r="B158" s="36" t="str">
        <f>Scott!B77</f>
        <v>MGI Monitored Actor</v>
      </c>
      <c r="C158" s="36" t="str">
        <f>Scott!C77</f>
        <v>2.0.0.23</v>
      </c>
      <c r="D158" s="36" t="str">
        <f>Scott!D77</f>
        <v>32</v>
      </c>
      <c r="E158" s="36" t="str">
        <f>Scott!E77</f>
        <v>N/A</v>
      </c>
      <c r="F158" s="36" t="str">
        <f>Scott!F77</f>
        <v>Development</v>
      </c>
      <c r="G158" s="36" t="str">
        <f>Scott!G77</f>
        <v>MGI</v>
      </c>
      <c r="H158" s="36" t="str">
        <f>Scott!H77</f>
        <v>MGI Monitored Actor 2.0.0.23</v>
      </c>
      <c r="I158" s="36" t="str">
        <f>Scott!I77</f>
        <v>VIPM Community</v>
      </c>
    </row>
    <row r="159" spans="1:9" x14ac:dyDescent="0.25">
      <c r="A159" s="172" t="str">
        <f>Originals!A247</f>
        <v>4-Vinnie</v>
      </c>
      <c r="B159" s="172" t="str">
        <f>Originals!B247</f>
        <v>MGI Monitored Actor</v>
      </c>
      <c r="C159" s="172" t="str">
        <f>Originals!C247</f>
        <v>2.0.0.23</v>
      </c>
      <c r="D159" s="172" t="str">
        <f>Originals!D247</f>
        <v>32</v>
      </c>
      <c r="E159" s="172" t="str">
        <f>Originals!E247</f>
        <v>N/A</v>
      </c>
      <c r="F159" s="172" t="str">
        <f>Originals!F247</f>
        <v>Development</v>
      </c>
      <c r="G159" s="172" t="str">
        <f>Originals!G247</f>
        <v>MGI</v>
      </c>
      <c r="H159" s="172" t="str">
        <f>Originals!H247</f>
        <v>MGI Monitored Actor 2.0.0.23</v>
      </c>
      <c r="I159" s="172" t="str">
        <f>Originals!I247</f>
        <v>VIPM Community</v>
      </c>
    </row>
    <row r="160" spans="1:9" x14ac:dyDescent="0.25">
      <c r="A160" s="36" t="str">
        <f>Scott!A78</f>
        <v>3-Scott</v>
      </c>
      <c r="B160" s="36" t="str">
        <f>Scott!B78</f>
        <v>MGI Numeric</v>
      </c>
      <c r="C160" s="36" t="str">
        <f>Scott!C78</f>
        <v>1.1.0.2</v>
      </c>
      <c r="D160" s="36" t="str">
        <f>Scott!D78</f>
        <v>32</v>
      </c>
      <c r="E160" s="36" t="str">
        <f>Scott!E78</f>
        <v>N/A</v>
      </c>
      <c r="F160" s="36" t="str">
        <f>Scott!F78</f>
        <v>Development</v>
      </c>
      <c r="G160" s="36" t="str">
        <f>Scott!G78</f>
        <v>MGI</v>
      </c>
      <c r="H160" s="36" t="str">
        <f>Scott!H78</f>
        <v>MGI Numeric 1.1.0.2</v>
      </c>
      <c r="I160" s="36" t="str">
        <f>Scott!I78</f>
        <v>VIPM Community</v>
      </c>
    </row>
    <row r="161" spans="1:9" x14ac:dyDescent="0.25">
      <c r="A161" s="172" t="str">
        <f>Originals!A248</f>
        <v>4-Vinnie</v>
      </c>
      <c r="B161" s="172" t="str">
        <f>Originals!B248</f>
        <v>MGI Numeric</v>
      </c>
      <c r="C161" s="172" t="str">
        <f>Originals!C248</f>
        <v>1.1.0.2</v>
      </c>
      <c r="D161" s="172" t="str">
        <f>Originals!D248</f>
        <v>32</v>
      </c>
      <c r="E161" s="172" t="str">
        <f>Originals!E248</f>
        <v>N/A</v>
      </c>
      <c r="F161" s="172" t="str">
        <f>Originals!F248</f>
        <v>Development</v>
      </c>
      <c r="G161" s="172" t="str">
        <f>Originals!G248</f>
        <v>MGI</v>
      </c>
      <c r="H161" s="172" t="str">
        <f>Originals!H248</f>
        <v>MGI Numeric 1.1.0.2</v>
      </c>
      <c r="I161" s="172" t="str">
        <f>Originals!I248</f>
        <v>VIPM Community</v>
      </c>
    </row>
    <row r="162" spans="1:9" x14ac:dyDescent="0.25">
      <c r="A162" s="36" t="str">
        <f>Scott!A79</f>
        <v>3-Scott</v>
      </c>
      <c r="B162" s="36" t="str">
        <f>Scott!B79</f>
        <v>MGI Panel Manager</v>
      </c>
      <c r="C162" s="36" t="str">
        <f>Scott!C79</f>
        <v>1.0.1.4</v>
      </c>
      <c r="D162" s="36" t="str">
        <f>Scott!D79</f>
        <v>32</v>
      </c>
      <c r="E162" s="36" t="str">
        <f>Scott!E79</f>
        <v>N/A</v>
      </c>
      <c r="F162" s="36" t="str">
        <f>Scott!F79</f>
        <v>Development</v>
      </c>
      <c r="G162" s="36" t="str">
        <f>Scott!G79</f>
        <v>MGI</v>
      </c>
      <c r="H162" s="36" t="str">
        <f>Scott!H79</f>
        <v>MGI Panel Manager 1.0.1.4</v>
      </c>
      <c r="I162" s="36" t="str">
        <f>Scott!I79</f>
        <v>VIPM Community</v>
      </c>
    </row>
    <row r="163" spans="1:9" x14ac:dyDescent="0.25">
      <c r="A163" s="172" t="str">
        <f>Originals!A249</f>
        <v>4-Vinnie</v>
      </c>
      <c r="B163" s="172" t="str">
        <f>Originals!B249</f>
        <v>MGI Panel Manager</v>
      </c>
      <c r="C163" s="172" t="str">
        <f>Originals!C249</f>
        <v>1.0.1.4</v>
      </c>
      <c r="D163" s="172" t="str">
        <f>Originals!D249</f>
        <v>32</v>
      </c>
      <c r="E163" s="172" t="str">
        <f>Originals!E249</f>
        <v>N/A</v>
      </c>
      <c r="F163" s="172" t="str">
        <f>Originals!F249</f>
        <v>Development</v>
      </c>
      <c r="G163" s="172" t="str">
        <f>Originals!G249</f>
        <v>MGI</v>
      </c>
      <c r="H163" s="172" t="str">
        <f>Originals!H249</f>
        <v>MGI Panel Manager 1.0.1.4</v>
      </c>
      <c r="I163" s="172" t="str">
        <f>Originals!I249</f>
        <v>VIPM Community</v>
      </c>
    </row>
    <row r="164" spans="1:9" x14ac:dyDescent="0.25">
      <c r="A164" s="36" t="str">
        <f>Scott!A80</f>
        <v>3-Scott</v>
      </c>
      <c r="B164" s="36" t="str">
        <f>Scott!B80</f>
        <v>MGI Panel Manager - DQMH Panels</v>
      </c>
      <c r="C164" s="36" t="str">
        <f>Scott!C80</f>
        <v>1.0.1.6</v>
      </c>
      <c r="D164" s="36" t="str">
        <f>Scott!D80</f>
        <v>32</v>
      </c>
      <c r="E164" s="36" t="str">
        <f>Scott!E80</f>
        <v>N/A</v>
      </c>
      <c r="F164" s="36" t="str">
        <f>Scott!F80</f>
        <v>Development</v>
      </c>
      <c r="G164" s="36" t="str">
        <f>Scott!G80</f>
        <v>MGI</v>
      </c>
      <c r="H164" s="36" t="str">
        <f>Scott!H80</f>
        <v>MGI Panel Manager - DQMH Panels 1.0.1.6</v>
      </c>
      <c r="I164" s="36" t="str">
        <f>Scott!I80</f>
        <v>VIPM Community</v>
      </c>
    </row>
    <row r="165" spans="1:9" x14ac:dyDescent="0.25">
      <c r="A165" s="172" t="str">
        <f>Originals!A250</f>
        <v>4-Vinnie</v>
      </c>
      <c r="B165" s="172" t="str">
        <f>Originals!B250</f>
        <v>MGI Panel Manager - DQMH Panels</v>
      </c>
      <c r="C165" s="172" t="str">
        <f>Originals!C250</f>
        <v>1.0.1.6</v>
      </c>
      <c r="D165" s="172" t="str">
        <f>Originals!D250</f>
        <v>32</v>
      </c>
      <c r="E165" s="172" t="str">
        <f>Originals!E250</f>
        <v>N/A</v>
      </c>
      <c r="F165" s="172" t="str">
        <f>Originals!F250</f>
        <v>Development</v>
      </c>
      <c r="G165" s="172" t="str">
        <f>Originals!G250</f>
        <v>MGI</v>
      </c>
      <c r="H165" s="172" t="str">
        <f>Originals!H250</f>
        <v>MGI Panel Manager - DQMH Panels 1.0.1.6</v>
      </c>
      <c r="I165" s="172" t="str">
        <f>Originals!I250</f>
        <v>VIPM Community</v>
      </c>
    </row>
    <row r="166" spans="1:9" x14ac:dyDescent="0.25">
      <c r="A166" s="36" t="str">
        <f>Scott!A81</f>
        <v>3-Scott</v>
      </c>
      <c r="B166" s="36" t="str">
        <f>Scott!B81</f>
        <v>MGI Picture &amp; Image</v>
      </c>
      <c r="C166" s="36" t="str">
        <f>Scott!C81</f>
        <v>1.0.2.1</v>
      </c>
      <c r="D166" s="36" t="str">
        <f>Scott!D81</f>
        <v>32</v>
      </c>
      <c r="E166" s="36" t="str">
        <f>Scott!E81</f>
        <v>N/A</v>
      </c>
      <c r="F166" s="36" t="str">
        <f>Scott!F81</f>
        <v>Development</v>
      </c>
      <c r="G166" s="36" t="str">
        <f>Scott!G81</f>
        <v>MGI</v>
      </c>
      <c r="H166" s="36" t="str">
        <f>Scott!H81</f>
        <v>MGI Picture &amp; Image 1.0.2.1</v>
      </c>
      <c r="I166" s="36" t="str">
        <f>Scott!I81</f>
        <v>VIPM Community</v>
      </c>
    </row>
    <row r="167" spans="1:9" x14ac:dyDescent="0.25">
      <c r="A167" s="172" t="str">
        <f>Originals!A251</f>
        <v>4-Vinnie</v>
      </c>
      <c r="B167" s="172" t="str">
        <f>Originals!B251</f>
        <v>MGI Picture &amp; Image</v>
      </c>
      <c r="C167" s="172" t="str">
        <f>Originals!C251</f>
        <v>1.0.2.1</v>
      </c>
      <c r="D167" s="172" t="str">
        <f>Originals!D251</f>
        <v>32</v>
      </c>
      <c r="E167" s="172" t="str">
        <f>Originals!E251</f>
        <v>N/A</v>
      </c>
      <c r="F167" s="172" t="str">
        <f>Originals!F251</f>
        <v>Development</v>
      </c>
      <c r="G167" s="172" t="str">
        <f>Originals!G251</f>
        <v>MGI</v>
      </c>
      <c r="H167" s="172" t="str">
        <f>Originals!H251</f>
        <v>MGI Picture &amp; Image 1.0.2.1</v>
      </c>
      <c r="I167" s="172" t="str">
        <f>Originals!I251</f>
        <v>VIPM Community</v>
      </c>
    </row>
    <row r="168" spans="1:9" x14ac:dyDescent="0.25">
      <c r="A168" s="36" t="str">
        <f>Scott!A82</f>
        <v>3-Scott</v>
      </c>
      <c r="B168" s="36" t="str">
        <f>Scott!B82</f>
        <v>MGI Read/Write Anything</v>
      </c>
      <c r="C168" s="36" t="str">
        <f>Scott!C82</f>
        <v>2.1.4.4</v>
      </c>
      <c r="D168" s="36" t="str">
        <f>Scott!D82</f>
        <v>32</v>
      </c>
      <c r="E168" s="36" t="str">
        <f>Scott!E82</f>
        <v>N/A</v>
      </c>
      <c r="F168" s="36" t="str">
        <f>Scott!F82</f>
        <v>Development</v>
      </c>
      <c r="G168" s="36" t="str">
        <f>Scott!G82</f>
        <v>MGI</v>
      </c>
      <c r="H168" s="36" t="str">
        <f>Scott!H82</f>
        <v>MGI Read/Write Anything 2.1.4.4</v>
      </c>
      <c r="I168" s="36" t="str">
        <f>Scott!I82</f>
        <v>VIPM Community</v>
      </c>
    </row>
    <row r="169" spans="1:9" x14ac:dyDescent="0.25">
      <c r="A169" s="172" t="str">
        <f>Originals!A252</f>
        <v>4-Vinnie</v>
      </c>
      <c r="B169" s="172" t="str">
        <f>Originals!B252</f>
        <v>MGI Read/Write Anything</v>
      </c>
      <c r="C169" s="172" t="str">
        <f>Originals!C252</f>
        <v>2.1.4.4</v>
      </c>
      <c r="D169" s="172" t="str">
        <f>Originals!D252</f>
        <v>32</v>
      </c>
      <c r="E169" s="172" t="str">
        <f>Originals!E252</f>
        <v>N/A</v>
      </c>
      <c r="F169" s="172" t="str">
        <f>Originals!F252</f>
        <v>Development</v>
      </c>
      <c r="G169" s="172" t="str">
        <f>Originals!G252</f>
        <v>MGI</v>
      </c>
      <c r="H169" s="172" t="str">
        <f>Originals!H252</f>
        <v>MGI Read/Write Anything 2.1.4.4</v>
      </c>
      <c r="I169" s="172" t="str">
        <f>Originals!I252</f>
        <v>VIPM Community</v>
      </c>
    </row>
    <row r="170" spans="1:9" x14ac:dyDescent="0.25">
      <c r="A170" s="36" t="str">
        <f>Scott!A83</f>
        <v>3-Scott</v>
      </c>
      <c r="B170" s="36" t="str">
        <f>Scott!B83</f>
        <v>MGI Robust XML</v>
      </c>
      <c r="C170" s="36" t="str">
        <f>Scott!C83</f>
        <v>1.0.3.4</v>
      </c>
      <c r="D170" s="36" t="str">
        <f>Scott!D83</f>
        <v>32</v>
      </c>
      <c r="E170" s="36" t="str">
        <f>Scott!E83</f>
        <v>N/A</v>
      </c>
      <c r="F170" s="36" t="str">
        <f>Scott!F83</f>
        <v>Development</v>
      </c>
      <c r="G170" s="36" t="str">
        <f>Scott!G83</f>
        <v>MGI</v>
      </c>
      <c r="H170" s="36" t="str">
        <f>Scott!H83</f>
        <v>MGI Robust XML 1.0.3.4</v>
      </c>
      <c r="I170" s="36" t="str">
        <f>Scott!I83</f>
        <v>VIPM Community</v>
      </c>
    </row>
    <row r="171" spans="1:9" x14ac:dyDescent="0.25">
      <c r="A171" s="172" t="str">
        <f>Originals!A253</f>
        <v>4-Vinnie</v>
      </c>
      <c r="B171" s="172" t="str">
        <f>Originals!B253</f>
        <v>MGI Robust XML</v>
      </c>
      <c r="C171" s="172" t="str">
        <f>Originals!C253</f>
        <v>1.0.3.4</v>
      </c>
      <c r="D171" s="172" t="str">
        <f>Originals!D253</f>
        <v>32</v>
      </c>
      <c r="E171" s="172" t="str">
        <f>Originals!E253</f>
        <v>N/A</v>
      </c>
      <c r="F171" s="172" t="str">
        <f>Originals!F253</f>
        <v>Development</v>
      </c>
      <c r="G171" s="172" t="str">
        <f>Originals!G253</f>
        <v>MGI</v>
      </c>
      <c r="H171" s="172" t="str">
        <f>Originals!H253</f>
        <v>MGI Robust XML 1.0.3.4</v>
      </c>
      <c r="I171" s="172" t="str">
        <f>Originals!I253</f>
        <v>VIPM Community</v>
      </c>
    </row>
    <row r="172" spans="1:9" x14ac:dyDescent="0.25">
      <c r="A172" s="36" t="str">
        <f>Scott!A84</f>
        <v>3-Scott</v>
      </c>
      <c r="B172" s="36" t="str">
        <f>Scott!B84</f>
        <v>MGI Spline</v>
      </c>
      <c r="C172" s="36" t="str">
        <f>Scott!C84</f>
        <v>1.1.0.1</v>
      </c>
      <c r="D172" s="36" t="str">
        <f>Scott!D84</f>
        <v>32</v>
      </c>
      <c r="E172" s="36" t="str">
        <f>Scott!E84</f>
        <v>N/A</v>
      </c>
      <c r="F172" s="36" t="str">
        <f>Scott!F84</f>
        <v>Development</v>
      </c>
      <c r="G172" s="36" t="str">
        <f>Scott!G84</f>
        <v>MGI</v>
      </c>
      <c r="H172" s="36" t="str">
        <f>Scott!H84</f>
        <v>MGI Spline 1.1.0.1</v>
      </c>
      <c r="I172" s="36" t="str">
        <f>Scott!I84</f>
        <v>VIPM Community</v>
      </c>
    </row>
    <row r="173" spans="1:9" x14ac:dyDescent="0.25">
      <c r="A173" s="172" t="str">
        <f>Originals!A254</f>
        <v>4-Vinnie</v>
      </c>
      <c r="B173" s="172" t="str">
        <f>Originals!B254</f>
        <v>MGI Spline</v>
      </c>
      <c r="C173" s="172" t="str">
        <f>Originals!C254</f>
        <v>1.1.0.1</v>
      </c>
      <c r="D173" s="172" t="str">
        <f>Originals!D254</f>
        <v>32</v>
      </c>
      <c r="E173" s="172" t="str">
        <f>Originals!E254</f>
        <v>N/A</v>
      </c>
      <c r="F173" s="172" t="str">
        <f>Originals!F254</f>
        <v>Development</v>
      </c>
      <c r="G173" s="172" t="str">
        <f>Originals!G254</f>
        <v>MGI</v>
      </c>
      <c r="H173" s="172" t="str">
        <f>Originals!H254</f>
        <v>MGI Spline 1.1.0.1</v>
      </c>
      <c r="I173" s="172" t="str">
        <f>Originals!I254</f>
        <v>VIPM Community</v>
      </c>
    </row>
    <row r="174" spans="1:9" x14ac:dyDescent="0.25">
      <c r="A174" s="36" t="str">
        <f>Scott!A85</f>
        <v>3-Scott</v>
      </c>
      <c r="B174" s="36" t="str">
        <f>Scott!B85</f>
        <v>MGI String</v>
      </c>
      <c r="C174" s="36" t="str">
        <f>Scott!C85</f>
        <v>1.1.1.5</v>
      </c>
      <c r="D174" s="36" t="str">
        <f>Scott!D85</f>
        <v>32</v>
      </c>
      <c r="E174" s="36" t="str">
        <f>Scott!E85</f>
        <v>N/A</v>
      </c>
      <c r="F174" s="36" t="str">
        <f>Scott!F85</f>
        <v>Development</v>
      </c>
      <c r="G174" s="36" t="str">
        <f>Scott!G85</f>
        <v>MGI</v>
      </c>
      <c r="H174" s="36" t="str">
        <f>Scott!H85</f>
        <v>MGI String 1.1.1.5</v>
      </c>
      <c r="I174" s="36" t="str">
        <f>Scott!I85</f>
        <v>VIPM Community</v>
      </c>
    </row>
    <row r="175" spans="1:9" x14ac:dyDescent="0.25">
      <c r="A175" s="172" t="str">
        <f>Originals!A255</f>
        <v>4-Vinnie</v>
      </c>
      <c r="B175" s="172" t="str">
        <f>Originals!B255</f>
        <v>MGI String</v>
      </c>
      <c r="C175" s="172" t="str">
        <f>Originals!C255</f>
        <v>1.1.1.5</v>
      </c>
      <c r="D175" s="172" t="str">
        <f>Originals!D255</f>
        <v>32</v>
      </c>
      <c r="E175" s="172" t="str">
        <f>Originals!E255</f>
        <v>N/A</v>
      </c>
      <c r="F175" s="172" t="str">
        <f>Originals!F255</f>
        <v>Development</v>
      </c>
      <c r="G175" s="172" t="str">
        <f>Originals!G255</f>
        <v>MGI</v>
      </c>
      <c r="H175" s="172" t="str">
        <f>Originals!H255</f>
        <v>MGI String 1.1.1.5</v>
      </c>
      <c r="I175" s="172" t="str">
        <f>Originals!I255</f>
        <v>VIPM Community</v>
      </c>
    </row>
    <row r="176" spans="1:9" x14ac:dyDescent="0.25">
      <c r="A176" s="36" t="str">
        <f>Scott!A86</f>
        <v>3-Scott</v>
      </c>
      <c r="B176" s="36" t="str">
        <f>Scott!B86</f>
        <v>MGI Timing</v>
      </c>
      <c r="C176" s="36" t="str">
        <f>Scott!C86</f>
        <v>1.1.0.2</v>
      </c>
      <c r="D176" s="36" t="str">
        <f>Scott!D86</f>
        <v>32</v>
      </c>
      <c r="E176" s="36" t="str">
        <f>Scott!E86</f>
        <v>N/A</v>
      </c>
      <c r="F176" s="36" t="str">
        <f>Scott!F86</f>
        <v>Development</v>
      </c>
      <c r="G176" s="36" t="str">
        <f>Scott!G86</f>
        <v>MGI</v>
      </c>
      <c r="H176" s="36" t="str">
        <f>Scott!H86</f>
        <v>MGI Timing 1.1.0.2</v>
      </c>
      <c r="I176" s="36" t="str">
        <f>Scott!I86</f>
        <v>VIPM Community</v>
      </c>
    </row>
    <row r="177" spans="1:9" x14ac:dyDescent="0.25">
      <c r="A177" s="172" t="str">
        <f>Originals!A256</f>
        <v>4-Vinnie</v>
      </c>
      <c r="B177" s="172" t="str">
        <f>Originals!B256</f>
        <v>MGI Timing</v>
      </c>
      <c r="C177" s="172" t="str">
        <f>Originals!C256</f>
        <v>1.1.0.2</v>
      </c>
      <c r="D177" s="172" t="str">
        <f>Originals!D256</f>
        <v>32</v>
      </c>
      <c r="E177" s="172" t="str">
        <f>Originals!E256</f>
        <v>N/A</v>
      </c>
      <c r="F177" s="172" t="str">
        <f>Originals!F256</f>
        <v>Development</v>
      </c>
      <c r="G177" s="172" t="str">
        <f>Originals!G256</f>
        <v>MGI</v>
      </c>
      <c r="H177" s="172" t="str">
        <f>Originals!H256</f>
        <v>MGI Timing 1.1.0.2</v>
      </c>
      <c r="I177" s="172" t="str">
        <f>Originals!I256</f>
        <v>VIPM Community</v>
      </c>
    </row>
    <row r="178" spans="1:9" x14ac:dyDescent="0.25">
      <c r="A178" s="36" t="str">
        <f>Scott!A87</f>
        <v>3-Scott</v>
      </c>
      <c r="B178" s="36" t="str">
        <f>Scott!B87</f>
        <v>MGI Tools</v>
      </c>
      <c r="C178" s="36" t="str">
        <f>Scott!C87</f>
        <v>1.0.0.4</v>
      </c>
      <c r="D178" s="36" t="str">
        <f>Scott!D87</f>
        <v>32</v>
      </c>
      <c r="E178" s="36" t="str">
        <f>Scott!E87</f>
        <v>N/A</v>
      </c>
      <c r="F178" s="36" t="str">
        <f>Scott!F87</f>
        <v>Development</v>
      </c>
      <c r="G178" s="36" t="str">
        <f>Scott!G87</f>
        <v>MGI</v>
      </c>
      <c r="H178" s="36" t="str">
        <f>Scott!H87</f>
        <v>MGI Tools 1.0.0.4</v>
      </c>
      <c r="I178" s="36" t="str">
        <f>Scott!I87</f>
        <v>VIPM Community</v>
      </c>
    </row>
    <row r="179" spans="1:9" x14ac:dyDescent="0.25">
      <c r="A179" s="172" t="str">
        <f>Originals!A257</f>
        <v>4-Vinnie</v>
      </c>
      <c r="B179" s="172" t="str">
        <f>Originals!B257</f>
        <v>MGI Tools</v>
      </c>
      <c r="C179" s="172" t="str">
        <f>Originals!C257</f>
        <v>1.0.0.4</v>
      </c>
      <c r="D179" s="172" t="str">
        <f>Originals!D257</f>
        <v>32</v>
      </c>
      <c r="E179" s="172" t="str">
        <f>Originals!E257</f>
        <v>N/A</v>
      </c>
      <c r="F179" s="172" t="str">
        <f>Originals!F257</f>
        <v>Development</v>
      </c>
      <c r="G179" s="172" t="str">
        <f>Originals!G257</f>
        <v>MGI</v>
      </c>
      <c r="H179" s="172" t="str">
        <f>Originals!H257</f>
        <v>MGI Tools 1.0.0.4</v>
      </c>
      <c r="I179" s="172" t="str">
        <f>Originals!I257</f>
        <v>VIPM Community</v>
      </c>
    </row>
    <row r="180" spans="1:9" x14ac:dyDescent="0.25">
      <c r="A180" s="36" t="str">
        <f>Scott!A88</f>
        <v>3-Scott</v>
      </c>
      <c r="B180" s="36" t="str">
        <f>Scott!B88</f>
        <v>MGI Tree</v>
      </c>
      <c r="C180" s="36" t="str">
        <f>Scott!C88</f>
        <v>1.0.4.4</v>
      </c>
      <c r="D180" s="36" t="str">
        <f>Scott!D88</f>
        <v>32</v>
      </c>
      <c r="E180" s="36" t="str">
        <f>Scott!E88</f>
        <v>N/A</v>
      </c>
      <c r="F180" s="36" t="str">
        <f>Scott!F88</f>
        <v>Development</v>
      </c>
      <c r="G180" s="36" t="str">
        <f>Scott!G88</f>
        <v>MGI</v>
      </c>
      <c r="H180" s="36" t="str">
        <f>Scott!H88</f>
        <v>MGI Tree 1.0.4.4</v>
      </c>
      <c r="I180" s="36" t="str">
        <f>Scott!I88</f>
        <v>VIPM Community</v>
      </c>
    </row>
    <row r="181" spans="1:9" x14ac:dyDescent="0.25">
      <c r="A181" s="172" t="str">
        <f>Originals!A258</f>
        <v>4-Vinnie</v>
      </c>
      <c r="B181" s="172" t="str">
        <f>Originals!B258</f>
        <v>MGI Tree</v>
      </c>
      <c r="C181" s="172" t="str">
        <f>Originals!C258</f>
        <v>1.0.4.4</v>
      </c>
      <c r="D181" s="172" t="str">
        <f>Originals!D258</f>
        <v>32</v>
      </c>
      <c r="E181" s="172" t="str">
        <f>Originals!E258</f>
        <v>N/A</v>
      </c>
      <c r="F181" s="172" t="str">
        <f>Originals!F258</f>
        <v>Development</v>
      </c>
      <c r="G181" s="172" t="str">
        <f>Originals!G258</f>
        <v>MGI</v>
      </c>
      <c r="H181" s="172" t="str">
        <f>Originals!H258</f>
        <v>MGI Tree 1.0.4.4</v>
      </c>
      <c r="I181" s="172" t="str">
        <f>Originals!I258</f>
        <v>VIPM Community</v>
      </c>
    </row>
    <row r="182" spans="1:9" x14ac:dyDescent="0.25">
      <c r="A182" s="36" t="str">
        <f>Scott!A89</f>
        <v>3-Scott</v>
      </c>
      <c r="B182" s="36" t="str">
        <f>Scott!B89</f>
        <v>MGI User Interface</v>
      </c>
      <c r="C182" s="36" t="str">
        <f>Scott!C89</f>
        <v>1.0.1.11</v>
      </c>
      <c r="D182" s="36" t="str">
        <f>Scott!D89</f>
        <v>32</v>
      </c>
      <c r="E182" s="36" t="str">
        <f>Scott!E89</f>
        <v>N/A</v>
      </c>
      <c r="F182" s="36" t="str">
        <f>Scott!F89</f>
        <v>Development</v>
      </c>
      <c r="G182" s="36" t="str">
        <f>Scott!G89</f>
        <v>MGI</v>
      </c>
      <c r="H182" s="36" t="str">
        <f>Scott!H89</f>
        <v>MGI User Interface 1.0.1.11</v>
      </c>
      <c r="I182" s="36" t="str">
        <f>Scott!I89</f>
        <v>VIPM Community</v>
      </c>
    </row>
    <row r="183" spans="1:9" x14ac:dyDescent="0.25">
      <c r="A183" s="172" t="str">
        <f>Originals!A259</f>
        <v>4-Vinnie</v>
      </c>
      <c r="B183" s="172" t="str">
        <f>Originals!B259</f>
        <v>MGI User Interface</v>
      </c>
      <c r="C183" s="172" t="str">
        <f>Originals!C259</f>
        <v>1.0.1.11</v>
      </c>
      <c r="D183" s="172" t="str">
        <f>Originals!D259</f>
        <v>32</v>
      </c>
      <c r="E183" s="172" t="str">
        <f>Originals!E259</f>
        <v>N/A</v>
      </c>
      <c r="F183" s="172" t="str">
        <f>Originals!F259</f>
        <v>Development</v>
      </c>
      <c r="G183" s="172" t="str">
        <f>Originals!G259</f>
        <v>MGI</v>
      </c>
      <c r="H183" s="172" t="str">
        <f>Originals!H259</f>
        <v>MGI User Interface 1.0.1.11</v>
      </c>
      <c r="I183" s="172" t="str">
        <f>Originals!I259</f>
        <v>VIPM Community</v>
      </c>
    </row>
    <row r="184" spans="1:9" x14ac:dyDescent="0.25">
      <c r="A184" s="36" t="str">
        <f>Scott!A90</f>
        <v>3-Scott</v>
      </c>
      <c r="B184" s="36" t="str">
        <f>Scott!B90</f>
        <v>MGI WSA Framework</v>
      </c>
      <c r="C184" s="36" t="str">
        <f>Scott!C90</f>
        <v>1.0.0.27</v>
      </c>
      <c r="D184" s="36" t="str">
        <f>Scott!D90</f>
        <v>32</v>
      </c>
      <c r="E184" s="36" t="str">
        <f>Scott!E90</f>
        <v>N/A</v>
      </c>
      <c r="F184" s="36" t="str">
        <f>Scott!F90</f>
        <v>Development</v>
      </c>
      <c r="G184" s="36" t="str">
        <f>Scott!G90</f>
        <v>MGI</v>
      </c>
      <c r="H184" s="36" t="str">
        <f>Scott!H90</f>
        <v>MGI WSA Framework 1.0.0.27</v>
      </c>
      <c r="I184" s="36" t="str">
        <f>Scott!I90</f>
        <v>VIPM Community</v>
      </c>
    </row>
    <row r="185" spans="1:9" x14ac:dyDescent="0.25">
      <c r="A185" s="172" t="str">
        <f>Originals!A260</f>
        <v>4-Vinnie</v>
      </c>
      <c r="B185" s="172" t="str">
        <f>Originals!B260</f>
        <v>MGI WSA Framework</v>
      </c>
      <c r="C185" s="172" t="str">
        <f>Originals!C260</f>
        <v>1.0.0.27</v>
      </c>
      <c r="D185" s="172" t="str">
        <f>Originals!D260</f>
        <v>32</v>
      </c>
      <c r="E185" s="172" t="str">
        <f>Originals!E260</f>
        <v>N/A</v>
      </c>
      <c r="F185" s="172" t="str">
        <f>Originals!F260</f>
        <v>Development</v>
      </c>
      <c r="G185" s="172" t="str">
        <f>Originals!G260</f>
        <v>MGI</v>
      </c>
      <c r="H185" s="172" t="str">
        <f>Originals!H260</f>
        <v>MGI WSA Framework 1.0.0.27</v>
      </c>
      <c r="I185" s="172" t="str">
        <f>Originals!I260</f>
        <v>VIPM Community</v>
      </c>
    </row>
    <row r="186" spans="1:9" x14ac:dyDescent="0.25">
      <c r="A186" s="172" t="str">
        <f>Originals!A261</f>
        <v>4-Vinnie</v>
      </c>
      <c r="B186" s="172" t="str">
        <f>Originals!B261</f>
        <v>Network Configuration Web Support</v>
      </c>
      <c r="C186" s="172" t="str">
        <f>Originals!C261</f>
        <v>15.0.0</v>
      </c>
      <c r="D186" s="172" t="str">
        <f>Originals!D261</f>
        <v>32</v>
      </c>
      <c r="E186" s="172" t="str">
        <f>Originals!E261</f>
        <v>2015</v>
      </c>
      <c r="F186" s="172" t="str">
        <f>Originals!F261</f>
        <v>C-RIO</v>
      </c>
      <c r="G186" s="172" t="str">
        <f>Originals!G261</f>
        <v>NI</v>
      </c>
      <c r="H186" s="172" t="str">
        <f>Originals!H261</f>
        <v>Network Configuration Web Support 15.0.0</v>
      </c>
      <c r="I186" s="172">
        <f>Originals!I261</f>
        <v>0</v>
      </c>
    </row>
    <row r="187" spans="1:9" x14ac:dyDescent="0.25">
      <c r="A187" s="172" t="str">
        <f>Originals!A262</f>
        <v>4-Vinnie</v>
      </c>
      <c r="B187" s="172" t="str">
        <f>Originals!B262</f>
        <v>Network Streams</v>
      </c>
      <c r="C187" s="172" t="str">
        <f>Originals!C262</f>
        <v>15.0</v>
      </c>
      <c r="D187" s="172" t="str">
        <f>Originals!D262</f>
        <v>32</v>
      </c>
      <c r="E187" s="172" t="str">
        <f>Originals!E262</f>
        <v>2015</v>
      </c>
      <c r="F187" s="172" t="str">
        <f>Originals!F262</f>
        <v>C-RIO</v>
      </c>
      <c r="G187" s="172" t="str">
        <f>Originals!G262</f>
        <v>NI</v>
      </c>
      <c r="H187" s="172" t="str">
        <f>Originals!H262</f>
        <v>Network Streams 15.0</v>
      </c>
      <c r="I187" s="172">
        <f>Originals!I262</f>
        <v>0</v>
      </c>
    </row>
    <row r="188" spans="1:9" x14ac:dyDescent="0.25">
      <c r="A188" s="172" t="str">
        <f>Originals!A263</f>
        <v>4-Vinnie</v>
      </c>
      <c r="B188" s="172" t="str">
        <f>Originals!B263</f>
        <v>Network Variable Engine</v>
      </c>
      <c r="C188" s="172" t="str">
        <f>Originals!C263</f>
        <v>15.0.0</v>
      </c>
      <c r="D188" s="172" t="str">
        <f>Originals!D263</f>
        <v>32</v>
      </c>
      <c r="E188" s="172" t="str">
        <f>Originals!E263</f>
        <v>2015</v>
      </c>
      <c r="F188" s="172" t="str">
        <f>Originals!F263</f>
        <v>C-RIO</v>
      </c>
      <c r="G188" s="172" t="str">
        <f>Originals!G263</f>
        <v>NI</v>
      </c>
      <c r="H188" s="172" t="str">
        <f>Originals!H263</f>
        <v>Network Variable Engine 15.0.0</v>
      </c>
      <c r="I188" s="172">
        <f>Originals!I263</f>
        <v>0</v>
      </c>
    </row>
    <row r="189" spans="1:9" x14ac:dyDescent="0.25">
      <c r="A189" s="172" t="str">
        <f>Originals!A264</f>
        <v>4-Vinnie</v>
      </c>
      <c r="B189" s="172" t="str">
        <f>Originals!B264</f>
        <v>NI 1588-2008 Network Management</v>
      </c>
      <c r="C189" s="172" t="str">
        <f>Originals!C264</f>
        <v>15.0.0f0</v>
      </c>
      <c r="D189" s="172" t="str">
        <f>Originals!D264</f>
        <v>32</v>
      </c>
      <c r="E189" s="172">
        <f>Originals!E264</f>
        <v>2015</v>
      </c>
      <c r="F189" s="172" t="str">
        <f>Originals!F264</f>
        <v>Development</v>
      </c>
      <c r="G189" s="172" t="str">
        <f>Originals!G264</f>
        <v>NI</v>
      </c>
      <c r="H189" s="172" t="str">
        <f>Originals!H264</f>
        <v>NI 1588-2008 Network Management 15.0.0f0</v>
      </c>
      <c r="I189" s="172" t="str">
        <f>Originals!I264</f>
        <v>NI Developer Suite 2015 DS2 Install</v>
      </c>
    </row>
    <row r="190" spans="1:9" x14ac:dyDescent="0.25">
      <c r="A190" s="36" t="str">
        <f>Scott!A91</f>
        <v>3-Scott</v>
      </c>
      <c r="B190" s="36" t="str">
        <f>Scott!B91</f>
        <v>NI 1588-2008 Network Management 15.0.0</v>
      </c>
      <c r="C190" s="36" t="str">
        <f>Scott!C91</f>
        <v>15.0.0f0</v>
      </c>
      <c r="D190" s="36">
        <f>Scott!D91</f>
        <v>32</v>
      </c>
      <c r="E190" s="36">
        <f>Scott!E91</f>
        <v>2015</v>
      </c>
      <c r="F190" s="36" t="str">
        <f>Scott!F91</f>
        <v>Development</v>
      </c>
      <c r="G190" s="36" t="str">
        <f>Scott!G91</f>
        <v>NI</v>
      </c>
      <c r="H190" s="36" t="str">
        <f>Scott!H91</f>
        <v>NI 1588-2008 Network Management 15.0.0 15.0.0f0</v>
      </c>
      <c r="I190" s="36" t="str">
        <f>Scott!I91</f>
        <v>NI Developer Suite 2015 DS2 Install</v>
      </c>
    </row>
    <row r="191" spans="1:9" x14ac:dyDescent="0.25">
      <c r="A191" s="36" t="str">
        <f>Scott!A92</f>
        <v>3-Scott</v>
      </c>
      <c r="B191" s="36" t="str">
        <f>Scott!B92</f>
        <v>NI Asynchronous Message Communication (AMC) Library</v>
      </c>
      <c r="C191" s="36" t="str">
        <f>Scott!C92</f>
        <v>3.3.1.22</v>
      </c>
      <c r="D191" s="36" t="str">
        <f>Scott!D92</f>
        <v>32</v>
      </c>
      <c r="E191" s="36" t="str">
        <f>Scott!E92</f>
        <v>N/A</v>
      </c>
      <c r="F191" s="36" t="str">
        <f>Scott!F92</f>
        <v>Development</v>
      </c>
      <c r="G191" s="36" t="str">
        <f>Scott!G92</f>
        <v>NI</v>
      </c>
      <c r="H191" s="36" t="str">
        <f>Scott!H92</f>
        <v>NI Asynchronous Message Communication (AMC) Library 3.3.1.22</v>
      </c>
      <c r="I191" s="36" t="str">
        <f>Scott!I92</f>
        <v>VIPM Community</v>
      </c>
    </row>
    <row r="192" spans="1:9" x14ac:dyDescent="0.25">
      <c r="A192" s="172" t="str">
        <f>Originals!A265</f>
        <v>4-Vinnie</v>
      </c>
      <c r="B192" s="172" t="str">
        <f>Originals!B265</f>
        <v>NI Asynchronous Message Communication (AMC) Library</v>
      </c>
      <c r="C192" s="172" t="str">
        <f>Originals!C265</f>
        <v>3.3.1.22</v>
      </c>
      <c r="D192" s="172" t="str">
        <f>Originals!D265</f>
        <v>32</v>
      </c>
      <c r="E192" s="172" t="str">
        <f>Originals!E265</f>
        <v>N/A</v>
      </c>
      <c r="F192" s="172" t="str">
        <f>Originals!F265</f>
        <v>Development</v>
      </c>
      <c r="G192" s="172" t="str">
        <f>Originals!G265</f>
        <v>NI</v>
      </c>
      <c r="H192" s="172" t="str">
        <f>Originals!H265</f>
        <v>NI Asynchronous Message Communication (AMC) Library 3.3.1.22</v>
      </c>
      <c r="I192" s="172" t="str">
        <f>Originals!I265</f>
        <v>VIPM Community</v>
      </c>
    </row>
    <row r="193" spans="1:9" x14ac:dyDescent="0.25">
      <c r="A193" s="172" t="str">
        <f>Originals!A266</f>
        <v>4-Vinnie</v>
      </c>
      <c r="B193" s="172" t="str">
        <f>Originals!B266</f>
        <v>NI CompactRIO</v>
      </c>
      <c r="C193" s="172" t="str">
        <f>Originals!C266</f>
        <v>15.5</v>
      </c>
      <c r="D193" s="172" t="str">
        <f>Originals!D266</f>
        <v>32</v>
      </c>
      <c r="E193" s="172" t="str">
        <f>Originals!E266</f>
        <v>2018</v>
      </c>
      <c r="F193" s="172" t="str">
        <f>Originals!F266</f>
        <v>C-RIO</v>
      </c>
      <c r="G193" s="172" t="str">
        <f>Originals!G266</f>
        <v>NI</v>
      </c>
      <c r="H193" s="172" t="str">
        <f>Originals!H266</f>
        <v>NI CompactRIO 15.5</v>
      </c>
      <c r="I193" s="172">
        <f>Originals!I266</f>
        <v>0</v>
      </c>
    </row>
    <row r="194" spans="1:9" x14ac:dyDescent="0.25">
      <c r="A194" s="36" t="str">
        <f>Scott!A93</f>
        <v>3-Scott</v>
      </c>
      <c r="B194" s="36" t="str">
        <f>Scott!B93</f>
        <v>NI CompactRIO Information (CRI) Library</v>
      </c>
      <c r="C194" s="36" t="str">
        <f>Scott!C93</f>
        <v>2015.0.0.1</v>
      </c>
      <c r="D194" s="36" t="str">
        <f>Scott!D93</f>
        <v>32</v>
      </c>
      <c r="E194" s="36" t="str">
        <f>Scott!E93</f>
        <v>2015</v>
      </c>
      <c r="F194" s="36" t="str">
        <f>Scott!F93</f>
        <v>Development</v>
      </c>
      <c r="G194" s="36" t="str">
        <f>Scott!G93</f>
        <v>NI</v>
      </c>
      <c r="H194" s="36" t="str">
        <f>Scott!H93</f>
        <v>NI CompactRIO Information (CRI) Library 2015.0.0.1</v>
      </c>
      <c r="I194" s="36" t="str">
        <f>Scott!I93</f>
        <v>VIPM Community</v>
      </c>
    </row>
    <row r="195" spans="1:9" x14ac:dyDescent="0.25">
      <c r="A195" s="172" t="str">
        <f>Originals!A267</f>
        <v>4-Vinnie</v>
      </c>
      <c r="B195" s="172" t="str">
        <f>Originals!B267</f>
        <v>NI CompactRIO Information (CRI) Library</v>
      </c>
      <c r="C195" s="172" t="str">
        <f>Originals!C267</f>
        <v>2015.0.0.1</v>
      </c>
      <c r="D195" s="172" t="str">
        <f>Originals!D267</f>
        <v>32</v>
      </c>
      <c r="E195" s="172" t="str">
        <f>Originals!E267</f>
        <v>2015</v>
      </c>
      <c r="F195" s="172" t="str">
        <f>Originals!F267</f>
        <v>Development</v>
      </c>
      <c r="G195" s="172" t="str">
        <f>Originals!G267</f>
        <v>NI</v>
      </c>
      <c r="H195" s="172" t="str">
        <f>Originals!H267</f>
        <v>NI CompactRIO Information (CRI) Library 2015.0.0.1</v>
      </c>
      <c r="I195" s="172" t="str">
        <f>Originals!I267</f>
        <v>VIPM Community</v>
      </c>
    </row>
    <row r="196" spans="1:9" x14ac:dyDescent="0.25">
      <c r="A196" s="170" t="str">
        <f>Scott!A94</f>
        <v>3-Scott</v>
      </c>
      <c r="B196" s="170" t="str">
        <f>Scott!B94</f>
        <v>NI GXML</v>
      </c>
      <c r="C196" s="170" t="str">
        <f>Scott!C94</f>
        <v>1.4.2.8</v>
      </c>
      <c r="D196" s="170" t="str">
        <f>Scott!D94</f>
        <v>32</v>
      </c>
      <c r="E196" s="170" t="str">
        <f>Scott!E94</f>
        <v>N/A</v>
      </c>
      <c r="F196" s="170" t="str">
        <f>Scott!F94</f>
        <v>Development</v>
      </c>
      <c r="G196" s="170" t="str">
        <f>Scott!G94</f>
        <v>NI</v>
      </c>
      <c r="H196" s="170" t="str">
        <f>Scott!H94</f>
        <v>NI GXML 1.4.2.8</v>
      </c>
      <c r="I196" s="170" t="str">
        <f>Scott!I94</f>
        <v>VIPM Community</v>
      </c>
    </row>
    <row r="197" spans="1:9" x14ac:dyDescent="0.25">
      <c r="A197" s="173" t="str">
        <f>Originals!A268</f>
        <v>4-Vinnie</v>
      </c>
      <c r="B197" s="173" t="str">
        <f>Originals!B268</f>
        <v>NI GXML</v>
      </c>
      <c r="C197" s="173" t="str">
        <f>Originals!C268</f>
        <v>1.4.2.8</v>
      </c>
      <c r="D197" s="173" t="str">
        <f>Originals!D268</f>
        <v>32</v>
      </c>
      <c r="E197" s="173" t="str">
        <f>Originals!E268</f>
        <v>N/A</v>
      </c>
      <c r="F197" s="173" t="str">
        <f>Originals!F268</f>
        <v>Development</v>
      </c>
      <c r="G197" s="173" t="str">
        <f>Originals!G268</f>
        <v>NI</v>
      </c>
      <c r="H197" s="173" t="str">
        <f>Originals!H268</f>
        <v>NI GXML 1.4.2.8</v>
      </c>
      <c r="I197" s="173" t="str">
        <f>Originals!I268</f>
        <v>VIPM Community</v>
      </c>
    </row>
    <row r="198" spans="1:9" x14ac:dyDescent="0.25">
      <c r="A198" s="170" t="str">
        <f>Scott!A96</f>
        <v>3-Scott</v>
      </c>
      <c r="B198" s="170" t="str">
        <f>Scott!B96</f>
        <v>NI I/O Trace</v>
      </c>
      <c r="C198" s="170" t="str">
        <f>Scott!C96</f>
        <v>19.0.0f0</v>
      </c>
      <c r="D198" s="170">
        <f>Scott!D96</f>
        <v>32</v>
      </c>
      <c r="E198" s="170">
        <f>Scott!E96</f>
        <v>2019</v>
      </c>
      <c r="F198" s="170" t="str">
        <f>Scott!F96</f>
        <v>Development</v>
      </c>
      <c r="G198" s="170" t="str">
        <f>Scott!G96</f>
        <v>NI</v>
      </c>
      <c r="H198" s="170" t="str">
        <f>Scott!H96</f>
        <v>NI I/O Trace 19.0.0f0</v>
      </c>
      <c r="I198" s="170" t="str">
        <f>Scott!I96</f>
        <v>NI Developer Suite 2015 DS2 Install</v>
      </c>
    </row>
    <row r="199" spans="1:9" x14ac:dyDescent="0.25">
      <c r="A199" s="173" t="str">
        <f>Originals!A269</f>
        <v>4-Vinnie</v>
      </c>
      <c r="B199" s="173" t="str">
        <f>Originals!B269</f>
        <v>NI I/O Trace</v>
      </c>
      <c r="C199" s="173" t="str">
        <f>Originals!C269</f>
        <v>18.5.0f0</v>
      </c>
      <c r="D199" s="173" t="str">
        <f>Originals!D269</f>
        <v>32</v>
      </c>
      <c r="E199" s="173" t="str">
        <f>Originals!E269</f>
        <v>2018</v>
      </c>
      <c r="F199" s="173" t="str">
        <f>Originals!F269</f>
        <v>Development</v>
      </c>
      <c r="G199" s="173" t="str">
        <f>Originals!G269</f>
        <v>NI</v>
      </c>
      <c r="H199" s="173" t="str">
        <f>Originals!H269</f>
        <v>NI I/O Trace 18.5.0f0</v>
      </c>
      <c r="I199" s="173" t="str">
        <f>Originals!I269</f>
        <v>NI Developer Suite 2015 DS2 Install</v>
      </c>
    </row>
    <row r="200" spans="1:9" x14ac:dyDescent="0.25">
      <c r="A200" s="170" t="str">
        <f>Scott!A95</f>
        <v>3-Scott</v>
      </c>
      <c r="B200" s="170" t="str">
        <f>Scott!B95</f>
        <v>NI Keyed Array Library</v>
      </c>
      <c r="C200" s="170" t="str">
        <f>Scott!C95</f>
        <v>2.0.0.11</v>
      </c>
      <c r="D200" s="170" t="str">
        <f>Scott!D95</f>
        <v>32</v>
      </c>
      <c r="E200" s="170" t="str">
        <f>Scott!E95</f>
        <v>N/A</v>
      </c>
      <c r="F200" s="170" t="str">
        <f>Scott!F95</f>
        <v>Development</v>
      </c>
      <c r="G200" s="170" t="str">
        <f>Scott!G95</f>
        <v>NI</v>
      </c>
      <c r="H200" s="170" t="str">
        <f>Scott!H95</f>
        <v>NI Keyed Array Library 2.0.0.11</v>
      </c>
      <c r="I200" s="170" t="str">
        <f>Scott!I95</f>
        <v>VIPM Community</v>
      </c>
    </row>
    <row r="201" spans="1:9" x14ac:dyDescent="0.25">
      <c r="A201" s="173" t="str">
        <f>Originals!A270</f>
        <v>4-Vinnie</v>
      </c>
      <c r="B201" s="173" t="str">
        <f>Originals!B270</f>
        <v>NI Keyed Array Library</v>
      </c>
      <c r="C201" s="173" t="str">
        <f>Originals!C270</f>
        <v>2.0.0.11</v>
      </c>
      <c r="D201" s="173" t="str">
        <f>Originals!D270</f>
        <v>32</v>
      </c>
      <c r="E201" s="173" t="str">
        <f>Originals!E270</f>
        <v>N/A</v>
      </c>
      <c r="F201" s="173" t="str">
        <f>Originals!F270</f>
        <v>Development</v>
      </c>
      <c r="G201" s="173" t="str">
        <f>Originals!G270</f>
        <v>NI</v>
      </c>
      <c r="H201" s="173" t="str">
        <f>Originals!H270</f>
        <v>NI Keyed Array Library 2.0.0.11</v>
      </c>
      <c r="I201" s="173" t="str">
        <f>Originals!I270</f>
        <v>VIPM Community</v>
      </c>
    </row>
    <row r="202" spans="1:9" x14ac:dyDescent="0.25">
      <c r="A202" s="170" t="str">
        <f>Scott!A97</f>
        <v>3-Scott</v>
      </c>
      <c r="B202" s="170" t="str">
        <f>Scott!B97</f>
        <v>NI Modbus Library</v>
      </c>
      <c r="C202" s="170" t="str">
        <f>Scott!C97</f>
        <v>1.2.1.42</v>
      </c>
      <c r="D202" s="170" t="str">
        <f>Scott!D97</f>
        <v>32</v>
      </c>
      <c r="E202" s="170" t="str">
        <f>Scott!E97</f>
        <v>N/A</v>
      </c>
      <c r="F202" s="170" t="str">
        <f>Scott!F97</f>
        <v>Development</v>
      </c>
      <c r="G202" s="170" t="str">
        <f>Scott!G97</f>
        <v>NI</v>
      </c>
      <c r="H202" s="170" t="str">
        <f>Scott!H97</f>
        <v>NI Modbus Library 1.2.1.42</v>
      </c>
      <c r="I202" s="170" t="str">
        <f>Scott!I97</f>
        <v>VIPM Community</v>
      </c>
    </row>
    <row r="203" spans="1:9" x14ac:dyDescent="0.25">
      <c r="A203" s="173" t="str">
        <f>Originals!A271</f>
        <v>4-Vinnie</v>
      </c>
      <c r="B203" s="173" t="str">
        <f>Originals!B271</f>
        <v>NI Modbus Library</v>
      </c>
      <c r="C203" s="173" t="str">
        <f>Originals!C271</f>
        <v>1.2.1.42</v>
      </c>
      <c r="D203" s="173" t="str">
        <f>Originals!D271</f>
        <v>32</v>
      </c>
      <c r="E203" s="173" t="str">
        <f>Originals!E271</f>
        <v>N/A</v>
      </c>
      <c r="F203" s="173" t="str">
        <f>Originals!F271</f>
        <v>Development</v>
      </c>
      <c r="G203" s="173" t="str">
        <f>Originals!G271</f>
        <v>NI</v>
      </c>
      <c r="H203" s="173" t="str">
        <f>Originals!H271</f>
        <v>NI Modbus Library 1.2.1.42</v>
      </c>
      <c r="I203" s="173" t="str">
        <f>Originals!I271</f>
        <v>VIPM Community</v>
      </c>
    </row>
    <row r="204" spans="1:9" x14ac:dyDescent="0.25">
      <c r="A204" s="170" t="str">
        <f>Scott!A99</f>
        <v>3-Scott</v>
      </c>
      <c r="B204" s="170" t="str">
        <f>Scott!B99</f>
        <v>NI PXI Platform Services</v>
      </c>
      <c r="C204" s="170" t="str">
        <f>Scott!C99</f>
        <v>15.0.0f1</v>
      </c>
      <c r="D204" s="170">
        <f>Scott!D99</f>
        <v>32</v>
      </c>
      <c r="E204" s="170">
        <f>Scott!E99</f>
        <v>2015</v>
      </c>
      <c r="F204" s="170" t="str">
        <f>Scott!F99</f>
        <v>Runtime</v>
      </c>
      <c r="G204" s="170" t="str">
        <f>Scott!G99</f>
        <v>NI</v>
      </c>
      <c r="H204" s="170" t="str">
        <f>Scott!H99</f>
        <v>NI PXI Platform Services 15.0.0f1</v>
      </c>
      <c r="I204" s="170" t="str">
        <f>Scott!I99</f>
        <v>NI Developer Suite 2015 DS2 Install</v>
      </c>
    </row>
    <row r="205" spans="1:9" x14ac:dyDescent="0.25">
      <c r="A205" s="173" t="str">
        <f>Originals!A272</f>
        <v>4-Vinnie</v>
      </c>
      <c r="B205" s="173" t="str">
        <f>Originals!B272</f>
        <v>NI PXI Platform Services</v>
      </c>
      <c r="C205" s="173" t="str">
        <f>Originals!C272</f>
        <v>19.5.0f0</v>
      </c>
      <c r="D205" s="173" t="str">
        <f>Originals!D272</f>
        <v>32</v>
      </c>
      <c r="E205" s="173" t="str">
        <f>Originals!E272</f>
        <v>2019</v>
      </c>
      <c r="F205" s="173" t="str">
        <f>Originals!F272</f>
        <v>Runtime</v>
      </c>
      <c r="G205" s="173" t="str">
        <f>Originals!G272</f>
        <v>NI</v>
      </c>
      <c r="H205" s="173" t="str">
        <f>Originals!H272</f>
        <v>NI PXI Platform Services 19.5.0f0</v>
      </c>
      <c r="I205" s="173">
        <f>Originals!I272</f>
        <v>0</v>
      </c>
    </row>
    <row r="206" spans="1:9" x14ac:dyDescent="0.25">
      <c r="A206" s="170" t="str">
        <f>Scott!A100</f>
        <v>3-Scott</v>
      </c>
      <c r="B206" s="170" t="str">
        <f>Scott!B100</f>
        <v>NI PXI Platform Services Configuration</v>
      </c>
      <c r="C206" s="170" t="str">
        <f>Scott!C100</f>
        <v>18.0.0f0</v>
      </c>
      <c r="D206" s="170" t="str">
        <f>Scott!D100</f>
        <v>32</v>
      </c>
      <c r="E206" s="170" t="str">
        <f>Scott!E100</f>
        <v>2018</v>
      </c>
      <c r="F206" s="170" t="str">
        <f>Scott!F100</f>
        <v>Development</v>
      </c>
      <c r="G206" s="170" t="str">
        <f>Scott!G100</f>
        <v>NI</v>
      </c>
      <c r="H206" s="170" t="str">
        <f>Scott!H100</f>
        <v>NI PXI Platform Services Configuration 18.0.0f0</v>
      </c>
      <c r="I206" s="170" t="str">
        <f>Scott!I100</f>
        <v>CompactRIO 18.1.0</v>
      </c>
    </row>
    <row r="207" spans="1:9" x14ac:dyDescent="0.25">
      <c r="A207" s="173" t="str">
        <f>Originals!A273</f>
        <v>4-Vinnie</v>
      </c>
      <c r="B207" s="173" t="str">
        <f>Originals!B273</f>
        <v>NI PXI Platform Services Configuration</v>
      </c>
      <c r="C207" s="173" t="str">
        <f>Originals!C273</f>
        <v>18.5.0f2</v>
      </c>
      <c r="D207" s="173" t="str">
        <f>Originals!D273</f>
        <v>32</v>
      </c>
      <c r="E207" s="173" t="str">
        <f>Originals!E273</f>
        <v>2018</v>
      </c>
      <c r="F207" s="173" t="str">
        <f>Originals!F273</f>
        <v>Development</v>
      </c>
      <c r="G207" s="173" t="str">
        <f>Originals!G273</f>
        <v>NI</v>
      </c>
      <c r="H207" s="173" t="str">
        <f>Originals!H273</f>
        <v>NI PXI Platform Services Configuration 18.5.0f2</v>
      </c>
      <c r="I207" s="173">
        <f>Originals!I273</f>
        <v>0</v>
      </c>
    </row>
    <row r="208" spans="1:9" x14ac:dyDescent="0.25">
      <c r="A208" s="170" t="str">
        <f>Scott!A101</f>
        <v>3-Scott</v>
      </c>
      <c r="B208" s="170" t="str">
        <f>Scott!B101</f>
        <v>NI R Series Multifunction RIO</v>
      </c>
      <c r="C208" s="170" t="str">
        <f>Scott!C101</f>
        <v>15.0.0</v>
      </c>
      <c r="D208" s="170">
        <f>Scott!D101</f>
        <v>32</v>
      </c>
      <c r="E208" s="170">
        <f>Scott!E101</f>
        <v>2015</v>
      </c>
      <c r="F208" s="170" t="str">
        <f>Scott!F101</f>
        <v>Development</v>
      </c>
      <c r="G208" s="170" t="str">
        <f>Scott!G101</f>
        <v>NI</v>
      </c>
      <c r="H208" s="170" t="str">
        <f>Scott!H101</f>
        <v>NI R Series Multifunction RIO 15.0.0</v>
      </c>
      <c r="I208" s="170" t="str">
        <f>Scott!I101</f>
        <v>NI Developer Suite 2015 DS2 Install</v>
      </c>
    </row>
    <row r="209" spans="1:9" x14ac:dyDescent="0.25">
      <c r="A209" s="173" t="str">
        <f>Originals!A274</f>
        <v>4-Vinnie</v>
      </c>
      <c r="B209" s="173" t="str">
        <f>Originals!B274</f>
        <v>NI R Series Multifunction RIO</v>
      </c>
      <c r="C209" s="173" t="str">
        <f>Originals!C274</f>
        <v>15.5.0</v>
      </c>
      <c r="D209" s="173" t="str">
        <f>Originals!D274</f>
        <v>32</v>
      </c>
      <c r="E209" s="173">
        <f>Originals!E274</f>
        <v>2015</v>
      </c>
      <c r="F209" s="173" t="str">
        <f>Originals!F274</f>
        <v>Development</v>
      </c>
      <c r="G209" s="173" t="str">
        <f>Originals!G274</f>
        <v>NI</v>
      </c>
      <c r="H209" s="173" t="str">
        <f>Originals!H274</f>
        <v>NI R Series Multifunction RIO 15.5.0</v>
      </c>
      <c r="I209" s="173">
        <f>Originals!I274</f>
        <v>0</v>
      </c>
    </row>
    <row r="210" spans="1:9" x14ac:dyDescent="0.25">
      <c r="A210" s="173" t="str">
        <f>Originals!A275</f>
        <v>4-Vinnie</v>
      </c>
      <c r="B210" s="173" t="str">
        <f>Originals!B275</f>
        <v>NI Scan Engine</v>
      </c>
      <c r="C210" s="173" t="str">
        <f>Originals!C275</f>
        <v>4.4</v>
      </c>
      <c r="D210" s="173" t="str">
        <f>Originals!D275</f>
        <v>32</v>
      </c>
      <c r="E210" s="173" t="str">
        <f>Originals!E275</f>
        <v>N/A</v>
      </c>
      <c r="F210" s="173" t="str">
        <f>Originals!F275</f>
        <v>C-RIO</v>
      </c>
      <c r="G210" s="173" t="str">
        <f>Originals!G275</f>
        <v>NI</v>
      </c>
      <c r="H210" s="173" t="str">
        <f>Originals!H275</f>
        <v>NI Scan Engine 4.4</v>
      </c>
      <c r="I210" s="173">
        <f>Originals!I275</f>
        <v>0</v>
      </c>
    </row>
    <row r="211" spans="1:9" x14ac:dyDescent="0.25">
      <c r="A211" s="170" t="str">
        <f>Scott!A102</f>
        <v>3-Scott</v>
      </c>
      <c r="B211" s="170" t="str">
        <f>Scott!B102</f>
        <v>NI Script Editor</v>
      </c>
      <c r="C211" s="170" t="str">
        <f>Scott!C102</f>
        <v>14.0</v>
      </c>
      <c r="D211" s="170">
        <f>Scott!D102</f>
        <v>32</v>
      </c>
      <c r="E211" s="170">
        <f>Scott!E102</f>
        <v>2014</v>
      </c>
      <c r="F211" s="170" t="str">
        <f>Scott!F102</f>
        <v>Development</v>
      </c>
      <c r="G211" s="170" t="str">
        <f>Scott!G102</f>
        <v>NI</v>
      </c>
      <c r="H211" s="170" t="str">
        <f>Scott!H102</f>
        <v>NI Script Editor 14.0</v>
      </c>
      <c r="I211" s="170" t="str">
        <f>Scott!I102</f>
        <v>NI Developer Suite 2015 DS2 Install</v>
      </c>
    </row>
    <row r="212" spans="1:9" x14ac:dyDescent="0.25">
      <c r="A212" s="173" t="str">
        <f>Originals!A276</f>
        <v>4-Vinnie</v>
      </c>
      <c r="B212" s="173" t="str">
        <f>Originals!B276</f>
        <v>NI Serial 9870 and 9871 Scan Enginer Support</v>
      </c>
      <c r="C212" s="173">
        <f>Originals!C276</f>
        <v>0</v>
      </c>
      <c r="D212" s="173" t="str">
        <f>Originals!D276</f>
        <v>32</v>
      </c>
      <c r="E212" s="173" t="str">
        <f>Originals!E276</f>
        <v>N/A</v>
      </c>
      <c r="F212" s="173" t="str">
        <f>Originals!F276</f>
        <v>C-RIO</v>
      </c>
      <c r="G212" s="173" t="str">
        <f>Originals!G276</f>
        <v>NI</v>
      </c>
      <c r="H212" s="173" t="str">
        <f>Originals!H276</f>
        <v xml:space="preserve">NI Serial 9870 and 9871 Scan Enginer Support </v>
      </c>
      <c r="I212" s="173">
        <f>Originals!I276</f>
        <v>0</v>
      </c>
    </row>
    <row r="213" spans="1:9" x14ac:dyDescent="0.25">
      <c r="A213" s="170" t="str">
        <f>Scott!A103</f>
        <v>3-Scott</v>
      </c>
      <c r="B213" s="170" t="str">
        <f>Scott!B103</f>
        <v>NI SignalExpress</v>
      </c>
      <c r="C213" s="170" t="str">
        <f>Scott!C103</f>
        <v>15.0</v>
      </c>
      <c r="D213" s="170">
        <f>Scott!D103</f>
        <v>32</v>
      </c>
      <c r="E213" s="170">
        <f>Scott!E103</f>
        <v>2015</v>
      </c>
      <c r="F213" s="170" t="str">
        <f>Scott!F103</f>
        <v>Development</v>
      </c>
      <c r="G213" s="170" t="str">
        <f>Scott!G103</f>
        <v>NI</v>
      </c>
      <c r="H213" s="170" t="str">
        <f>Scott!H103</f>
        <v>NI SignalExpress 15.0</v>
      </c>
      <c r="I213" s="170" t="str">
        <f>Scott!I103</f>
        <v>NI Developer Suite 2015 DS2 Install</v>
      </c>
    </row>
    <row r="214" spans="1:9" x14ac:dyDescent="0.25">
      <c r="A214" s="170" t="str">
        <f>Scott!A98</f>
        <v>3-Scott</v>
      </c>
      <c r="B214" s="170" t="str">
        <f>Scott!B98</f>
        <v>NI String Tools Library</v>
      </c>
      <c r="C214" s="170" t="str">
        <f>Scott!C98</f>
        <v>2.0.0.5</v>
      </c>
      <c r="D214" s="170" t="str">
        <f>Scott!D98</f>
        <v>32</v>
      </c>
      <c r="E214" s="170" t="str">
        <f>Scott!E98</f>
        <v>N/A</v>
      </c>
      <c r="F214" s="170" t="str">
        <f>Scott!F98</f>
        <v>Development</v>
      </c>
      <c r="G214" s="170" t="str">
        <f>Scott!G98</f>
        <v>NI</v>
      </c>
      <c r="H214" s="170" t="str">
        <f>Scott!H98</f>
        <v>NI String Tools Library 2.0.0.5</v>
      </c>
      <c r="I214" s="170" t="str">
        <f>Scott!I98</f>
        <v>VIPM Community</v>
      </c>
    </row>
    <row r="215" spans="1:9" x14ac:dyDescent="0.25">
      <c r="A215" s="173" t="str">
        <f>Originals!A277</f>
        <v>4-Vinnie</v>
      </c>
      <c r="B215" s="173" t="str">
        <f>Originals!B277</f>
        <v>NI String Tools Library</v>
      </c>
      <c r="C215" s="173" t="str">
        <f>Originals!C277</f>
        <v>2.0.0.5</v>
      </c>
      <c r="D215" s="173" t="str">
        <f>Originals!D277</f>
        <v>32</v>
      </c>
      <c r="E215" s="173" t="str">
        <f>Originals!E277</f>
        <v>N/A</v>
      </c>
      <c r="F215" s="173" t="str">
        <f>Originals!F277</f>
        <v>Development</v>
      </c>
      <c r="G215" s="173" t="str">
        <f>Originals!G277</f>
        <v>NI</v>
      </c>
      <c r="H215" s="173" t="str">
        <f>Originals!H277</f>
        <v>NI String Tools Library 2.0.0.5</v>
      </c>
      <c r="I215" s="173" t="str">
        <f>Originals!I277</f>
        <v>VIPM Community</v>
      </c>
    </row>
    <row r="216" spans="1:9" x14ac:dyDescent="0.25">
      <c r="A216" s="170" t="str">
        <f>Scott!A104</f>
        <v>3-Scott</v>
      </c>
      <c r="B216" s="170" t="str">
        <f>Scott!B104</f>
        <v>NI System Configuration</v>
      </c>
      <c r="C216" s="170" t="str">
        <f>Scott!C104</f>
        <v>19.0.0f0</v>
      </c>
      <c r="D216" s="170">
        <f>Scott!D104</f>
        <v>32</v>
      </c>
      <c r="E216" s="170">
        <f>Scott!E104</f>
        <v>2019</v>
      </c>
      <c r="F216" s="170" t="str">
        <f>Scott!F104</f>
        <v>Development</v>
      </c>
      <c r="G216" s="170" t="str">
        <f>Scott!G104</f>
        <v>NI</v>
      </c>
      <c r="H216" s="170" t="str">
        <f>Scott!H104</f>
        <v>NI System Configuration 19.0.0f0</v>
      </c>
      <c r="I216" s="170" t="str">
        <f>Scott!I104</f>
        <v>LabVIEW 2019</v>
      </c>
    </row>
    <row r="217" spans="1:9" x14ac:dyDescent="0.25">
      <c r="A217" s="173" t="str">
        <f>Originals!A278</f>
        <v>4-Vinnie</v>
      </c>
      <c r="B217" s="173" t="str">
        <f>Originals!B278</f>
        <v>NI System Configuration</v>
      </c>
      <c r="C217" s="173" t="str">
        <f>Originals!C278</f>
        <v>19.5.0f0</v>
      </c>
      <c r="D217" s="173" t="str">
        <f>Originals!D278</f>
        <v>32</v>
      </c>
      <c r="E217" s="173" t="str">
        <f>Originals!E278</f>
        <v>2019</v>
      </c>
      <c r="F217" s="173" t="str">
        <f>Originals!F278</f>
        <v>Development</v>
      </c>
      <c r="G217" s="173" t="str">
        <f>Originals!G278</f>
        <v>NI</v>
      </c>
      <c r="H217" s="173" t="str">
        <f>Originals!H278</f>
        <v>NI System Configuration 19.5.0f0</v>
      </c>
      <c r="I217" s="173">
        <f>Originals!I278</f>
        <v>0</v>
      </c>
    </row>
    <row r="218" spans="1:9" x14ac:dyDescent="0.25">
      <c r="A218" s="173" t="str">
        <f>Originals!A279</f>
        <v>4-Vinnie</v>
      </c>
      <c r="B218" s="173" t="str">
        <f>Originals!B279</f>
        <v>NI System Configuration Remote Support</v>
      </c>
      <c r="C218" s="173">
        <f>Originals!C279</f>
        <v>0</v>
      </c>
      <c r="D218" s="173" t="str">
        <f>Originals!D279</f>
        <v>32</v>
      </c>
      <c r="E218" s="173" t="str">
        <f>Originals!E279</f>
        <v>N/A</v>
      </c>
      <c r="F218" s="173" t="str">
        <f>Originals!F279</f>
        <v>C-RIO</v>
      </c>
      <c r="G218" s="173" t="str">
        <f>Originals!G279</f>
        <v>NI</v>
      </c>
      <c r="H218" s="173" t="str">
        <f>Originals!H279</f>
        <v xml:space="preserve">NI System Configuration Remote Support </v>
      </c>
      <c r="I218" s="173">
        <f>Originals!I279</f>
        <v>0</v>
      </c>
    </row>
    <row r="219" spans="1:9" x14ac:dyDescent="0.25">
      <c r="A219" s="173" t="str">
        <f>Originals!A280</f>
        <v>4-Vinnie</v>
      </c>
      <c r="B219" s="173" t="str">
        <f>Originals!B280</f>
        <v>NI Systems Configuration</v>
      </c>
      <c r="C219" s="173" t="str">
        <f>Originals!C280</f>
        <v>15.3.0</v>
      </c>
      <c r="D219" s="173" t="str">
        <f>Originals!D280</f>
        <v>32</v>
      </c>
      <c r="E219" s="173" t="str">
        <f>Originals!E280</f>
        <v>2015</v>
      </c>
      <c r="F219" s="173" t="str">
        <f>Originals!F280</f>
        <v>C-RIO</v>
      </c>
      <c r="G219" s="173" t="str">
        <f>Originals!G280</f>
        <v>NI</v>
      </c>
      <c r="H219" s="173" t="str">
        <f>Originals!H280</f>
        <v>NI Systems Configuration 15.3.0</v>
      </c>
      <c r="I219" s="173">
        <f>Originals!I280</f>
        <v>0</v>
      </c>
    </row>
    <row r="220" spans="1:9" x14ac:dyDescent="0.25">
      <c r="A220" s="173" t="str">
        <f>Originals!A281</f>
        <v>4-Vinnie</v>
      </c>
      <c r="B220" s="173" t="str">
        <f>Originals!B281</f>
        <v>NI Web-based Configuration and Monitoring</v>
      </c>
      <c r="C220" s="173">
        <f>Originals!C281</f>
        <v>0</v>
      </c>
      <c r="D220" s="173" t="str">
        <f>Originals!D281</f>
        <v>32</v>
      </c>
      <c r="E220" s="173" t="str">
        <f>Originals!E281</f>
        <v>N/A</v>
      </c>
      <c r="F220" s="173" t="str">
        <f>Originals!F281</f>
        <v>C-RIO</v>
      </c>
      <c r="G220" s="173" t="str">
        <f>Originals!G281</f>
        <v>NI</v>
      </c>
      <c r="H220" s="173" t="str">
        <f>Originals!H281</f>
        <v xml:space="preserve">NI Web-based Configuration and Monitoring </v>
      </c>
      <c r="I220" s="173">
        <f>Originals!I281</f>
        <v>0</v>
      </c>
    </row>
    <row r="221" spans="1:9" x14ac:dyDescent="0.25">
      <c r="A221" s="173" t="str">
        <f>Originals!A282</f>
        <v>4-Vinnie</v>
      </c>
      <c r="B221" s="173" t="str">
        <f>Originals!B282</f>
        <v>NI Wireless Certificate Web Services</v>
      </c>
      <c r="C221" s="173" t="str">
        <f>Originals!C282</f>
        <v>15.0.0</v>
      </c>
      <c r="D221" s="173" t="str">
        <f>Originals!D282</f>
        <v>32</v>
      </c>
      <c r="E221" s="173" t="str">
        <f>Originals!E282</f>
        <v>2015</v>
      </c>
      <c r="F221" s="173" t="str">
        <f>Originals!F282</f>
        <v>C-RIO</v>
      </c>
      <c r="G221" s="173" t="str">
        <f>Originals!G282</f>
        <v>NI</v>
      </c>
      <c r="H221" s="173" t="str">
        <f>Originals!H282</f>
        <v>NI Wireless Certificate Web Services 15.0.0</v>
      </c>
      <c r="I221" s="173">
        <f>Originals!I282</f>
        <v>0</v>
      </c>
    </row>
    <row r="222" spans="1:9" x14ac:dyDescent="0.25">
      <c r="A222" s="170" t="str">
        <f>Scott!A105</f>
        <v>3-Scott</v>
      </c>
      <c r="B222" s="170" t="str">
        <f>Scott!B105</f>
        <v>NI-488.2</v>
      </c>
      <c r="C222" s="170" t="str">
        <f>Scott!C105</f>
        <v>19.0.0</v>
      </c>
      <c r="D222" s="170">
        <f>Scott!D105</f>
        <v>32</v>
      </c>
      <c r="E222" s="170">
        <f>Scott!E105</f>
        <v>2019</v>
      </c>
      <c r="F222" s="170" t="str">
        <f>Scott!F105</f>
        <v>Runtime</v>
      </c>
      <c r="G222" s="170" t="str">
        <f>Scott!G105</f>
        <v>NI</v>
      </c>
      <c r="H222" s="170" t="str">
        <f>Scott!H105</f>
        <v>NI-488.2 19.0.0</v>
      </c>
      <c r="I222" s="170" t="str">
        <f>Scott!I105</f>
        <v>LabVIEW 2019</v>
      </c>
    </row>
    <row r="223" spans="1:9" x14ac:dyDescent="0.25">
      <c r="A223" s="170" t="str">
        <f>Scott!A106</f>
        <v>3-Scott</v>
      </c>
      <c r="B223" s="170" t="str">
        <f>Scott!B106</f>
        <v>NI-488.2</v>
      </c>
      <c r="C223" s="170" t="str">
        <f>Scott!C106</f>
        <v>15.0.0</v>
      </c>
      <c r="D223" s="170">
        <f>Scott!D106</f>
        <v>32</v>
      </c>
      <c r="E223" s="170">
        <f>Scott!E106</f>
        <v>2015</v>
      </c>
      <c r="F223" s="170" t="str">
        <f>Scott!F106</f>
        <v>Development</v>
      </c>
      <c r="G223" s="170" t="str">
        <f>Scott!G106</f>
        <v>NI</v>
      </c>
      <c r="H223" s="170" t="str">
        <f>Scott!H106</f>
        <v>NI-488.2 15.0.0</v>
      </c>
      <c r="I223" s="170" t="str">
        <f>Scott!I106</f>
        <v>NI Developer Suite 2015 DS2 Install</v>
      </c>
    </row>
    <row r="224" spans="1:9" x14ac:dyDescent="0.25">
      <c r="A224" s="173" t="str">
        <f>Originals!A283</f>
        <v>4-Vinnie</v>
      </c>
      <c r="B224" s="173" t="str">
        <f>Originals!B283</f>
        <v>NI-488.2</v>
      </c>
      <c r="C224" s="173" t="str">
        <f>Originals!C283</f>
        <v>15.5.0</v>
      </c>
      <c r="D224" s="173" t="str">
        <f>Originals!D283</f>
        <v>32</v>
      </c>
      <c r="E224" s="173" t="str">
        <f>Originals!E283</f>
        <v>2019</v>
      </c>
      <c r="F224" s="173" t="str">
        <f>Originals!F283</f>
        <v>Development</v>
      </c>
      <c r="G224" s="173" t="str">
        <f>Originals!G283</f>
        <v>NI</v>
      </c>
      <c r="H224" s="173" t="str">
        <f>Originals!H283</f>
        <v>NI-488.2 15.5.0</v>
      </c>
      <c r="I224" s="173">
        <f>Originals!I283</f>
        <v>0</v>
      </c>
    </row>
    <row r="225" spans="1:9" x14ac:dyDescent="0.25">
      <c r="A225" s="173" t="str">
        <f>Originals!A284</f>
        <v>4-Vinnie</v>
      </c>
      <c r="B225" s="173" t="str">
        <f>Originals!B284</f>
        <v>NI-488.2</v>
      </c>
      <c r="C225" s="173" t="str">
        <f>Originals!C284</f>
        <v>19.5.0</v>
      </c>
      <c r="D225" s="173" t="str">
        <f>Originals!D284</f>
        <v>32</v>
      </c>
      <c r="E225" s="173" t="str">
        <f>Originals!E284</f>
        <v>2019</v>
      </c>
      <c r="F225" s="173" t="str">
        <f>Originals!F284</f>
        <v>Runtime</v>
      </c>
      <c r="G225" s="173" t="str">
        <f>Originals!G284</f>
        <v>NI</v>
      </c>
      <c r="H225" s="173" t="str">
        <f>Originals!H284</f>
        <v>NI-488.2 19.5.0</v>
      </c>
      <c r="I225" s="173">
        <f>Originals!I284</f>
        <v>0</v>
      </c>
    </row>
    <row r="226" spans="1:9" x14ac:dyDescent="0.25">
      <c r="A226" s="170" t="str">
        <f>Scott!A107</f>
        <v>3-Scott</v>
      </c>
      <c r="B226" s="170" t="str">
        <f>Scott!B107</f>
        <v>NI-CAN</v>
      </c>
      <c r="C226" s="170" t="str">
        <f>Scott!C107</f>
        <v>15.0.0f0</v>
      </c>
      <c r="D226" s="170" t="str">
        <f>Scott!D107</f>
        <v>32</v>
      </c>
      <c r="E226" s="170">
        <f>Scott!E107</f>
        <v>2015</v>
      </c>
      <c r="F226" s="170" t="str">
        <f>Scott!F107</f>
        <v>Development</v>
      </c>
      <c r="G226" s="170" t="str">
        <f>Scott!G107</f>
        <v>NI</v>
      </c>
      <c r="H226" s="170" t="str">
        <f>Scott!H107</f>
        <v>NI-CAN 15.0.0f0</v>
      </c>
      <c r="I226" s="170" t="str">
        <f>Scott!I107</f>
        <v>NI CAN 15.0</v>
      </c>
    </row>
    <row r="227" spans="1:9" x14ac:dyDescent="0.25">
      <c r="A227" s="170" t="str">
        <f>Scott!A205</f>
        <v>3-Scott</v>
      </c>
      <c r="B227" s="170" t="str">
        <f>Scott!B205</f>
        <v>NI-CAN</v>
      </c>
      <c r="C227" s="170" t="str">
        <f>Scott!C205</f>
        <v>15.0.0f0</v>
      </c>
      <c r="D227" s="170">
        <f>Scott!D205</f>
        <v>32</v>
      </c>
      <c r="E227" s="170">
        <f>Scott!E205</f>
        <v>2015</v>
      </c>
      <c r="F227" s="170" t="str">
        <f>Scott!F205</f>
        <v>Development</v>
      </c>
      <c r="G227" s="170" t="str">
        <f>Scott!G205</f>
        <v>NI</v>
      </c>
      <c r="H227" s="170" t="str">
        <f>Scott!H205</f>
        <v>NI-CAN 15.0.0f0</v>
      </c>
      <c r="I227" s="170" t="str">
        <f>Scott!I205</f>
        <v>NI-CAN 15.0</v>
      </c>
    </row>
    <row r="228" spans="1:9" x14ac:dyDescent="0.25">
      <c r="A228" s="173" t="str">
        <f>Originals!A285</f>
        <v>4-Vinnie</v>
      </c>
      <c r="B228" s="173" t="str">
        <f>Originals!B285</f>
        <v>NI-CAN</v>
      </c>
      <c r="C228" s="173" t="str">
        <f>Originals!C285</f>
        <v>15.0.0f0</v>
      </c>
      <c r="D228" s="173" t="str">
        <f>Originals!D285</f>
        <v>32</v>
      </c>
      <c r="E228" s="173">
        <f>Originals!E285</f>
        <v>2015</v>
      </c>
      <c r="F228" s="173" t="str">
        <f>Originals!F285</f>
        <v>Development</v>
      </c>
      <c r="G228" s="173" t="str">
        <f>Originals!G285</f>
        <v>NI</v>
      </c>
      <c r="H228" s="173" t="str">
        <f>Originals!H285</f>
        <v>NI-CAN 15.0.0f0</v>
      </c>
      <c r="I228" s="173">
        <f>Originals!I285</f>
        <v>0</v>
      </c>
    </row>
    <row r="229" spans="1:9" x14ac:dyDescent="0.25">
      <c r="A229" s="170" t="str">
        <f>Scott!A108</f>
        <v>3-Scott</v>
      </c>
      <c r="B229" s="170" t="str">
        <f>Scott!B108</f>
        <v>NI-DAQmx ADE Support</v>
      </c>
      <c r="C229" s="170" t="str">
        <f>Scott!C108</f>
        <v>18.1.0</v>
      </c>
      <c r="D229" s="170" t="str">
        <f>Scott!D108</f>
        <v>32</v>
      </c>
      <c r="E229" s="170" t="str">
        <f>Scott!E108</f>
        <v>2018</v>
      </c>
      <c r="F229" s="170" t="str">
        <f>Scott!F108</f>
        <v>Development</v>
      </c>
      <c r="G229" s="170" t="str">
        <f>Scott!G108</f>
        <v>NI</v>
      </c>
      <c r="H229" s="170" t="str">
        <f>Scott!H108</f>
        <v>NI-DAQmx ADE Support 18.1.0</v>
      </c>
      <c r="I229" s="170" t="str">
        <f>Scott!I108</f>
        <v>CompactRIO 18.1.0</v>
      </c>
    </row>
    <row r="230" spans="1:9" x14ac:dyDescent="0.25">
      <c r="A230" s="173" t="str">
        <f>Originals!A286</f>
        <v>4-Vinnie</v>
      </c>
      <c r="B230" s="173" t="str">
        <f>Originals!B286</f>
        <v>NI-DAQmx ADE Support</v>
      </c>
      <c r="C230" s="173" t="str">
        <f>Originals!C286</f>
        <v>18.5.0</v>
      </c>
      <c r="D230" s="173" t="str">
        <f>Originals!D286</f>
        <v>32</v>
      </c>
      <c r="E230" s="173" t="str">
        <f>Originals!E286</f>
        <v>2018</v>
      </c>
      <c r="F230" s="173" t="str">
        <f>Originals!F286</f>
        <v>Development</v>
      </c>
      <c r="G230" s="173" t="str">
        <f>Originals!G286</f>
        <v>NI</v>
      </c>
      <c r="H230" s="173" t="str">
        <f>Originals!H286</f>
        <v>NI-DAQmx ADE Support 18.5.0</v>
      </c>
      <c r="I230" s="173">
        <f>Originals!I286</f>
        <v>0</v>
      </c>
    </row>
    <row r="231" spans="1:9" x14ac:dyDescent="0.25">
      <c r="A231" s="170" t="str">
        <f>Scott!A109</f>
        <v>3-Scott</v>
      </c>
      <c r="B231" s="170" t="str">
        <f>Scott!B109</f>
        <v>NI-DAQmx Device Driver</v>
      </c>
      <c r="C231" s="170" t="str">
        <f>Scott!C109</f>
        <v>19.0.0.f1</v>
      </c>
      <c r="D231" s="170">
        <f>Scott!D109</f>
        <v>32</v>
      </c>
      <c r="E231" s="170">
        <f>Scott!E109</f>
        <v>2019</v>
      </c>
      <c r="F231" s="170" t="str">
        <f>Scott!F109</f>
        <v>Development</v>
      </c>
      <c r="G231" s="170" t="str">
        <f>Scott!G109</f>
        <v>NI</v>
      </c>
      <c r="H231" s="170" t="str">
        <f>Scott!H109</f>
        <v>NI-DAQmx Device Driver 19.0.0.f1</v>
      </c>
      <c r="I231" s="170" t="str">
        <f>Scott!I109</f>
        <v>LabVIEW 2019</v>
      </c>
    </row>
    <row r="232" spans="1:9" x14ac:dyDescent="0.25">
      <c r="A232" s="173" t="str">
        <f>Originals!A287</f>
        <v>4-Vinnie</v>
      </c>
      <c r="B232" s="173" t="str">
        <f>Originals!B287</f>
        <v>NI-DAQmx Device Driver</v>
      </c>
      <c r="C232" s="173" t="str">
        <f>Originals!C287</f>
        <v>19.5.0f0</v>
      </c>
      <c r="D232" s="173" t="str">
        <f>Originals!D287</f>
        <v>32</v>
      </c>
      <c r="E232" s="173" t="str">
        <f>Originals!E287</f>
        <v>2019</v>
      </c>
      <c r="F232" s="173" t="str">
        <f>Originals!F287</f>
        <v>Development</v>
      </c>
      <c r="G232" s="173" t="str">
        <f>Originals!G287</f>
        <v>NI</v>
      </c>
      <c r="H232" s="173" t="str">
        <f>Originals!H287</f>
        <v>NI-DAQmx Device Driver 19.5.0f0</v>
      </c>
      <c r="I232" s="173">
        <f>Originals!I287</f>
        <v>0</v>
      </c>
    </row>
    <row r="233" spans="1:9" x14ac:dyDescent="0.25">
      <c r="A233" s="170" t="str">
        <f>Scott!A110</f>
        <v>3-Scott</v>
      </c>
      <c r="B233" s="170" t="str">
        <f>Scott!B110</f>
        <v>NI-DAQmx MAX Configuration</v>
      </c>
      <c r="C233" s="170" t="str">
        <f>Scott!C110</f>
        <v>18.1.0</v>
      </c>
      <c r="D233" s="170" t="str">
        <f>Scott!D110</f>
        <v>32</v>
      </c>
      <c r="E233" s="170" t="str">
        <f>Scott!E110</f>
        <v>2018</v>
      </c>
      <c r="F233" s="170" t="str">
        <f>Scott!F110</f>
        <v>Development</v>
      </c>
      <c r="G233" s="170" t="str">
        <f>Scott!G110</f>
        <v>NI</v>
      </c>
      <c r="H233" s="170" t="str">
        <f>Scott!H110</f>
        <v>NI-DAQmx MAX Configuration 18.1.0</v>
      </c>
      <c r="I233" s="170" t="str">
        <f>Scott!I110</f>
        <v>CompactRIO 18.1.0</v>
      </c>
    </row>
    <row r="234" spans="1:9" x14ac:dyDescent="0.25">
      <c r="A234" s="173" t="str">
        <f>Originals!A288</f>
        <v>4-Vinnie</v>
      </c>
      <c r="B234" s="173" t="str">
        <f>Originals!B288</f>
        <v>NI-DAQmx MAX Configuration</v>
      </c>
      <c r="C234" s="173" t="str">
        <f>Originals!C288</f>
        <v>18.5.0</v>
      </c>
      <c r="D234" s="173" t="str">
        <f>Originals!D288</f>
        <v>32</v>
      </c>
      <c r="E234" s="173" t="str">
        <f>Originals!E288</f>
        <v>2018</v>
      </c>
      <c r="F234" s="173" t="str">
        <f>Originals!F288</f>
        <v>Development</v>
      </c>
      <c r="G234" s="173" t="str">
        <f>Originals!G288</f>
        <v>NI</v>
      </c>
      <c r="H234" s="173" t="str">
        <f>Originals!H288</f>
        <v>NI-DAQmx MAX Configuration 18.5.0</v>
      </c>
      <c r="I234" s="173">
        <f>Originals!I288</f>
        <v>0</v>
      </c>
    </row>
    <row r="235" spans="1:9" x14ac:dyDescent="0.25">
      <c r="A235" s="170" t="str">
        <f>Scott!A111</f>
        <v>3-Scott</v>
      </c>
      <c r="B235" s="170" t="str">
        <f>Scott!B111</f>
        <v>NI-DCPower</v>
      </c>
      <c r="C235" s="170">
        <f>Scott!C111</f>
        <v>0</v>
      </c>
      <c r="D235" s="170">
        <f>Scott!D111</f>
        <v>32</v>
      </c>
      <c r="E235" s="170">
        <f>Scott!E111</f>
        <v>2015</v>
      </c>
      <c r="F235" s="170" t="str">
        <f>Scott!F111</f>
        <v>Development</v>
      </c>
      <c r="G235" s="170" t="str">
        <f>Scott!G111</f>
        <v>NI</v>
      </c>
      <c r="H235" s="170" t="str">
        <f>Scott!H111</f>
        <v xml:space="preserve">NI-DCPower </v>
      </c>
      <c r="I235" s="170" t="str">
        <f>Scott!I111</f>
        <v>NI Developer Suite 2015 DS2 Install</v>
      </c>
    </row>
    <row r="236" spans="1:9" x14ac:dyDescent="0.25">
      <c r="A236" s="170" t="str">
        <f>Scott!A112</f>
        <v>3-Scott</v>
      </c>
      <c r="B236" s="170" t="str">
        <f>Scott!B112</f>
        <v>NI-DCPower</v>
      </c>
      <c r="C236" s="170" t="str">
        <f>Scott!C112</f>
        <v>15.0</v>
      </c>
      <c r="D236" s="170">
        <f>Scott!D112</f>
        <v>32</v>
      </c>
      <c r="E236" s="170">
        <f>Scott!E112</f>
        <v>2015</v>
      </c>
      <c r="F236" s="170" t="str">
        <f>Scott!F112</f>
        <v>Runtime</v>
      </c>
      <c r="G236" s="170" t="str">
        <f>Scott!G112</f>
        <v>NI</v>
      </c>
      <c r="H236" s="170" t="str">
        <f>Scott!H112</f>
        <v>NI-DCPower 15.0</v>
      </c>
      <c r="I236" s="170" t="str">
        <f>Scott!I112</f>
        <v>NI Developer Suite 2015 DS2 Install</v>
      </c>
    </row>
    <row r="237" spans="1:9" x14ac:dyDescent="0.25">
      <c r="A237" s="170" t="str">
        <f>Scott!A113</f>
        <v>3-Scott</v>
      </c>
      <c r="B237" s="170" t="str">
        <f>Scott!B113</f>
        <v>NI-DCPower Configuration Support</v>
      </c>
      <c r="C237" s="170" t="str">
        <f>Scott!C113</f>
        <v>15.0</v>
      </c>
      <c r="D237" s="170">
        <f>Scott!D113</f>
        <v>32</v>
      </c>
      <c r="E237" s="170">
        <f>Scott!E113</f>
        <v>2015</v>
      </c>
      <c r="F237" s="170" t="str">
        <f>Scott!F113</f>
        <v>Development</v>
      </c>
      <c r="G237" s="170" t="str">
        <f>Scott!G113</f>
        <v>NI</v>
      </c>
      <c r="H237" s="170" t="str">
        <f>Scott!H113</f>
        <v>NI-DCPower Configuration Support 15.0</v>
      </c>
      <c r="I237" s="170" t="str">
        <f>Scott!I113</f>
        <v>NI Developer Suite 2015 DS2 Install</v>
      </c>
    </row>
    <row r="238" spans="1:9" x14ac:dyDescent="0.25">
      <c r="A238" s="170" t="str">
        <f>Scott!A114</f>
        <v>3-Scott</v>
      </c>
      <c r="B238" s="170" t="str">
        <f>Scott!B114</f>
        <v>NI-DCPower Development Support</v>
      </c>
      <c r="C238" s="170" t="str">
        <f>Scott!C114</f>
        <v>15.0</v>
      </c>
      <c r="D238" s="170">
        <f>Scott!D114</f>
        <v>32</v>
      </c>
      <c r="E238" s="170">
        <f>Scott!E114</f>
        <v>2015</v>
      </c>
      <c r="F238" s="170" t="str">
        <f>Scott!F114</f>
        <v>Development</v>
      </c>
      <c r="G238" s="170" t="str">
        <f>Scott!G114</f>
        <v>NI</v>
      </c>
      <c r="H238" s="170" t="str">
        <f>Scott!H114</f>
        <v>NI-DCPower Development Support 15.0</v>
      </c>
      <c r="I238" s="170" t="str">
        <f>Scott!I114</f>
        <v>NI Developer Suite 2015 DS2 Install</v>
      </c>
    </row>
    <row r="239" spans="1:9" x14ac:dyDescent="0.25">
      <c r="A239" s="170" t="str">
        <f>Scott!A115</f>
        <v>3-Scott</v>
      </c>
      <c r="B239" s="170" t="str">
        <f>Scott!B115</f>
        <v>NI-DCPower Soft Front Panel</v>
      </c>
      <c r="C239" s="170" t="str">
        <f>Scott!C115</f>
        <v>15.0</v>
      </c>
      <c r="D239" s="170">
        <f>Scott!D115</f>
        <v>32</v>
      </c>
      <c r="E239" s="170">
        <f>Scott!E115</f>
        <v>2015</v>
      </c>
      <c r="F239" s="170" t="str">
        <f>Scott!F115</f>
        <v>Development</v>
      </c>
      <c r="G239" s="170" t="str">
        <f>Scott!G115</f>
        <v>NI</v>
      </c>
      <c r="H239" s="170" t="str">
        <f>Scott!H115</f>
        <v>NI-DCPower Soft Front Panel 15.0</v>
      </c>
      <c r="I239" s="170" t="str">
        <f>Scott!I115</f>
        <v>NI Developer Suite 2015 DS2 Install</v>
      </c>
    </row>
    <row r="240" spans="1:9" x14ac:dyDescent="0.25">
      <c r="A240" s="170" t="str">
        <f>Scott!A116</f>
        <v>3-Scott</v>
      </c>
      <c r="B240" s="170" t="str">
        <f>Scott!B116</f>
        <v>NI-DMM</v>
      </c>
      <c r="C240" s="170">
        <f>Scott!C116</f>
        <v>0</v>
      </c>
      <c r="D240" s="170">
        <f>Scott!D116</f>
        <v>32</v>
      </c>
      <c r="E240" s="170">
        <f>Scott!E116</f>
        <v>2015</v>
      </c>
      <c r="F240" s="170" t="str">
        <f>Scott!F116</f>
        <v>Development</v>
      </c>
      <c r="G240" s="170" t="str">
        <f>Scott!G116</f>
        <v>NI</v>
      </c>
      <c r="H240" s="170" t="str">
        <f>Scott!H116</f>
        <v xml:space="preserve">NI-DMM </v>
      </c>
      <c r="I240" s="170" t="str">
        <f>Scott!I116</f>
        <v>NI Developer Suite 2015 DS2 Install</v>
      </c>
    </row>
    <row r="241" spans="1:9" x14ac:dyDescent="0.25">
      <c r="A241" s="170" t="str">
        <f>Scott!A117</f>
        <v>3-Scott</v>
      </c>
      <c r="B241" s="170" t="str">
        <f>Scott!B117</f>
        <v>NI-DMM</v>
      </c>
      <c r="C241" s="170" t="str">
        <f>Scott!C117</f>
        <v>15.0</v>
      </c>
      <c r="D241" s="170">
        <f>Scott!D117</f>
        <v>32</v>
      </c>
      <c r="E241" s="170">
        <f>Scott!E117</f>
        <v>2015</v>
      </c>
      <c r="F241" s="170" t="str">
        <f>Scott!F117</f>
        <v>Runtime</v>
      </c>
      <c r="G241" s="170" t="str">
        <f>Scott!G117</f>
        <v>NI</v>
      </c>
      <c r="H241" s="170" t="str">
        <f>Scott!H117</f>
        <v>NI-DMM 15.0</v>
      </c>
      <c r="I241" s="170" t="str">
        <f>Scott!I117</f>
        <v>NI Developer Suite 2015 DS2 Install</v>
      </c>
    </row>
    <row r="242" spans="1:9" x14ac:dyDescent="0.25">
      <c r="A242" s="170" t="str">
        <f>Scott!A118</f>
        <v>3-Scott</v>
      </c>
      <c r="B242" s="170" t="str">
        <f>Scott!B118</f>
        <v>NI-DMM Configuration Support</v>
      </c>
      <c r="C242" s="170" t="str">
        <f>Scott!C118</f>
        <v>15.0</v>
      </c>
      <c r="D242" s="170">
        <f>Scott!D118</f>
        <v>32</v>
      </c>
      <c r="E242" s="170">
        <f>Scott!E118</f>
        <v>2015</v>
      </c>
      <c r="F242" s="170" t="str">
        <f>Scott!F118</f>
        <v>Development</v>
      </c>
      <c r="G242" s="170" t="str">
        <f>Scott!G118</f>
        <v>NI</v>
      </c>
      <c r="H242" s="170" t="str">
        <f>Scott!H118</f>
        <v>NI-DMM Configuration Support 15.0</v>
      </c>
      <c r="I242" s="170" t="str">
        <f>Scott!I118</f>
        <v>NI Developer Suite 2015 DS2 Install</v>
      </c>
    </row>
    <row r="243" spans="1:9" x14ac:dyDescent="0.25">
      <c r="A243" s="170" t="str">
        <f>Scott!A119</f>
        <v>3-Scott</v>
      </c>
      <c r="B243" s="170" t="str">
        <f>Scott!B119</f>
        <v>NI-DMM Development Support</v>
      </c>
      <c r="C243" s="170" t="str">
        <f>Scott!C119</f>
        <v>15.0</v>
      </c>
      <c r="D243" s="170">
        <f>Scott!D119</f>
        <v>32</v>
      </c>
      <c r="E243" s="170">
        <f>Scott!E119</f>
        <v>2015</v>
      </c>
      <c r="F243" s="170" t="str">
        <f>Scott!F119</f>
        <v>Development</v>
      </c>
      <c r="G243" s="170" t="str">
        <f>Scott!G119</f>
        <v>NI</v>
      </c>
      <c r="H243" s="170" t="str">
        <f>Scott!H119</f>
        <v>NI-DMM Development Support 15.0</v>
      </c>
      <c r="I243" s="170" t="str">
        <f>Scott!I119</f>
        <v>NI Developer Suite 2015 DS2 Install</v>
      </c>
    </row>
    <row r="244" spans="1:9" x14ac:dyDescent="0.25">
      <c r="A244" s="170" t="str">
        <f>Scott!A120</f>
        <v>3-Scott</v>
      </c>
      <c r="B244" s="170" t="str">
        <f>Scott!B120</f>
        <v>NI-DMM Soft Front Panel</v>
      </c>
      <c r="C244" s="170" t="str">
        <f>Scott!C120</f>
        <v>15.0</v>
      </c>
      <c r="D244" s="170">
        <f>Scott!D120</f>
        <v>32</v>
      </c>
      <c r="E244" s="170">
        <f>Scott!E120</f>
        <v>2015</v>
      </c>
      <c r="F244" s="170" t="str">
        <f>Scott!F120</f>
        <v>Development</v>
      </c>
      <c r="G244" s="170" t="str">
        <f>Scott!G120</f>
        <v>NI</v>
      </c>
      <c r="H244" s="170" t="str">
        <f>Scott!H120</f>
        <v>NI-DMM Soft Front Panel 15.0</v>
      </c>
      <c r="I244" s="170" t="str">
        <f>Scott!I120</f>
        <v>NI Developer Suite 2015 DS2 Install</v>
      </c>
    </row>
    <row r="245" spans="1:9" x14ac:dyDescent="0.25">
      <c r="A245" s="170" t="str">
        <f>Scott!A121</f>
        <v>3-Scott</v>
      </c>
      <c r="B245" s="170" t="str">
        <f>Scott!B121</f>
        <v>NI-FGEN</v>
      </c>
      <c r="C245" s="170">
        <f>Scott!C121</f>
        <v>0</v>
      </c>
      <c r="D245" s="170">
        <f>Scott!D121</f>
        <v>32</v>
      </c>
      <c r="E245" s="170">
        <f>Scott!E121</f>
        <v>2015</v>
      </c>
      <c r="F245" s="170" t="str">
        <f>Scott!F121</f>
        <v>Development</v>
      </c>
      <c r="G245" s="170" t="str">
        <f>Scott!G121</f>
        <v>NI</v>
      </c>
      <c r="H245" s="170" t="str">
        <f>Scott!H121</f>
        <v xml:space="preserve">NI-FGEN </v>
      </c>
      <c r="I245" s="170" t="str">
        <f>Scott!I121</f>
        <v>NI Developer Suite 2015 DS2 Install</v>
      </c>
    </row>
    <row r="246" spans="1:9" x14ac:dyDescent="0.25">
      <c r="A246" s="170" t="str">
        <f>Scott!A122</f>
        <v>3-Scott</v>
      </c>
      <c r="B246" s="170" t="str">
        <f>Scott!B122</f>
        <v>NI-FGEN</v>
      </c>
      <c r="C246" s="170" t="str">
        <f>Scott!C122</f>
        <v>15.0</v>
      </c>
      <c r="D246" s="170">
        <f>Scott!D122</f>
        <v>32</v>
      </c>
      <c r="E246" s="170">
        <f>Scott!E122</f>
        <v>2015</v>
      </c>
      <c r="F246" s="170" t="str">
        <f>Scott!F122</f>
        <v>Runtime</v>
      </c>
      <c r="G246" s="170" t="str">
        <f>Scott!G122</f>
        <v>NI</v>
      </c>
      <c r="H246" s="170" t="str">
        <f>Scott!H122</f>
        <v>NI-FGEN 15.0</v>
      </c>
      <c r="I246" s="170" t="str">
        <f>Scott!I122</f>
        <v>NI Developer Suite 2015 DS2 Install</v>
      </c>
    </row>
    <row r="247" spans="1:9" x14ac:dyDescent="0.25">
      <c r="A247" s="170" t="str">
        <f>Scott!A123</f>
        <v>3-Scott</v>
      </c>
      <c r="B247" s="170" t="str">
        <f>Scott!B123</f>
        <v>NI-FGEN Configuration Support</v>
      </c>
      <c r="C247" s="170" t="str">
        <f>Scott!C123</f>
        <v>15.0</v>
      </c>
      <c r="D247" s="170">
        <f>Scott!D123</f>
        <v>32</v>
      </c>
      <c r="E247" s="170">
        <f>Scott!E123</f>
        <v>2015</v>
      </c>
      <c r="F247" s="170" t="str">
        <f>Scott!F123</f>
        <v>Development</v>
      </c>
      <c r="G247" s="170" t="str">
        <f>Scott!G123</f>
        <v>NI</v>
      </c>
      <c r="H247" s="170" t="str">
        <f>Scott!H123</f>
        <v>NI-FGEN Configuration Support 15.0</v>
      </c>
      <c r="I247" s="170" t="str">
        <f>Scott!I123</f>
        <v>NI Developer Suite 2015 DS2 Install</v>
      </c>
    </row>
    <row r="248" spans="1:9" x14ac:dyDescent="0.25">
      <c r="A248" s="170" t="str">
        <f>Scott!A124</f>
        <v>3-Scott</v>
      </c>
      <c r="B248" s="170" t="str">
        <f>Scott!B124</f>
        <v>NI-FGEN Development Support</v>
      </c>
      <c r="C248" s="170" t="str">
        <f>Scott!C124</f>
        <v>15.0</v>
      </c>
      <c r="D248" s="170">
        <f>Scott!D124</f>
        <v>32</v>
      </c>
      <c r="E248" s="170">
        <f>Scott!E124</f>
        <v>2015</v>
      </c>
      <c r="F248" s="170" t="str">
        <f>Scott!F124</f>
        <v>Development</v>
      </c>
      <c r="G248" s="170" t="str">
        <f>Scott!G124</f>
        <v>NI</v>
      </c>
      <c r="H248" s="170" t="str">
        <f>Scott!H124</f>
        <v>NI-FGEN Development Support 15.0</v>
      </c>
      <c r="I248" s="170" t="str">
        <f>Scott!I124</f>
        <v>NI Developer Suite 2015 DS2 Install</v>
      </c>
    </row>
    <row r="249" spans="1:9" x14ac:dyDescent="0.25">
      <c r="A249" s="170" t="str">
        <f>Scott!A125</f>
        <v>3-Scott</v>
      </c>
      <c r="B249" s="170" t="str">
        <f>Scott!B125</f>
        <v>NI-FGEN Soft Front Panel</v>
      </c>
      <c r="C249" s="170" t="str">
        <f>Scott!C125</f>
        <v>15.0</v>
      </c>
      <c r="D249" s="170">
        <f>Scott!D125</f>
        <v>32</v>
      </c>
      <c r="E249" s="170">
        <f>Scott!E125</f>
        <v>2015</v>
      </c>
      <c r="F249" s="170" t="str">
        <f>Scott!F125</f>
        <v>Development</v>
      </c>
      <c r="G249" s="170" t="str">
        <f>Scott!G125</f>
        <v>NI</v>
      </c>
      <c r="H249" s="170" t="str">
        <f>Scott!H125</f>
        <v>NI-FGEN Soft Front Panel 15.0</v>
      </c>
      <c r="I249" s="170" t="str">
        <f>Scott!I125</f>
        <v>NI Developer Suite 2015 DS2 Install</v>
      </c>
    </row>
    <row r="250" spans="1:9" x14ac:dyDescent="0.25">
      <c r="A250" s="170" t="str">
        <f>Scott!A126</f>
        <v>3-Scott</v>
      </c>
      <c r="B250" s="170" t="str">
        <f>Scott!B126</f>
        <v>NI-HSDIO</v>
      </c>
      <c r="C250" s="170">
        <f>Scott!C126</f>
        <v>0</v>
      </c>
      <c r="D250" s="170">
        <f>Scott!D126</f>
        <v>32</v>
      </c>
      <c r="E250" s="170">
        <f>Scott!E126</f>
        <v>2015</v>
      </c>
      <c r="F250" s="170" t="str">
        <f>Scott!F126</f>
        <v>Development</v>
      </c>
      <c r="G250" s="170" t="str">
        <f>Scott!G126</f>
        <v>NI</v>
      </c>
      <c r="H250" s="170" t="str">
        <f>Scott!H126</f>
        <v xml:space="preserve">NI-HSDIO </v>
      </c>
      <c r="I250" s="170" t="str">
        <f>Scott!I126</f>
        <v>NI Developer Suite 2015 DS2 Install</v>
      </c>
    </row>
    <row r="251" spans="1:9" x14ac:dyDescent="0.25">
      <c r="A251" s="170" t="str">
        <f>Scott!A127</f>
        <v>3-Scott</v>
      </c>
      <c r="B251" s="170" t="str">
        <f>Scott!B127</f>
        <v>NI-HSDIO</v>
      </c>
      <c r="C251" s="170" t="str">
        <f>Scott!C127</f>
        <v>15.0</v>
      </c>
      <c r="D251" s="170">
        <f>Scott!D127</f>
        <v>32</v>
      </c>
      <c r="E251" s="170">
        <f>Scott!E127</f>
        <v>2015</v>
      </c>
      <c r="F251" s="170" t="str">
        <f>Scott!F127</f>
        <v>Runtime</v>
      </c>
      <c r="G251" s="170" t="str">
        <f>Scott!G127</f>
        <v>NI</v>
      </c>
      <c r="H251" s="170" t="str">
        <f>Scott!H127</f>
        <v>NI-HSDIO 15.0</v>
      </c>
      <c r="I251" s="170" t="str">
        <f>Scott!I127</f>
        <v>NI Developer Suite 2015 DS2 Install</v>
      </c>
    </row>
    <row r="252" spans="1:9" x14ac:dyDescent="0.25">
      <c r="A252" s="170" t="str">
        <f>Scott!A128</f>
        <v>3-Scott</v>
      </c>
      <c r="B252" s="170" t="str">
        <f>Scott!B128</f>
        <v>NI-HSDIO Configuration Support</v>
      </c>
      <c r="C252" s="170" t="str">
        <f>Scott!C128</f>
        <v>15.0</v>
      </c>
      <c r="D252" s="170">
        <f>Scott!D128</f>
        <v>32</v>
      </c>
      <c r="E252" s="170">
        <f>Scott!E128</f>
        <v>2015</v>
      </c>
      <c r="F252" s="170" t="str">
        <f>Scott!F128</f>
        <v>Development</v>
      </c>
      <c r="G252" s="170" t="str">
        <f>Scott!G128</f>
        <v>NI</v>
      </c>
      <c r="H252" s="170" t="str">
        <f>Scott!H128</f>
        <v>NI-HSDIO Configuration Support 15.0</v>
      </c>
      <c r="I252" s="170" t="str">
        <f>Scott!I128</f>
        <v>NI Developer Suite 2015 DS2 Install</v>
      </c>
    </row>
    <row r="253" spans="1:9" x14ac:dyDescent="0.25">
      <c r="A253" s="170" t="str">
        <f>Scott!A129</f>
        <v>3-Scott</v>
      </c>
      <c r="B253" s="170" t="str">
        <f>Scott!B129</f>
        <v>NI-HSDIO Development Support</v>
      </c>
      <c r="C253" s="170" t="str">
        <f>Scott!C129</f>
        <v>15.0</v>
      </c>
      <c r="D253" s="170">
        <f>Scott!D129</f>
        <v>32</v>
      </c>
      <c r="E253" s="170">
        <f>Scott!E129</f>
        <v>2015</v>
      </c>
      <c r="F253" s="170" t="str">
        <f>Scott!F129</f>
        <v>Development</v>
      </c>
      <c r="G253" s="170" t="str">
        <f>Scott!G129</f>
        <v>NI</v>
      </c>
      <c r="H253" s="170" t="str">
        <f>Scott!H129</f>
        <v>NI-HSDIO Development Support 15.0</v>
      </c>
      <c r="I253" s="170" t="str">
        <f>Scott!I129</f>
        <v>NI Developer Suite 2015 DS2 Install</v>
      </c>
    </row>
    <row r="254" spans="1:9" x14ac:dyDescent="0.25">
      <c r="A254" s="170" t="str">
        <f>Scott!A130</f>
        <v>3-Scott</v>
      </c>
      <c r="B254" s="170" t="str">
        <f>Scott!B130</f>
        <v>NI-HWS</v>
      </c>
      <c r="C254" s="170" t="str">
        <f>Scott!C130</f>
        <v>15.0.0</v>
      </c>
      <c r="D254" s="170">
        <f>Scott!D130</f>
        <v>32</v>
      </c>
      <c r="E254" s="170">
        <f>Scott!E130</f>
        <v>2015</v>
      </c>
      <c r="F254" s="170" t="str">
        <f>Scott!F130</f>
        <v>Development</v>
      </c>
      <c r="G254" s="170" t="str">
        <f>Scott!G130</f>
        <v>NI</v>
      </c>
      <c r="H254" s="170" t="str">
        <f>Scott!H130</f>
        <v>NI-HWS 15.0.0</v>
      </c>
      <c r="I254" s="170" t="str">
        <f>Scott!I130</f>
        <v>NI Developer Suite 2015 DS2 Install</v>
      </c>
    </row>
    <row r="255" spans="1:9" x14ac:dyDescent="0.25">
      <c r="A255" s="170" t="str">
        <f>Scott!A131</f>
        <v>3-Scott</v>
      </c>
      <c r="B255" s="170" t="str">
        <f>Scott!B131</f>
        <v>NI-IMAQ</v>
      </c>
      <c r="C255" s="170" t="str">
        <f>Scott!C131</f>
        <v>19.0.0</v>
      </c>
      <c r="D255" s="170" t="str">
        <f>Scott!D131</f>
        <v>32</v>
      </c>
      <c r="E255" s="170" t="str">
        <f>Scott!E131</f>
        <v>2019</v>
      </c>
      <c r="F255" s="170" t="str">
        <f>Scott!F131</f>
        <v>Development</v>
      </c>
      <c r="G255" s="170" t="str">
        <f>Scott!G131</f>
        <v>NI</v>
      </c>
      <c r="H255" s="170" t="str">
        <f>Scott!H131</f>
        <v>NI-IMAQ 19.0.0</v>
      </c>
      <c r="I255" s="170" t="str">
        <f>Scott!I131</f>
        <v>LabVIEW 2019</v>
      </c>
    </row>
    <row r="256" spans="1:9" x14ac:dyDescent="0.25">
      <c r="A256" s="170" t="str">
        <f>Scott!A132</f>
        <v>3-Scott</v>
      </c>
      <c r="B256" s="170" t="str">
        <f>Scott!B132</f>
        <v>NI-IMAQ</v>
      </c>
      <c r="C256" s="170" t="str">
        <f>Scott!C132</f>
        <v>19.0.0</v>
      </c>
      <c r="D256" s="170" t="str">
        <f>Scott!D132</f>
        <v>32</v>
      </c>
      <c r="E256" s="170" t="str">
        <f>Scott!E132</f>
        <v>2019</v>
      </c>
      <c r="F256" s="170" t="str">
        <f>Scott!F132</f>
        <v>Runtime</v>
      </c>
      <c r="G256" s="170" t="str">
        <f>Scott!G132</f>
        <v>NI</v>
      </c>
      <c r="H256" s="170" t="str">
        <f>Scott!H132</f>
        <v>NI-IMAQ 19.0.0</v>
      </c>
      <c r="I256" s="170" t="str">
        <f>Scott!I132</f>
        <v>LabVIEW 2019</v>
      </c>
    </row>
    <row r="257" spans="1:9" x14ac:dyDescent="0.25">
      <c r="A257" s="173" t="str">
        <f>Originals!A289</f>
        <v>4-Vinnie</v>
      </c>
      <c r="B257" s="173" t="str">
        <f>Originals!B289</f>
        <v>NI-IMAQ</v>
      </c>
      <c r="C257" s="173" t="str">
        <f>Originals!C289</f>
        <v>19.5.0</v>
      </c>
      <c r="D257" s="173" t="str">
        <f>Originals!D289</f>
        <v>32</v>
      </c>
      <c r="E257" s="173" t="str">
        <f>Originals!E289</f>
        <v>2019</v>
      </c>
      <c r="F257" s="173" t="str">
        <f>Originals!F289</f>
        <v>Development</v>
      </c>
      <c r="G257" s="173" t="str">
        <f>Originals!G289</f>
        <v>NI</v>
      </c>
      <c r="H257" s="173" t="str">
        <f>Originals!H289</f>
        <v>NI-IMAQ 19.5.0</v>
      </c>
      <c r="I257" s="173">
        <f>Originals!I289</f>
        <v>0</v>
      </c>
    </row>
    <row r="258" spans="1:9" x14ac:dyDescent="0.25">
      <c r="A258" s="173" t="str">
        <f>Originals!A290</f>
        <v>4-Vinnie</v>
      </c>
      <c r="B258" s="173" t="str">
        <f>Originals!B290</f>
        <v>NI-IMAQ</v>
      </c>
      <c r="C258" s="173" t="str">
        <f>Originals!C290</f>
        <v>19.5.0</v>
      </c>
      <c r="D258" s="173" t="str">
        <f>Originals!D290</f>
        <v>32</v>
      </c>
      <c r="E258" s="173" t="str">
        <f>Originals!E290</f>
        <v>2019</v>
      </c>
      <c r="F258" s="173" t="str">
        <f>Originals!F290</f>
        <v>Runtime</v>
      </c>
      <c r="G258" s="173" t="str">
        <f>Originals!G290</f>
        <v>NI</v>
      </c>
      <c r="H258" s="173" t="str">
        <f>Originals!H290</f>
        <v>NI-IMAQ 19.5.0</v>
      </c>
      <c r="I258" s="173">
        <f>Originals!I290</f>
        <v>0</v>
      </c>
    </row>
    <row r="259" spans="1:9" x14ac:dyDescent="0.25">
      <c r="A259" s="173" t="str">
        <f>Originals!A291</f>
        <v>4-Vinnie</v>
      </c>
      <c r="B259" s="173" t="str">
        <f>Originals!B291</f>
        <v>NI-IMAQ Development Support</v>
      </c>
      <c r="C259" s="173" t="str">
        <f>Originals!C291</f>
        <v>18.5.0</v>
      </c>
      <c r="D259" s="173" t="str">
        <f>Originals!D291</f>
        <v>32</v>
      </c>
      <c r="E259" s="173" t="str">
        <f>Originals!E291</f>
        <v>2018</v>
      </c>
      <c r="F259" s="173" t="str">
        <f>Originals!F291</f>
        <v>Development</v>
      </c>
      <c r="G259" s="173" t="str">
        <f>Originals!G291</f>
        <v>NI</v>
      </c>
      <c r="H259" s="173" t="str">
        <f>Originals!H291</f>
        <v>NI-IMAQ Development Support 18.5.0</v>
      </c>
      <c r="I259" s="173">
        <f>Originals!I291</f>
        <v>0</v>
      </c>
    </row>
    <row r="260" spans="1:9" x14ac:dyDescent="0.25">
      <c r="A260" s="170" t="str">
        <f>Scott!A133</f>
        <v>3-Scott</v>
      </c>
      <c r="B260" s="170" t="str">
        <f>Scott!B133</f>
        <v>NI-IMAQ I/O</v>
      </c>
      <c r="C260" s="170" t="str">
        <f>Scott!C133</f>
        <v>19.0.0</v>
      </c>
      <c r="D260" s="170" t="str">
        <f>Scott!D133</f>
        <v>32</v>
      </c>
      <c r="E260" s="170" t="str">
        <f>Scott!E133</f>
        <v>2019</v>
      </c>
      <c r="F260" s="170" t="str">
        <f>Scott!F133</f>
        <v>Development</v>
      </c>
      <c r="G260" s="170" t="str">
        <f>Scott!G133</f>
        <v>NI</v>
      </c>
      <c r="H260" s="170" t="str">
        <f>Scott!H133</f>
        <v>NI-IMAQ I/O 19.0.0</v>
      </c>
      <c r="I260" s="170" t="str">
        <f>Scott!I133</f>
        <v>LabVIEW 2019</v>
      </c>
    </row>
    <row r="261" spans="1:9" x14ac:dyDescent="0.25">
      <c r="A261" s="170" t="str">
        <f>Scott!A134</f>
        <v>3-Scott</v>
      </c>
      <c r="B261" s="170" t="str">
        <f>Scott!B134</f>
        <v>NI-IMAQ I/O</v>
      </c>
      <c r="C261" s="170" t="str">
        <f>Scott!C134</f>
        <v>19.0.0</v>
      </c>
      <c r="D261" s="170" t="str">
        <f>Scott!D134</f>
        <v>32</v>
      </c>
      <c r="E261" s="170" t="str">
        <f>Scott!E134</f>
        <v>2019</v>
      </c>
      <c r="F261" s="170" t="str">
        <f>Scott!F134</f>
        <v>Runtime</v>
      </c>
      <c r="G261" s="170" t="str">
        <f>Scott!G134</f>
        <v>NI</v>
      </c>
      <c r="H261" s="170" t="str">
        <f>Scott!H134</f>
        <v>NI-IMAQ I/O 19.0.0</v>
      </c>
      <c r="I261" s="170" t="str">
        <f>Scott!I134</f>
        <v>LabVIEW 2019</v>
      </c>
    </row>
    <row r="262" spans="1:9" x14ac:dyDescent="0.25">
      <c r="A262" s="173" t="str">
        <f>Originals!A292</f>
        <v>4-Vinnie</v>
      </c>
      <c r="B262" s="173" t="str">
        <f>Originals!B292</f>
        <v>NI-IMAQ I/O</v>
      </c>
      <c r="C262" s="173" t="str">
        <f>Originals!C292</f>
        <v>18.5.0</v>
      </c>
      <c r="D262" s="173" t="str">
        <f>Originals!D292</f>
        <v>32</v>
      </c>
      <c r="E262" s="173" t="str">
        <f>Originals!E292</f>
        <v>2018</v>
      </c>
      <c r="F262" s="173" t="str">
        <f>Originals!F292</f>
        <v>Development</v>
      </c>
      <c r="G262" s="173" t="str">
        <f>Originals!G292</f>
        <v>NI</v>
      </c>
      <c r="H262" s="173" t="str">
        <f>Originals!H292</f>
        <v>NI-IMAQ I/O 18.5.0</v>
      </c>
      <c r="I262" s="173">
        <f>Originals!I292</f>
        <v>0</v>
      </c>
    </row>
    <row r="263" spans="1:9" x14ac:dyDescent="0.25">
      <c r="A263" s="173" t="str">
        <f>Originals!A293</f>
        <v>4-Vinnie</v>
      </c>
      <c r="B263" s="173" t="str">
        <f>Originals!B293</f>
        <v>NI-IMAQ I/O</v>
      </c>
      <c r="C263" s="173" t="str">
        <f>Originals!C293</f>
        <v>18.5.0</v>
      </c>
      <c r="D263" s="173" t="str">
        <f>Originals!D293</f>
        <v>32</v>
      </c>
      <c r="E263" s="173" t="str">
        <f>Originals!E293</f>
        <v>2018</v>
      </c>
      <c r="F263" s="173" t="str">
        <f>Originals!F293</f>
        <v>Runtime</v>
      </c>
      <c r="G263" s="173" t="str">
        <f>Originals!G293</f>
        <v>NI</v>
      </c>
      <c r="H263" s="173" t="str">
        <f>Originals!H293</f>
        <v>NI-IMAQ I/O 18.5.0</v>
      </c>
      <c r="I263" s="173">
        <f>Originals!I293</f>
        <v>0</v>
      </c>
    </row>
    <row r="264" spans="1:9" x14ac:dyDescent="0.25">
      <c r="A264" s="173" t="str">
        <f>Originals!A294</f>
        <v>4-Vinnie</v>
      </c>
      <c r="B264" s="173" t="str">
        <f>Originals!B294</f>
        <v>NI-IMAQ I/O Development Support</v>
      </c>
      <c r="C264" s="173" t="str">
        <f>Originals!C294</f>
        <v>18.5.0</v>
      </c>
      <c r="D264" s="173" t="str">
        <f>Originals!D294</f>
        <v>32</v>
      </c>
      <c r="E264" s="173" t="str">
        <f>Originals!E294</f>
        <v>2018</v>
      </c>
      <c r="F264" s="173" t="str">
        <f>Originals!F294</f>
        <v>Development</v>
      </c>
      <c r="G264" s="173" t="str">
        <f>Originals!G294</f>
        <v>NI</v>
      </c>
      <c r="H264" s="173" t="str">
        <f>Originals!H294</f>
        <v>NI-IMAQ I/O Development Support 18.5.0</v>
      </c>
      <c r="I264" s="173">
        <f>Originals!I294</f>
        <v>0</v>
      </c>
    </row>
    <row r="265" spans="1:9" x14ac:dyDescent="0.25">
      <c r="A265" s="170" t="str">
        <f>Scott!A135</f>
        <v>3-Scott</v>
      </c>
      <c r="B265" s="170" t="str">
        <f>Scott!B135</f>
        <v>NI-IMAQdx</v>
      </c>
      <c r="C265" s="170" t="str">
        <f>Scott!C135</f>
        <v>19.0.0</v>
      </c>
      <c r="D265" s="170" t="str">
        <f>Scott!D135</f>
        <v>32</v>
      </c>
      <c r="E265" s="170" t="str">
        <f>Scott!E135</f>
        <v>2019</v>
      </c>
      <c r="F265" s="170" t="str">
        <f>Scott!F135</f>
        <v>Development</v>
      </c>
      <c r="G265" s="170" t="str">
        <f>Scott!G135</f>
        <v>NI</v>
      </c>
      <c r="H265" s="170" t="str">
        <f>Scott!H135</f>
        <v>NI-IMAQdx 19.0.0</v>
      </c>
      <c r="I265" s="170" t="str">
        <f>Scott!I135</f>
        <v>LabVIEW 2019</v>
      </c>
    </row>
    <row r="266" spans="1:9" x14ac:dyDescent="0.25">
      <c r="A266" s="170" t="str">
        <f>Scott!A136</f>
        <v>3-Scott</v>
      </c>
      <c r="B266" s="170" t="str">
        <f>Scott!B136</f>
        <v>NI-IMAQdx</v>
      </c>
      <c r="C266" s="170" t="str">
        <f>Scott!C136</f>
        <v>19.0.0</v>
      </c>
      <c r="D266" s="170" t="str">
        <f>Scott!D136</f>
        <v>32</v>
      </c>
      <c r="E266" s="170" t="str">
        <f>Scott!E136</f>
        <v>2019</v>
      </c>
      <c r="F266" s="170" t="str">
        <f>Scott!F136</f>
        <v>Runtime</v>
      </c>
      <c r="G266" s="170" t="str">
        <f>Scott!G136</f>
        <v>NI</v>
      </c>
      <c r="H266" s="170" t="str">
        <f>Scott!H136</f>
        <v>NI-IMAQdx 19.0.0</v>
      </c>
      <c r="I266" s="170" t="str">
        <f>Scott!I136</f>
        <v>LabVIEW 2019</v>
      </c>
    </row>
    <row r="267" spans="1:9" x14ac:dyDescent="0.25">
      <c r="A267" s="173" t="str">
        <f>Originals!A295</f>
        <v>4-Vinnie</v>
      </c>
      <c r="B267" s="173" t="str">
        <f>Originals!B295</f>
        <v>NI-IMAQdx</v>
      </c>
      <c r="C267" s="173" t="str">
        <f>Originals!C295</f>
        <v>18.5.0</v>
      </c>
      <c r="D267" s="173" t="str">
        <f>Originals!D295</f>
        <v>32</v>
      </c>
      <c r="E267" s="173" t="str">
        <f>Originals!E295</f>
        <v>2018</v>
      </c>
      <c r="F267" s="173" t="str">
        <f>Originals!F295</f>
        <v>Development</v>
      </c>
      <c r="G267" s="173" t="str">
        <f>Originals!G295</f>
        <v>NI</v>
      </c>
      <c r="H267" s="173" t="str">
        <f>Originals!H295</f>
        <v>NI-IMAQdx 18.5.0</v>
      </c>
      <c r="I267" s="173">
        <f>Originals!I295</f>
        <v>0</v>
      </c>
    </row>
    <row r="268" spans="1:9" x14ac:dyDescent="0.25">
      <c r="A268" s="173" t="str">
        <f>Originals!A296</f>
        <v>4-Vinnie</v>
      </c>
      <c r="B268" s="173" t="str">
        <f>Originals!B296</f>
        <v>NI-IMAQdx</v>
      </c>
      <c r="C268" s="173" t="str">
        <f>Originals!C296</f>
        <v>18.5.0</v>
      </c>
      <c r="D268" s="173" t="str">
        <f>Originals!D296</f>
        <v>32</v>
      </c>
      <c r="E268" s="173" t="str">
        <f>Originals!E296</f>
        <v>2018</v>
      </c>
      <c r="F268" s="173" t="str">
        <f>Originals!F296</f>
        <v>Runtime</v>
      </c>
      <c r="G268" s="173" t="str">
        <f>Originals!G296</f>
        <v>NI</v>
      </c>
      <c r="H268" s="173" t="str">
        <f>Originals!H296</f>
        <v>NI-IMAQdx 18.5.0</v>
      </c>
      <c r="I268" s="173">
        <f>Originals!I296</f>
        <v>0</v>
      </c>
    </row>
    <row r="269" spans="1:9" x14ac:dyDescent="0.25">
      <c r="A269" s="173" t="str">
        <f>Originals!A297</f>
        <v>4-Vinnie</v>
      </c>
      <c r="B269" s="173" t="str">
        <f>Originals!B297</f>
        <v>NI-IMAQdx Development Support</v>
      </c>
      <c r="C269" s="173" t="str">
        <f>Originals!C297</f>
        <v>18.5.0</v>
      </c>
      <c r="D269" s="173" t="str">
        <f>Originals!D297</f>
        <v>32</v>
      </c>
      <c r="E269" s="173" t="str">
        <f>Originals!E297</f>
        <v>2018</v>
      </c>
      <c r="F269" s="173" t="str">
        <f>Originals!F297</f>
        <v>Development</v>
      </c>
      <c r="G269" s="173" t="str">
        <f>Originals!G297</f>
        <v>NI</v>
      </c>
      <c r="H269" s="173" t="str">
        <f>Originals!H297</f>
        <v>NI-IMAQdx Development Support 18.5.0</v>
      </c>
      <c r="I269" s="173">
        <f>Originals!I297</f>
        <v>0</v>
      </c>
    </row>
    <row r="270" spans="1:9" x14ac:dyDescent="0.25">
      <c r="A270" s="170" t="str">
        <f>Scott!A137</f>
        <v>3-Scott</v>
      </c>
      <c r="B270" s="170" t="str">
        <f>Scott!B137</f>
        <v>NI-Industrial Communications for EtherCAT</v>
      </c>
      <c r="C270" s="170" t="str">
        <f>Scott!C137</f>
        <v>18.0.0f1</v>
      </c>
      <c r="D270" s="170">
        <f>Scott!D137</f>
        <v>32</v>
      </c>
      <c r="E270" s="170">
        <f>Scott!E137</f>
        <v>2015</v>
      </c>
      <c r="F270" s="170" t="str">
        <f>Scott!F137</f>
        <v>Development</v>
      </c>
      <c r="G270" s="170" t="str">
        <f>Scott!G137</f>
        <v>NI</v>
      </c>
      <c r="H270" s="170" t="str">
        <f>Scott!H137</f>
        <v>NI-Industrial Communications for EtherCAT 18.0.0f1</v>
      </c>
      <c r="I270" s="170" t="str">
        <f>Scott!I137</f>
        <v>NI-Industrial Communications for EtherCAT on "Y' Drive</v>
      </c>
    </row>
    <row r="271" spans="1:9" x14ac:dyDescent="0.25">
      <c r="A271" s="173" t="str">
        <f>Originals!A298</f>
        <v>4-Vinnie</v>
      </c>
      <c r="B271" s="173" t="str">
        <f>Originals!B298</f>
        <v>NI-Industrial Communications for EtherCAT</v>
      </c>
      <c r="C271" s="173" t="str">
        <f>Originals!C298</f>
        <v>15.0</v>
      </c>
      <c r="D271" s="173" t="str">
        <f>Originals!D298</f>
        <v>32</v>
      </c>
      <c r="E271" s="173" t="str">
        <f>Originals!E298</f>
        <v>2015</v>
      </c>
      <c r="F271" s="173" t="str">
        <f>Originals!F298</f>
        <v>Development</v>
      </c>
      <c r="G271" s="173" t="str">
        <f>Originals!G298</f>
        <v>NI</v>
      </c>
      <c r="H271" s="173" t="str">
        <f>Originals!H298</f>
        <v>NI-Industrial Communications for EtherCAT 15.0</v>
      </c>
      <c r="I271" s="173" t="str">
        <f>Originals!I298</f>
        <v>NI-Industrial Communications for EtherCAT on "Y' Drive</v>
      </c>
    </row>
    <row r="272" spans="1:9" x14ac:dyDescent="0.25">
      <c r="A272" s="173" t="str">
        <f>Originals!A299</f>
        <v>4-Vinnie</v>
      </c>
      <c r="B272" s="173" t="str">
        <f>Originals!B299</f>
        <v>NI-Industrial Communications for EtherCAT</v>
      </c>
      <c r="C272" s="173">
        <f>Originals!C299</f>
        <v>0</v>
      </c>
      <c r="D272" s="173" t="str">
        <f>Originals!D299</f>
        <v>32</v>
      </c>
      <c r="E272" s="173" t="str">
        <f>Originals!E299</f>
        <v>N/A</v>
      </c>
      <c r="F272" s="173" t="str">
        <f>Originals!F299</f>
        <v>C-RIO</v>
      </c>
      <c r="G272" s="173" t="str">
        <f>Originals!G299</f>
        <v>NI</v>
      </c>
      <c r="H272" s="173" t="str">
        <f>Originals!H299</f>
        <v xml:space="preserve">NI-Industrial Communications for EtherCAT </v>
      </c>
      <c r="I272" s="173">
        <f>Originals!I299</f>
        <v>0</v>
      </c>
    </row>
    <row r="273" spans="1:9" x14ac:dyDescent="0.25">
      <c r="A273" s="173" t="str">
        <f>Originals!A300</f>
        <v>4-Vinnie</v>
      </c>
      <c r="B273" s="173" t="str">
        <f>Originals!B300</f>
        <v>NI-Industrial Communications for EtherCAT</v>
      </c>
      <c r="C273" s="173" t="str">
        <f>Originals!C300</f>
        <v>15.0.0f3</v>
      </c>
      <c r="D273" s="173" t="str">
        <f>Originals!D300</f>
        <v>32</v>
      </c>
      <c r="E273" s="173">
        <f>Originals!E300</f>
        <v>2015</v>
      </c>
      <c r="F273" s="173" t="str">
        <f>Originals!F300</f>
        <v>Development</v>
      </c>
      <c r="G273" s="173" t="str">
        <f>Originals!G300</f>
        <v>NI</v>
      </c>
      <c r="H273" s="173" t="str">
        <f>Originals!H300</f>
        <v>NI-Industrial Communications for EtherCAT 15.0.0f3</v>
      </c>
      <c r="I273" s="173" t="str">
        <f>Originals!I300</f>
        <v>NI-Industrial Communications for EtherCAT on "Y' Drive</v>
      </c>
    </row>
    <row r="274" spans="1:9" x14ac:dyDescent="0.25">
      <c r="A274" s="170" t="str">
        <f>Scott!A138</f>
        <v>3-Scott</v>
      </c>
      <c r="B274" s="170" t="str">
        <f>Scott!B138</f>
        <v>NI-PAL Software</v>
      </c>
      <c r="C274" s="170" t="str">
        <f>Scott!C138</f>
        <v>19.0.0</v>
      </c>
      <c r="D274" s="170">
        <f>Scott!D138</f>
        <v>32</v>
      </c>
      <c r="E274" s="170">
        <f>Scott!E138</f>
        <v>2019</v>
      </c>
      <c r="F274" s="170" t="str">
        <f>Scott!F138</f>
        <v>Development</v>
      </c>
      <c r="G274" s="170" t="str">
        <f>Scott!G138</f>
        <v>NI</v>
      </c>
      <c r="H274" s="170" t="str">
        <f>Scott!H138</f>
        <v>NI-PAL Software 19.0.0</v>
      </c>
      <c r="I274" s="170" t="str">
        <f>Scott!I138</f>
        <v>LabVIEW 2019</v>
      </c>
    </row>
    <row r="275" spans="1:9" x14ac:dyDescent="0.25">
      <c r="A275" s="173" t="str">
        <f>Originals!A301</f>
        <v>4-Vinnie</v>
      </c>
      <c r="B275" s="173" t="str">
        <f>Originals!B301</f>
        <v>NI-PAL Software</v>
      </c>
      <c r="C275" s="173" t="str">
        <f>Originals!C301</f>
        <v>19.0.0</v>
      </c>
      <c r="D275" s="173" t="str">
        <f>Originals!D301</f>
        <v>32</v>
      </c>
      <c r="E275" s="173" t="str">
        <f>Originals!E301</f>
        <v>2019</v>
      </c>
      <c r="F275" s="173" t="str">
        <f>Originals!F301</f>
        <v>Development</v>
      </c>
      <c r="G275" s="173" t="str">
        <f>Originals!G301</f>
        <v>NI</v>
      </c>
      <c r="H275" s="173" t="str">
        <f>Originals!H301</f>
        <v>NI-PAL Software 19.0.0</v>
      </c>
      <c r="I275" s="173">
        <f>Originals!I301</f>
        <v>0</v>
      </c>
    </row>
    <row r="276" spans="1:9" x14ac:dyDescent="0.25">
      <c r="A276" s="170" t="str">
        <f>Scott!A139</f>
        <v>3-Scott</v>
      </c>
      <c r="B276" s="170" t="str">
        <f>Scott!B139</f>
        <v>NI-RIO</v>
      </c>
      <c r="C276" s="170" t="str">
        <f>Scott!C139</f>
        <v>15.0.0</v>
      </c>
      <c r="D276" s="170">
        <f>Scott!D139</f>
        <v>32</v>
      </c>
      <c r="E276" s="170">
        <f>Scott!E139</f>
        <v>2015</v>
      </c>
      <c r="F276" s="170" t="str">
        <f>Scott!F139</f>
        <v>Development</v>
      </c>
      <c r="G276" s="170" t="str">
        <f>Scott!G139</f>
        <v>NI</v>
      </c>
      <c r="H276" s="170" t="str">
        <f>Scott!H139</f>
        <v>NI-RIO 15.0.0</v>
      </c>
      <c r="I276" s="170" t="str">
        <f>Scott!I139</f>
        <v>NI Developer Suite 2015 DS2 Install</v>
      </c>
    </row>
    <row r="277" spans="1:9" x14ac:dyDescent="0.25">
      <c r="A277" s="173" t="str">
        <f>Originals!A302</f>
        <v>4-Vinnie</v>
      </c>
      <c r="B277" s="173" t="str">
        <f>Originals!B302</f>
        <v>NI-RIO</v>
      </c>
      <c r="C277" s="173" t="str">
        <f>Originals!C302</f>
        <v>15.5</v>
      </c>
      <c r="D277" s="173" t="str">
        <f>Originals!D302</f>
        <v>32</v>
      </c>
      <c r="E277" s="173" t="str">
        <f>Originals!E302</f>
        <v>2015</v>
      </c>
      <c r="F277" s="173" t="str">
        <f>Originals!F302</f>
        <v>C-RIO</v>
      </c>
      <c r="G277" s="173" t="str">
        <f>Originals!G302</f>
        <v>NI</v>
      </c>
      <c r="H277" s="173" t="str">
        <f>Originals!H302</f>
        <v>NI-RIO 15.5</v>
      </c>
      <c r="I277" s="173">
        <f>Originals!I302</f>
        <v>0</v>
      </c>
    </row>
    <row r="278" spans="1:9" x14ac:dyDescent="0.25">
      <c r="A278" s="173" t="str">
        <f>Originals!A303</f>
        <v>4-Vinnie</v>
      </c>
      <c r="B278" s="173" t="str">
        <f>Originals!B303</f>
        <v>NI-RIO</v>
      </c>
      <c r="C278" s="173" t="str">
        <f>Originals!C303</f>
        <v>18.5.0</v>
      </c>
      <c r="D278" s="173" t="str">
        <f>Originals!D303</f>
        <v>32</v>
      </c>
      <c r="E278" s="173" t="str">
        <f>Originals!E303</f>
        <v>2018</v>
      </c>
      <c r="F278" s="173" t="str">
        <f>Originals!F303</f>
        <v>Development</v>
      </c>
      <c r="G278" s="173" t="str">
        <f>Originals!G303</f>
        <v>NI</v>
      </c>
      <c r="H278" s="173" t="str">
        <f>Originals!H303</f>
        <v>NI-RIO 18.5.0</v>
      </c>
      <c r="I278" s="173">
        <f>Originals!I303</f>
        <v>0</v>
      </c>
    </row>
    <row r="279" spans="1:9" x14ac:dyDescent="0.25">
      <c r="A279" s="173" t="str">
        <f>Originals!A304</f>
        <v>4-Vinnie</v>
      </c>
      <c r="B279" s="173" t="str">
        <f>Originals!B304</f>
        <v>NI-RIO</v>
      </c>
      <c r="C279" s="173" t="str">
        <f>Originals!C304</f>
        <v>18.5.0</v>
      </c>
      <c r="D279" s="173" t="str">
        <f>Originals!D304</f>
        <v>32</v>
      </c>
      <c r="E279" s="173" t="str">
        <f>Originals!E304</f>
        <v>2018</v>
      </c>
      <c r="F279" s="173" t="str">
        <f>Originals!F304</f>
        <v>Development</v>
      </c>
      <c r="G279" s="173" t="str">
        <f>Originals!G304</f>
        <v>NI</v>
      </c>
      <c r="H279" s="173" t="str">
        <f>Originals!H304</f>
        <v>NI-RIO 18.5.0</v>
      </c>
      <c r="I279" s="173">
        <f>Originals!I304</f>
        <v>0</v>
      </c>
    </row>
    <row r="280" spans="1:9" x14ac:dyDescent="0.25">
      <c r="A280" s="173" t="str">
        <f>Originals!A305</f>
        <v>4-Vinnie</v>
      </c>
      <c r="B280" s="173" t="str">
        <f>Originals!B305</f>
        <v>NI-RIO IO Scan</v>
      </c>
      <c r="C280" s="173" t="str">
        <f>Originals!C305</f>
        <v>15.5</v>
      </c>
      <c r="D280" s="173" t="str">
        <f>Originals!D305</f>
        <v>32</v>
      </c>
      <c r="E280" s="173" t="str">
        <f>Originals!E305</f>
        <v>2015</v>
      </c>
      <c r="F280" s="173" t="str">
        <f>Originals!F305</f>
        <v>C-RIO</v>
      </c>
      <c r="G280" s="173" t="str">
        <f>Originals!G305</f>
        <v>NI</v>
      </c>
      <c r="H280" s="173" t="str">
        <f>Originals!H305</f>
        <v>NI-RIO IO Scan 15.5</v>
      </c>
      <c r="I280" s="173">
        <f>Originals!I305</f>
        <v>0</v>
      </c>
    </row>
    <row r="281" spans="1:9" x14ac:dyDescent="0.25">
      <c r="A281" s="170" t="str">
        <f>Scott!A140</f>
        <v>3-Scott</v>
      </c>
      <c r="B281" s="170" t="str">
        <f>Scott!B140</f>
        <v>NI-SCOPE</v>
      </c>
      <c r="C281" s="170" t="str">
        <f>Scott!C140</f>
        <v>15.0</v>
      </c>
      <c r="D281" s="170">
        <f>Scott!D140</f>
        <v>32</v>
      </c>
      <c r="E281" s="170">
        <f>Scott!E140</f>
        <v>2015</v>
      </c>
      <c r="F281" s="170" t="str">
        <f>Scott!F140</f>
        <v>Development</v>
      </c>
      <c r="G281" s="170" t="str">
        <f>Scott!G140</f>
        <v>NI</v>
      </c>
      <c r="H281" s="170" t="str">
        <f>Scott!H140</f>
        <v>NI-SCOPE 15.0</v>
      </c>
      <c r="I281" s="170" t="str">
        <f>Scott!I140</f>
        <v>NI Developer Suite 2015 DS2 Install</v>
      </c>
    </row>
    <row r="282" spans="1:9" x14ac:dyDescent="0.25">
      <c r="A282" s="170" t="str">
        <f>Scott!A141</f>
        <v>3-Scott</v>
      </c>
      <c r="B282" s="170" t="str">
        <f>Scott!B141</f>
        <v>NI-SCOPE</v>
      </c>
      <c r="C282" s="170" t="str">
        <f>Scott!C141</f>
        <v>15.0</v>
      </c>
      <c r="D282" s="170">
        <f>Scott!D141</f>
        <v>32</v>
      </c>
      <c r="E282" s="170">
        <f>Scott!E141</f>
        <v>2015</v>
      </c>
      <c r="F282" s="170" t="str">
        <f>Scott!F141</f>
        <v>Runtime</v>
      </c>
      <c r="G282" s="170" t="str">
        <f>Scott!G141</f>
        <v>NI</v>
      </c>
      <c r="H282" s="170" t="str">
        <f>Scott!H141</f>
        <v>NI-SCOPE 15.0</v>
      </c>
      <c r="I282" s="170" t="str">
        <f>Scott!I141</f>
        <v>NI Developer Suite 2015 DS2 Install</v>
      </c>
    </row>
    <row r="283" spans="1:9" x14ac:dyDescent="0.25">
      <c r="A283" s="170" t="str">
        <f>Scott!A142</f>
        <v>3-Scott</v>
      </c>
      <c r="B283" s="170" t="str">
        <f>Scott!B142</f>
        <v>NI-SCOPE Configuration Support</v>
      </c>
      <c r="C283" s="170" t="str">
        <f>Scott!C142</f>
        <v>15.0</v>
      </c>
      <c r="D283" s="170">
        <f>Scott!D142</f>
        <v>32</v>
      </c>
      <c r="E283" s="170">
        <f>Scott!E142</f>
        <v>2015</v>
      </c>
      <c r="F283" s="170" t="str">
        <f>Scott!F142</f>
        <v>Development</v>
      </c>
      <c r="G283" s="170" t="str">
        <f>Scott!G142</f>
        <v>NI</v>
      </c>
      <c r="H283" s="170" t="str">
        <f>Scott!H142</f>
        <v>NI-SCOPE Configuration Support 15.0</v>
      </c>
      <c r="I283" s="170" t="str">
        <f>Scott!I142</f>
        <v>NI Developer Suite 2015 DS2 Install</v>
      </c>
    </row>
    <row r="284" spans="1:9" x14ac:dyDescent="0.25">
      <c r="A284" s="170" t="str">
        <f>Scott!A143</f>
        <v>3-Scott</v>
      </c>
      <c r="B284" s="170" t="str">
        <f>Scott!B143</f>
        <v>NI-SCOPE Development Support</v>
      </c>
      <c r="C284" s="170" t="str">
        <f>Scott!C143</f>
        <v>15.0</v>
      </c>
      <c r="D284" s="170">
        <f>Scott!D143</f>
        <v>32</v>
      </c>
      <c r="E284" s="170">
        <f>Scott!E143</f>
        <v>2015</v>
      </c>
      <c r="F284" s="170" t="str">
        <f>Scott!F143</f>
        <v>Development</v>
      </c>
      <c r="G284" s="170" t="str">
        <f>Scott!G143</f>
        <v>NI</v>
      </c>
      <c r="H284" s="170" t="str">
        <f>Scott!H143</f>
        <v>NI-SCOPE Development Support 15.0</v>
      </c>
      <c r="I284" s="170" t="str">
        <f>Scott!I143</f>
        <v>NI Developer Suite 2015 DS2 Install</v>
      </c>
    </row>
    <row r="285" spans="1:9" x14ac:dyDescent="0.25">
      <c r="A285" s="170" t="str">
        <f>Scott!A144</f>
        <v>3-Scott</v>
      </c>
      <c r="B285" s="170" t="str">
        <f>Scott!B144</f>
        <v>NI-SCOPE Soft Front Panel</v>
      </c>
      <c r="C285" s="170" t="str">
        <f>Scott!C144</f>
        <v>15.0</v>
      </c>
      <c r="D285" s="170">
        <f>Scott!D144</f>
        <v>32</v>
      </c>
      <c r="E285" s="170">
        <f>Scott!E144</f>
        <v>2015</v>
      </c>
      <c r="F285" s="170" t="str">
        <f>Scott!F144</f>
        <v>Development</v>
      </c>
      <c r="G285" s="170" t="str">
        <f>Scott!G144</f>
        <v>NI</v>
      </c>
      <c r="H285" s="170" t="str">
        <f>Scott!H144</f>
        <v>NI-SCOPE Soft Front Panel 15.0</v>
      </c>
      <c r="I285" s="170" t="str">
        <f>Scott!I144</f>
        <v>NI Developer Suite 2015 DS2 Install</v>
      </c>
    </row>
    <row r="286" spans="1:9" x14ac:dyDescent="0.25">
      <c r="A286" s="170" t="str">
        <f>Scott!A145</f>
        <v>3-Scott</v>
      </c>
      <c r="B286" s="170" t="str">
        <f>Scott!B145</f>
        <v>NI-Serial</v>
      </c>
      <c r="C286" s="170" t="str">
        <f>Scott!C145</f>
        <v>19.0.0f0</v>
      </c>
      <c r="D286" s="170">
        <f>Scott!D145</f>
        <v>32</v>
      </c>
      <c r="E286" s="170">
        <f>Scott!E145</f>
        <v>2019</v>
      </c>
      <c r="F286" s="170" t="str">
        <f>Scott!F145</f>
        <v>Runtime</v>
      </c>
      <c r="G286" s="170" t="str">
        <f>Scott!G145</f>
        <v>NI</v>
      </c>
      <c r="H286" s="170" t="str">
        <f>Scott!H145</f>
        <v>NI-Serial 19.0.0f0</v>
      </c>
      <c r="I286" s="170" t="str">
        <f>Scott!I145</f>
        <v>LabVIEW 2019</v>
      </c>
    </row>
    <row r="287" spans="1:9" x14ac:dyDescent="0.25">
      <c r="A287" s="173" t="str">
        <f>Originals!A307</f>
        <v>4-Vinnie</v>
      </c>
      <c r="B287" s="173" t="str">
        <f>Originals!B307</f>
        <v>NI-Serial</v>
      </c>
      <c r="C287" s="173" t="str">
        <f>Originals!C307</f>
        <v>18.5.0f0</v>
      </c>
      <c r="D287" s="173" t="str">
        <f>Originals!D307</f>
        <v>32</v>
      </c>
      <c r="E287" s="173" t="str">
        <f>Originals!E307</f>
        <v>2018</v>
      </c>
      <c r="F287" s="173" t="str">
        <f>Originals!F307</f>
        <v>Runtime</v>
      </c>
      <c r="G287" s="173" t="str">
        <f>Originals!G307</f>
        <v>NI</v>
      </c>
      <c r="H287" s="173" t="str">
        <f>Originals!H307</f>
        <v>NI-Serial 18.5.0f0</v>
      </c>
      <c r="I287" s="173">
        <f>Originals!I307</f>
        <v>0</v>
      </c>
    </row>
    <row r="288" spans="1:9" x14ac:dyDescent="0.25">
      <c r="A288" s="170" t="str">
        <f>Scott!A146</f>
        <v>3-Scott</v>
      </c>
      <c r="B288" s="170" t="str">
        <f>Scott!B146</f>
        <v>NI-Serial Configuration</v>
      </c>
      <c r="C288" s="170" t="str">
        <f>Scott!C146</f>
        <v>17.5.0f0</v>
      </c>
      <c r="D288" s="170" t="str">
        <f>Scott!D146</f>
        <v>32</v>
      </c>
      <c r="E288" s="170" t="str">
        <f>Scott!E146</f>
        <v>2017</v>
      </c>
      <c r="F288" s="170" t="str">
        <f>Scott!F146</f>
        <v>Development</v>
      </c>
      <c r="G288" s="170" t="str">
        <f>Scott!G146</f>
        <v>NI</v>
      </c>
      <c r="H288" s="170" t="str">
        <f>Scott!H146</f>
        <v>NI-Serial Configuration 17.5.0f0</v>
      </c>
      <c r="I288" s="170" t="str">
        <f>Scott!I146</f>
        <v>CompactRIO 18.1.0</v>
      </c>
    </row>
    <row r="289" spans="1:9" x14ac:dyDescent="0.25">
      <c r="A289" s="173" t="str">
        <f>Originals!A306</f>
        <v>4-Vinnie</v>
      </c>
      <c r="B289" s="173" t="str">
        <f>Originals!B306</f>
        <v>NI-Serial Configuration</v>
      </c>
      <c r="C289" s="173" t="str">
        <f>Originals!C306</f>
        <v>18.5.0f0</v>
      </c>
      <c r="D289" s="173" t="str">
        <f>Originals!D306</f>
        <v>32</v>
      </c>
      <c r="E289" s="173" t="str">
        <f>Originals!E306</f>
        <v>2018</v>
      </c>
      <c r="F289" s="173" t="str">
        <f>Originals!F306</f>
        <v>Development</v>
      </c>
      <c r="G289" s="173" t="str">
        <f>Originals!G306</f>
        <v>NI</v>
      </c>
      <c r="H289" s="173" t="str">
        <f>Originals!H306</f>
        <v>NI-Serial Configuration 18.5.0f0</v>
      </c>
      <c r="I289" s="173">
        <f>Originals!I306</f>
        <v>0</v>
      </c>
    </row>
    <row r="290" spans="1:9" x14ac:dyDescent="0.25">
      <c r="A290" s="170" t="str">
        <f>Scott!A147</f>
        <v>3-Scott</v>
      </c>
      <c r="B290" s="170" t="str">
        <f>Scott!B147</f>
        <v>NI-SWITCH</v>
      </c>
      <c r="C290" s="170" t="str">
        <f>Scott!C147</f>
        <v>15.0</v>
      </c>
      <c r="D290" s="170">
        <f>Scott!D147</f>
        <v>32</v>
      </c>
      <c r="E290" s="170">
        <f>Scott!E147</f>
        <v>2015</v>
      </c>
      <c r="F290" s="170" t="str">
        <f>Scott!F147</f>
        <v>Development</v>
      </c>
      <c r="G290" s="170" t="str">
        <f>Scott!G147</f>
        <v>NI</v>
      </c>
      <c r="H290" s="170" t="str">
        <f>Scott!H147</f>
        <v>NI-SWITCH 15.0</v>
      </c>
      <c r="I290" s="170" t="str">
        <f>Scott!I147</f>
        <v>NI Developer Suite 2015 DS2 Install</v>
      </c>
    </row>
    <row r="291" spans="1:9" x14ac:dyDescent="0.25">
      <c r="A291" s="170" t="str">
        <f>Scott!A148</f>
        <v>3-Scott</v>
      </c>
      <c r="B291" s="170" t="str">
        <f>Scott!B148</f>
        <v>NI-SWITCH</v>
      </c>
      <c r="C291" s="170" t="str">
        <f>Scott!C148</f>
        <v>15.0</v>
      </c>
      <c r="D291" s="170">
        <f>Scott!D148</f>
        <v>32</v>
      </c>
      <c r="E291" s="170">
        <f>Scott!E148</f>
        <v>2015</v>
      </c>
      <c r="F291" s="170" t="str">
        <f>Scott!F148</f>
        <v>Runtime</v>
      </c>
      <c r="G291" s="170" t="str">
        <f>Scott!G148</f>
        <v>NI</v>
      </c>
      <c r="H291" s="170" t="str">
        <f>Scott!H148</f>
        <v>NI-SWITCH 15.0</v>
      </c>
      <c r="I291" s="170" t="str">
        <f>Scott!I148</f>
        <v>NI Developer Suite 2015 DS2 Install</v>
      </c>
    </row>
    <row r="292" spans="1:9" x14ac:dyDescent="0.25">
      <c r="A292" s="170" t="str">
        <f>Scott!A149</f>
        <v>3-Scott</v>
      </c>
      <c r="B292" s="170" t="str">
        <f>Scott!B149</f>
        <v>NI-SWITCH Configuration Support</v>
      </c>
      <c r="C292" s="170" t="str">
        <f>Scott!C149</f>
        <v>15.0</v>
      </c>
      <c r="D292" s="170">
        <f>Scott!D149</f>
        <v>32</v>
      </c>
      <c r="E292" s="170">
        <f>Scott!E149</f>
        <v>2015</v>
      </c>
      <c r="F292" s="170" t="str">
        <f>Scott!F149</f>
        <v>Development</v>
      </c>
      <c r="G292" s="170" t="str">
        <f>Scott!G149</f>
        <v>NI</v>
      </c>
      <c r="H292" s="170" t="str">
        <f>Scott!H149</f>
        <v>NI-SWITCH Configuration Support 15.0</v>
      </c>
      <c r="I292" s="170" t="str">
        <f>Scott!I149</f>
        <v>NI Developer Suite 2015 DS2 Install</v>
      </c>
    </row>
    <row r="293" spans="1:9" x14ac:dyDescent="0.25">
      <c r="A293" s="170" t="str">
        <f>Scott!A150</f>
        <v>3-Scott</v>
      </c>
      <c r="B293" s="170" t="str">
        <f>Scott!B150</f>
        <v>NI-SWITCH Development Support</v>
      </c>
      <c r="C293" s="170" t="str">
        <f>Scott!C150</f>
        <v>15.0</v>
      </c>
      <c r="D293" s="170">
        <f>Scott!D150</f>
        <v>32</v>
      </c>
      <c r="E293" s="170">
        <f>Scott!E150</f>
        <v>2015</v>
      </c>
      <c r="F293" s="170" t="str">
        <f>Scott!F150</f>
        <v>Development</v>
      </c>
      <c r="G293" s="170" t="str">
        <f>Scott!G150</f>
        <v>NI</v>
      </c>
      <c r="H293" s="170" t="str">
        <f>Scott!H150</f>
        <v>NI-SWITCH Development Support 15.0</v>
      </c>
      <c r="I293" s="170" t="str">
        <f>Scott!I150</f>
        <v>NI Developer Suite 2015 DS2 Install</v>
      </c>
    </row>
    <row r="294" spans="1:9" x14ac:dyDescent="0.25">
      <c r="A294" s="170" t="str">
        <f>Scott!A151</f>
        <v>3-Scott</v>
      </c>
      <c r="B294" s="170" t="str">
        <f>Scott!B151</f>
        <v>NI-SWITCH Soft Front Panel</v>
      </c>
      <c r="C294" s="170" t="str">
        <f>Scott!C151</f>
        <v>18.1.0</v>
      </c>
      <c r="D294" s="170" t="str">
        <f>Scott!D151</f>
        <v>32</v>
      </c>
      <c r="E294" s="170" t="str">
        <f>Scott!E151</f>
        <v>2018</v>
      </c>
      <c r="F294" s="170" t="str">
        <f>Scott!F151</f>
        <v>Development</v>
      </c>
      <c r="G294" s="170" t="str">
        <f>Scott!G151</f>
        <v>NI</v>
      </c>
      <c r="H294" s="170" t="str">
        <f>Scott!H151</f>
        <v>NI-Switch Soft Front Panel 18.1.0</v>
      </c>
      <c r="I294" s="170" t="str">
        <f>Scott!I151</f>
        <v>CompactRIO 18.1.0</v>
      </c>
    </row>
    <row r="295" spans="1:9" x14ac:dyDescent="0.25">
      <c r="A295" s="170" t="str">
        <f>Scott!A152</f>
        <v>3-Scott</v>
      </c>
      <c r="B295" s="170" t="str">
        <f>Scott!B152</f>
        <v>NI-Sync</v>
      </c>
      <c r="C295" s="170" t="str">
        <f>Scott!C152</f>
        <v>18.1.0f0</v>
      </c>
      <c r="D295" s="170" t="str">
        <f>Scott!D152</f>
        <v>32</v>
      </c>
      <c r="E295" s="170" t="str">
        <f>Scott!E152</f>
        <v>2018</v>
      </c>
      <c r="F295" s="170" t="str">
        <f>Scott!F152</f>
        <v>Development</v>
      </c>
      <c r="G295" s="170" t="str">
        <f>Scott!G152</f>
        <v>NI</v>
      </c>
      <c r="H295" s="170" t="str">
        <f>Scott!H152</f>
        <v>NI-Sync 18.1.0f0</v>
      </c>
      <c r="I295" s="170" t="str">
        <f>Scott!I152</f>
        <v>CompactRIO 18.1.0</v>
      </c>
    </row>
    <row r="296" spans="1:9" x14ac:dyDescent="0.25">
      <c r="A296" s="173" t="str">
        <f>Originals!A308</f>
        <v>4-Vinnie</v>
      </c>
      <c r="B296" s="173" t="str">
        <f>Originals!B308</f>
        <v>NI-Sync</v>
      </c>
      <c r="C296" s="173" t="str">
        <f>Originals!C308</f>
        <v>15.0.1f0</v>
      </c>
      <c r="D296" s="173" t="str">
        <f>Originals!D308</f>
        <v>32</v>
      </c>
      <c r="E296" s="173" t="str">
        <f>Originals!E308</f>
        <v>2015</v>
      </c>
      <c r="F296" s="173" t="str">
        <f>Originals!F308</f>
        <v>Runtime</v>
      </c>
      <c r="G296" s="173" t="str">
        <f>Originals!G308</f>
        <v>NI</v>
      </c>
      <c r="H296" s="173" t="str">
        <f>Originals!H308</f>
        <v>NI-Sync 15.0.1f0</v>
      </c>
      <c r="I296" s="173">
        <f>Originals!I308</f>
        <v>0</v>
      </c>
    </row>
    <row r="297" spans="1:9" x14ac:dyDescent="0.25">
      <c r="A297" s="173" t="str">
        <f>Originals!A309</f>
        <v>4-Vinnie</v>
      </c>
      <c r="B297" s="173" t="str">
        <f>Originals!B309</f>
        <v>NI-Sync</v>
      </c>
      <c r="C297" s="173" t="str">
        <f>Originals!C309</f>
        <v>15.0.1f0</v>
      </c>
      <c r="D297" s="173" t="str">
        <f>Originals!D309</f>
        <v>32</v>
      </c>
      <c r="E297" s="173">
        <f>Originals!E309</f>
        <v>2015</v>
      </c>
      <c r="F297" s="173" t="str">
        <f>Originals!F309</f>
        <v>Development</v>
      </c>
      <c r="G297" s="173" t="str">
        <f>Originals!G309</f>
        <v>NI</v>
      </c>
      <c r="H297" s="173" t="str">
        <f>Originals!H309</f>
        <v>NI-Sync 15.0.1f0</v>
      </c>
      <c r="I297" s="173">
        <f>Originals!I309</f>
        <v>0</v>
      </c>
    </row>
    <row r="298" spans="1:9" x14ac:dyDescent="0.25">
      <c r="A298" s="170" t="str">
        <f>Scott!A153</f>
        <v>3-Scott</v>
      </c>
      <c r="B298" s="170" t="str">
        <f>Scott!B153</f>
        <v>NI-TClk</v>
      </c>
      <c r="C298" s="170" t="str">
        <f>Scott!C153</f>
        <v>15.0</v>
      </c>
      <c r="D298" s="170">
        <f>Scott!D153</f>
        <v>32</v>
      </c>
      <c r="E298" s="170">
        <f>Scott!E153</f>
        <v>2015</v>
      </c>
      <c r="F298" s="170" t="str">
        <f>Scott!F153</f>
        <v>Development</v>
      </c>
      <c r="G298" s="170" t="str">
        <f>Scott!G153</f>
        <v>NI</v>
      </c>
      <c r="H298" s="170" t="str">
        <f>Scott!H153</f>
        <v>NI-TClk 15.0</v>
      </c>
      <c r="I298" s="170" t="str">
        <f>Scott!I153</f>
        <v>NI Developer Suite 2015 DS2 Install</v>
      </c>
    </row>
    <row r="299" spans="1:9" x14ac:dyDescent="0.25">
      <c r="A299" s="170" t="str">
        <f>Scott!A154</f>
        <v>3-Scott</v>
      </c>
      <c r="B299" s="170" t="str">
        <f>Scott!B154</f>
        <v>NI-TimeSync</v>
      </c>
      <c r="C299" s="170" t="str">
        <f>Scott!C154</f>
        <v>15.0.0f0</v>
      </c>
      <c r="D299" s="170">
        <f>Scott!D154</f>
        <v>32</v>
      </c>
      <c r="E299" s="170">
        <f>Scott!E154</f>
        <v>2015</v>
      </c>
      <c r="F299" s="170" t="str">
        <f>Scott!F154</f>
        <v>Development</v>
      </c>
      <c r="G299" s="170" t="str">
        <f>Scott!G154</f>
        <v>NI</v>
      </c>
      <c r="H299" s="170" t="str">
        <f>Scott!H154</f>
        <v>NI-TimeSync 15.0.0f0</v>
      </c>
      <c r="I299" s="170" t="str">
        <f>Scott!I154</f>
        <v>NI Developer Suite 2015 DS2 Install</v>
      </c>
    </row>
    <row r="300" spans="1:9" x14ac:dyDescent="0.25">
      <c r="A300" s="173" t="str">
        <f>Originals!A310</f>
        <v>4-Vinnie</v>
      </c>
      <c r="B300" s="173" t="str">
        <f>Originals!B310</f>
        <v>NI-TimeSync</v>
      </c>
      <c r="C300" s="173" t="str">
        <f>Originals!C310</f>
        <v>15.0.0f0</v>
      </c>
      <c r="D300" s="173" t="str">
        <f>Originals!D310</f>
        <v>32</v>
      </c>
      <c r="E300" s="173">
        <f>Originals!E310</f>
        <v>2015</v>
      </c>
      <c r="F300" s="173" t="str">
        <f>Originals!F310</f>
        <v>Development</v>
      </c>
      <c r="G300" s="173" t="str">
        <f>Originals!G310</f>
        <v>NI</v>
      </c>
      <c r="H300" s="173" t="str">
        <f>Originals!H310</f>
        <v>NI-TimeSync 15.0.0f0</v>
      </c>
      <c r="I300" s="173">
        <f>Originals!I310</f>
        <v>0</v>
      </c>
    </row>
    <row r="301" spans="1:9" x14ac:dyDescent="0.25">
      <c r="A301" s="170" t="str">
        <f>Scott!A155</f>
        <v>3-Scott</v>
      </c>
      <c r="B301" s="170" t="str">
        <f>Scott!B155</f>
        <v>NI-USI</v>
      </c>
      <c r="C301" s="170" t="str">
        <f>Scott!C155</f>
        <v>15.0.1.6118</v>
      </c>
      <c r="D301" s="170">
        <f>Scott!D155</f>
        <v>32</v>
      </c>
      <c r="E301" s="170">
        <f>Scott!E155</f>
        <v>2015</v>
      </c>
      <c r="F301" s="170" t="str">
        <f>Scott!F155</f>
        <v>Development</v>
      </c>
      <c r="G301" s="170" t="str">
        <f>Scott!G155</f>
        <v>NI</v>
      </c>
      <c r="H301" s="170" t="str">
        <f>Scott!H155</f>
        <v>NI-USI 15.0.1.6118</v>
      </c>
      <c r="I301" s="170" t="str">
        <f>Scott!I155</f>
        <v>LabVIEW 2015 SP1</v>
      </c>
    </row>
    <row r="302" spans="1:9" x14ac:dyDescent="0.25">
      <c r="A302" s="173" t="str">
        <f>Originals!A311</f>
        <v>4-Vinnie</v>
      </c>
      <c r="B302" s="173" t="str">
        <f>Originals!B311</f>
        <v>NI-USI</v>
      </c>
      <c r="C302" s="173" t="str">
        <f>Originals!C311</f>
        <v>18.5.5.7372</v>
      </c>
      <c r="D302" s="173" t="str">
        <f>Originals!D311</f>
        <v>32</v>
      </c>
      <c r="E302" s="173" t="str">
        <f>Originals!E311</f>
        <v>2018</v>
      </c>
      <c r="F302" s="173" t="str">
        <f>Originals!F311</f>
        <v>Development</v>
      </c>
      <c r="G302" s="173" t="str">
        <f>Originals!G311</f>
        <v>NI</v>
      </c>
      <c r="H302" s="173" t="str">
        <f>Originals!H311</f>
        <v>NI-USI 18.5.5.7372</v>
      </c>
      <c r="I302" s="173">
        <f>Originals!I311</f>
        <v>0</v>
      </c>
    </row>
    <row r="303" spans="1:9" x14ac:dyDescent="0.25">
      <c r="A303" s="170" t="str">
        <f>Scott!A156</f>
        <v>3-Scott</v>
      </c>
      <c r="B303" s="170" t="str">
        <f>Scott!B156</f>
        <v>NI-VISA</v>
      </c>
      <c r="C303" s="170" t="str">
        <f>Scott!C156</f>
        <v>15.5</v>
      </c>
      <c r="D303" s="170">
        <f>Scott!D156</f>
        <v>32</v>
      </c>
      <c r="E303" s="170">
        <f>Scott!E156</f>
        <v>2015</v>
      </c>
      <c r="F303" s="170" t="str">
        <f>Scott!F156</f>
        <v>Development</v>
      </c>
      <c r="G303" s="170" t="str">
        <f>Scott!G156</f>
        <v>NI</v>
      </c>
      <c r="H303" s="170" t="str">
        <f>Scott!H156</f>
        <v>NI-VISA 15.5</v>
      </c>
      <c r="I303" s="170" t="str">
        <f>Scott!I156</f>
        <v>2015 SP1 Update Service</v>
      </c>
    </row>
    <row r="304" spans="1:9" x14ac:dyDescent="0.25">
      <c r="A304" s="170" t="str">
        <f>Scott!A157</f>
        <v>3-Scott</v>
      </c>
      <c r="B304" s="170" t="str">
        <f>Scott!B157</f>
        <v>NI-VISA</v>
      </c>
      <c r="C304" s="170" t="str">
        <f>Scott!C157</f>
        <v>15.5</v>
      </c>
      <c r="D304" s="170">
        <f>Scott!D157</f>
        <v>32</v>
      </c>
      <c r="E304" s="170">
        <f>Scott!E157</f>
        <v>2015</v>
      </c>
      <c r="F304" s="170" t="str">
        <f>Scott!F157</f>
        <v>Runtime</v>
      </c>
      <c r="G304" s="170" t="str">
        <f>Scott!G157</f>
        <v>NI</v>
      </c>
      <c r="H304" s="170" t="str">
        <f>Scott!H157</f>
        <v>NI-VISA 15.5</v>
      </c>
      <c r="I304" s="170" t="str">
        <f>Scott!I157</f>
        <v>2015 SP1 Update Service</v>
      </c>
    </row>
    <row r="305" spans="1:9" x14ac:dyDescent="0.25">
      <c r="A305" s="173" t="str">
        <f>Originals!A312</f>
        <v>4-Vinnie</v>
      </c>
      <c r="B305" s="173" t="str">
        <f>Originals!B312</f>
        <v>NI-VISA</v>
      </c>
      <c r="C305" s="173" t="str">
        <f>Originals!C312</f>
        <v>15.5.0</v>
      </c>
      <c r="D305" s="173" t="str">
        <f>Originals!D312</f>
        <v>32</v>
      </c>
      <c r="E305" s="173" t="str">
        <f>Originals!E312</f>
        <v>2015</v>
      </c>
      <c r="F305" s="173" t="str">
        <f>Originals!F312</f>
        <v>C-RIO</v>
      </c>
      <c r="G305" s="173" t="str">
        <f>Originals!G312</f>
        <v>NI</v>
      </c>
      <c r="H305" s="173" t="str">
        <f>Originals!H312</f>
        <v>NI-VISA 15.5.0</v>
      </c>
      <c r="I305" s="173">
        <f>Originals!I312</f>
        <v>0</v>
      </c>
    </row>
    <row r="306" spans="1:9" x14ac:dyDescent="0.25">
      <c r="A306" s="173" t="str">
        <f>Originals!A313</f>
        <v>4-Vinnie</v>
      </c>
      <c r="B306" s="173" t="str">
        <f>Originals!B313</f>
        <v>NI-VISA</v>
      </c>
      <c r="C306" s="173">
        <f>Originals!C313</f>
        <v>19.5</v>
      </c>
      <c r="D306" s="173" t="str">
        <f>Originals!D313</f>
        <v>32</v>
      </c>
      <c r="E306" s="173" t="str">
        <f>Originals!E313</f>
        <v>2019</v>
      </c>
      <c r="F306" s="173" t="str">
        <f>Originals!F313</f>
        <v>Development</v>
      </c>
      <c r="G306" s="173" t="str">
        <f>Originals!G313</f>
        <v>NI</v>
      </c>
      <c r="H306" s="173" t="str">
        <f>Originals!H313</f>
        <v>NI-VISA 19.5</v>
      </c>
      <c r="I306" s="173">
        <f>Originals!I313</f>
        <v>0</v>
      </c>
    </row>
    <row r="307" spans="1:9" x14ac:dyDescent="0.25">
      <c r="A307" s="173" t="str">
        <f>Originals!A314</f>
        <v>4-Vinnie</v>
      </c>
      <c r="B307" s="173" t="str">
        <f>Originals!B314</f>
        <v>NI-VISA</v>
      </c>
      <c r="C307" s="173">
        <f>Originals!C314</f>
        <v>19.5</v>
      </c>
      <c r="D307" s="173" t="str">
        <f>Originals!D314</f>
        <v>32</v>
      </c>
      <c r="E307" s="173" t="str">
        <f>Originals!E314</f>
        <v>2019</v>
      </c>
      <c r="F307" s="173" t="str">
        <f>Originals!F314</f>
        <v>Runtime</v>
      </c>
      <c r="G307" s="173" t="str">
        <f>Originals!G314</f>
        <v>NI</v>
      </c>
      <c r="H307" s="173" t="str">
        <f>Originals!H314</f>
        <v>NI-VISA 19.5</v>
      </c>
      <c r="I307" s="173">
        <f>Originals!I314</f>
        <v>0</v>
      </c>
    </row>
    <row r="308" spans="1:9" x14ac:dyDescent="0.25">
      <c r="A308" s="170" t="str">
        <f>Scott!A158</f>
        <v>3-Scott</v>
      </c>
      <c r="B308" s="170" t="str">
        <f>Scott!B158</f>
        <v>NIvisaic.exe</v>
      </c>
      <c r="C308" s="170" t="str">
        <f>Scott!C158</f>
        <v>15.0.0.49152</v>
      </c>
      <c r="D308" s="170">
        <f>Scott!D158</f>
        <v>32</v>
      </c>
      <c r="E308" s="170">
        <f>Scott!E158</f>
        <v>2015</v>
      </c>
      <c r="F308" s="170" t="str">
        <f>Scott!F158</f>
        <v>Development</v>
      </c>
      <c r="G308" s="170" t="str">
        <f>Scott!G158</f>
        <v>NI</v>
      </c>
      <c r="H308" s="170" t="str">
        <f>Scott!H158</f>
        <v>NIvisaic.exe 15.0.0.49152</v>
      </c>
      <c r="I308" s="170" t="str">
        <f>Scott!I158</f>
        <v>NI Developer Suite 2015 DS2 Install</v>
      </c>
    </row>
    <row r="309" spans="1:9" x14ac:dyDescent="0.25">
      <c r="A309" s="173" t="str">
        <f>Originals!A315</f>
        <v>4-Vinnie</v>
      </c>
      <c r="B309" s="173" t="str">
        <f>Originals!B315</f>
        <v>NIvisaic.exe</v>
      </c>
      <c r="C309" s="173" t="str">
        <f>Originals!C315</f>
        <v>18.5.0.49152</v>
      </c>
      <c r="D309" s="173" t="str">
        <f>Originals!D315</f>
        <v>32</v>
      </c>
      <c r="E309" s="173" t="str">
        <f>Originals!E315</f>
        <v>2018</v>
      </c>
      <c r="F309" s="173" t="str">
        <f>Originals!F315</f>
        <v>Development</v>
      </c>
      <c r="G309" s="173" t="str">
        <f>Originals!G315</f>
        <v>NI</v>
      </c>
      <c r="H309" s="173" t="str">
        <f>Originals!H315</f>
        <v>NIvisaic.exe 18.5.0.49152</v>
      </c>
      <c r="I309" s="173" t="str">
        <f>Originals!I315</f>
        <v>NI Developer Suite 2015 DS2 Install</v>
      </c>
    </row>
    <row r="310" spans="1:9" x14ac:dyDescent="0.25">
      <c r="A310" s="170" t="str">
        <f>Scott!A159</f>
        <v>3-Scott</v>
      </c>
      <c r="B310" s="170" t="str">
        <f>Scott!B159</f>
        <v>NiVisaServer.exe</v>
      </c>
      <c r="C310" s="170" t="str">
        <f>Scott!C159</f>
        <v>15.0.0.49152</v>
      </c>
      <c r="D310" s="170">
        <f>Scott!D159</f>
        <v>32</v>
      </c>
      <c r="E310" s="170">
        <f>Scott!E159</f>
        <v>2015</v>
      </c>
      <c r="F310" s="170" t="str">
        <f>Scott!F159</f>
        <v>Development</v>
      </c>
      <c r="G310" s="170" t="str">
        <f>Scott!G159</f>
        <v>NI</v>
      </c>
      <c r="H310" s="170" t="str">
        <f>Scott!H159</f>
        <v>NiVisaServer.exe 15.0.0.49152</v>
      </c>
      <c r="I310" s="170" t="str">
        <f>Scott!I159</f>
        <v>NI Developer Suite 2015 DS2 Install</v>
      </c>
    </row>
    <row r="311" spans="1:9" x14ac:dyDescent="0.25">
      <c r="A311" s="173" t="str">
        <f>Originals!A316</f>
        <v>4-Vinnie</v>
      </c>
      <c r="B311" s="173" t="str">
        <f>Originals!B316</f>
        <v>NiVisaServer.exe</v>
      </c>
      <c r="C311" s="173" t="str">
        <f>Originals!C316</f>
        <v>15.0.0.49152</v>
      </c>
      <c r="D311" s="173" t="str">
        <f>Originals!D316</f>
        <v>32</v>
      </c>
      <c r="E311" s="173">
        <f>Originals!E316</f>
        <v>2015</v>
      </c>
      <c r="F311" s="173" t="str">
        <f>Originals!F316</f>
        <v>Development</v>
      </c>
      <c r="G311" s="173" t="str">
        <f>Originals!G316</f>
        <v>NI</v>
      </c>
      <c r="H311" s="173" t="str">
        <f>Originals!H316</f>
        <v>NiVisaServer.exe 15.0.0.49152</v>
      </c>
      <c r="I311" s="173" t="str">
        <f>Originals!I316</f>
        <v>NI Developer Suite 2015 DS2 Install</v>
      </c>
    </row>
    <row r="312" spans="1:9" x14ac:dyDescent="0.25">
      <c r="A312" s="173" t="str">
        <f>Originals!A317</f>
        <v>4-Vinnie</v>
      </c>
      <c r="B312" s="173" t="str">
        <f>Originals!B317</f>
        <v>NI-Watchdog</v>
      </c>
      <c r="C312" s="173" t="str">
        <f>Originals!C317</f>
        <v>15.0.0</v>
      </c>
      <c r="D312" s="173" t="str">
        <f>Originals!D317</f>
        <v>32</v>
      </c>
      <c r="E312" s="173" t="str">
        <f>Originals!E317</f>
        <v>2015</v>
      </c>
      <c r="F312" s="173" t="str">
        <f>Originals!F317</f>
        <v>C-RIO</v>
      </c>
      <c r="G312" s="173" t="str">
        <f>Originals!G317</f>
        <v>NI</v>
      </c>
      <c r="H312" s="173" t="str">
        <f>Originals!H317</f>
        <v>NI-Watchdog 15.0.0</v>
      </c>
      <c r="I312" s="173">
        <f>Originals!I317</f>
        <v>0</v>
      </c>
    </row>
    <row r="313" spans="1:9" x14ac:dyDescent="0.25">
      <c r="A313" s="170" t="str">
        <f>Scott!A160</f>
        <v>3-Scott</v>
      </c>
      <c r="B313" s="170" t="str">
        <f>Scott!B160</f>
        <v>NI-XNET</v>
      </c>
      <c r="C313" s="170" t="str">
        <f>Scott!C160</f>
        <v>19.0.0f1</v>
      </c>
      <c r="D313" s="170" t="str">
        <f>Scott!D160</f>
        <v>32</v>
      </c>
      <c r="E313" s="170" t="str">
        <f>Scott!E160</f>
        <v>2019</v>
      </c>
      <c r="F313" s="170" t="str">
        <f>Scott!F160</f>
        <v>Runtime</v>
      </c>
      <c r="G313" s="170" t="str">
        <f>Scott!G160</f>
        <v>NI</v>
      </c>
      <c r="H313" s="170" t="str">
        <f>Scott!H160</f>
        <v>NI-XNET 2019 19.0.0f1</v>
      </c>
      <c r="I313" s="170" t="str">
        <f>Scott!I160</f>
        <v>LabVIEW 2019</v>
      </c>
    </row>
    <row r="314" spans="1:9" x14ac:dyDescent="0.25">
      <c r="A314" s="170" t="str">
        <f>Scott!A206</f>
        <v>3-Scott</v>
      </c>
      <c r="B314" s="170" t="str">
        <f>Scott!B206</f>
        <v>NI-XNET</v>
      </c>
      <c r="C314" s="170" t="str">
        <f>Scott!C206</f>
        <v>18.5.0f0</v>
      </c>
      <c r="D314" s="170" t="str">
        <f>Scott!D206</f>
        <v>32</v>
      </c>
      <c r="E314" s="170" t="str">
        <f>Scott!E206</f>
        <v>2018</v>
      </c>
      <c r="F314" s="170" t="str">
        <f>Scott!F206</f>
        <v>Development</v>
      </c>
      <c r="G314" s="170" t="str">
        <f>Scott!G206</f>
        <v>NI</v>
      </c>
      <c r="H314" s="170" t="str">
        <f>Scott!H206</f>
        <v>NI-XNET 18.5.0f0</v>
      </c>
      <c r="I314" s="170" t="str">
        <f>Scott!I206</f>
        <v>NI-XNET 18.5</v>
      </c>
    </row>
    <row r="315" spans="1:9" x14ac:dyDescent="0.25">
      <c r="A315" s="173" t="str">
        <f>Originals!A318</f>
        <v>4-Vinnie</v>
      </c>
      <c r="B315" s="173" t="str">
        <f>Originals!B318</f>
        <v>NI-XNET</v>
      </c>
      <c r="C315" s="173" t="str">
        <f>Originals!C318</f>
        <v>18.5.0f0</v>
      </c>
      <c r="D315" s="173" t="str">
        <f>Originals!D318</f>
        <v>32</v>
      </c>
      <c r="E315" s="173" t="str">
        <f>Originals!E318</f>
        <v>2018</v>
      </c>
      <c r="F315" s="173" t="str">
        <f>Originals!F318</f>
        <v>Development</v>
      </c>
      <c r="G315" s="173" t="str">
        <f>Originals!G318</f>
        <v>NI</v>
      </c>
      <c r="H315" s="173" t="str">
        <f>Originals!H318</f>
        <v>NI-XNET 18.5.0f0</v>
      </c>
      <c r="I315" s="173">
        <f>Originals!I318</f>
        <v>0</v>
      </c>
    </row>
    <row r="316" spans="1:9" x14ac:dyDescent="0.25">
      <c r="A316" s="173" t="str">
        <f>Originals!A319</f>
        <v>4-Vinnie</v>
      </c>
      <c r="B316" s="173" t="str">
        <f>Originals!B319</f>
        <v>NI-XNET</v>
      </c>
      <c r="C316" s="173" t="str">
        <f>Originals!C319</f>
        <v>18.5.0f1</v>
      </c>
      <c r="D316" s="173" t="str">
        <f>Originals!D319</f>
        <v>32</v>
      </c>
      <c r="E316" s="173" t="str">
        <f>Originals!E319</f>
        <v>2018</v>
      </c>
      <c r="F316" s="173" t="str">
        <f>Originals!F319</f>
        <v>Runtime</v>
      </c>
      <c r="G316" s="173" t="str">
        <f>Originals!G319</f>
        <v>NI</v>
      </c>
      <c r="H316" s="173" t="str">
        <f>Originals!H319</f>
        <v>NI-XNET 18.5.0f1</v>
      </c>
      <c r="I316" s="173">
        <f>Originals!I319</f>
        <v>0</v>
      </c>
    </row>
    <row r="317" spans="1:9" x14ac:dyDescent="0.25">
      <c r="A317" s="170" t="str">
        <f>Scott!A161</f>
        <v>3-Scott</v>
      </c>
      <c r="B317" s="170" t="str">
        <f>Scott!B161</f>
        <v>Open Source GOOP Development Suite</v>
      </c>
      <c r="C317" s="170" t="str">
        <f>Scott!C161</f>
        <v>1.1.17.56</v>
      </c>
      <c r="D317" s="170" t="str">
        <f>Scott!D161</f>
        <v>32</v>
      </c>
      <c r="E317" s="170" t="str">
        <f>Scott!E161</f>
        <v>N/A</v>
      </c>
      <c r="F317" s="170" t="str">
        <f>Scott!F161</f>
        <v>Development</v>
      </c>
      <c r="G317" s="170" t="str">
        <f>Scott!G161</f>
        <v>OpenG.org</v>
      </c>
      <c r="H317" s="170" t="str">
        <f>Scott!H161</f>
        <v>Open Source GOOP Development Suite 1.1.17.56</v>
      </c>
      <c r="I317" s="170" t="str">
        <f>Scott!I161</f>
        <v>VIPM Community</v>
      </c>
    </row>
    <row r="318" spans="1:9" x14ac:dyDescent="0.25">
      <c r="A318" s="170" t="str">
        <f>Scott!A162</f>
        <v>3-Scott</v>
      </c>
      <c r="B318" s="170" t="str">
        <f>Scott!B162</f>
        <v>OpenG Application Control Library</v>
      </c>
      <c r="C318" s="170" t="str">
        <f>Scott!C162</f>
        <v>4.1.0.7</v>
      </c>
      <c r="D318" s="170" t="str">
        <f>Scott!D162</f>
        <v>32</v>
      </c>
      <c r="E318" s="170" t="str">
        <f>Scott!E162</f>
        <v>N/A</v>
      </c>
      <c r="F318" s="170" t="str">
        <f>Scott!F162</f>
        <v>Development</v>
      </c>
      <c r="G318" s="170" t="str">
        <f>Scott!G162</f>
        <v>OpenG.org</v>
      </c>
      <c r="H318" s="170" t="str">
        <f>Scott!H162</f>
        <v>OpenG Application Control Library 4.1.0.7</v>
      </c>
      <c r="I318" s="170" t="str">
        <f>Scott!I162</f>
        <v>VIPM Community</v>
      </c>
    </row>
    <row r="319" spans="1:9" x14ac:dyDescent="0.25">
      <c r="A319" s="173" t="str">
        <f>Originals!A320</f>
        <v>4-Vinnie</v>
      </c>
      <c r="B319" s="173" t="str">
        <f>Originals!B320</f>
        <v>OpenG Application Control Library</v>
      </c>
      <c r="C319" s="173" t="str">
        <f>Originals!C320</f>
        <v>4.1.0.7</v>
      </c>
      <c r="D319" s="173" t="str">
        <f>Originals!D320</f>
        <v>32</v>
      </c>
      <c r="E319" s="173" t="str">
        <f>Originals!E320</f>
        <v>N/A</v>
      </c>
      <c r="F319" s="173" t="str">
        <f>Originals!F320</f>
        <v>Development</v>
      </c>
      <c r="G319" s="173" t="str">
        <f>Originals!G320</f>
        <v>OpenG.org</v>
      </c>
      <c r="H319" s="173" t="str">
        <f>Originals!H320</f>
        <v>OpenG Application Control Library 4.1.0.7</v>
      </c>
      <c r="I319" s="173" t="str">
        <f>Originals!I320</f>
        <v>VIPM Community</v>
      </c>
    </row>
    <row r="320" spans="1:9" x14ac:dyDescent="0.25">
      <c r="A320" s="170" t="str">
        <f>Scott!A163</f>
        <v>3-Scott</v>
      </c>
      <c r="B320" s="170" t="str">
        <f>Scott!B163</f>
        <v>OpenG Array Library</v>
      </c>
      <c r="C320" s="170" t="str">
        <f>Scott!C163</f>
        <v>4.1.1.14</v>
      </c>
      <c r="D320" s="170" t="str">
        <f>Scott!D163</f>
        <v>32</v>
      </c>
      <c r="E320" s="170" t="str">
        <f>Scott!E163</f>
        <v>N/A</v>
      </c>
      <c r="F320" s="170" t="str">
        <f>Scott!F163</f>
        <v>Development</v>
      </c>
      <c r="G320" s="170" t="str">
        <f>Scott!G163</f>
        <v>OpenG.org</v>
      </c>
      <c r="H320" s="170" t="str">
        <f>Scott!H163</f>
        <v>OpenG Array Library 4.1.1.14</v>
      </c>
      <c r="I320" s="170" t="str">
        <f>Scott!I163</f>
        <v>VIPM Community</v>
      </c>
    </row>
    <row r="321" spans="1:9" x14ac:dyDescent="0.25">
      <c r="A321" s="173" t="str">
        <f>Originals!A321</f>
        <v>4-Vinnie</v>
      </c>
      <c r="B321" s="173" t="str">
        <f>Originals!B321</f>
        <v>OpenG Array Library</v>
      </c>
      <c r="C321" s="173" t="str">
        <f>Originals!C321</f>
        <v>4.1.1.14</v>
      </c>
      <c r="D321" s="173" t="str">
        <f>Originals!D321</f>
        <v>32</v>
      </c>
      <c r="E321" s="173" t="str">
        <f>Originals!E321</f>
        <v>N/A</v>
      </c>
      <c r="F321" s="173" t="str">
        <f>Originals!F321</f>
        <v>Development</v>
      </c>
      <c r="G321" s="173" t="str">
        <f>Originals!G321</f>
        <v>OpenG.org</v>
      </c>
      <c r="H321" s="173" t="str">
        <f>Originals!H321</f>
        <v>OpenG Array Library 4.1.1.14</v>
      </c>
      <c r="I321" s="173" t="str">
        <f>Originals!I321</f>
        <v>VIPM Community</v>
      </c>
    </row>
    <row r="322" spans="1:9" x14ac:dyDescent="0.25">
      <c r="A322" s="170" t="str">
        <f>Scott!A164</f>
        <v>3-Scott</v>
      </c>
      <c r="B322" s="170" t="str">
        <f>Scott!B164</f>
        <v>OpenG Boolean Library</v>
      </c>
      <c r="C322" s="170" t="str">
        <f>Scott!C164</f>
        <v>4.0.0.7</v>
      </c>
      <c r="D322" s="170" t="str">
        <f>Scott!D164</f>
        <v>32</v>
      </c>
      <c r="E322" s="170" t="str">
        <f>Scott!E164</f>
        <v>N/A</v>
      </c>
      <c r="F322" s="170" t="str">
        <f>Scott!F164</f>
        <v>Development</v>
      </c>
      <c r="G322" s="170" t="str">
        <f>Scott!G164</f>
        <v>OpenG.org</v>
      </c>
      <c r="H322" s="170" t="str">
        <f>Scott!H164</f>
        <v>OpenG Boolean Library 4.0.0.7</v>
      </c>
      <c r="I322" s="170" t="str">
        <f>Scott!I164</f>
        <v>VIPM Community</v>
      </c>
    </row>
    <row r="323" spans="1:9" x14ac:dyDescent="0.25">
      <c r="A323" s="173" t="str">
        <f>Originals!A322</f>
        <v>4-Vinnie</v>
      </c>
      <c r="B323" s="173" t="str">
        <f>Originals!B322</f>
        <v>OpenG Boolean Library</v>
      </c>
      <c r="C323" s="173" t="str">
        <f>Originals!C322</f>
        <v>4.0.0.7</v>
      </c>
      <c r="D323" s="173" t="str">
        <f>Originals!D322</f>
        <v>32</v>
      </c>
      <c r="E323" s="173" t="str">
        <f>Originals!E322</f>
        <v>N/A</v>
      </c>
      <c r="F323" s="173" t="str">
        <f>Originals!F322</f>
        <v>Development</v>
      </c>
      <c r="G323" s="173" t="str">
        <f>Originals!G322</f>
        <v>OpenG.org</v>
      </c>
      <c r="H323" s="173" t="str">
        <f>Originals!H322</f>
        <v>OpenG Boolean Library 4.0.0.7</v>
      </c>
      <c r="I323" s="173" t="str">
        <f>Originals!I322</f>
        <v>VIPM Community</v>
      </c>
    </row>
    <row r="324" spans="1:9" x14ac:dyDescent="0.25">
      <c r="A324" s="170" t="str">
        <f>Scott!A165</f>
        <v>3-Scott</v>
      </c>
      <c r="B324" s="170" t="str">
        <f>Scott!B165</f>
        <v>OpenG Builder</v>
      </c>
      <c r="C324" s="170" t="str">
        <f>Scott!C165</f>
        <v>3.0.1-2</v>
      </c>
      <c r="D324" s="170" t="str">
        <f>Scott!D165</f>
        <v>32</v>
      </c>
      <c r="E324" s="170" t="str">
        <f>Scott!E165</f>
        <v>N/A</v>
      </c>
      <c r="F324" s="170" t="str">
        <f>Scott!F165</f>
        <v>Development</v>
      </c>
      <c r="G324" s="170" t="str">
        <f>Scott!G165</f>
        <v>OpenG.org</v>
      </c>
      <c r="H324" s="170" t="str">
        <f>Scott!H165</f>
        <v>OpenG Builder 3.0.1-2</v>
      </c>
      <c r="I324" s="170" t="str">
        <f>Scott!I165</f>
        <v>VIPM Community</v>
      </c>
    </row>
    <row r="325" spans="1:9" x14ac:dyDescent="0.25">
      <c r="A325" s="173" t="str">
        <f>Originals!A323</f>
        <v>4-Vinnie</v>
      </c>
      <c r="B325" s="173" t="str">
        <f>Originals!B323</f>
        <v>OpenG Builder</v>
      </c>
      <c r="C325" s="173" t="str">
        <f>Originals!C323</f>
        <v>3.0.1-2</v>
      </c>
      <c r="D325" s="173" t="str">
        <f>Originals!D323</f>
        <v>32</v>
      </c>
      <c r="E325" s="173" t="str">
        <f>Originals!E323</f>
        <v>N/A</v>
      </c>
      <c r="F325" s="173" t="str">
        <f>Originals!F323</f>
        <v>Development</v>
      </c>
      <c r="G325" s="173" t="str">
        <f>Originals!G323</f>
        <v>OpenG.org</v>
      </c>
      <c r="H325" s="173" t="str">
        <f>Originals!H323</f>
        <v>OpenG Builder 3.0.1-2</v>
      </c>
      <c r="I325" s="173" t="str">
        <f>Originals!I323</f>
        <v>VIPM Community</v>
      </c>
    </row>
    <row r="326" spans="1:9" x14ac:dyDescent="0.25">
      <c r="A326" s="170" t="str">
        <f>Scott!A166</f>
        <v>3-Scott</v>
      </c>
      <c r="B326" s="170" t="str">
        <f>Scott!B166</f>
        <v>OpenG Buttons Library</v>
      </c>
      <c r="C326" s="170" t="str">
        <f>Scott!C166</f>
        <v>4.0.0.7</v>
      </c>
      <c r="D326" s="170" t="str">
        <f>Scott!D166</f>
        <v>32</v>
      </c>
      <c r="E326" s="170" t="str">
        <f>Scott!E166</f>
        <v>N/A</v>
      </c>
      <c r="F326" s="170" t="str">
        <f>Scott!F166</f>
        <v>Development</v>
      </c>
      <c r="G326" s="170" t="str">
        <f>Scott!G166</f>
        <v>OpenG.org</v>
      </c>
      <c r="H326" s="170" t="str">
        <f>Scott!H166</f>
        <v>OpenG Buttons Library 4.0.0.7</v>
      </c>
      <c r="I326" s="170" t="str">
        <f>Scott!I166</f>
        <v>VIPM Community</v>
      </c>
    </row>
    <row r="327" spans="1:9" x14ac:dyDescent="0.25">
      <c r="A327" s="173" t="str">
        <f>Originals!A324</f>
        <v>4-Vinnie</v>
      </c>
      <c r="B327" s="173" t="str">
        <f>Originals!B324</f>
        <v>OpenG Buttons Library</v>
      </c>
      <c r="C327" s="173" t="str">
        <f>Originals!C324</f>
        <v>4.0.0.7</v>
      </c>
      <c r="D327" s="173" t="str">
        <f>Originals!D324</f>
        <v>32</v>
      </c>
      <c r="E327" s="173" t="str">
        <f>Originals!E324</f>
        <v>N/A</v>
      </c>
      <c r="F327" s="173" t="str">
        <f>Originals!F324</f>
        <v>Development</v>
      </c>
      <c r="G327" s="173" t="str">
        <f>Originals!G324</f>
        <v>OpenG.org</v>
      </c>
      <c r="H327" s="173" t="str">
        <f>Originals!H324</f>
        <v>OpenG Buttons Library 4.0.0.7</v>
      </c>
      <c r="I327" s="173" t="str">
        <f>Originals!I324</f>
        <v>VIPM Community</v>
      </c>
    </row>
    <row r="328" spans="1:9" x14ac:dyDescent="0.25">
      <c r="A328" s="170" t="str">
        <f>Scott!A167</f>
        <v>3-Scott</v>
      </c>
      <c r="B328" s="170" t="str">
        <f>Scott!B167</f>
        <v>OpenG Compare VI To Disk Tool</v>
      </c>
      <c r="C328" s="170" t="str">
        <f>Scott!C167</f>
        <v>4.0.0.9</v>
      </c>
      <c r="D328" s="170" t="str">
        <f>Scott!D167</f>
        <v>32</v>
      </c>
      <c r="E328" s="170" t="str">
        <f>Scott!E167</f>
        <v>N/A</v>
      </c>
      <c r="F328" s="170" t="str">
        <f>Scott!F167</f>
        <v>Development</v>
      </c>
      <c r="G328" s="170" t="str">
        <f>Scott!G167</f>
        <v>OpenG.org</v>
      </c>
      <c r="H328" s="170" t="str">
        <f>Scott!H167</f>
        <v>OpenG Compare VI To Disk Tool 4.0.0.9</v>
      </c>
      <c r="I328" s="170" t="str">
        <f>Scott!I167</f>
        <v>VIPM Community</v>
      </c>
    </row>
    <row r="329" spans="1:9" x14ac:dyDescent="0.25">
      <c r="A329" s="173" t="str">
        <f>Originals!A325</f>
        <v>4-Vinnie</v>
      </c>
      <c r="B329" s="173" t="str">
        <f>Originals!B325</f>
        <v>OpenG Compare VI To Disk Tool</v>
      </c>
      <c r="C329" s="173" t="str">
        <f>Originals!C325</f>
        <v>4.0.0.9</v>
      </c>
      <c r="D329" s="173" t="str">
        <f>Originals!D325</f>
        <v>32</v>
      </c>
      <c r="E329" s="173" t="str">
        <f>Originals!E325</f>
        <v>N/A</v>
      </c>
      <c r="F329" s="173" t="str">
        <f>Originals!F325</f>
        <v>Development</v>
      </c>
      <c r="G329" s="173" t="str">
        <f>Originals!G325</f>
        <v>OpenG.org</v>
      </c>
      <c r="H329" s="173" t="str">
        <f>Originals!H325</f>
        <v>OpenG Compare VI To Disk Tool 4.0.0.9</v>
      </c>
      <c r="I329" s="173" t="str">
        <f>Originals!I325</f>
        <v>VIPM Community</v>
      </c>
    </row>
    <row r="330" spans="1:9" x14ac:dyDescent="0.25">
      <c r="A330" s="170" t="str">
        <f>Scott!A168</f>
        <v>3-Scott</v>
      </c>
      <c r="B330" s="170" t="str">
        <f>Scott!B168</f>
        <v>OpenG Comparison Library</v>
      </c>
      <c r="C330" s="170" t="str">
        <f>Scott!C168</f>
        <v>4.0.0.3</v>
      </c>
      <c r="D330" s="170" t="str">
        <f>Scott!D168</f>
        <v>32</v>
      </c>
      <c r="E330" s="170" t="str">
        <f>Scott!E168</f>
        <v>N/A</v>
      </c>
      <c r="F330" s="170" t="str">
        <f>Scott!F168</f>
        <v>Development</v>
      </c>
      <c r="G330" s="170" t="str">
        <f>Scott!G168</f>
        <v>OpenG.org</v>
      </c>
      <c r="H330" s="170" t="str">
        <f>Scott!H168</f>
        <v>OpenG Comparison Library 4.0.0.3</v>
      </c>
      <c r="I330" s="170" t="str">
        <f>Scott!I168</f>
        <v>VIPM Community</v>
      </c>
    </row>
    <row r="331" spans="1:9" x14ac:dyDescent="0.25">
      <c r="A331" s="173" t="str">
        <f>Originals!A326</f>
        <v>4-Vinnie</v>
      </c>
      <c r="B331" s="173" t="str">
        <f>Originals!B326</f>
        <v>OpenG Comparison Library</v>
      </c>
      <c r="C331" s="173" t="str">
        <f>Originals!C326</f>
        <v>4.0.0.3</v>
      </c>
      <c r="D331" s="173" t="str">
        <f>Originals!D326</f>
        <v>32</v>
      </c>
      <c r="E331" s="173" t="str">
        <f>Originals!E326</f>
        <v>N/A</v>
      </c>
      <c r="F331" s="173" t="str">
        <f>Originals!F326</f>
        <v>Development</v>
      </c>
      <c r="G331" s="173" t="str">
        <f>Originals!G326</f>
        <v>OpenG.org</v>
      </c>
      <c r="H331" s="173" t="str">
        <f>Originals!H326</f>
        <v>OpenG Comparison Library 4.0.0.3</v>
      </c>
      <c r="I331" s="173" t="str">
        <f>Originals!I326</f>
        <v>VIPM Community</v>
      </c>
    </row>
    <row r="332" spans="1:9" x14ac:dyDescent="0.25">
      <c r="A332" s="170" t="str">
        <f>Scott!A169</f>
        <v>3-Scott</v>
      </c>
      <c r="B332" s="170" t="str">
        <f>Scott!B169</f>
        <v>OpenG Dictionary Library</v>
      </c>
      <c r="C332" s="170" t="str">
        <f>Scott!C169</f>
        <v>4.0.0.4</v>
      </c>
      <c r="D332" s="170" t="str">
        <f>Scott!D169</f>
        <v>32</v>
      </c>
      <c r="E332" s="170" t="str">
        <f>Scott!E169</f>
        <v>N/A</v>
      </c>
      <c r="F332" s="170" t="str">
        <f>Scott!F169</f>
        <v>Development</v>
      </c>
      <c r="G332" s="170" t="str">
        <f>Scott!G169</f>
        <v>OpenG.org</v>
      </c>
      <c r="H332" s="170" t="str">
        <f>Scott!H169</f>
        <v>OpenG Dictionary Library 4.0.0.4</v>
      </c>
      <c r="I332" s="170" t="str">
        <f>Scott!I169</f>
        <v>VIPM Community</v>
      </c>
    </row>
    <row r="333" spans="1:9" x14ac:dyDescent="0.25">
      <c r="A333" s="173" t="str">
        <f>Originals!A327</f>
        <v>4-Vinnie</v>
      </c>
      <c r="B333" s="173" t="str">
        <f>Originals!B327</f>
        <v>OpenG Dictionary Library</v>
      </c>
      <c r="C333" s="173" t="str">
        <f>Originals!C327</f>
        <v>4.0.0.4</v>
      </c>
      <c r="D333" s="173" t="str">
        <f>Originals!D327</f>
        <v>32</v>
      </c>
      <c r="E333" s="173" t="str">
        <f>Originals!E327</f>
        <v>N/A</v>
      </c>
      <c r="F333" s="173" t="str">
        <f>Originals!F327</f>
        <v>Development</v>
      </c>
      <c r="G333" s="173" t="str">
        <f>Originals!G327</f>
        <v>OpenG.org</v>
      </c>
      <c r="H333" s="173" t="str">
        <f>Originals!H327</f>
        <v>OpenG Dictionary Library 4.0.0.4</v>
      </c>
      <c r="I333" s="173" t="str">
        <f>Originals!I327</f>
        <v>VIPM Community</v>
      </c>
    </row>
    <row r="334" spans="1:9" x14ac:dyDescent="0.25">
      <c r="A334" s="170" t="str">
        <f>Scott!A170</f>
        <v>3-Scott</v>
      </c>
      <c r="B334" s="170" t="str">
        <f>Scott!B170</f>
        <v>OpenG Error Library</v>
      </c>
      <c r="C334" s="170" t="str">
        <f>Scott!C170</f>
        <v>4.2.0.23</v>
      </c>
      <c r="D334" s="170" t="str">
        <f>Scott!D170</f>
        <v>32</v>
      </c>
      <c r="E334" s="170" t="str">
        <f>Scott!E170</f>
        <v>N/A</v>
      </c>
      <c r="F334" s="170" t="str">
        <f>Scott!F170</f>
        <v>Development</v>
      </c>
      <c r="G334" s="170" t="str">
        <f>Scott!G170</f>
        <v>OpenG.org</v>
      </c>
      <c r="H334" s="170" t="str">
        <f>Scott!H170</f>
        <v>OpenG Error Library 4.2.0.23</v>
      </c>
      <c r="I334" s="170" t="str">
        <f>Scott!I170</f>
        <v>VIPM Community</v>
      </c>
    </row>
    <row r="335" spans="1:9" x14ac:dyDescent="0.25">
      <c r="A335" s="173" t="str">
        <f>Originals!A328</f>
        <v>4-Vinnie</v>
      </c>
      <c r="B335" s="173" t="str">
        <f>Originals!B328</f>
        <v>OpenG Error Library</v>
      </c>
      <c r="C335" s="173" t="str">
        <f>Originals!C328</f>
        <v>4.2.0.23</v>
      </c>
      <c r="D335" s="173" t="str">
        <f>Originals!D328</f>
        <v>32</v>
      </c>
      <c r="E335" s="173" t="str">
        <f>Originals!E328</f>
        <v>N/A</v>
      </c>
      <c r="F335" s="173" t="str">
        <f>Originals!F328</f>
        <v>Development</v>
      </c>
      <c r="G335" s="173" t="str">
        <f>Originals!G328</f>
        <v>OpenG.org</v>
      </c>
      <c r="H335" s="173" t="str">
        <f>Originals!H328</f>
        <v>OpenG Error Library 4.2.0.23</v>
      </c>
      <c r="I335" s="173" t="str">
        <f>Originals!I328</f>
        <v>VIPM Community</v>
      </c>
    </row>
    <row r="336" spans="1:9" x14ac:dyDescent="0.25">
      <c r="A336" s="170" t="str">
        <f>Scott!A171</f>
        <v>3-Scott</v>
      </c>
      <c r="B336" s="170" t="str">
        <f>Scott!B171</f>
        <v>OpenG File Library</v>
      </c>
      <c r="C336" s="170" t="str">
        <f>Scott!C171</f>
        <v>4.0.1.22</v>
      </c>
      <c r="D336" s="170" t="str">
        <f>Scott!D171</f>
        <v>32</v>
      </c>
      <c r="E336" s="170" t="str">
        <f>Scott!E171</f>
        <v>N/A</v>
      </c>
      <c r="F336" s="170" t="str">
        <f>Scott!F171</f>
        <v>Development</v>
      </c>
      <c r="G336" s="170" t="str">
        <f>Scott!G171</f>
        <v>OpenG.org</v>
      </c>
      <c r="H336" s="170" t="str">
        <f>Scott!H171</f>
        <v>OpenG File Library 4.0.1.22</v>
      </c>
      <c r="I336" s="170" t="str">
        <f>Scott!I171</f>
        <v>VIPM Community</v>
      </c>
    </row>
    <row r="337" spans="1:9" x14ac:dyDescent="0.25">
      <c r="A337" s="173" t="str">
        <f>Originals!A329</f>
        <v>4-Vinnie</v>
      </c>
      <c r="B337" s="173" t="str">
        <f>Originals!B329</f>
        <v>OpenG File Library</v>
      </c>
      <c r="C337" s="173" t="str">
        <f>Originals!C329</f>
        <v>4.0.1.22</v>
      </c>
      <c r="D337" s="173" t="str">
        <f>Originals!D329</f>
        <v>32</v>
      </c>
      <c r="E337" s="173" t="str">
        <f>Originals!E329</f>
        <v>N/A</v>
      </c>
      <c r="F337" s="173" t="str">
        <f>Originals!F329</f>
        <v>Development</v>
      </c>
      <c r="G337" s="173" t="str">
        <f>Originals!G329</f>
        <v>OpenG.org</v>
      </c>
      <c r="H337" s="173" t="str">
        <f>Originals!H329</f>
        <v>OpenG File Library 4.0.1.22</v>
      </c>
      <c r="I337" s="173" t="str">
        <f>Originals!I329</f>
        <v>VIPM Community</v>
      </c>
    </row>
    <row r="338" spans="1:9" x14ac:dyDescent="0.25">
      <c r="A338" s="170" t="str">
        <f>Scott!A172</f>
        <v>3-Scott</v>
      </c>
      <c r="B338" s="170" t="str">
        <f>Scott!B172</f>
        <v>OpenG LabPython Library</v>
      </c>
      <c r="C338" s="170" t="str">
        <f>Scott!C172</f>
        <v>4.0.0.4</v>
      </c>
      <c r="D338" s="170" t="str">
        <f>Scott!D172</f>
        <v>32</v>
      </c>
      <c r="E338" s="170" t="str">
        <f>Scott!E172</f>
        <v>N/A</v>
      </c>
      <c r="F338" s="170" t="str">
        <f>Scott!F172</f>
        <v>Development</v>
      </c>
      <c r="G338" s="170" t="str">
        <f>Scott!G172</f>
        <v>OpenG_org</v>
      </c>
      <c r="H338" s="170" t="str">
        <f>Scott!H172</f>
        <v>OpenG LabPython Library 4.0.0.4</v>
      </c>
      <c r="I338" s="170" t="str">
        <f>Scott!I172</f>
        <v>VIPM Community</v>
      </c>
    </row>
    <row r="339" spans="1:9" x14ac:dyDescent="0.25">
      <c r="A339" s="173" t="str">
        <f>Originals!A330</f>
        <v>4-Vinnie</v>
      </c>
      <c r="B339" s="173" t="str">
        <f>Originals!B330</f>
        <v>OpenG LabPython Library</v>
      </c>
      <c r="C339" s="173" t="str">
        <f>Originals!C330</f>
        <v>4.0.0.4</v>
      </c>
      <c r="D339" s="173" t="str">
        <f>Originals!D330</f>
        <v>32</v>
      </c>
      <c r="E339" s="173" t="str">
        <f>Originals!E330</f>
        <v>N/A</v>
      </c>
      <c r="F339" s="173" t="str">
        <f>Originals!F330</f>
        <v>Development</v>
      </c>
      <c r="G339" s="173" t="str">
        <f>Originals!G330</f>
        <v>OpenG_org</v>
      </c>
      <c r="H339" s="173" t="str">
        <f>Originals!H330</f>
        <v>OpenG LabPython Library 4.0.0.4</v>
      </c>
      <c r="I339" s="173" t="str">
        <f>Originals!I330</f>
        <v>VIPM Community</v>
      </c>
    </row>
    <row r="340" spans="1:9" x14ac:dyDescent="0.25">
      <c r="A340" s="170" t="str">
        <f>Scott!A173</f>
        <v>3-Scott</v>
      </c>
      <c r="B340" s="170" t="str">
        <f>Scott!B173</f>
        <v>OpenG LabVIEW Data Library</v>
      </c>
      <c r="C340" s="170" t="str">
        <f>Scott!C173</f>
        <v>4.2.0.21</v>
      </c>
      <c r="D340" s="170" t="str">
        <f>Scott!D173</f>
        <v>32</v>
      </c>
      <c r="E340" s="170" t="str">
        <f>Scott!E173</f>
        <v>N/A</v>
      </c>
      <c r="F340" s="170" t="str">
        <f>Scott!F173</f>
        <v>Development</v>
      </c>
      <c r="G340" s="170" t="str">
        <f>Scott!G173</f>
        <v>LAVA</v>
      </c>
      <c r="H340" s="170" t="str">
        <f>Scott!H173</f>
        <v>OpenG LabVIEW Data Library 4.2.0.21</v>
      </c>
      <c r="I340" s="170" t="str">
        <f>Scott!I173</f>
        <v>VIPM Community</v>
      </c>
    </row>
    <row r="341" spans="1:9" x14ac:dyDescent="0.25">
      <c r="A341" s="173" t="str">
        <f>Originals!A331</f>
        <v>4-Vinnie</v>
      </c>
      <c r="B341" s="173" t="str">
        <f>Originals!B331</f>
        <v>OpenG LabVIEW Data Library</v>
      </c>
      <c r="C341" s="173" t="str">
        <f>Originals!C331</f>
        <v>4.2.0.21</v>
      </c>
      <c r="D341" s="173" t="str">
        <f>Originals!D331</f>
        <v>32</v>
      </c>
      <c r="E341" s="173" t="str">
        <f>Originals!E331</f>
        <v>N/A</v>
      </c>
      <c r="F341" s="173" t="str">
        <f>Originals!F331</f>
        <v>Development</v>
      </c>
      <c r="G341" s="173" t="str">
        <f>Originals!G331</f>
        <v>Openg.org</v>
      </c>
      <c r="H341" s="173" t="str">
        <f>Originals!H331</f>
        <v>OpenG LabVIEW Data Library 4.2.0.21</v>
      </c>
      <c r="I341" s="173" t="str">
        <f>Originals!I331</f>
        <v>VIPM Community</v>
      </c>
    </row>
    <row r="342" spans="1:9" x14ac:dyDescent="0.25">
      <c r="A342" s="170" t="str">
        <f>Scott!A174</f>
        <v>3-Scott</v>
      </c>
      <c r="B342" s="170" t="str">
        <f>Scott!B174</f>
        <v>OpenG LabVIEW ZIP Library</v>
      </c>
      <c r="C342" s="170" t="str">
        <f>Scott!C174</f>
        <v>4.0.0-2</v>
      </c>
      <c r="D342" s="170" t="str">
        <f>Scott!D174</f>
        <v>32</v>
      </c>
      <c r="E342" s="170" t="str">
        <f>Scott!E174</f>
        <v>N/A</v>
      </c>
      <c r="F342" s="170" t="str">
        <f>Scott!F174</f>
        <v>Development</v>
      </c>
      <c r="G342" s="170" t="str">
        <f>Scott!G174</f>
        <v>OpenG.org</v>
      </c>
      <c r="H342" s="170" t="str">
        <f>Scott!H174</f>
        <v>OpenG LabVIEW ZIP Library 4.0.0-2</v>
      </c>
      <c r="I342" s="170" t="str">
        <f>Scott!I174</f>
        <v>VIPM Community</v>
      </c>
    </row>
    <row r="343" spans="1:9" x14ac:dyDescent="0.25">
      <c r="A343" s="173" t="str">
        <f>Originals!A332</f>
        <v>4-Vinnie</v>
      </c>
      <c r="B343" s="173" t="str">
        <f>Originals!B332</f>
        <v>OpenG LabVIEW ZIP Library</v>
      </c>
      <c r="C343" s="173" t="str">
        <f>Originals!C332</f>
        <v>4.0.0-2</v>
      </c>
      <c r="D343" s="173" t="str">
        <f>Originals!D332</f>
        <v>32</v>
      </c>
      <c r="E343" s="173" t="str">
        <f>Originals!E332</f>
        <v>N/A</v>
      </c>
      <c r="F343" s="173" t="str">
        <f>Originals!F332</f>
        <v>Development</v>
      </c>
      <c r="G343" s="173" t="str">
        <f>Originals!G332</f>
        <v>OpenG.org</v>
      </c>
      <c r="H343" s="173" t="str">
        <f>Originals!H332</f>
        <v>OpenG LabVIEW ZIP Library 4.0.0-2</v>
      </c>
      <c r="I343" s="173" t="str">
        <f>Originals!I332</f>
        <v>VIPM Community</v>
      </c>
    </row>
    <row r="344" spans="1:9" x14ac:dyDescent="0.25">
      <c r="A344" s="170" t="str">
        <f>Scott!A175</f>
        <v>3-Scott</v>
      </c>
      <c r="B344" s="170" t="str">
        <f>Scott!B175</f>
        <v>OpenG Large File Library</v>
      </c>
      <c r="C344" s="170" t="str">
        <f>Scott!C175</f>
        <v>4.0.0.3</v>
      </c>
      <c r="D344" s="170" t="str">
        <f>Scott!D175</f>
        <v>32</v>
      </c>
      <c r="E344" s="170" t="str">
        <f>Scott!E175</f>
        <v>N/A</v>
      </c>
      <c r="F344" s="170" t="str">
        <f>Scott!F175</f>
        <v>Development</v>
      </c>
      <c r="G344" s="170" t="str">
        <f>Scott!G175</f>
        <v>OpenG.org</v>
      </c>
      <c r="H344" s="170" t="str">
        <f>Scott!H175</f>
        <v>OpenG Large File Library 4.0.0.3</v>
      </c>
      <c r="I344" s="170" t="str">
        <f>Scott!I175</f>
        <v>VIPM Community</v>
      </c>
    </row>
    <row r="345" spans="1:9" x14ac:dyDescent="0.25">
      <c r="A345" s="173" t="str">
        <f>Originals!A333</f>
        <v>4-Vinnie</v>
      </c>
      <c r="B345" s="173" t="str">
        <f>Originals!B333</f>
        <v>OpenG Large File Library</v>
      </c>
      <c r="C345" s="173" t="str">
        <f>Originals!C333</f>
        <v>4.0.0.3</v>
      </c>
      <c r="D345" s="173" t="str">
        <f>Originals!D333</f>
        <v>32</v>
      </c>
      <c r="E345" s="173" t="str">
        <f>Originals!E333</f>
        <v>N/A</v>
      </c>
      <c r="F345" s="173" t="str">
        <f>Originals!F333</f>
        <v>Development</v>
      </c>
      <c r="G345" s="173" t="str">
        <f>Originals!G333</f>
        <v>OpenG.org</v>
      </c>
      <c r="H345" s="173" t="str">
        <f>Originals!H333</f>
        <v>OpenG Large File Library 4.0.0.3</v>
      </c>
      <c r="I345" s="173" t="str">
        <f>Originals!I333</f>
        <v>VIPM Community</v>
      </c>
    </row>
    <row r="346" spans="1:9" x14ac:dyDescent="0.25">
      <c r="A346" s="170" t="str">
        <f>Scott!A176</f>
        <v>3-Scott</v>
      </c>
      <c r="B346" s="170" t="str">
        <f>Scott!B176</f>
        <v>OpenG Locate File In Project Tool</v>
      </c>
      <c r="C346" s="170" t="str">
        <f>Scott!C176</f>
        <v>4.0.0.7</v>
      </c>
      <c r="D346" s="170" t="str">
        <f>Scott!D176</f>
        <v>32</v>
      </c>
      <c r="E346" s="170" t="str">
        <f>Scott!E176</f>
        <v>N/A</v>
      </c>
      <c r="F346" s="170" t="str">
        <f>Scott!F176</f>
        <v>Development</v>
      </c>
      <c r="G346" s="170" t="str">
        <f>Scott!G176</f>
        <v>OpenG.org</v>
      </c>
      <c r="H346" s="170" t="str">
        <f>Scott!H176</f>
        <v>OpenG Locate File In Project Tool 4.0.0.7</v>
      </c>
      <c r="I346" s="170" t="str">
        <f>Scott!I176</f>
        <v>VIPM Community</v>
      </c>
    </row>
    <row r="347" spans="1:9" x14ac:dyDescent="0.25">
      <c r="A347" s="173" t="str">
        <f>Originals!A334</f>
        <v>4-Vinnie</v>
      </c>
      <c r="B347" s="173" t="str">
        <f>Originals!B334</f>
        <v>OpenG Locate File In Project Tool</v>
      </c>
      <c r="C347" s="173" t="str">
        <f>Originals!C334</f>
        <v>4.0.0.7</v>
      </c>
      <c r="D347" s="173" t="str">
        <f>Originals!D334</f>
        <v>32</v>
      </c>
      <c r="E347" s="173" t="str">
        <f>Originals!E334</f>
        <v>N/A</v>
      </c>
      <c r="F347" s="173" t="str">
        <f>Originals!F334</f>
        <v>Development</v>
      </c>
      <c r="G347" s="173" t="str">
        <f>Originals!G334</f>
        <v>OpenG.org</v>
      </c>
      <c r="H347" s="173" t="str">
        <f>Originals!H334</f>
        <v>OpenG Locate File In Project Tool 4.0.0.7</v>
      </c>
      <c r="I347" s="173" t="str">
        <f>Originals!I334</f>
        <v>VIPM Community</v>
      </c>
    </row>
    <row r="348" spans="1:9" x14ac:dyDescent="0.25">
      <c r="A348" s="170" t="str">
        <f>Scott!A177</f>
        <v>3-Scott</v>
      </c>
      <c r="B348" s="170" t="str">
        <f>Scott!B177</f>
        <v>OpenG MD5 Digest Library</v>
      </c>
      <c r="C348" s="170" t="str">
        <f>Scott!C177</f>
        <v>4.1.1.10</v>
      </c>
      <c r="D348" s="170" t="str">
        <f>Scott!D177</f>
        <v>32</v>
      </c>
      <c r="E348" s="170" t="str">
        <f>Scott!E177</f>
        <v>N/A</v>
      </c>
      <c r="F348" s="170" t="str">
        <f>Scott!F177</f>
        <v>Development</v>
      </c>
      <c r="G348" s="170" t="str">
        <f>Scott!G177</f>
        <v>OpenG.org</v>
      </c>
      <c r="H348" s="170" t="str">
        <f>Scott!H177</f>
        <v>OpenG MD5 Digest Library 4.1.1.10</v>
      </c>
      <c r="I348" s="170" t="str">
        <f>Scott!I177</f>
        <v>VIPM Community</v>
      </c>
    </row>
    <row r="349" spans="1:9" x14ac:dyDescent="0.25">
      <c r="A349" s="173" t="str">
        <f>Originals!A335</f>
        <v>4-Vinnie</v>
      </c>
      <c r="B349" s="173" t="str">
        <f>Originals!B335</f>
        <v>OpenG MD5 Digest Library</v>
      </c>
      <c r="C349" s="173" t="str">
        <f>Originals!C335</f>
        <v>4.1.1.10</v>
      </c>
      <c r="D349" s="173" t="str">
        <f>Originals!D335</f>
        <v>32</v>
      </c>
      <c r="E349" s="173" t="str">
        <f>Originals!E335</f>
        <v>N/A</v>
      </c>
      <c r="F349" s="173" t="str">
        <f>Originals!F335</f>
        <v>Development</v>
      </c>
      <c r="G349" s="173" t="str">
        <f>Originals!G335</f>
        <v>OpenG.org</v>
      </c>
      <c r="H349" s="173" t="str">
        <f>Originals!H335</f>
        <v>OpenG MD5 Digest Library 4.1.1.10</v>
      </c>
      <c r="I349" s="173" t="str">
        <f>Originals!I335</f>
        <v>VIPM Community</v>
      </c>
    </row>
    <row r="350" spans="1:9" x14ac:dyDescent="0.25">
      <c r="A350" s="170" t="str">
        <f>Scott!A178</f>
        <v>3-Scott</v>
      </c>
      <c r="B350" s="170" t="str">
        <f>Scott!B178</f>
        <v>OpenG Message Queue Library</v>
      </c>
      <c r="C350" s="170" t="str">
        <f>Scott!C178</f>
        <v>4.0.0.15</v>
      </c>
      <c r="D350" s="170" t="str">
        <f>Scott!D178</f>
        <v>32</v>
      </c>
      <c r="E350" s="170" t="str">
        <f>Scott!E178</f>
        <v>N/A</v>
      </c>
      <c r="F350" s="170" t="str">
        <f>Scott!F178</f>
        <v>Development</v>
      </c>
      <c r="G350" s="170" t="str">
        <f>Scott!G178</f>
        <v>OpenG.org</v>
      </c>
      <c r="H350" s="170" t="str">
        <f>Scott!H178</f>
        <v>OpenG Message Queue Library 4.0.0.15</v>
      </c>
      <c r="I350" s="170" t="str">
        <f>Scott!I178</f>
        <v>VIPM Community</v>
      </c>
    </row>
    <row r="351" spans="1:9" x14ac:dyDescent="0.25">
      <c r="A351" s="173" t="str">
        <f>Originals!A336</f>
        <v>4-Vinnie</v>
      </c>
      <c r="B351" s="173" t="str">
        <f>Originals!B336</f>
        <v>OpenG Message Queue Library</v>
      </c>
      <c r="C351" s="173" t="str">
        <f>Originals!C336</f>
        <v>4.0.0.15</v>
      </c>
      <c r="D351" s="173" t="str">
        <f>Originals!D336</f>
        <v>32</v>
      </c>
      <c r="E351" s="173" t="str">
        <f>Originals!E336</f>
        <v>N/A</v>
      </c>
      <c r="F351" s="173" t="str">
        <f>Originals!F336</f>
        <v>Development</v>
      </c>
      <c r="G351" s="173" t="str">
        <f>Originals!G336</f>
        <v>OpenG.org</v>
      </c>
      <c r="H351" s="173" t="str">
        <f>Originals!H336</f>
        <v>OpenG Message Queue Library 4.0.0.15</v>
      </c>
      <c r="I351" s="173" t="str">
        <f>Originals!I336</f>
        <v>VIPM Community</v>
      </c>
    </row>
    <row r="352" spans="1:9" x14ac:dyDescent="0.25">
      <c r="A352" s="170" t="str">
        <f>Scott!A179</f>
        <v>3-Scott</v>
      </c>
      <c r="B352" s="170" t="str">
        <f>Scott!B179</f>
        <v>OpenG Numeric Library</v>
      </c>
      <c r="C352" s="170" t="str">
        <f>Scott!C179</f>
        <v>4.1.0.8</v>
      </c>
      <c r="D352" s="170" t="str">
        <f>Scott!D179</f>
        <v>32</v>
      </c>
      <c r="E352" s="170" t="str">
        <f>Scott!E179</f>
        <v>N/A</v>
      </c>
      <c r="F352" s="170" t="str">
        <f>Scott!F179</f>
        <v>Development</v>
      </c>
      <c r="G352" s="170" t="str">
        <f>Scott!G179</f>
        <v>OpenG.org</v>
      </c>
      <c r="H352" s="170" t="str">
        <f>Scott!H179</f>
        <v>OpenG Numeric Library 4.1.0.8</v>
      </c>
      <c r="I352" s="170" t="str">
        <f>Scott!I179</f>
        <v>VIPM Community</v>
      </c>
    </row>
    <row r="353" spans="1:9" x14ac:dyDescent="0.25">
      <c r="A353" s="173" t="str">
        <f>Originals!A337</f>
        <v>4-Vinnie</v>
      </c>
      <c r="B353" s="173" t="str">
        <f>Originals!B337</f>
        <v>OpenG Numeric Library</v>
      </c>
      <c r="C353" s="173" t="str">
        <f>Originals!C337</f>
        <v>4.1.0.8</v>
      </c>
      <c r="D353" s="173" t="str">
        <f>Originals!D337</f>
        <v>32</v>
      </c>
      <c r="E353" s="173" t="str">
        <f>Originals!E337</f>
        <v>N/A</v>
      </c>
      <c r="F353" s="173" t="str">
        <f>Originals!F337</f>
        <v>Development</v>
      </c>
      <c r="G353" s="173" t="str">
        <f>Originals!G337</f>
        <v>OpenG.org</v>
      </c>
      <c r="H353" s="173" t="str">
        <f>Originals!H337</f>
        <v>OpenG Numeric Library 4.1.0.8</v>
      </c>
      <c r="I353" s="173" t="str">
        <f>Originals!I337</f>
        <v>VIPM Community</v>
      </c>
    </row>
    <row r="354" spans="1:9" x14ac:dyDescent="0.25">
      <c r="A354" s="170" t="str">
        <f>Scott!A180</f>
        <v>3-Scott</v>
      </c>
      <c r="B354" s="170" t="str">
        <f>Scott!B180</f>
        <v>OpenG Picture Library</v>
      </c>
      <c r="C354" s="170" t="str">
        <f>Scott!C180</f>
        <v>4.0.0.13</v>
      </c>
      <c r="D354" s="170" t="str">
        <f>Scott!D180</f>
        <v>32</v>
      </c>
      <c r="E354" s="170" t="str">
        <f>Scott!E180</f>
        <v>N/A</v>
      </c>
      <c r="F354" s="170" t="str">
        <f>Scott!F180</f>
        <v>Development</v>
      </c>
      <c r="G354" s="170" t="str">
        <f>Scott!G180</f>
        <v>OpenG.org</v>
      </c>
      <c r="H354" s="170" t="str">
        <f>Scott!H180</f>
        <v>OpenG Picture Library 4.0.0.13</v>
      </c>
      <c r="I354" s="170" t="str">
        <f>Scott!I180</f>
        <v>VIPM Community</v>
      </c>
    </row>
    <row r="355" spans="1:9" x14ac:dyDescent="0.25">
      <c r="A355" s="173" t="str">
        <f>Originals!A338</f>
        <v>4-Vinnie</v>
      </c>
      <c r="B355" s="173" t="str">
        <f>Originals!B338</f>
        <v>OpenG Picture Library</v>
      </c>
      <c r="C355" s="173" t="str">
        <f>Originals!C338</f>
        <v>4.0.0.13</v>
      </c>
      <c r="D355" s="173" t="str">
        <f>Originals!D338</f>
        <v>32</v>
      </c>
      <c r="E355" s="173" t="str">
        <f>Originals!E338</f>
        <v>N/A</v>
      </c>
      <c r="F355" s="173" t="str">
        <f>Originals!F338</f>
        <v>Development</v>
      </c>
      <c r="G355" s="173" t="str">
        <f>Originals!G338</f>
        <v>OpenG.org</v>
      </c>
      <c r="H355" s="173" t="str">
        <f>Originals!H338</f>
        <v>OpenG Picture Library 4.0.0.13</v>
      </c>
      <c r="I355" s="173" t="str">
        <f>Originals!I338</f>
        <v>VIPM Community</v>
      </c>
    </row>
    <row r="356" spans="1:9" x14ac:dyDescent="0.25">
      <c r="A356" s="170" t="str">
        <f>Scott!A181</f>
        <v>3-Scott</v>
      </c>
      <c r="B356" s="170" t="str">
        <f>Scott!B181</f>
        <v>OpenG Port IO</v>
      </c>
      <c r="C356" s="170" t="str">
        <f>Scott!C181</f>
        <v>4.0.0-2</v>
      </c>
      <c r="D356" s="170" t="str">
        <f>Scott!D181</f>
        <v>32</v>
      </c>
      <c r="E356" s="170" t="str">
        <f>Scott!E181</f>
        <v>N/A</v>
      </c>
      <c r="F356" s="170" t="str">
        <f>Scott!F181</f>
        <v>Development</v>
      </c>
      <c r="G356" s="170" t="str">
        <f>Scott!G181</f>
        <v>OpenG.org</v>
      </c>
      <c r="H356" s="170" t="str">
        <f>Scott!H181</f>
        <v>OpenG Port IO 4.0.0-2</v>
      </c>
      <c r="I356" s="170" t="str">
        <f>Scott!I181</f>
        <v>VIPM Community</v>
      </c>
    </row>
    <row r="357" spans="1:9" x14ac:dyDescent="0.25">
      <c r="A357" s="173" t="str">
        <f>Originals!A339</f>
        <v>4-Vinnie</v>
      </c>
      <c r="B357" s="173" t="str">
        <f>Originals!B339</f>
        <v>OpenG Port IO</v>
      </c>
      <c r="C357" s="173" t="str">
        <f>Originals!C339</f>
        <v>4.0.0-2</v>
      </c>
      <c r="D357" s="173" t="str">
        <f>Originals!D339</f>
        <v>32</v>
      </c>
      <c r="E357" s="173" t="str">
        <f>Originals!E339</f>
        <v>N/A</v>
      </c>
      <c r="F357" s="173" t="str">
        <f>Originals!F339</f>
        <v>Development</v>
      </c>
      <c r="G357" s="173" t="str">
        <f>Originals!G339</f>
        <v>OpenG.org</v>
      </c>
      <c r="H357" s="173" t="str">
        <f>Originals!H339</f>
        <v>OpenG Port IO 4.0.0-2</v>
      </c>
      <c r="I357" s="173" t="str">
        <f>Originals!I339</f>
        <v>VIPM Community</v>
      </c>
    </row>
    <row r="358" spans="1:9" x14ac:dyDescent="0.25">
      <c r="A358" s="170" t="str">
        <f>Scott!A182</f>
        <v>3-Scott</v>
      </c>
      <c r="B358" s="170" t="str">
        <f>Scott!B182</f>
        <v>OpenG Rename Folder of VIs Tool</v>
      </c>
      <c r="C358" s="170" t="str">
        <f>Scott!C182</f>
        <v>4.0.0.15</v>
      </c>
      <c r="D358" s="170" t="str">
        <f>Scott!D182</f>
        <v>32</v>
      </c>
      <c r="E358" s="170" t="str">
        <f>Scott!E182</f>
        <v>N/A</v>
      </c>
      <c r="F358" s="170" t="str">
        <f>Scott!F182</f>
        <v>Development</v>
      </c>
      <c r="G358" s="170" t="str">
        <f>Scott!G182</f>
        <v>OpenG.org</v>
      </c>
      <c r="H358" s="170" t="str">
        <f>Scott!H182</f>
        <v>OpenG Rename Folder of VIs Tool 4.0.0.15</v>
      </c>
      <c r="I358" s="170" t="str">
        <f>Scott!I182</f>
        <v>VIPM Community</v>
      </c>
    </row>
    <row r="359" spans="1:9" x14ac:dyDescent="0.25">
      <c r="A359" s="173" t="str">
        <f>Originals!A340</f>
        <v>4-Vinnie</v>
      </c>
      <c r="B359" s="173" t="str">
        <f>Originals!B340</f>
        <v>OpenG Rename Folder of VIs Tool</v>
      </c>
      <c r="C359" s="173" t="str">
        <f>Originals!C340</f>
        <v>4.0.0.15</v>
      </c>
      <c r="D359" s="173" t="str">
        <f>Originals!D340</f>
        <v>32</v>
      </c>
      <c r="E359" s="173" t="str">
        <f>Originals!E340</f>
        <v>N/A</v>
      </c>
      <c r="F359" s="173" t="str">
        <f>Originals!F340</f>
        <v>Development</v>
      </c>
      <c r="G359" s="173" t="str">
        <f>Originals!G340</f>
        <v>OpenG.org</v>
      </c>
      <c r="H359" s="173" t="str">
        <f>Originals!H340</f>
        <v>OpenG Rename Folder of VIs Tool 4.0.0.15</v>
      </c>
      <c r="I359" s="173" t="str">
        <f>Originals!I340</f>
        <v>VIPM Community</v>
      </c>
    </row>
    <row r="360" spans="1:9" x14ac:dyDescent="0.25">
      <c r="A360" s="170" t="str">
        <f>Scott!A183</f>
        <v>3-Scott</v>
      </c>
      <c r="B360" s="170" t="str">
        <f>Scott!B183</f>
        <v>OpenG String Library</v>
      </c>
      <c r="C360" s="170" t="str">
        <f>Scott!C183</f>
        <v>4.1.0.12</v>
      </c>
      <c r="D360" s="170" t="str">
        <f>Scott!D183</f>
        <v>32</v>
      </c>
      <c r="E360" s="170" t="str">
        <f>Scott!E183</f>
        <v>N/A</v>
      </c>
      <c r="F360" s="170" t="str">
        <f>Scott!F183</f>
        <v>Development</v>
      </c>
      <c r="G360" s="170" t="str">
        <f>Scott!G183</f>
        <v>OpenG.org</v>
      </c>
      <c r="H360" s="170" t="str">
        <f>Scott!H183</f>
        <v>OpenG String Library 4.1.0.12</v>
      </c>
      <c r="I360" s="170" t="str">
        <f>Scott!I183</f>
        <v>VIPM Community</v>
      </c>
    </row>
    <row r="361" spans="1:9" x14ac:dyDescent="0.25">
      <c r="A361" s="173" t="str">
        <f>Originals!A341</f>
        <v>4-Vinnie</v>
      </c>
      <c r="B361" s="173" t="str">
        <f>Originals!B341</f>
        <v>OpenG String Library</v>
      </c>
      <c r="C361" s="173" t="str">
        <f>Originals!C341</f>
        <v>4.1.0.12</v>
      </c>
      <c r="D361" s="173" t="str">
        <f>Originals!D341</f>
        <v>32</v>
      </c>
      <c r="E361" s="173" t="str">
        <f>Originals!E341</f>
        <v>N/A</v>
      </c>
      <c r="F361" s="173" t="str">
        <f>Originals!F341</f>
        <v>Development</v>
      </c>
      <c r="G361" s="173" t="str">
        <f>Originals!G341</f>
        <v>OpenG.org</v>
      </c>
      <c r="H361" s="173" t="str">
        <f>Originals!H341</f>
        <v>OpenG String Library 4.1.0.12</v>
      </c>
      <c r="I361" s="173" t="str">
        <f>Originals!I341</f>
        <v>VIPM Community</v>
      </c>
    </row>
    <row r="362" spans="1:9" x14ac:dyDescent="0.25">
      <c r="A362" s="173" t="str">
        <f>Originals!A342</f>
        <v>4-Vinnie</v>
      </c>
      <c r="B362" s="173" t="str">
        <f>Originals!B342</f>
        <v>OpenG Time Library</v>
      </c>
      <c r="C362" s="173" t="str">
        <f>Originals!C342</f>
        <v>4.0.1.3</v>
      </c>
      <c r="D362" s="173" t="str">
        <f>Originals!D342</f>
        <v>32</v>
      </c>
      <c r="E362" s="173" t="str">
        <f>Originals!E342</f>
        <v>N/A</v>
      </c>
      <c r="F362" s="173" t="str">
        <f>Originals!F342</f>
        <v>Development</v>
      </c>
      <c r="G362" s="173" t="str">
        <f>Originals!G342</f>
        <v>OpenG.org</v>
      </c>
      <c r="H362" s="173" t="str">
        <f>Originals!H342</f>
        <v>OpenG Time Library 4.0.1.3</v>
      </c>
      <c r="I362" s="173" t="str">
        <f>Originals!I342</f>
        <v>VIPM Community</v>
      </c>
    </row>
    <row r="363" spans="1:9" x14ac:dyDescent="0.25">
      <c r="A363" s="170" t="str">
        <f>Scott!A184</f>
        <v>3-Scott</v>
      </c>
      <c r="B363" s="170" t="str">
        <f>Scott!B184</f>
        <v>OpenG Toolkit</v>
      </c>
      <c r="C363" s="170" t="str">
        <f>Scott!C184</f>
        <v>4.0.1.9</v>
      </c>
      <c r="D363" s="170" t="str">
        <f>Scott!D184</f>
        <v>32</v>
      </c>
      <c r="E363" s="170" t="str">
        <f>Scott!E184</f>
        <v>N/A</v>
      </c>
      <c r="F363" s="170" t="str">
        <f>Scott!F184</f>
        <v>Development</v>
      </c>
      <c r="G363" s="170" t="str">
        <f>Scott!G184</f>
        <v>OpenG.org</v>
      </c>
      <c r="H363" s="170" t="str">
        <f>Scott!H184</f>
        <v>OpenG Toolkit 4.0.1.9</v>
      </c>
      <c r="I363" s="170" t="str">
        <f>Scott!I184</f>
        <v>VIPM Community</v>
      </c>
    </row>
    <row r="364" spans="1:9" x14ac:dyDescent="0.25">
      <c r="A364" s="173" t="str">
        <f>Originals!A343</f>
        <v>4-Vinnie</v>
      </c>
      <c r="B364" s="173" t="str">
        <f>Originals!B343</f>
        <v>OpenG Toolkit</v>
      </c>
      <c r="C364" s="173" t="str">
        <f>Originals!C343</f>
        <v>4.0.1.9</v>
      </c>
      <c r="D364" s="173" t="str">
        <f>Originals!D343</f>
        <v>32</v>
      </c>
      <c r="E364" s="173" t="str">
        <f>Originals!E343</f>
        <v>N/A</v>
      </c>
      <c r="F364" s="173" t="str">
        <f>Originals!F343</f>
        <v>Development</v>
      </c>
      <c r="G364" s="173" t="str">
        <f>Originals!G343</f>
        <v>OpenG.org</v>
      </c>
      <c r="H364" s="173" t="str">
        <f>Originals!H343</f>
        <v>OpenG Toolkit 4.0.1.9</v>
      </c>
      <c r="I364" s="173" t="str">
        <f>Originals!I343</f>
        <v>VIPM Community</v>
      </c>
    </row>
    <row r="365" spans="1:9" x14ac:dyDescent="0.25">
      <c r="A365" s="170" t="str">
        <f>Scott!A185</f>
        <v>3-Scott</v>
      </c>
      <c r="B365" s="170" t="str">
        <f>Scott!B185</f>
        <v>OpenG Variant Configuration File Library</v>
      </c>
      <c r="C365" s="170" t="str">
        <f>Scott!C185</f>
        <v>4.0.0.5</v>
      </c>
      <c r="D365" s="170" t="str">
        <f>Scott!D185</f>
        <v>32</v>
      </c>
      <c r="E365" s="170" t="str">
        <f>Scott!E185</f>
        <v>N/A</v>
      </c>
      <c r="F365" s="170" t="str">
        <f>Scott!F185</f>
        <v>Development</v>
      </c>
      <c r="G365" s="170" t="str">
        <f>Scott!G185</f>
        <v>OpenG.org</v>
      </c>
      <c r="H365" s="170" t="str">
        <f>Scott!H185</f>
        <v>OpenG Variant Configuration File Library 4.0.0.5</v>
      </c>
      <c r="I365" s="170" t="str">
        <f>Scott!I185</f>
        <v>VIPM Community</v>
      </c>
    </row>
    <row r="366" spans="1:9" x14ac:dyDescent="0.25">
      <c r="A366" s="173" t="str">
        <f>Originals!A344</f>
        <v>4-Vinnie</v>
      </c>
      <c r="B366" s="173" t="str">
        <f>Originals!B344</f>
        <v>OpenG Variant Configuration File Library</v>
      </c>
      <c r="C366" s="173" t="str">
        <f>Originals!C344</f>
        <v>4.0.0.5</v>
      </c>
      <c r="D366" s="173" t="str">
        <f>Originals!D344</f>
        <v>32</v>
      </c>
      <c r="E366" s="173" t="str">
        <f>Originals!E344</f>
        <v>N/A</v>
      </c>
      <c r="F366" s="173" t="str">
        <f>Originals!F344</f>
        <v>Development</v>
      </c>
      <c r="G366" s="173" t="str">
        <f>Originals!G344</f>
        <v>OpenG.org</v>
      </c>
      <c r="H366" s="173" t="str">
        <f>Originals!H344</f>
        <v>OpenG Variant Configuration File Library 4.0.0.5</v>
      </c>
      <c r="I366" s="173" t="str">
        <f>Originals!I344</f>
        <v>VIPM Community</v>
      </c>
    </row>
    <row r="367" spans="1:9" x14ac:dyDescent="0.25">
      <c r="A367" s="170" t="str">
        <f>Scott!A186</f>
        <v>3-Scott</v>
      </c>
      <c r="B367" s="170" t="str">
        <f>Scott!B186</f>
        <v>OpenGDS</v>
      </c>
      <c r="C367" s="170" t="str">
        <f>Scott!C186</f>
        <v>1.1.17</v>
      </c>
      <c r="D367" s="170" t="str">
        <f>Scott!D186</f>
        <v>32</v>
      </c>
      <c r="E367" s="170" t="str">
        <f>Scott!E186</f>
        <v>N/A</v>
      </c>
      <c r="F367" s="170" t="str">
        <f>Scott!F186</f>
        <v>Development</v>
      </c>
      <c r="G367" s="170" t="str">
        <f>Scott!G186</f>
        <v>OpenGDS</v>
      </c>
      <c r="H367" s="170" t="str">
        <f>Scott!H186</f>
        <v>OpenGDS 1.1.17</v>
      </c>
      <c r="I367" s="170" t="str">
        <f>Scott!I186</f>
        <v>VIPM Community</v>
      </c>
    </row>
    <row r="368" spans="1:9" x14ac:dyDescent="0.25">
      <c r="A368" s="173" t="str">
        <f>Originals!A345</f>
        <v>4-Vinnie</v>
      </c>
      <c r="B368" s="173" t="str">
        <f>Originals!B345</f>
        <v>OpenGDS</v>
      </c>
      <c r="C368" s="173" t="str">
        <f>Originals!C345</f>
        <v>1.1.17</v>
      </c>
      <c r="D368" s="173" t="str">
        <f>Originals!D345</f>
        <v>32</v>
      </c>
      <c r="E368" s="173" t="str">
        <f>Originals!E345</f>
        <v>N/A</v>
      </c>
      <c r="F368" s="173" t="str">
        <f>Originals!F345</f>
        <v>Development</v>
      </c>
      <c r="G368" s="173" t="str">
        <f>Originals!G345</f>
        <v>OpenGDS</v>
      </c>
      <c r="H368" s="173" t="str">
        <f>Originals!H345</f>
        <v>OpenGDS 1.1.17</v>
      </c>
      <c r="I368" s="173" t="str">
        <f>Originals!I345</f>
        <v>VIPM Community</v>
      </c>
    </row>
    <row r="369" spans="1:9" x14ac:dyDescent="0.25">
      <c r="A369" s="170" t="str">
        <f>Scott!A187</f>
        <v>3-Scott</v>
      </c>
      <c r="B369" s="170" t="str">
        <f>Scott!B187</f>
        <v>PID Toolkit</v>
      </c>
      <c r="C369" s="170" t="str">
        <f>Scott!C187</f>
        <v>2.1.0</v>
      </c>
      <c r="D369" s="170">
        <f>Scott!D187</f>
        <v>32</v>
      </c>
      <c r="E369" s="170">
        <f>Scott!E187</f>
        <v>2015</v>
      </c>
      <c r="F369" s="170" t="str">
        <f>Scott!F187</f>
        <v>Development</v>
      </c>
      <c r="G369" s="170" t="str">
        <f>Scott!G187</f>
        <v>NI</v>
      </c>
      <c r="H369" s="170" t="str">
        <f>Scott!H187</f>
        <v>PID Toolkit 2.1.0</v>
      </c>
      <c r="I369" s="170" t="str">
        <f>Scott!I187</f>
        <v>NI Developer Suite 2015 DS2 Install</v>
      </c>
    </row>
    <row r="370" spans="1:9" x14ac:dyDescent="0.25">
      <c r="A370" s="170" t="str">
        <f>Scott!A188</f>
        <v>3-Scott</v>
      </c>
      <c r="B370" s="170" t="str">
        <f>Scott!B188</f>
        <v>Profiler Toolkit</v>
      </c>
      <c r="C370" s="170" t="str">
        <f>Scott!C188</f>
        <v>1.0.0</v>
      </c>
      <c r="D370" s="170">
        <f>Scott!D188</f>
        <v>32</v>
      </c>
      <c r="E370" s="170">
        <f>Scott!E188</f>
        <v>2015</v>
      </c>
      <c r="F370" s="170" t="str">
        <f>Scott!F188</f>
        <v>Development</v>
      </c>
      <c r="G370" s="170" t="str">
        <f>Scott!G188</f>
        <v>NI</v>
      </c>
      <c r="H370" s="170" t="str">
        <f>Scott!H188</f>
        <v>Profiler Toolkit 1.0.0</v>
      </c>
      <c r="I370" s="170" t="str">
        <f>Scott!I188</f>
        <v>NI Developer Suite 2015 DS2 Install</v>
      </c>
    </row>
    <row r="371" spans="1:9" x14ac:dyDescent="0.25">
      <c r="A371" s="170" t="str">
        <f>Scott!A189</f>
        <v>3-Scott</v>
      </c>
      <c r="B371" s="170" t="str">
        <f>Scott!B189</f>
        <v>Real-Time</v>
      </c>
      <c r="C371" s="170" t="str">
        <f>Scott!C189</f>
        <v>15.0.0</v>
      </c>
      <c r="D371" s="170">
        <f>Scott!D189</f>
        <v>32</v>
      </c>
      <c r="E371" s="170">
        <f>Scott!E189</f>
        <v>2015</v>
      </c>
      <c r="F371" s="170" t="str">
        <f>Scott!F189</f>
        <v>Development</v>
      </c>
      <c r="G371" s="170" t="str">
        <f>Scott!G189</f>
        <v>NI</v>
      </c>
      <c r="H371" s="170" t="str">
        <f>Scott!H189</f>
        <v>Real-Time 15.0.0</v>
      </c>
      <c r="I371" s="170" t="str">
        <f>Scott!I189</f>
        <v>NI Developer Suite 2015 DS2 Install</v>
      </c>
    </row>
    <row r="372" spans="1:9" x14ac:dyDescent="0.25">
      <c r="A372" s="170" t="str">
        <f>Scott!A190</f>
        <v>3-Scott</v>
      </c>
      <c r="B372" s="170" t="str">
        <f>Scott!B190</f>
        <v>Real-Time</v>
      </c>
      <c r="C372" s="170" t="str">
        <f>Scott!C190</f>
        <v>15.0.1</v>
      </c>
      <c r="D372" s="170">
        <f>Scott!D190</f>
        <v>32</v>
      </c>
      <c r="E372" s="170">
        <f>Scott!E190</f>
        <v>2015</v>
      </c>
      <c r="F372" s="170" t="str">
        <f>Scott!F190</f>
        <v>Development</v>
      </c>
      <c r="G372" s="170" t="str">
        <f>Scott!G190</f>
        <v>NI</v>
      </c>
      <c r="H372" s="170" t="str">
        <f>Scott!H190</f>
        <v>Real-Time 15.0.1</v>
      </c>
      <c r="I372" s="170" t="str">
        <f>Scott!I190</f>
        <v>2015 SP1 Update Service</v>
      </c>
    </row>
    <row r="373" spans="1:9" x14ac:dyDescent="0.25">
      <c r="A373" s="173" t="str">
        <f>Originals!A346</f>
        <v>4-Vinnie</v>
      </c>
      <c r="B373" s="173" t="str">
        <f>Originals!B346</f>
        <v>Real-Time</v>
      </c>
      <c r="C373" s="173" t="str">
        <f>Originals!C346</f>
        <v>15.0.1</v>
      </c>
      <c r="D373" s="173" t="str">
        <f>Originals!D346</f>
        <v>32</v>
      </c>
      <c r="E373" s="173" t="str">
        <f>Originals!E346</f>
        <v>2015</v>
      </c>
      <c r="F373" s="173" t="str">
        <f>Originals!F346</f>
        <v>Development</v>
      </c>
      <c r="G373" s="173" t="str">
        <f>Originals!G346</f>
        <v>NI</v>
      </c>
      <c r="H373" s="173" t="str">
        <f>Originals!H346</f>
        <v>Real-Time 15.0.1</v>
      </c>
      <c r="I373" s="173" t="str">
        <f>Originals!I346</f>
        <v>2015 SP1 Update Service</v>
      </c>
    </row>
    <row r="374" spans="1:9" x14ac:dyDescent="0.25">
      <c r="A374" s="173" t="str">
        <f>Originals!A347</f>
        <v>4-Vinnie</v>
      </c>
      <c r="B374" s="173" t="str">
        <f>Originals!B347</f>
        <v>Real-Time</v>
      </c>
      <c r="C374" s="173" t="str">
        <f>Originals!C347</f>
        <v>15.0.1</v>
      </c>
      <c r="D374" s="173" t="str">
        <f>Originals!D347</f>
        <v>32</v>
      </c>
      <c r="E374" s="173">
        <f>Originals!E347</f>
        <v>2015</v>
      </c>
      <c r="F374" s="173" t="str">
        <f>Originals!F347</f>
        <v>Development</v>
      </c>
      <c r="G374" s="173" t="str">
        <f>Originals!G347</f>
        <v>NI</v>
      </c>
      <c r="H374" s="173" t="str">
        <f>Originals!H347</f>
        <v>Real-Time 15.0.1</v>
      </c>
      <c r="I374" s="173" t="str">
        <f>Originals!I347</f>
        <v>2015 SP1 Update Service</v>
      </c>
    </row>
    <row r="375" spans="1:9" x14ac:dyDescent="0.25">
      <c r="A375" s="170" t="str">
        <f>Scott!A191</f>
        <v>3-Scott</v>
      </c>
      <c r="B375" s="170" t="str">
        <f>Scott!B191</f>
        <v>Real-Time Trace Viewer - CVI Support</v>
      </c>
      <c r="C375" s="170" t="str">
        <f>Scott!C191</f>
        <v>15.0.0</v>
      </c>
      <c r="D375" s="170">
        <f>Scott!D191</f>
        <v>32</v>
      </c>
      <c r="E375" s="170">
        <f>Scott!E191</f>
        <v>2015</v>
      </c>
      <c r="F375" s="170" t="str">
        <f>Scott!F191</f>
        <v>Development</v>
      </c>
      <c r="G375" s="170" t="str">
        <f>Scott!G191</f>
        <v>NI</v>
      </c>
      <c r="H375" s="170" t="str">
        <f>Scott!H191</f>
        <v>Real-Time Trace Viewer - CVI Support 15.0.0</v>
      </c>
      <c r="I375" s="170" t="str">
        <f>Scott!I191</f>
        <v>NI Developer Suite 2015 DS2 Install</v>
      </c>
    </row>
    <row r="376" spans="1:9" x14ac:dyDescent="0.25">
      <c r="A376" s="170" t="str">
        <f>Scott!A192</f>
        <v>3-Scott</v>
      </c>
      <c r="B376" s="170" t="str">
        <f>Scott!B192</f>
        <v>Real-Time Trace Viewer - LabVIEW 2015 Support</v>
      </c>
      <c r="C376" s="170" t="str">
        <f>Scott!C192</f>
        <v>15.0.1</v>
      </c>
      <c r="D376" s="170">
        <f>Scott!D192</f>
        <v>32</v>
      </c>
      <c r="E376" s="170">
        <f>Scott!E192</f>
        <v>2015</v>
      </c>
      <c r="F376" s="170" t="str">
        <f>Scott!F192</f>
        <v>Development</v>
      </c>
      <c r="G376" s="170" t="str">
        <f>Scott!G192</f>
        <v>NI</v>
      </c>
      <c r="H376" s="170" t="str">
        <f>Scott!H192</f>
        <v>Real-Time Trace Viewer - LabVIEW 2015 Support 15.0.1</v>
      </c>
      <c r="I376" s="170" t="str">
        <f>Scott!I192</f>
        <v>2015 SP1 Update Service</v>
      </c>
    </row>
    <row r="377" spans="1:9" x14ac:dyDescent="0.25">
      <c r="A377" s="173" t="str">
        <f>Originals!A348</f>
        <v>4-Vinnie</v>
      </c>
      <c r="B377" s="173" t="str">
        <f>Originals!B348</f>
        <v>Real-Time Trace Viewer - LabVIEW 2015 Support</v>
      </c>
      <c r="C377" s="173" t="str">
        <f>Originals!C348</f>
        <v>15.0.1</v>
      </c>
      <c r="D377" s="173" t="str">
        <f>Originals!D348</f>
        <v>32</v>
      </c>
      <c r="E377" s="173">
        <f>Originals!E348</f>
        <v>2015</v>
      </c>
      <c r="F377" s="173" t="str">
        <f>Originals!F348</f>
        <v>Development</v>
      </c>
      <c r="G377" s="173" t="str">
        <f>Originals!G348</f>
        <v>NI</v>
      </c>
      <c r="H377" s="173" t="str">
        <f>Originals!H348</f>
        <v>Real-Time Trace Viewer - LabVIEW 2015 Support 15.0.1</v>
      </c>
      <c r="I377" s="173">
        <f>Originals!I348</f>
        <v>0</v>
      </c>
    </row>
    <row r="378" spans="1:9" x14ac:dyDescent="0.25">
      <c r="A378" s="170" t="str">
        <f>Scott!A193</f>
        <v>3-Scott</v>
      </c>
      <c r="B378" s="170" t="str">
        <f>Scott!B193</f>
        <v>Report Generation Toolkit For Microsoft Office</v>
      </c>
      <c r="C378" s="170" t="str">
        <f>Scott!C193</f>
        <v>15.0.0</v>
      </c>
      <c r="D378" s="170">
        <f>Scott!D193</f>
        <v>32</v>
      </c>
      <c r="E378" s="170">
        <f>Scott!E193</f>
        <v>2015</v>
      </c>
      <c r="F378" s="170" t="str">
        <f>Scott!F193</f>
        <v>Development</v>
      </c>
      <c r="G378" s="170" t="str">
        <f>Scott!G193</f>
        <v>NI</v>
      </c>
      <c r="H378" s="170" t="str">
        <f>Scott!H193</f>
        <v>Report Generation Toolkit For Microsoft Office 15.0.0</v>
      </c>
      <c r="I378" s="170" t="str">
        <f>Scott!I193</f>
        <v>NI Developer Suite 2015 DS2 Install</v>
      </c>
    </row>
    <row r="379" spans="1:9" x14ac:dyDescent="0.25">
      <c r="A379" s="173" t="str">
        <f>Originals!A349</f>
        <v>4-Vinnie</v>
      </c>
      <c r="B379" s="173" t="str">
        <f>Originals!B349</f>
        <v>Report Generation Toolkit For Microsoft Office</v>
      </c>
      <c r="C379" s="173" t="str">
        <f>Originals!C349</f>
        <v>15.0.0</v>
      </c>
      <c r="D379" s="173" t="str">
        <f>Originals!D349</f>
        <v>32</v>
      </c>
      <c r="E379" s="173">
        <f>Originals!E349</f>
        <v>2015</v>
      </c>
      <c r="F379" s="173" t="str">
        <f>Originals!F349</f>
        <v>Development</v>
      </c>
      <c r="G379" s="173" t="str">
        <f>Originals!G349</f>
        <v>NI</v>
      </c>
      <c r="H379" s="173" t="str">
        <f>Originals!H349</f>
        <v>Report Generation Toolkit For Microsoft Office 15.0.0</v>
      </c>
      <c r="I379" s="173" t="str">
        <f>Originals!I349</f>
        <v>NI Developer Suite 2015 DS2 Install</v>
      </c>
    </row>
    <row r="380" spans="1:9" x14ac:dyDescent="0.25">
      <c r="A380" s="173" t="str">
        <f>Originals!A350</f>
        <v>4-Vinnie</v>
      </c>
      <c r="B380" s="173" t="str">
        <f>Originals!B350</f>
        <v>Run-Time Enginer for Web Services</v>
      </c>
      <c r="C380" s="173" t="str">
        <f>Originals!C350</f>
        <v>15.0.0</v>
      </c>
      <c r="D380" s="173" t="str">
        <f>Originals!D350</f>
        <v>32</v>
      </c>
      <c r="E380" s="173" t="str">
        <f>Originals!E350</f>
        <v>2015</v>
      </c>
      <c r="F380" s="173" t="str">
        <f>Originals!F350</f>
        <v>C-RIO</v>
      </c>
      <c r="G380" s="173" t="str">
        <f>Originals!G350</f>
        <v>NI</v>
      </c>
      <c r="H380" s="173" t="str">
        <f>Originals!H350</f>
        <v>Run-Time Enginer for Web Services 15.0.0</v>
      </c>
      <c r="I380" s="173">
        <f>Originals!I350</f>
        <v>0</v>
      </c>
    </row>
    <row r="381" spans="1:9" x14ac:dyDescent="0.25">
      <c r="A381" s="170" t="str">
        <f>Scott!A194</f>
        <v>3-Scott</v>
      </c>
      <c r="B381" s="170" t="str">
        <f>Scott!B194</f>
        <v>Signal Processing Toolkit</v>
      </c>
      <c r="C381" s="170" t="str">
        <f>Scott!C194</f>
        <v>7.0.2</v>
      </c>
      <c r="D381" s="170">
        <f>Scott!D194</f>
        <v>32</v>
      </c>
      <c r="E381" s="170">
        <f>Scott!E194</f>
        <v>2015</v>
      </c>
      <c r="F381" s="170" t="str">
        <f>Scott!F194</f>
        <v>Development</v>
      </c>
      <c r="G381" s="170" t="str">
        <f>Scott!G194</f>
        <v>NI</v>
      </c>
      <c r="H381" s="170" t="str">
        <f>Scott!H194</f>
        <v>Signal Processing Toolkit 7.0.2</v>
      </c>
      <c r="I381" s="170" t="str">
        <f>Scott!I194</f>
        <v>NI Developer Suite 2015 DS2 Install</v>
      </c>
    </row>
    <row r="382" spans="1:9" x14ac:dyDescent="0.25">
      <c r="A382" s="173" t="str">
        <f>Originals!A351</f>
        <v>4-Vinnie</v>
      </c>
      <c r="B382" s="173" t="str">
        <f>Originals!B351</f>
        <v>Software Management Web Support</v>
      </c>
      <c r="C382" s="173" t="str">
        <f>Originals!C351</f>
        <v>15.0.0</v>
      </c>
      <c r="D382" s="173" t="str">
        <f>Originals!D351</f>
        <v>32</v>
      </c>
      <c r="E382" s="173" t="str">
        <f>Originals!E351</f>
        <v>2015</v>
      </c>
      <c r="F382" s="173" t="str">
        <f>Originals!F351</f>
        <v>C-RIO</v>
      </c>
      <c r="G382" s="173" t="str">
        <f>Originals!G351</f>
        <v>NI</v>
      </c>
      <c r="H382" s="173" t="str">
        <f>Originals!H351</f>
        <v>Software Management Web Support 15.0.0</v>
      </c>
      <c r="I382" s="173">
        <f>Originals!I351</f>
        <v>0</v>
      </c>
    </row>
    <row r="383" spans="1:9" x14ac:dyDescent="0.25">
      <c r="A383" s="170" t="str">
        <f>Scott!A195</f>
        <v>3-Scott</v>
      </c>
      <c r="B383" s="170" t="str">
        <f>Scott!B195</f>
        <v>SQL Toolkit</v>
      </c>
      <c r="C383" s="170" t="str">
        <f>Scott!C195</f>
        <v>2.3.0</v>
      </c>
      <c r="D383" s="170">
        <f>Scott!D195</f>
        <v>32</v>
      </c>
      <c r="E383" s="170">
        <f>Scott!E195</f>
        <v>2015</v>
      </c>
      <c r="F383" s="170" t="str">
        <f>Scott!F195</f>
        <v>Development</v>
      </c>
      <c r="G383" s="170" t="str">
        <f>Scott!G195</f>
        <v>NI</v>
      </c>
      <c r="H383" s="170" t="str">
        <f>Scott!H195</f>
        <v>SQL Toolkit 2.3.0</v>
      </c>
      <c r="I383" s="170" t="str">
        <f>Scott!I195</f>
        <v>NI Developer Suite 2015 DS2 Install</v>
      </c>
    </row>
    <row r="384" spans="1:9" x14ac:dyDescent="0.25">
      <c r="A384" s="173" t="str">
        <f>Originals!A352</f>
        <v>4-Vinnie</v>
      </c>
      <c r="B384" s="173" t="str">
        <f>Originals!B352</f>
        <v>SSL Support for LabVIEW</v>
      </c>
      <c r="C384" s="173" t="str">
        <f>Originals!C352</f>
        <v>15.0.0</v>
      </c>
      <c r="D384" s="173" t="str">
        <f>Originals!D352</f>
        <v>32</v>
      </c>
      <c r="E384" s="173" t="str">
        <f>Originals!E352</f>
        <v>2015</v>
      </c>
      <c r="F384" s="173" t="str">
        <f>Originals!F352</f>
        <v>C-RIO</v>
      </c>
      <c r="G384" s="173" t="str">
        <f>Originals!G352</f>
        <v>NI</v>
      </c>
      <c r="H384" s="173" t="str">
        <f>Originals!H352</f>
        <v>SSL Support for LabVIEW 15.0.0</v>
      </c>
      <c r="I384" s="173">
        <f>Originals!I352</f>
        <v>0</v>
      </c>
    </row>
    <row r="385" spans="1:9" x14ac:dyDescent="0.25">
      <c r="A385" s="170" t="str">
        <f>Scott!A196</f>
        <v>3-Scott</v>
      </c>
      <c r="B385" s="170" t="str">
        <f>Scott!B196</f>
        <v>Statechart Module</v>
      </c>
      <c r="C385" s="170" t="str">
        <f>Scott!C196</f>
        <v>15.0.0</v>
      </c>
      <c r="D385" s="170">
        <f>Scott!D196</f>
        <v>32</v>
      </c>
      <c r="E385" s="170">
        <f>Scott!E196</f>
        <v>2015</v>
      </c>
      <c r="F385" s="170" t="str">
        <f>Scott!F196</f>
        <v>Development</v>
      </c>
      <c r="G385" s="170" t="str">
        <f>Scott!G196</f>
        <v>NI</v>
      </c>
      <c r="H385" s="170" t="str">
        <f>Scott!H196</f>
        <v>Statechart Module 15.0.0</v>
      </c>
      <c r="I385" s="170" t="str">
        <f>Scott!I196</f>
        <v>NI Developer Suite 2015 DS2 Install</v>
      </c>
    </row>
    <row r="386" spans="1:9" x14ac:dyDescent="0.25">
      <c r="A386" s="170" t="str">
        <f>Scott!A197</f>
        <v>3-Scott</v>
      </c>
      <c r="B386" s="170" t="str">
        <f>Scott!B197</f>
        <v>Structure Error Handler</v>
      </c>
      <c r="C386" s="170" t="str">
        <f>Scott!C197</f>
        <v>2.1.10.1</v>
      </c>
      <c r="D386" s="170" t="str">
        <f>Scott!D197</f>
        <v>32</v>
      </c>
      <c r="E386" s="170" t="str">
        <f>Scott!E197</f>
        <v>N/A</v>
      </c>
      <c r="F386" s="170" t="str">
        <f>Scott!F197</f>
        <v>Development</v>
      </c>
      <c r="G386" s="170" t="str">
        <f>Scott!G197</f>
        <v>NI</v>
      </c>
      <c r="H386" s="170" t="str">
        <f>Scott!H197</f>
        <v>Structure Error Handler 2.1.10.1</v>
      </c>
      <c r="I386" s="170" t="str">
        <f>Scott!I197</f>
        <v>VIPM Community</v>
      </c>
    </row>
    <row r="387" spans="1:9" x14ac:dyDescent="0.25">
      <c r="A387" s="173" t="str">
        <f>Originals!A353</f>
        <v>4-Vinnie</v>
      </c>
      <c r="B387" s="173" t="str">
        <f>Originals!B353</f>
        <v>Structure Error Handler</v>
      </c>
      <c r="C387" s="173" t="str">
        <f>Originals!C353</f>
        <v>2.1.10.1</v>
      </c>
      <c r="D387" s="173" t="str">
        <f>Originals!D353</f>
        <v>32</v>
      </c>
      <c r="E387" s="173" t="str">
        <f>Originals!E353</f>
        <v>N/A</v>
      </c>
      <c r="F387" s="173" t="str">
        <f>Originals!F353</f>
        <v>Development</v>
      </c>
      <c r="G387" s="173" t="str">
        <f>Originals!G353</f>
        <v>NI</v>
      </c>
      <c r="H387" s="173" t="str">
        <f>Originals!H353</f>
        <v>Structure Error Handler 2.1.10.1</v>
      </c>
      <c r="I387" s="173" t="str">
        <f>Originals!I353</f>
        <v>VIPM Community</v>
      </c>
    </row>
    <row r="388" spans="1:9" x14ac:dyDescent="0.25">
      <c r="A388" s="173" t="str">
        <f>Originals!A354</f>
        <v>4-Vinnie</v>
      </c>
      <c r="B388" s="173" t="str">
        <f>Originals!B354</f>
        <v>Time Configuration Web Support</v>
      </c>
      <c r="C388" s="173" t="str">
        <f>Originals!C354</f>
        <v>15.0.0</v>
      </c>
      <c r="D388" s="173" t="str">
        <f>Originals!D354</f>
        <v>32</v>
      </c>
      <c r="E388" s="173" t="str">
        <f>Originals!E354</f>
        <v>2015</v>
      </c>
      <c r="F388" s="173" t="str">
        <f>Originals!F354</f>
        <v>C-RIO</v>
      </c>
      <c r="G388" s="173" t="str">
        <f>Originals!G354</f>
        <v>NI</v>
      </c>
      <c r="H388" s="173" t="str">
        <f>Originals!H354</f>
        <v>Time Configuration Web Support 15.0.0</v>
      </c>
      <c r="I388" s="173">
        <f>Originals!I354</f>
        <v>0</v>
      </c>
    </row>
    <row r="389" spans="1:9" x14ac:dyDescent="0.25">
      <c r="A389" s="170" t="str">
        <f>Scott!A204</f>
        <v>3-Scott</v>
      </c>
      <c r="B389" s="170" t="str">
        <f>Scott!B204</f>
        <v>UI Tools</v>
      </c>
      <c r="C389" s="170" t="str">
        <f>Scott!C204</f>
        <v>1.4.1.74</v>
      </c>
      <c r="D389" s="170" t="str">
        <f>Scott!D204</f>
        <v>32</v>
      </c>
      <c r="E389" s="170" t="str">
        <f>Scott!E204</f>
        <v>N/A</v>
      </c>
      <c r="F389" s="170" t="str">
        <f>Scott!F204</f>
        <v>Development</v>
      </c>
      <c r="G389" s="170" t="str">
        <f>Scott!G204</f>
        <v>NI</v>
      </c>
      <c r="H389" s="170" t="str">
        <f>Scott!H204</f>
        <v>UI Tools 1.4.1.74</v>
      </c>
      <c r="I389" s="170" t="str">
        <f>Scott!I204</f>
        <v>VIPM Community</v>
      </c>
    </row>
    <row r="390" spans="1:9" x14ac:dyDescent="0.25">
      <c r="A390" s="173" t="str">
        <f>Originals!A355</f>
        <v>4-Vinnie</v>
      </c>
      <c r="B390" s="173" t="str">
        <f>Originals!B355</f>
        <v>UI Tools</v>
      </c>
      <c r="C390" s="173" t="str">
        <f>Originals!C355</f>
        <v>1.4.1.74</v>
      </c>
      <c r="D390" s="173" t="str">
        <f>Originals!D355</f>
        <v>32</v>
      </c>
      <c r="E390" s="173" t="str">
        <f>Originals!E355</f>
        <v>N/A</v>
      </c>
      <c r="F390" s="173" t="str">
        <f>Originals!F355</f>
        <v>Development</v>
      </c>
      <c r="G390" s="173" t="str">
        <f>Originals!G355</f>
        <v>LAVA</v>
      </c>
      <c r="H390" s="173" t="str">
        <f>Originals!H355</f>
        <v>UI Tools 1.4.1.74</v>
      </c>
      <c r="I390" s="173" t="str">
        <f>Originals!I355</f>
        <v>VIPM Community</v>
      </c>
    </row>
    <row r="391" spans="1:9" x14ac:dyDescent="0.25">
      <c r="A391" s="170" t="str">
        <f>Scott!A198</f>
        <v>3-Scott</v>
      </c>
      <c r="B391" s="170" t="str">
        <f>Scott!B198</f>
        <v>Unit Test Framework Toolkit</v>
      </c>
      <c r="C391" s="170" t="str">
        <f>Scott!C198</f>
        <v>15.0.0</v>
      </c>
      <c r="D391" s="170">
        <f>Scott!D198</f>
        <v>32</v>
      </c>
      <c r="E391" s="170">
        <f>Scott!E198</f>
        <v>2015</v>
      </c>
      <c r="F391" s="170" t="str">
        <f>Scott!F198</f>
        <v>Development</v>
      </c>
      <c r="G391" s="170" t="str">
        <f>Scott!G198</f>
        <v>NI</v>
      </c>
      <c r="H391" s="170" t="str">
        <f>Scott!H198</f>
        <v>Unit Test Framework Toolkit 15.0.0</v>
      </c>
      <c r="I391" s="170" t="str">
        <f>Scott!I198</f>
        <v>NI Developer Suite 2015 DS2 Install</v>
      </c>
    </row>
    <row r="392" spans="1:9" x14ac:dyDescent="0.25">
      <c r="A392" s="170" t="str">
        <f>Scott!A199</f>
        <v>3-Scott</v>
      </c>
      <c r="B392" s="170" t="str">
        <f>Scott!B199</f>
        <v>USB3 Vision Driver</v>
      </c>
      <c r="C392" s="170" t="str">
        <f>Scott!C199</f>
        <v>19.0.0.49152</v>
      </c>
      <c r="D392" s="170" t="str">
        <f>Scott!D199</f>
        <v>32</v>
      </c>
      <c r="E392" s="170" t="str">
        <f>Scott!E199</f>
        <v>2019</v>
      </c>
      <c r="F392" s="170" t="str">
        <f>Scott!F199</f>
        <v>Development</v>
      </c>
      <c r="G392" s="170" t="str">
        <f>Scott!G199</f>
        <v>NI</v>
      </c>
      <c r="H392" s="170" t="str">
        <f>Scott!H199</f>
        <v>USB3 Vision Driver 19.0.0.49152</v>
      </c>
      <c r="I392" s="170" t="str">
        <f>Scott!I199</f>
        <v>LabVIEW 2019</v>
      </c>
    </row>
    <row r="393" spans="1:9" x14ac:dyDescent="0.25">
      <c r="A393" s="173" t="str">
        <f>Originals!A356</f>
        <v>4-Vinnie</v>
      </c>
      <c r="B393" s="173" t="str">
        <f>Originals!B356</f>
        <v>USB3 Vision Driver</v>
      </c>
      <c r="C393" s="173" t="str">
        <f>Originals!C356</f>
        <v>18.5.0.49152</v>
      </c>
      <c r="D393" s="173" t="str">
        <f>Originals!D356</f>
        <v>32</v>
      </c>
      <c r="E393" s="173" t="str">
        <f>Originals!E356</f>
        <v>2018</v>
      </c>
      <c r="F393" s="173" t="str">
        <f>Originals!F356</f>
        <v>Development</v>
      </c>
      <c r="G393" s="173" t="str">
        <f>Originals!G356</f>
        <v>NI</v>
      </c>
      <c r="H393" s="173" t="str">
        <f>Originals!H356</f>
        <v>USB3 Vision Driver 18.5.0.49152</v>
      </c>
      <c r="I393" s="173">
        <f>Originals!I356</f>
        <v>0</v>
      </c>
    </row>
    <row r="394" spans="1:9" x14ac:dyDescent="0.25">
      <c r="A394" s="173" t="str">
        <f>Originals!A357</f>
        <v>4-Vinnie</v>
      </c>
      <c r="B394" s="173" t="str">
        <f>Originals!B357</f>
        <v>Variable Client Support for LabVIEW RT</v>
      </c>
      <c r="C394" s="173" t="str">
        <f>Originals!C357</f>
        <v>15.0.0</v>
      </c>
      <c r="D394" s="173" t="str">
        <f>Originals!D357</f>
        <v>32</v>
      </c>
      <c r="E394" s="173" t="str">
        <f>Originals!E357</f>
        <v>2015</v>
      </c>
      <c r="F394" s="173" t="str">
        <f>Originals!F357</f>
        <v>C-RIO</v>
      </c>
      <c r="G394" s="173" t="str">
        <f>Originals!G357</f>
        <v>NI</v>
      </c>
      <c r="H394" s="173" t="str">
        <f>Originals!H357</f>
        <v>Variable Client Support for LabVIEW RT 15.0.0</v>
      </c>
      <c r="I394" s="173">
        <f>Originals!I357</f>
        <v>0</v>
      </c>
    </row>
    <row r="395" spans="1:9" x14ac:dyDescent="0.25">
      <c r="A395" s="173" t="str">
        <f>Originals!A358</f>
        <v>4-Vinnie</v>
      </c>
      <c r="B395" s="173" t="str">
        <f>Originals!B358</f>
        <v>Variable Legacy Protocol Support</v>
      </c>
      <c r="C395" s="173" t="str">
        <f>Originals!C358</f>
        <v>5.7.1</v>
      </c>
      <c r="D395" s="173" t="str">
        <f>Originals!D358</f>
        <v>32</v>
      </c>
      <c r="E395" s="173" t="str">
        <f>Originals!E358</f>
        <v>2015</v>
      </c>
      <c r="F395" s="173" t="str">
        <f>Originals!F358</f>
        <v>C-RIO</v>
      </c>
      <c r="G395" s="173" t="str">
        <f>Originals!G358</f>
        <v>NI</v>
      </c>
      <c r="H395" s="173" t="str">
        <f>Originals!H358</f>
        <v>Variable Legacy Protocol Support 5.7.1</v>
      </c>
      <c r="I395" s="173">
        <f>Originals!I358</f>
        <v>0</v>
      </c>
    </row>
    <row r="396" spans="1:9" x14ac:dyDescent="0.25">
      <c r="A396" s="173" t="str">
        <f>Originals!A359</f>
        <v>4-Vinnie</v>
      </c>
      <c r="B396" s="173" t="str">
        <f>Originals!B359</f>
        <v>Variable Legacy Server Support</v>
      </c>
      <c r="C396" s="173" t="str">
        <f>Originals!C359</f>
        <v>5.7.1</v>
      </c>
      <c r="D396" s="173" t="str">
        <f>Originals!D359</f>
        <v>32</v>
      </c>
      <c r="E396" s="173" t="str">
        <f>Originals!E359</f>
        <v>2015</v>
      </c>
      <c r="F396" s="173" t="str">
        <f>Originals!F359</f>
        <v>C-RIO</v>
      </c>
      <c r="G396" s="173" t="str">
        <f>Originals!G359</f>
        <v>NI</v>
      </c>
      <c r="H396" s="173" t="str">
        <f>Originals!H359</f>
        <v>Variable Legacy Server Support 5.7.1</v>
      </c>
      <c r="I396" s="173">
        <f>Originals!I359</f>
        <v>0</v>
      </c>
    </row>
    <row r="397" spans="1:9" x14ac:dyDescent="0.25">
      <c r="A397" s="170" t="str">
        <f>Scott!A200</f>
        <v>3-Scott</v>
      </c>
      <c r="B397" s="170" t="str">
        <f>Scott!B200</f>
        <v>VI Analyzer Toolkit</v>
      </c>
      <c r="C397" s="170" t="str">
        <f>Scott!C200</f>
        <v>15.0.0</v>
      </c>
      <c r="D397" s="170">
        <f>Scott!D200</f>
        <v>32</v>
      </c>
      <c r="E397" s="170">
        <f>Scott!E200</f>
        <v>2015</v>
      </c>
      <c r="F397" s="170" t="str">
        <f>Scott!F200</f>
        <v>Development</v>
      </c>
      <c r="G397" s="170" t="str">
        <f>Scott!G200</f>
        <v>NI</v>
      </c>
      <c r="H397" s="170" t="str">
        <f>Scott!H200</f>
        <v>VI Analyzer Toolkit 15.0.0</v>
      </c>
      <c r="I397" s="170" t="str">
        <f>Scott!I200</f>
        <v>NI Developer Suite 2015 DS2 Install</v>
      </c>
    </row>
    <row r="398" spans="1:9" x14ac:dyDescent="0.25">
      <c r="A398" s="173" t="str">
        <f>Originals!A360</f>
        <v>4-Vinnie</v>
      </c>
      <c r="B398" s="173" t="str">
        <f>Originals!B360</f>
        <v>Vision Assistant</v>
      </c>
      <c r="C398" s="173" t="str">
        <f>Originals!C360</f>
        <v>18.5.0</v>
      </c>
      <c r="D398" s="173" t="str">
        <f>Originals!D360</f>
        <v>32</v>
      </c>
      <c r="E398" s="173" t="str">
        <f>Originals!E360</f>
        <v>2018</v>
      </c>
      <c r="F398" s="173" t="str">
        <f>Originals!F360</f>
        <v>Development</v>
      </c>
      <c r="G398" s="173" t="str">
        <f>Originals!G360</f>
        <v>NI</v>
      </c>
      <c r="H398" s="173" t="str">
        <f>Originals!H360</f>
        <v>Vision Assistant 18.5.0</v>
      </c>
      <c r="I398" s="173">
        <f>Originals!I360</f>
        <v>0</v>
      </c>
    </row>
    <row r="399" spans="1:9" x14ac:dyDescent="0.25">
      <c r="A399" s="173" t="str">
        <f>Originals!A361</f>
        <v>4-Vinnie</v>
      </c>
      <c r="B399" s="173" t="str">
        <f>Originals!B361</f>
        <v>Vision Assistant</v>
      </c>
      <c r="C399" s="173" t="str">
        <f>Originals!C361</f>
        <v>18.5.0</v>
      </c>
      <c r="D399" s="173" t="str">
        <f>Originals!D361</f>
        <v>64</v>
      </c>
      <c r="E399" s="173" t="str">
        <f>Originals!E361</f>
        <v>2018</v>
      </c>
      <c r="F399" s="173" t="str">
        <f>Originals!F361</f>
        <v>Development</v>
      </c>
      <c r="G399" s="173" t="str">
        <f>Originals!G361</f>
        <v>NI</v>
      </c>
      <c r="H399" s="173" t="str">
        <f>Originals!H361</f>
        <v>Vision Assistant 18.5.0</v>
      </c>
      <c r="I399" s="173">
        <f>Originals!I361</f>
        <v>0</v>
      </c>
    </row>
    <row r="400" spans="1:9" x14ac:dyDescent="0.25">
      <c r="A400" s="170" t="str">
        <f>Scott!A201</f>
        <v>3-Scott</v>
      </c>
      <c r="B400" s="170" t="str">
        <f>Scott!B201</f>
        <v>Vision Common Resources</v>
      </c>
      <c r="C400" s="170" t="str">
        <f>Scott!C201</f>
        <v>19.0.0</v>
      </c>
      <c r="D400" s="170" t="str">
        <f>Scott!D201</f>
        <v>32</v>
      </c>
      <c r="E400" s="170" t="str">
        <f>Scott!E201</f>
        <v>2019</v>
      </c>
      <c r="F400" s="170" t="str">
        <f>Scott!F201</f>
        <v>Development</v>
      </c>
      <c r="G400" s="170" t="str">
        <f>Scott!G201</f>
        <v>NI</v>
      </c>
      <c r="H400" s="170" t="str">
        <f>Scott!H201</f>
        <v>Vision Common Resources 19.0.0</v>
      </c>
      <c r="I400" s="170" t="str">
        <f>Scott!I201</f>
        <v>LabVIEW 2019</v>
      </c>
    </row>
    <row r="401" spans="1:9" x14ac:dyDescent="0.25">
      <c r="A401" s="173" t="str">
        <f>Originals!A362</f>
        <v>4-Vinnie</v>
      </c>
      <c r="B401" s="173" t="str">
        <f>Originals!B362</f>
        <v>Vision Common Resources</v>
      </c>
      <c r="C401" s="173" t="str">
        <f>Originals!C362</f>
        <v>19.5.0</v>
      </c>
      <c r="D401" s="173" t="str">
        <f>Originals!D362</f>
        <v>32</v>
      </c>
      <c r="E401" s="173" t="str">
        <f>Originals!E362</f>
        <v>2019</v>
      </c>
      <c r="F401" s="173" t="str">
        <f>Originals!F362</f>
        <v>Development</v>
      </c>
      <c r="G401" s="173" t="str">
        <f>Originals!G362</f>
        <v>NI</v>
      </c>
      <c r="H401" s="173" t="str">
        <f>Originals!H362</f>
        <v>Vision Common Resources 19.5.0</v>
      </c>
      <c r="I401" s="173">
        <f>Originals!I362</f>
        <v>0</v>
      </c>
    </row>
    <row r="402" spans="1:9" x14ac:dyDescent="0.25">
      <c r="A402" s="170" t="str">
        <f>Scott!A202</f>
        <v>3-Scott</v>
      </c>
      <c r="B402" s="170" t="str">
        <f>Scott!B202</f>
        <v>Vision Development Module</v>
      </c>
      <c r="C402" s="170" t="str">
        <f>Scott!C202</f>
        <v>19.0.0</v>
      </c>
      <c r="D402" s="170" t="str">
        <f>Scott!D202</f>
        <v>32</v>
      </c>
      <c r="E402" s="170" t="str">
        <f>Scott!E202</f>
        <v>2019</v>
      </c>
      <c r="F402" s="170" t="str">
        <f>Scott!F202</f>
        <v>Development</v>
      </c>
      <c r="G402" s="170" t="str">
        <f>Scott!G202</f>
        <v>NI</v>
      </c>
      <c r="H402" s="170" t="str">
        <f>Scott!H202</f>
        <v>Vision Development Module 19.0.0</v>
      </c>
      <c r="I402" s="170" t="str">
        <f>Scott!I202</f>
        <v>LabVIEW 2019</v>
      </c>
    </row>
    <row r="403" spans="1:9" x14ac:dyDescent="0.25">
      <c r="A403" s="173" t="str">
        <f>Originals!A363</f>
        <v>4-Vinnie</v>
      </c>
      <c r="B403" s="173" t="str">
        <f>Originals!B363</f>
        <v>Vision Development Module</v>
      </c>
      <c r="C403" s="173" t="str">
        <f>Originals!C363</f>
        <v>18.5.0</v>
      </c>
      <c r="D403" s="173" t="str">
        <f>Originals!D363</f>
        <v>32</v>
      </c>
      <c r="E403" s="173" t="str">
        <f>Originals!E363</f>
        <v>2018</v>
      </c>
      <c r="F403" s="173" t="str">
        <f>Originals!F363</f>
        <v>Development</v>
      </c>
      <c r="G403" s="173" t="str">
        <f>Originals!G363</f>
        <v>NI</v>
      </c>
      <c r="H403" s="173" t="str">
        <f>Originals!H363</f>
        <v>Vision Development Module 18.5.0</v>
      </c>
      <c r="I403" s="173">
        <f>Originals!I363</f>
        <v>0</v>
      </c>
    </row>
    <row r="404" spans="1:9" x14ac:dyDescent="0.25">
      <c r="A404" s="173" t="str">
        <f>Originals!A364</f>
        <v>4-Vinnie</v>
      </c>
      <c r="B404" s="173" t="str">
        <f>Originals!B364</f>
        <v>Vision Development Module</v>
      </c>
      <c r="C404" s="173" t="str">
        <f>Originals!C364</f>
        <v>19.5.0</v>
      </c>
      <c r="D404" s="173" t="str">
        <f>Originals!D364</f>
        <v>32</v>
      </c>
      <c r="E404" s="173" t="str">
        <f>Originals!E364</f>
        <v>2019</v>
      </c>
      <c r="F404" s="173" t="str">
        <f>Originals!F364</f>
        <v>Development</v>
      </c>
      <c r="G404" s="173" t="str">
        <f>Originals!G364</f>
        <v>NI</v>
      </c>
      <c r="H404" s="173" t="str">
        <f>Originals!H364</f>
        <v>Vision Development Module 19.5.0</v>
      </c>
      <c r="I404" s="173">
        <f>Originals!I364</f>
        <v>0</v>
      </c>
    </row>
    <row r="405" spans="1:9" x14ac:dyDescent="0.25">
      <c r="A405" s="173" t="str">
        <f>Originals!A365</f>
        <v>4-Vinnie</v>
      </c>
      <c r="B405" s="173" t="str">
        <f>Originals!B365</f>
        <v>Vision Development Module Development Support</v>
      </c>
      <c r="C405" s="173" t="str">
        <f>Originals!C365</f>
        <v>18.5.0 SP1</v>
      </c>
      <c r="D405" s="173" t="str">
        <f>Originals!D365</f>
        <v>32</v>
      </c>
      <c r="E405" s="173" t="str">
        <f>Originals!E365</f>
        <v>2018</v>
      </c>
      <c r="F405" s="173" t="str">
        <f>Originals!F365</f>
        <v>Development</v>
      </c>
      <c r="G405" s="173" t="str">
        <f>Originals!G365</f>
        <v>NI</v>
      </c>
      <c r="H405" s="173" t="str">
        <f>Originals!H365</f>
        <v>Vision Development Module Development Support 18.5.0 SP1</v>
      </c>
      <c r="I405" s="173">
        <f>Originals!I365</f>
        <v>0</v>
      </c>
    </row>
    <row r="406" spans="1:9" x14ac:dyDescent="0.25">
      <c r="A406" s="170" t="str">
        <f>Scott!A203</f>
        <v>3-Scott</v>
      </c>
      <c r="B406" s="170" t="str">
        <f>Scott!B203</f>
        <v>Vision Development Module Support</v>
      </c>
      <c r="C406" s="170" t="str">
        <f>Scott!C203</f>
        <v>19.0.0</v>
      </c>
      <c r="D406" s="170" t="str">
        <f>Scott!D203</f>
        <v>32</v>
      </c>
      <c r="E406" s="170" t="str">
        <f>Scott!E203</f>
        <v>2019</v>
      </c>
      <c r="F406" s="170" t="str">
        <f>Scott!F203</f>
        <v>Runtime</v>
      </c>
      <c r="G406" s="170" t="str">
        <f>Scott!G203</f>
        <v>NI</v>
      </c>
      <c r="H406" s="170" t="str">
        <f>Scott!H203</f>
        <v>Vision Development Module Support 19.0.0</v>
      </c>
      <c r="I406" s="170" t="str">
        <f>Scott!I203</f>
        <v>LabVIEW 2019</v>
      </c>
    </row>
    <row r="407" spans="1:9" x14ac:dyDescent="0.25">
      <c r="A407" s="173" t="str">
        <f>Originals!A366</f>
        <v>4-Vinnie</v>
      </c>
      <c r="B407" s="173" t="str">
        <f>Originals!B366</f>
        <v>Vision Development Module Support</v>
      </c>
      <c r="C407" s="173" t="str">
        <f>Originals!C366</f>
        <v>19.5.0 SP1</v>
      </c>
      <c r="D407" s="173" t="str">
        <f>Originals!D366</f>
        <v>32</v>
      </c>
      <c r="E407" s="173" t="str">
        <f>Originals!E366</f>
        <v>2019</v>
      </c>
      <c r="F407" s="173" t="str">
        <f>Originals!F366</f>
        <v>Runtime</v>
      </c>
      <c r="G407" s="173" t="str">
        <f>Originals!G366</f>
        <v>NI</v>
      </c>
      <c r="H407" s="173" t="str">
        <f>Originals!H366</f>
        <v>Vision Development Module Support 19.5.0 SP1</v>
      </c>
      <c r="I407" s="173">
        <f>Originals!I366</f>
        <v>0</v>
      </c>
    </row>
    <row r="408" spans="1:9" x14ac:dyDescent="0.25">
      <c r="A408" s="173" t="str">
        <f>Originals!A367</f>
        <v>4-Vinnie</v>
      </c>
      <c r="B408" s="173" t="str">
        <f>Originals!B367</f>
        <v>WebDAV Cleitn with SSL Support</v>
      </c>
      <c r="C408" s="173" t="str">
        <f>Originals!C367</f>
        <v>15.0.0</v>
      </c>
      <c r="D408" s="173" t="str">
        <f>Originals!D367</f>
        <v>32</v>
      </c>
      <c r="E408" s="173" t="str">
        <f>Originals!E367</f>
        <v>2015</v>
      </c>
      <c r="F408" s="173" t="str">
        <f>Originals!F367</f>
        <v>C-RIO</v>
      </c>
      <c r="G408" s="173" t="str">
        <f>Originals!G367</f>
        <v>NI</v>
      </c>
      <c r="H408" s="173" t="str">
        <f>Originals!H367</f>
        <v>WebDAV Cleitn with SSL Support 15.0.0</v>
      </c>
      <c r="I408" s="173">
        <f>Originals!I367</f>
        <v>0</v>
      </c>
    </row>
    <row r="409" spans="1:9" x14ac:dyDescent="0.25">
      <c r="A409" s="173" t="str">
        <f>Originals!A368</f>
        <v>4-Vinnie</v>
      </c>
      <c r="B409" s="173" t="str">
        <f>Originals!B368</f>
        <v>WebDAV Server</v>
      </c>
      <c r="C409" s="173" t="str">
        <f>Originals!C368</f>
        <v>15.0.0</v>
      </c>
      <c r="D409" s="173" t="str">
        <f>Originals!D368</f>
        <v>32</v>
      </c>
      <c r="E409" s="173" t="str">
        <f>Originals!E368</f>
        <v>2015</v>
      </c>
      <c r="F409" s="173" t="str">
        <f>Originals!F368</f>
        <v>C-RIO</v>
      </c>
      <c r="G409" s="173" t="str">
        <f>Originals!G368</f>
        <v>NI</v>
      </c>
      <c r="H409" s="173" t="str">
        <f>Originals!H368</f>
        <v>WebDAV Server 15.0.0</v>
      </c>
      <c r="I409" s="173">
        <f>Originals!I368</f>
        <v>0</v>
      </c>
    </row>
  </sheetData>
  <autoFilter ref="A1:J409" xr:uid="{6E45412E-67A0-4436-B27C-26CC56C27032}">
    <sortState xmlns:xlrd2="http://schemas.microsoft.com/office/spreadsheetml/2017/richdata2" ref="A2:J409">
      <sortCondition ref="B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9C2F-4FC8-4AA0-88C5-CF4A2D2F7C20}">
  <sheetPr codeName="Sheet3" filterMode="1"/>
  <dimension ref="A1:I346"/>
  <sheetViews>
    <sheetView showZeros="0" zoomScaleNormal="100" workbookViewId="0">
      <pane ySplit="3" topLeftCell="A4" activePane="bottomLeft" state="frozen"/>
      <selection activeCell="A4" sqref="A4"/>
      <selection pane="bottomLeft" activeCell="I37" sqref="A1:I37"/>
    </sheetView>
  </sheetViews>
  <sheetFormatPr defaultColWidth="11.140625" defaultRowHeight="13.5" x14ac:dyDescent="0.25"/>
  <cols>
    <col min="1" max="1" width="12.5703125" style="45" bestFit="1" customWidth="1"/>
    <col min="2" max="2" width="33.42578125" style="45" bestFit="1" customWidth="1"/>
    <col min="3" max="3" width="11.7109375" style="46" bestFit="1" customWidth="1"/>
    <col min="4" max="4" width="9" style="46" bestFit="1" customWidth="1"/>
    <col min="5" max="5" width="11.5703125" style="46" bestFit="1" customWidth="1"/>
    <col min="6" max="6" width="21.28515625" style="46" bestFit="1" customWidth="1"/>
    <col min="7" max="7" width="11.42578125" style="46" bestFit="1" customWidth="1"/>
    <col min="8" max="8" width="43" style="45" bestFit="1" customWidth="1"/>
    <col min="9" max="9" width="31.7109375" style="45" bestFit="1" customWidth="1"/>
    <col min="10" max="16384" width="11.140625" style="45"/>
  </cols>
  <sheetData>
    <row r="1" spans="1:9" x14ac:dyDescent="0.25">
      <c r="A1" s="174" t="s">
        <v>504</v>
      </c>
      <c r="B1" s="174"/>
      <c r="C1" s="174"/>
      <c r="D1" s="174"/>
      <c r="E1" s="174"/>
      <c r="F1" s="174"/>
      <c r="G1" s="174"/>
      <c r="H1" s="174"/>
      <c r="I1" s="175"/>
    </row>
    <row r="2" spans="1:9" ht="14.25" thickBot="1" x14ac:dyDescent="0.3">
      <c r="A2" s="176"/>
      <c r="B2" s="176"/>
      <c r="C2" s="176"/>
      <c r="D2" s="176"/>
      <c r="E2" s="176"/>
      <c r="F2" s="176"/>
      <c r="G2" s="176"/>
      <c r="H2" s="176"/>
      <c r="I2" s="177"/>
    </row>
    <row r="3" spans="1:9" x14ac:dyDescent="0.25">
      <c r="A3" s="57" t="s">
        <v>98</v>
      </c>
      <c r="B3" s="58" t="s">
        <v>99</v>
      </c>
      <c r="C3" s="58" t="s">
        <v>3</v>
      </c>
      <c r="D3" s="58" t="s">
        <v>4</v>
      </c>
      <c r="E3" s="58" t="s">
        <v>5</v>
      </c>
      <c r="F3" s="58" t="s">
        <v>100</v>
      </c>
      <c r="G3" s="58" t="s">
        <v>6</v>
      </c>
      <c r="H3" s="59" t="s">
        <v>101</v>
      </c>
      <c r="I3" s="60" t="s">
        <v>7</v>
      </c>
    </row>
    <row r="4" spans="1:9" ht="15" x14ac:dyDescent="0.25">
      <c r="A4" s="96" t="str">
        <f>Originals!A7</f>
        <v>1-Corey</v>
      </c>
      <c r="B4" s="96" t="str">
        <f>Originals!B7</f>
        <v>CVI</v>
      </c>
      <c r="C4" s="96" t="str">
        <f>Originals!C7</f>
        <v>15.0.0.408</v>
      </c>
      <c r="D4" s="96" t="str">
        <f>Originals!D7</f>
        <v>32</v>
      </c>
      <c r="E4" s="96" t="str">
        <f>Originals!E7</f>
        <v>2015</v>
      </c>
      <c r="F4" s="96" t="str">
        <f>Originals!F7</f>
        <v>Runtime</v>
      </c>
      <c r="G4" s="96" t="str">
        <f>Originals!G7</f>
        <v>NI</v>
      </c>
      <c r="H4" s="96" t="str">
        <f>Originals!H7</f>
        <v>CVI 15.0.0.408</v>
      </c>
      <c r="I4" s="96" t="str">
        <f>Originals!I7</f>
        <v>LabVIEW 2015 SP1</v>
      </c>
    </row>
    <row r="5" spans="1:9" ht="15" x14ac:dyDescent="0.25">
      <c r="A5" s="96" t="str">
        <f>Originals!A170</f>
        <v>4-Vinnie</v>
      </c>
      <c r="B5" s="96" t="str">
        <f>Originals!B170</f>
        <v>CVI</v>
      </c>
      <c r="C5" s="96" t="str">
        <f>Originals!C170</f>
        <v>19.0.0.49154</v>
      </c>
      <c r="D5" s="96" t="str">
        <f>Originals!D170</f>
        <v>32</v>
      </c>
      <c r="E5" s="96" t="str">
        <f>Originals!E170</f>
        <v>2019</v>
      </c>
      <c r="F5" s="96" t="str">
        <f>Originals!F170</f>
        <v>Runtime</v>
      </c>
      <c r="G5" s="96" t="str">
        <f>Originals!G170</f>
        <v>NI</v>
      </c>
      <c r="H5" s="96" t="str">
        <f>Originals!H170</f>
        <v>CVI 19.0.0.49154</v>
      </c>
      <c r="I5" s="96">
        <f>Originals!I170</f>
        <v>0</v>
      </c>
    </row>
    <row r="6" spans="1:9" ht="15" x14ac:dyDescent="0.25">
      <c r="A6" s="96" t="str">
        <f>Originals!A14</f>
        <v>1-Corey</v>
      </c>
      <c r="B6" s="96" t="str">
        <f>Originals!B14</f>
        <v>LabVIEW</v>
      </c>
      <c r="C6" s="96" t="str">
        <f>Originals!C14</f>
        <v>15.0.1</v>
      </c>
      <c r="D6" s="96" t="str">
        <f>Originals!D14</f>
        <v>32</v>
      </c>
      <c r="E6" s="96" t="str">
        <f>Originals!E14</f>
        <v>2015 SP1</v>
      </c>
      <c r="F6" s="96" t="str">
        <f>Originals!F14</f>
        <v>Runtime</v>
      </c>
      <c r="G6" s="96" t="str">
        <f>Originals!G14</f>
        <v>NI</v>
      </c>
      <c r="H6" s="96" t="str">
        <f>Originals!H14</f>
        <v>LabVIEW 2015 SP1 15.0.1</v>
      </c>
      <c r="I6" s="96" t="str">
        <f>Originals!I14</f>
        <v>LabVIEW 2015 SP1</v>
      </c>
    </row>
    <row r="7" spans="1:9" ht="15" x14ac:dyDescent="0.25">
      <c r="A7" s="96" t="str">
        <f>Originals!A15</f>
        <v>1-Corey</v>
      </c>
      <c r="B7" s="96" t="str">
        <f>Originals!B15</f>
        <v>LabVIEW</v>
      </c>
      <c r="C7" s="96" t="str">
        <f>Originals!C15</f>
        <v>12.0.1</v>
      </c>
      <c r="D7" s="96" t="str">
        <f>Originals!D15</f>
        <v>32</v>
      </c>
      <c r="E7" s="96" t="str">
        <f>Originals!E15</f>
        <v>2012 SP1 f9</v>
      </c>
      <c r="F7" s="96" t="str">
        <f>Originals!F15</f>
        <v>Runtime</v>
      </c>
      <c r="G7" s="96" t="str">
        <f>Originals!G15</f>
        <v>NI</v>
      </c>
      <c r="H7" s="96" t="str">
        <f>Originals!H15</f>
        <v>LabVIEW 2012 SP1 f9 12.0.1</v>
      </c>
      <c r="I7" s="96" t="str">
        <f>Originals!I15</f>
        <v>NI Developer Suite 2015 DS2 Install</v>
      </c>
    </row>
    <row r="8" spans="1:9" ht="15" x14ac:dyDescent="0.25">
      <c r="A8" s="96" t="str">
        <f>Originals!A17</f>
        <v>1-Corey</v>
      </c>
      <c r="B8" s="96" t="str">
        <f>Originals!B17</f>
        <v>LabVIEW</v>
      </c>
      <c r="C8" s="96" t="str">
        <f>Originals!C17</f>
        <v>13.0.1</v>
      </c>
      <c r="D8" s="96" t="str">
        <f>Originals!D17</f>
        <v>32</v>
      </c>
      <c r="E8" s="96" t="str">
        <f>Originals!E17</f>
        <v>2013 SP1 f6</v>
      </c>
      <c r="F8" s="96" t="str">
        <f>Originals!F17</f>
        <v>Runtime</v>
      </c>
      <c r="G8" s="96" t="str">
        <f>Originals!G17</f>
        <v>NI</v>
      </c>
      <c r="H8" s="96" t="str">
        <f>Originals!H17</f>
        <v>LabVIEW 2013 SP1 f6 13.0.1</v>
      </c>
      <c r="I8" s="96" t="str">
        <f>Originals!I17</f>
        <v>NI Developer Suite 2015 DS2 Install</v>
      </c>
    </row>
    <row r="9" spans="1:9" ht="15" x14ac:dyDescent="0.25">
      <c r="A9" s="96" t="str">
        <f>Originals!A18</f>
        <v>1-Corey</v>
      </c>
      <c r="B9" s="96" t="str">
        <f>Originals!B18</f>
        <v>LabVIEW</v>
      </c>
      <c r="C9" s="96" t="str">
        <f>Originals!C18</f>
        <v>14.0.1</v>
      </c>
      <c r="D9" s="96" t="str">
        <f>Originals!D18</f>
        <v>32</v>
      </c>
      <c r="E9" s="96" t="str">
        <f>Originals!E18</f>
        <v>2014 SP1 f11</v>
      </c>
      <c r="F9" s="96" t="str">
        <f>Originals!F18</f>
        <v>Runtime</v>
      </c>
      <c r="G9" s="96" t="str">
        <f>Originals!G18</f>
        <v>NI</v>
      </c>
      <c r="H9" s="96" t="str">
        <f>Originals!H18</f>
        <v>LabVIEW 2014 SP1 f11 14.0.1</v>
      </c>
      <c r="I9" s="96" t="str">
        <f>Originals!I18</f>
        <v>2015 SP1 Update Service</v>
      </c>
    </row>
    <row r="10" spans="1:9" s="5" customFormat="1" ht="15" x14ac:dyDescent="0.25">
      <c r="A10" s="96" t="str">
        <f>Originals!A20</f>
        <v>1-Corey</v>
      </c>
      <c r="B10" s="96" t="str">
        <f>Originals!B20</f>
        <v>LabVIEW</v>
      </c>
      <c r="C10" s="96" t="str">
        <f>Originals!C20</f>
        <v>19.0.1</v>
      </c>
      <c r="D10" s="96" t="str">
        <f>Originals!D20</f>
        <v>32</v>
      </c>
      <c r="E10" s="96" t="str">
        <f>Originals!E20</f>
        <v>2019 SP1 f3</v>
      </c>
      <c r="F10" s="96" t="str">
        <f>Originals!F20</f>
        <v>Runtime</v>
      </c>
      <c r="G10" s="96" t="str">
        <f>Originals!G20</f>
        <v>NI</v>
      </c>
      <c r="H10" s="96" t="str">
        <f>Originals!H20</f>
        <v>LabVIEW 2019 SP1 f3 19.0.1</v>
      </c>
      <c r="I10" s="96">
        <f>Originals!I20</f>
        <v>0</v>
      </c>
    </row>
    <row r="11" spans="1:9" s="5" customFormat="1" ht="15" x14ac:dyDescent="0.25">
      <c r="A11" s="96" t="str">
        <f>Originals!A99</f>
        <v>2-Spencer</v>
      </c>
      <c r="B11" s="96" t="str">
        <f>Originals!B99</f>
        <v>LabVIEW</v>
      </c>
      <c r="C11" s="96" t="str">
        <f>Originals!C99</f>
        <v>19.0.1</v>
      </c>
      <c r="D11" s="96" t="str">
        <f>Originals!D99</f>
        <v>32</v>
      </c>
      <c r="E11" s="96" t="str">
        <f>Originals!E99</f>
        <v>2019 SP1 f5</v>
      </c>
      <c r="F11" s="96" t="str">
        <f>Originals!F99</f>
        <v>Runtime</v>
      </c>
      <c r="G11" s="96" t="str">
        <f>Originals!G99</f>
        <v>NI</v>
      </c>
      <c r="H11" s="96" t="str">
        <f>Originals!H99</f>
        <v>LabVIEW 2019 SP1 f5 19.0.1</v>
      </c>
      <c r="I11" s="96">
        <f>Originals!I99</f>
        <v>0</v>
      </c>
    </row>
    <row r="12" spans="1:9" s="5" customFormat="1" ht="15" x14ac:dyDescent="0.25">
      <c r="A12" s="96" t="str">
        <f>Scott!A48</f>
        <v>3-Scott</v>
      </c>
      <c r="B12" s="96" t="str">
        <f>Scott!B48</f>
        <v>LabVIEW</v>
      </c>
      <c r="C12" s="96" t="str">
        <f>Scott!C48</f>
        <v>19.0.0</v>
      </c>
      <c r="D12" s="96" t="str">
        <f>Scott!D48</f>
        <v>32</v>
      </c>
      <c r="E12" s="96" t="str">
        <f>Scott!E48</f>
        <v>2019</v>
      </c>
      <c r="F12" s="96" t="str">
        <f>Scott!F48</f>
        <v>Runtime</v>
      </c>
      <c r="G12" s="96" t="str">
        <f>Scott!G48</f>
        <v>NI</v>
      </c>
      <c r="H12" s="96" t="str">
        <f>Scott!H48</f>
        <v>LabVIEW 2019 19.0.0</v>
      </c>
      <c r="I12" s="96" t="str">
        <f>Scott!I48</f>
        <v>LabVIEW 2019</v>
      </c>
    </row>
    <row r="13" spans="1:9" s="5" customFormat="1" ht="15" x14ac:dyDescent="0.25">
      <c r="A13" s="96" t="str">
        <f>Scott!A49</f>
        <v>3-Scott</v>
      </c>
      <c r="B13" s="96" t="str">
        <f>Scott!B49</f>
        <v>LabVIEW</v>
      </c>
      <c r="C13" s="96" t="str">
        <f>Scott!C49</f>
        <v>18.0.1</v>
      </c>
      <c r="D13" s="96" t="str">
        <f>Scott!D49</f>
        <v>32</v>
      </c>
      <c r="E13" s="96" t="str">
        <f>Scott!E49</f>
        <v>2018 SP1 f3</v>
      </c>
      <c r="F13" s="96" t="str">
        <f>Scott!F49</f>
        <v>Runtime</v>
      </c>
      <c r="G13" s="96" t="str">
        <f>Scott!G49</f>
        <v>NI</v>
      </c>
      <c r="H13" s="96" t="str">
        <f>Scott!H49</f>
        <v>LabVIEW 2019 SP1 f3 18.0.1</v>
      </c>
      <c r="I13" s="96" t="str">
        <f>Scott!I49</f>
        <v>LabVIEW 2019</v>
      </c>
    </row>
    <row r="14" spans="1:9" s="5" customFormat="1" ht="15" x14ac:dyDescent="0.25">
      <c r="A14" s="96" t="str">
        <f>Scott!A51</f>
        <v>3-Scott</v>
      </c>
      <c r="B14" s="96" t="str">
        <f>Scott!B51</f>
        <v>LabVIEW</v>
      </c>
      <c r="C14" s="96" t="str">
        <f>Scott!C51</f>
        <v>15.0.0</v>
      </c>
      <c r="D14" s="96">
        <f>Scott!D51</f>
        <v>64</v>
      </c>
      <c r="E14" s="96" t="str">
        <f>Scott!E51</f>
        <v>2015 f2</v>
      </c>
      <c r="F14" s="96" t="str">
        <f>Scott!F51</f>
        <v>Runtime</v>
      </c>
      <c r="G14" s="96" t="str">
        <f>Scott!G51</f>
        <v>NI</v>
      </c>
      <c r="H14" s="96" t="str">
        <f>Scott!H51</f>
        <v>LabVIEW 2015 f2 15.0.0</v>
      </c>
      <c r="I14" s="96" t="str">
        <f>Scott!I51</f>
        <v>2015 SP1 Update Service</v>
      </c>
    </row>
    <row r="15" spans="1:9" s="5" customFormat="1" ht="15" x14ac:dyDescent="0.25">
      <c r="A15" s="96" t="str">
        <f>Originals!A208</f>
        <v>4-Vinnie</v>
      </c>
      <c r="B15" s="96" t="str">
        <f>Originals!B208</f>
        <v>LabVIEW</v>
      </c>
      <c r="C15" s="96" t="str">
        <f>Originals!C208</f>
        <v>16.0.0</v>
      </c>
      <c r="D15" s="96" t="str">
        <f>Originals!D208</f>
        <v>32</v>
      </c>
      <c r="E15" s="96" t="str">
        <f>Originals!E208</f>
        <v>2016  f6</v>
      </c>
      <c r="F15" s="96" t="str">
        <f>Originals!F208</f>
        <v>Runtime</v>
      </c>
      <c r="G15" s="96" t="str">
        <f>Originals!G208</f>
        <v>NI</v>
      </c>
      <c r="H15" s="96" t="str">
        <f>Originals!H208</f>
        <v>LabVIEW 2016  f6 16.0.0</v>
      </c>
      <c r="I15" s="96">
        <f>Originals!I208</f>
        <v>0</v>
      </c>
    </row>
    <row r="16" spans="1:9" s="5" customFormat="1" ht="15" x14ac:dyDescent="0.25">
      <c r="A16" s="96" t="str">
        <f>Originals!A209</f>
        <v>4-Vinnie</v>
      </c>
      <c r="B16" s="96" t="str">
        <f>Originals!B209</f>
        <v>LabVIEW</v>
      </c>
      <c r="C16" s="96" t="str">
        <f>Originals!C209</f>
        <v>17.0.1</v>
      </c>
      <c r="D16" s="96" t="str">
        <f>Originals!D209</f>
        <v>32</v>
      </c>
      <c r="E16" s="96" t="str">
        <f>Originals!E209</f>
        <v>2017 SP1 f3</v>
      </c>
      <c r="F16" s="96" t="str">
        <f>Originals!F209</f>
        <v>Runtime</v>
      </c>
      <c r="G16" s="96" t="str">
        <f>Originals!G209</f>
        <v>NI</v>
      </c>
      <c r="H16" s="96" t="str">
        <f>Originals!H209</f>
        <v>LabVIEW 2017 SP1 f3 17.0.1</v>
      </c>
      <c r="I16" s="96">
        <f>Originals!I209</f>
        <v>0</v>
      </c>
    </row>
    <row r="17" spans="1:9" s="5" customFormat="1" ht="15" x14ac:dyDescent="0.25">
      <c r="A17" s="96" t="str">
        <f>Originals!A210</f>
        <v>4-Vinnie</v>
      </c>
      <c r="B17" s="96" t="str">
        <f>Originals!B210</f>
        <v>LabVIEW</v>
      </c>
      <c r="C17" s="96" t="str">
        <f>Originals!C210</f>
        <v>18.0.1</v>
      </c>
      <c r="D17" s="96" t="str">
        <f>Originals!D210</f>
        <v>64</v>
      </c>
      <c r="E17" s="96" t="str">
        <f>Originals!E210</f>
        <v>2018 SP1</v>
      </c>
      <c r="F17" s="96" t="str">
        <f>Originals!F210</f>
        <v>Runtime</v>
      </c>
      <c r="G17" s="96" t="str">
        <f>Originals!G210</f>
        <v>NI</v>
      </c>
      <c r="H17" s="96" t="str">
        <f>Originals!H210</f>
        <v>LabVIEW 2018 SP1 18.0.1</v>
      </c>
      <c r="I17" s="96" t="str">
        <f>Originals!I210</f>
        <v>LabVIEW 2019</v>
      </c>
    </row>
    <row r="18" spans="1:9" s="5" customFormat="1" ht="15" x14ac:dyDescent="0.25">
      <c r="A18" s="96" t="str">
        <f>Originals!A211</f>
        <v>4-Vinnie</v>
      </c>
      <c r="B18" s="96" t="str">
        <f>Originals!B211</f>
        <v>LabVIEW</v>
      </c>
      <c r="C18" s="96" t="str">
        <f>Originals!C211</f>
        <v>19.0.1</v>
      </c>
      <c r="D18" s="96" t="str">
        <f>Originals!D211</f>
        <v>32</v>
      </c>
      <c r="E18" s="96" t="str">
        <f>Originals!E211</f>
        <v>2019 SP1 f1</v>
      </c>
      <c r="F18" s="96" t="str">
        <f>Originals!F211</f>
        <v>Runtime</v>
      </c>
      <c r="G18" s="96" t="str">
        <f>Originals!G211</f>
        <v>NI</v>
      </c>
      <c r="H18" s="96" t="str">
        <f>Originals!H211</f>
        <v>LabVIEW 2019 SP1 f1 19.0.1</v>
      </c>
      <c r="I18" s="96">
        <f>Originals!I211</f>
        <v>0</v>
      </c>
    </row>
    <row r="19" spans="1:9" ht="15" x14ac:dyDescent="0.25">
      <c r="A19" s="96" t="str">
        <f>Originals!A373</f>
        <v>5-Confluence</v>
      </c>
      <c r="B19" s="96" t="str">
        <f>Originals!B373</f>
        <v>LabVIEW</v>
      </c>
      <c r="C19" s="96" t="str">
        <f>Originals!C373</f>
        <v>16.0.0</v>
      </c>
      <c r="D19" s="96" t="str">
        <f>Originals!D373</f>
        <v>32</v>
      </c>
      <c r="E19" s="96" t="str">
        <f>Originals!E373</f>
        <v>2016 f5</v>
      </c>
      <c r="F19" s="96" t="str">
        <f>Originals!F373</f>
        <v>Runtime</v>
      </c>
      <c r="G19" s="96" t="str">
        <f>Originals!G373</f>
        <v>NI</v>
      </c>
      <c r="H19" s="96" t="str">
        <f>Originals!H373</f>
        <v>LabVIEW 2016 f5 16.0.0</v>
      </c>
      <c r="I19" s="96" t="str">
        <f>Originals!I373</f>
        <v>CompactRIO 18.1.0</v>
      </c>
    </row>
    <row r="20" spans="1:9" s="5" customFormat="1" ht="15" x14ac:dyDescent="0.25">
      <c r="A20" s="96" t="str">
        <f>Originals!A375</f>
        <v>5-Confluence</v>
      </c>
      <c r="B20" s="96" t="str">
        <f>Originals!B375</f>
        <v>LabVIEW</v>
      </c>
      <c r="C20" s="96" t="str">
        <f>Originals!C375</f>
        <v>18.0.0</v>
      </c>
      <c r="D20" s="96" t="str">
        <f>Originals!D375</f>
        <v>32</v>
      </c>
      <c r="E20" s="96" t="str">
        <f>Originals!E375</f>
        <v>2018 f2</v>
      </c>
      <c r="F20" s="96" t="str">
        <f>Originals!F375</f>
        <v>Runtime</v>
      </c>
      <c r="G20" s="96" t="str">
        <f>Originals!G375</f>
        <v>NI</v>
      </c>
      <c r="H20" s="96" t="str">
        <f>Originals!H375</f>
        <v>LabVIEW 2018 f2 18.0.0</v>
      </c>
      <c r="I20" s="96">
        <f>Originals!I375</f>
        <v>0</v>
      </c>
    </row>
    <row r="21" spans="1:9" ht="15" x14ac:dyDescent="0.25">
      <c r="A21" s="96" t="str">
        <f>Originals!A378</f>
        <v>5-Confluence</v>
      </c>
      <c r="B21" s="96" t="str">
        <f>Originals!B378</f>
        <v xml:space="preserve">LabWindows/CVI </v>
      </c>
      <c r="C21" s="96">
        <f>Originals!C378</f>
        <v>0</v>
      </c>
      <c r="D21" s="96" t="str">
        <f>Originals!D378</f>
        <v>32</v>
      </c>
      <c r="E21" s="96" t="str">
        <f>Originals!E378</f>
        <v>2013 SP2</v>
      </c>
      <c r="F21" s="96" t="str">
        <f>Originals!F378</f>
        <v>Runtime</v>
      </c>
      <c r="G21" s="96" t="str">
        <f>Originals!G378</f>
        <v>NI</v>
      </c>
      <c r="H21" s="96" t="str">
        <f>Originals!H378</f>
        <v xml:space="preserve">LabWindows/CVI  </v>
      </c>
      <c r="I21" s="96">
        <f>Originals!I378</f>
        <v>0</v>
      </c>
    </row>
    <row r="22" spans="1:9" s="5" customFormat="1" ht="15" x14ac:dyDescent="0.25">
      <c r="A22" s="96" t="str">
        <f>Originals!A107</f>
        <v>2-Spencer</v>
      </c>
      <c r="B22" s="96" t="str">
        <f>Originals!B107</f>
        <v>NI PXI Platform Services</v>
      </c>
      <c r="C22" s="96" t="str">
        <f>Originals!C107</f>
        <v>19.5.0f0</v>
      </c>
      <c r="D22" s="96" t="str">
        <f>Originals!D107</f>
        <v>32</v>
      </c>
      <c r="E22" s="96" t="str">
        <f>Originals!E107</f>
        <v>2019</v>
      </c>
      <c r="F22" s="96" t="str">
        <f>Originals!F107</f>
        <v>Runtime</v>
      </c>
      <c r="G22" s="96" t="str">
        <f>Originals!G107</f>
        <v>NI</v>
      </c>
      <c r="H22" s="96" t="str">
        <f>Originals!H107</f>
        <v>NI PXI Platform Services 19.5.0f0</v>
      </c>
      <c r="I22" s="96">
        <f>Originals!I107</f>
        <v>0</v>
      </c>
    </row>
    <row r="23" spans="1:9" s="5" customFormat="1" ht="15" x14ac:dyDescent="0.25">
      <c r="A23" s="96" t="str">
        <f>Scott!A99</f>
        <v>3-Scott</v>
      </c>
      <c r="B23" s="96" t="str">
        <f>Scott!B99</f>
        <v>NI PXI Platform Services</v>
      </c>
      <c r="C23" s="96" t="str">
        <f>Scott!C99</f>
        <v>15.0.0f1</v>
      </c>
      <c r="D23" s="96">
        <f>Scott!D99</f>
        <v>32</v>
      </c>
      <c r="E23" s="96">
        <f>Scott!E99</f>
        <v>2015</v>
      </c>
      <c r="F23" s="96" t="str">
        <f>Scott!F99</f>
        <v>Runtime</v>
      </c>
      <c r="G23" s="96" t="str">
        <f>Scott!G99</f>
        <v>NI</v>
      </c>
      <c r="H23" s="96" t="str">
        <f>Scott!H99</f>
        <v>NI PXI Platform Services 15.0.0f1</v>
      </c>
      <c r="I23" s="96" t="str">
        <f>Scott!I99</f>
        <v>NI Developer Suite 2015 DS2 Install</v>
      </c>
    </row>
    <row r="24" spans="1:9" s="5" customFormat="1" ht="15" x14ac:dyDescent="0.25">
      <c r="A24" s="96" t="str">
        <f>Originals!A381</f>
        <v>5-Confluence</v>
      </c>
      <c r="B24" s="96" t="str">
        <f>Originals!B381</f>
        <v>NI PXI Platform Services</v>
      </c>
      <c r="C24" s="96" t="str">
        <f>Originals!C381</f>
        <v>18.0</v>
      </c>
      <c r="D24" s="96" t="str">
        <f>Originals!D381</f>
        <v>32</v>
      </c>
      <c r="E24" s="96" t="str">
        <f>Originals!E381</f>
        <v>2018</v>
      </c>
      <c r="F24" s="96" t="str">
        <f>Originals!F381</f>
        <v>Runtime</v>
      </c>
      <c r="G24" s="96" t="str">
        <f>Originals!G381</f>
        <v>NI</v>
      </c>
      <c r="H24" s="96" t="str">
        <f>Originals!H381</f>
        <v>NI PXI Platform Services 18.0</v>
      </c>
      <c r="I24" s="96" t="str">
        <f>Originals!I381</f>
        <v>CompactRIO 18.1.0</v>
      </c>
    </row>
    <row r="25" spans="1:9" s="5" customFormat="1" ht="15" x14ac:dyDescent="0.25">
      <c r="A25" s="96" t="str">
        <f>Originals!A383</f>
        <v>5-Confluence</v>
      </c>
      <c r="B25" s="96" t="str">
        <f>Originals!B383</f>
        <v>NI Serial</v>
      </c>
      <c r="C25" s="96" t="str">
        <f>Originals!C383</f>
        <v>17.5</v>
      </c>
      <c r="D25" s="96" t="str">
        <f>Originals!D383</f>
        <v>32</v>
      </c>
      <c r="E25" s="96" t="str">
        <f>Originals!E383</f>
        <v>2017</v>
      </c>
      <c r="F25" s="96" t="str">
        <f>Originals!F383</f>
        <v>Runtime</v>
      </c>
      <c r="G25" s="96" t="str">
        <f>Originals!G383</f>
        <v>NI</v>
      </c>
      <c r="H25" s="96" t="str">
        <f>Originals!H383</f>
        <v>NI Serial 17.5</v>
      </c>
      <c r="I25" s="96">
        <f>Originals!I383</f>
        <v>0</v>
      </c>
    </row>
    <row r="26" spans="1:9" s="5" customFormat="1" ht="15" x14ac:dyDescent="0.25">
      <c r="A26" s="96" t="str">
        <f>Originals!A36</f>
        <v>1-Corey</v>
      </c>
      <c r="B26" s="96" t="str">
        <f>Originals!B36</f>
        <v>NI-488.2</v>
      </c>
      <c r="C26" s="96" t="str">
        <f>Originals!C36</f>
        <v>19.5.0</v>
      </c>
      <c r="D26" s="96" t="str">
        <f>Originals!D36</f>
        <v>32</v>
      </c>
      <c r="E26" s="96" t="str">
        <f>Originals!E36</f>
        <v>2019</v>
      </c>
      <c r="F26" s="96" t="str">
        <f>Originals!F36</f>
        <v>Runtime</v>
      </c>
      <c r="G26" s="96" t="str">
        <f>Originals!G36</f>
        <v>NI</v>
      </c>
      <c r="H26" s="96" t="str">
        <f>Originals!H36</f>
        <v>NI-488.2 19.5.0</v>
      </c>
      <c r="I26" s="96">
        <f>Originals!I36</f>
        <v>0</v>
      </c>
    </row>
    <row r="27" spans="1:9" s="5" customFormat="1" ht="15" x14ac:dyDescent="0.25">
      <c r="A27" s="96" t="str">
        <f>Scott!A105</f>
        <v>3-Scott</v>
      </c>
      <c r="B27" s="96" t="str">
        <f>Scott!B105</f>
        <v>NI-488.2</v>
      </c>
      <c r="C27" s="96" t="str">
        <f>Scott!C105</f>
        <v>19.0.0</v>
      </c>
      <c r="D27" s="96">
        <f>Scott!D105</f>
        <v>32</v>
      </c>
      <c r="E27" s="96">
        <f>Scott!E105</f>
        <v>2019</v>
      </c>
      <c r="F27" s="96" t="str">
        <f>Scott!F105</f>
        <v>Runtime</v>
      </c>
      <c r="G27" s="96" t="str">
        <f>Scott!G105</f>
        <v>NI</v>
      </c>
      <c r="H27" s="96" t="str">
        <f>Scott!H105</f>
        <v>NI-488.2 19.0.0</v>
      </c>
      <c r="I27" s="96" t="str">
        <f>Scott!I105</f>
        <v>LabVIEW 2019</v>
      </c>
    </row>
    <row r="28" spans="1:9" s="5" customFormat="1" ht="15" x14ac:dyDescent="0.25">
      <c r="A28" s="96" t="str">
        <f>Originals!A385</f>
        <v>5-Confluence</v>
      </c>
      <c r="B28" s="96" t="str">
        <f>Originals!B385</f>
        <v>NI-488.2</v>
      </c>
      <c r="C28" s="96" t="str">
        <f>Originals!C385</f>
        <v>15.5</v>
      </c>
      <c r="D28" s="96" t="str">
        <f>Originals!D385</f>
        <v>32</v>
      </c>
      <c r="E28" s="96" t="str">
        <f>Originals!E385</f>
        <v>2015</v>
      </c>
      <c r="F28" s="96" t="str">
        <f>Originals!F385</f>
        <v>Runtime</v>
      </c>
      <c r="G28" s="96" t="str">
        <f>Originals!G385</f>
        <v>NI</v>
      </c>
      <c r="H28" s="96" t="str">
        <f>Originals!H385</f>
        <v>NI-488.2 15.5</v>
      </c>
      <c r="I28" s="96">
        <f>Originals!I385</f>
        <v>0</v>
      </c>
    </row>
    <row r="29" spans="1:9" s="5" customFormat="1" ht="15" x14ac:dyDescent="0.25">
      <c r="A29" s="96" t="str">
        <f>Originals!A133</f>
        <v>2-Spencer</v>
      </c>
      <c r="B29" s="96" t="str">
        <f>Originals!B133</f>
        <v>NI-HSDIO</v>
      </c>
      <c r="C29" s="96" t="str">
        <f>Originals!C133</f>
        <v>15.0</v>
      </c>
      <c r="D29" s="96" t="str">
        <f>Originals!D133</f>
        <v>32</v>
      </c>
      <c r="E29" s="96" t="str">
        <f>Originals!E133</f>
        <v>2015</v>
      </c>
      <c r="F29" s="96" t="str">
        <f>Originals!F133</f>
        <v>Runtime</v>
      </c>
      <c r="G29" s="96" t="str">
        <f>Originals!G133</f>
        <v>NI</v>
      </c>
      <c r="H29" s="96" t="str">
        <f>Originals!H133</f>
        <v>NI-HSDIO 15.0</v>
      </c>
      <c r="I29" s="96" t="str">
        <f>Originals!I133</f>
        <v>NI Developer Suite 2015 DS2 Install</v>
      </c>
    </row>
    <row r="30" spans="1:9" s="5" customFormat="1" ht="15" x14ac:dyDescent="0.25">
      <c r="A30" s="96" t="str">
        <f>Originals!A62</f>
        <v>1-Corey</v>
      </c>
      <c r="B30" s="96" t="str">
        <f>Originals!B62</f>
        <v>NI-Serial</v>
      </c>
      <c r="C30" s="96" t="str">
        <f>Originals!C62</f>
        <v>18.5.0f0</v>
      </c>
      <c r="D30" s="96" t="str">
        <f>Originals!D62</f>
        <v>32</v>
      </c>
      <c r="E30" s="96" t="str">
        <f>Originals!E62</f>
        <v>2018</v>
      </c>
      <c r="F30" s="96" t="str">
        <f>Originals!F62</f>
        <v>Runtime</v>
      </c>
      <c r="G30" s="96" t="str">
        <f>Originals!G62</f>
        <v>NI</v>
      </c>
      <c r="H30" s="96" t="str">
        <f>Originals!H62</f>
        <v>NI-Serial 18.5.0f0</v>
      </c>
      <c r="I30" s="96">
        <f>Originals!I62</f>
        <v>0</v>
      </c>
    </row>
    <row r="31" spans="1:9" s="5" customFormat="1" ht="15" x14ac:dyDescent="0.25">
      <c r="A31" s="96" t="str">
        <f>Scott!A145</f>
        <v>3-Scott</v>
      </c>
      <c r="B31" s="96" t="str">
        <f>Scott!B145</f>
        <v>NI-Serial</v>
      </c>
      <c r="C31" s="96" t="str">
        <f>Scott!C145</f>
        <v>19.0.0f0</v>
      </c>
      <c r="D31" s="96">
        <f>Scott!D145</f>
        <v>32</v>
      </c>
      <c r="E31" s="96">
        <f>Scott!E145</f>
        <v>2019</v>
      </c>
      <c r="F31" s="96" t="str">
        <f>Scott!F145</f>
        <v>Runtime</v>
      </c>
      <c r="G31" s="96" t="str">
        <f>Scott!G145</f>
        <v>NI</v>
      </c>
      <c r="H31" s="96" t="str">
        <f>Scott!H145</f>
        <v>NI-Serial 19.0.0f0</v>
      </c>
      <c r="I31" s="96" t="str">
        <f>Scott!I145</f>
        <v>LabVIEW 2019</v>
      </c>
    </row>
    <row r="32" spans="1:9" s="5" customFormat="1" ht="15" x14ac:dyDescent="0.25">
      <c r="A32" s="96" t="str">
        <f>Originals!A68</f>
        <v>1-Corey</v>
      </c>
      <c r="B32" s="96" t="str">
        <f>Originals!B68</f>
        <v>NI-SWITCH Support</v>
      </c>
      <c r="C32" s="96" t="str">
        <f>Originals!C68</f>
        <v>15.0</v>
      </c>
      <c r="D32" s="96" t="str">
        <f>Originals!D68</f>
        <v>32</v>
      </c>
      <c r="E32" s="96" t="str">
        <f>Originals!E68</f>
        <v>2015</v>
      </c>
      <c r="F32" s="96" t="str">
        <f>Originals!F68</f>
        <v>Runtime</v>
      </c>
      <c r="G32" s="96" t="str">
        <f>Originals!G68</f>
        <v>NI</v>
      </c>
      <c r="H32" s="96" t="str">
        <f>Originals!H68</f>
        <v>NI-SWITCH Support 15.0</v>
      </c>
      <c r="I32" s="96" t="str">
        <f>Originals!I68</f>
        <v>NI Developer Suite 2015 DS2 Install</v>
      </c>
    </row>
    <row r="33" spans="1:9" s="5" customFormat="1" ht="15" x14ac:dyDescent="0.25">
      <c r="A33" s="96" t="str">
        <f>Originals!A308</f>
        <v>4-Vinnie</v>
      </c>
      <c r="B33" s="96" t="str">
        <f>Originals!B308</f>
        <v>NI-Sync</v>
      </c>
      <c r="C33" s="96" t="str">
        <f>Originals!C308</f>
        <v>15.0.1f0</v>
      </c>
      <c r="D33" s="96" t="str">
        <f>Originals!D308</f>
        <v>32</v>
      </c>
      <c r="E33" s="96" t="str">
        <f>Originals!E308</f>
        <v>2015</v>
      </c>
      <c r="F33" s="96" t="str">
        <f>Originals!F308</f>
        <v>Runtime</v>
      </c>
      <c r="G33" s="96" t="str">
        <f>Originals!G308</f>
        <v>NI</v>
      </c>
      <c r="H33" s="96" t="str">
        <f>Originals!H308</f>
        <v>NI-Sync 15.0.1f0</v>
      </c>
      <c r="I33" s="96">
        <f>Originals!I308</f>
        <v>0</v>
      </c>
    </row>
    <row r="34" spans="1:9" s="5" customFormat="1" ht="15" x14ac:dyDescent="0.25">
      <c r="A34" s="96" t="str">
        <f>Scott!A160</f>
        <v>3-Scott</v>
      </c>
      <c r="B34" s="96" t="str">
        <f>Scott!B160</f>
        <v>NI-XNET</v>
      </c>
      <c r="C34" s="96" t="str">
        <f>Scott!C160</f>
        <v>19.0.0f1</v>
      </c>
      <c r="D34" s="96" t="str">
        <f>Scott!D160</f>
        <v>32</v>
      </c>
      <c r="E34" s="96" t="str">
        <f>Scott!E160</f>
        <v>2019</v>
      </c>
      <c r="F34" s="96" t="str">
        <f>Scott!F160</f>
        <v>Runtime</v>
      </c>
      <c r="G34" s="96" t="str">
        <f>Scott!G160</f>
        <v>NI</v>
      </c>
      <c r="H34" s="96" t="str">
        <f>Scott!H160</f>
        <v>NI-XNET 2019 19.0.0f1</v>
      </c>
      <c r="I34" s="96" t="str">
        <f>Scott!I160</f>
        <v>LabVIEW 2019</v>
      </c>
    </row>
    <row r="35" spans="1:9" s="5" customFormat="1" ht="15" x14ac:dyDescent="0.25">
      <c r="A35" s="96" t="str">
        <f>Originals!A319</f>
        <v>4-Vinnie</v>
      </c>
      <c r="B35" s="96" t="str">
        <f>Originals!B319</f>
        <v>NI-XNET</v>
      </c>
      <c r="C35" s="96" t="str">
        <f>Originals!C319</f>
        <v>18.5.0f1</v>
      </c>
      <c r="D35" s="96" t="str">
        <f>Originals!D319</f>
        <v>32</v>
      </c>
      <c r="E35" s="96" t="str">
        <f>Originals!E319</f>
        <v>2018</v>
      </c>
      <c r="F35" s="96" t="str">
        <f>Originals!F319</f>
        <v>Runtime</v>
      </c>
      <c r="G35" s="96" t="str">
        <f>Originals!G319</f>
        <v>NI</v>
      </c>
      <c r="H35" s="96" t="str">
        <f>Originals!H319</f>
        <v>NI-XNET 18.5.0f1</v>
      </c>
      <c r="I35" s="96">
        <f>Originals!I319</f>
        <v>0</v>
      </c>
    </row>
    <row r="36" spans="1:9" ht="15" x14ac:dyDescent="0.25">
      <c r="A36" s="96" t="str">
        <f>Scott!A203</f>
        <v>3-Scott</v>
      </c>
      <c r="B36" s="96" t="str">
        <f>Scott!B203</f>
        <v>Vision Development Module Support</v>
      </c>
      <c r="C36" s="96" t="str">
        <f>Scott!C203</f>
        <v>19.0.0</v>
      </c>
      <c r="D36" s="96" t="str">
        <f>Scott!D203</f>
        <v>32</v>
      </c>
      <c r="E36" s="96" t="str">
        <f>Scott!E203</f>
        <v>2019</v>
      </c>
      <c r="F36" s="96" t="str">
        <f>Scott!F203</f>
        <v>Runtime</v>
      </c>
      <c r="G36" s="96" t="str">
        <f>Scott!G203</f>
        <v>NI</v>
      </c>
      <c r="H36" s="96" t="str">
        <f>Scott!H203</f>
        <v>Vision Development Module Support 19.0.0</v>
      </c>
      <c r="I36" s="96" t="str">
        <f>Scott!I203</f>
        <v>LabVIEW 2019</v>
      </c>
    </row>
    <row r="37" spans="1:9" ht="15" x14ac:dyDescent="0.25">
      <c r="A37" s="96" t="str">
        <f>Originals!A366</f>
        <v>4-Vinnie</v>
      </c>
      <c r="B37" s="96" t="str">
        <f>Originals!B366</f>
        <v>Vision Development Module Support</v>
      </c>
      <c r="C37" s="96" t="str">
        <f>Originals!C366</f>
        <v>19.5.0 SP1</v>
      </c>
      <c r="D37" s="96" t="str">
        <f>Originals!D366</f>
        <v>32</v>
      </c>
      <c r="E37" s="96" t="str">
        <f>Originals!E366</f>
        <v>2019</v>
      </c>
      <c r="F37" s="96" t="str">
        <f>Originals!F366</f>
        <v>Runtime</v>
      </c>
      <c r="G37" s="96" t="str">
        <f>Originals!G366</f>
        <v>NI</v>
      </c>
      <c r="H37" s="96" t="str">
        <f>Originals!H366</f>
        <v>Vision Development Module Support 19.5.0 SP1</v>
      </c>
      <c r="I37" s="96">
        <f>Originals!I366</f>
        <v>0</v>
      </c>
    </row>
    <row r="38" spans="1:9" s="5" customFormat="1" ht="15" hidden="1" x14ac:dyDescent="0.25">
      <c r="A38"/>
      <c r="B38"/>
      <c r="C38"/>
      <c r="D38"/>
      <c r="E38"/>
      <c r="F38"/>
      <c r="G38"/>
      <c r="H38"/>
      <c r="I38"/>
    </row>
    <row r="39" spans="1:9" s="5" customFormat="1" ht="15" hidden="1" x14ac:dyDescent="0.25">
      <c r="A39"/>
      <c r="B39"/>
      <c r="C39"/>
      <c r="D39"/>
      <c r="E39"/>
      <c r="F39"/>
      <c r="G39"/>
      <c r="H39"/>
      <c r="I39"/>
    </row>
    <row r="40" spans="1:9" s="5" customFormat="1" ht="15" hidden="1" x14ac:dyDescent="0.25">
      <c r="A40"/>
      <c r="B40"/>
      <c r="C40"/>
      <c r="D40"/>
      <c r="E40"/>
      <c r="F40"/>
      <c r="G40"/>
      <c r="H40"/>
      <c r="I40"/>
    </row>
    <row r="41" spans="1:9" s="5" customFormat="1" ht="15" hidden="1" x14ac:dyDescent="0.25">
      <c r="A41"/>
      <c r="B41"/>
      <c r="C41"/>
      <c r="D41"/>
      <c r="E41"/>
      <c r="F41"/>
      <c r="G41"/>
      <c r="H41"/>
      <c r="I41"/>
    </row>
    <row r="42" spans="1:9" s="5" customFormat="1" ht="15" hidden="1" x14ac:dyDescent="0.25">
      <c r="A42"/>
      <c r="B42"/>
      <c r="C42"/>
      <c r="D42"/>
      <c r="E42"/>
      <c r="F42"/>
      <c r="G42"/>
      <c r="H42"/>
      <c r="I42"/>
    </row>
    <row r="43" spans="1:9" s="5" customFormat="1" ht="15" hidden="1" x14ac:dyDescent="0.25">
      <c r="A43"/>
      <c r="B43"/>
      <c r="C43"/>
      <c r="D43"/>
      <c r="E43"/>
      <c r="F43"/>
      <c r="G43"/>
      <c r="H43"/>
      <c r="I43"/>
    </row>
    <row r="44" spans="1:9" s="5" customFormat="1" ht="15" hidden="1" x14ac:dyDescent="0.25">
      <c r="A44"/>
      <c r="B44"/>
      <c r="C44"/>
      <c r="D44"/>
      <c r="E44"/>
      <c r="F44"/>
      <c r="G44"/>
      <c r="H44"/>
      <c r="I44"/>
    </row>
    <row r="45" spans="1:9" s="5" customFormat="1" ht="15" hidden="1" x14ac:dyDescent="0.25">
      <c r="A45"/>
      <c r="B45"/>
      <c r="C45"/>
      <c r="D45"/>
      <c r="E45"/>
      <c r="F45"/>
      <c r="G45"/>
      <c r="H45"/>
      <c r="I45"/>
    </row>
    <row r="46" spans="1:9" s="5" customFormat="1" ht="15" hidden="1" x14ac:dyDescent="0.25">
      <c r="A46"/>
      <c r="B46"/>
      <c r="C46"/>
      <c r="D46"/>
      <c r="E46"/>
      <c r="F46"/>
      <c r="G46"/>
      <c r="H46"/>
      <c r="I46"/>
    </row>
    <row r="47" spans="1:9" s="5" customFormat="1" ht="15" hidden="1" x14ac:dyDescent="0.25">
      <c r="A47"/>
      <c r="B47"/>
      <c r="C47"/>
      <c r="D47"/>
      <c r="E47"/>
      <c r="F47"/>
      <c r="G47"/>
      <c r="H47"/>
      <c r="I47"/>
    </row>
    <row r="48" spans="1:9" s="5" customFormat="1" ht="15" hidden="1" x14ac:dyDescent="0.25">
      <c r="A48"/>
      <c r="B48"/>
      <c r="C48"/>
      <c r="D48"/>
      <c r="E48"/>
      <c r="F48"/>
      <c r="G48"/>
      <c r="H48"/>
      <c r="I48"/>
    </row>
    <row r="49" spans="1:9" s="5" customFormat="1" ht="15" hidden="1" x14ac:dyDescent="0.25">
      <c r="A49"/>
      <c r="B49"/>
      <c r="C49"/>
      <c r="D49"/>
      <c r="E49"/>
      <c r="F49"/>
      <c r="G49"/>
      <c r="H49"/>
      <c r="I49"/>
    </row>
    <row r="50" spans="1:9" s="5" customFormat="1" ht="15" hidden="1" x14ac:dyDescent="0.25">
      <c r="A50"/>
      <c r="B50"/>
      <c r="C50"/>
      <c r="D50"/>
      <c r="E50"/>
      <c r="F50"/>
      <c r="G50"/>
      <c r="H50"/>
      <c r="I50"/>
    </row>
    <row r="51" spans="1:9" s="5" customFormat="1" ht="15" hidden="1" x14ac:dyDescent="0.25">
      <c r="A51"/>
      <c r="B51"/>
      <c r="C51"/>
      <c r="D51"/>
      <c r="E51"/>
      <c r="F51"/>
      <c r="G51"/>
      <c r="H51"/>
      <c r="I51"/>
    </row>
    <row r="52" spans="1:9" s="5" customFormat="1" ht="15" hidden="1" x14ac:dyDescent="0.25">
      <c r="A52"/>
      <c r="B52"/>
      <c r="C52"/>
      <c r="D52"/>
      <c r="E52"/>
      <c r="F52"/>
      <c r="G52"/>
      <c r="H52"/>
      <c r="I52"/>
    </row>
    <row r="53" spans="1:9" s="5" customFormat="1" ht="15" hidden="1" x14ac:dyDescent="0.25">
      <c r="A53"/>
      <c r="B53"/>
      <c r="C53"/>
      <c r="D53"/>
      <c r="E53"/>
      <c r="F53"/>
      <c r="G53"/>
      <c r="H53"/>
      <c r="I53"/>
    </row>
    <row r="54" spans="1:9" s="5" customFormat="1" ht="15" hidden="1" x14ac:dyDescent="0.25">
      <c r="A54"/>
      <c r="B54"/>
      <c r="C54"/>
      <c r="D54"/>
      <c r="E54"/>
      <c r="F54"/>
      <c r="G54"/>
      <c r="H54"/>
      <c r="I54"/>
    </row>
    <row r="55" spans="1:9" s="5" customFormat="1" ht="15" hidden="1" x14ac:dyDescent="0.25">
      <c r="A55"/>
      <c r="B55"/>
      <c r="C55"/>
      <c r="D55"/>
      <c r="E55"/>
      <c r="F55"/>
      <c r="G55"/>
      <c r="H55"/>
      <c r="I55"/>
    </row>
    <row r="56" spans="1:9" s="5" customFormat="1" ht="15" hidden="1" x14ac:dyDescent="0.25">
      <c r="A56"/>
      <c r="B56"/>
      <c r="C56"/>
      <c r="D56"/>
      <c r="E56"/>
      <c r="F56"/>
      <c r="G56"/>
      <c r="H56"/>
      <c r="I56"/>
    </row>
    <row r="57" spans="1:9" s="5" customFormat="1" ht="15" hidden="1" x14ac:dyDescent="0.25">
      <c r="A57"/>
      <c r="B57"/>
      <c r="C57"/>
      <c r="D57"/>
      <c r="E57"/>
      <c r="F57"/>
      <c r="G57"/>
      <c r="H57"/>
      <c r="I57"/>
    </row>
    <row r="58" spans="1:9" s="5" customFormat="1" ht="15" hidden="1" x14ac:dyDescent="0.25">
      <c r="A58"/>
      <c r="B58"/>
      <c r="C58"/>
      <c r="D58"/>
      <c r="E58"/>
      <c r="F58"/>
      <c r="G58"/>
      <c r="H58"/>
      <c r="I58"/>
    </row>
    <row r="59" spans="1:9" s="5" customFormat="1" ht="15" hidden="1" x14ac:dyDescent="0.25">
      <c r="A59"/>
      <c r="B59"/>
      <c r="C59"/>
      <c r="D59"/>
      <c r="E59"/>
      <c r="F59"/>
      <c r="G59"/>
      <c r="H59"/>
      <c r="I59"/>
    </row>
    <row r="60" spans="1:9" s="5" customFormat="1" ht="15" hidden="1" x14ac:dyDescent="0.25">
      <c r="A60"/>
      <c r="B60"/>
      <c r="C60"/>
      <c r="D60"/>
      <c r="E60"/>
      <c r="F60"/>
      <c r="G60"/>
      <c r="H60"/>
      <c r="I60"/>
    </row>
    <row r="61" spans="1:9" s="5" customFormat="1" ht="15" hidden="1" x14ac:dyDescent="0.25">
      <c r="A61"/>
      <c r="B61"/>
      <c r="C61"/>
      <c r="D61"/>
      <c r="E61"/>
      <c r="F61"/>
      <c r="G61"/>
      <c r="H61"/>
      <c r="I61"/>
    </row>
    <row r="62" spans="1:9" s="5" customFormat="1" ht="15" hidden="1" x14ac:dyDescent="0.25">
      <c r="A62"/>
      <c r="B62"/>
      <c r="C62"/>
      <c r="D62"/>
      <c r="E62"/>
      <c r="F62"/>
      <c r="G62"/>
      <c r="H62"/>
      <c r="I62"/>
    </row>
    <row r="63" spans="1:9" s="5" customFormat="1" ht="15" hidden="1" x14ac:dyDescent="0.25">
      <c r="A63"/>
      <c r="B63"/>
      <c r="C63"/>
      <c r="D63"/>
      <c r="E63"/>
      <c r="F63"/>
      <c r="G63"/>
      <c r="H63"/>
      <c r="I63"/>
    </row>
    <row r="64" spans="1:9" s="5" customFormat="1" ht="15" hidden="1" x14ac:dyDescent="0.25">
      <c r="A64"/>
      <c r="B64"/>
      <c r="C64"/>
      <c r="D64"/>
      <c r="E64"/>
      <c r="F64"/>
      <c r="G64"/>
      <c r="H64"/>
      <c r="I64"/>
    </row>
    <row r="65" spans="1:9" s="5" customFormat="1" ht="15" hidden="1" x14ac:dyDescent="0.25">
      <c r="A65"/>
      <c r="B65"/>
      <c r="C65"/>
      <c r="D65"/>
      <c r="E65"/>
      <c r="F65"/>
      <c r="G65"/>
      <c r="H65"/>
      <c r="I65"/>
    </row>
    <row r="66" spans="1:9" s="5" customFormat="1" ht="15" hidden="1" x14ac:dyDescent="0.25">
      <c r="A66"/>
      <c r="B66"/>
      <c r="C66"/>
      <c r="D66"/>
      <c r="E66"/>
      <c r="F66"/>
      <c r="G66"/>
      <c r="H66"/>
      <c r="I66"/>
    </row>
    <row r="67" spans="1:9" s="5" customFormat="1" ht="15" hidden="1" x14ac:dyDescent="0.25">
      <c r="A67"/>
      <c r="B67"/>
      <c r="C67"/>
      <c r="D67"/>
      <c r="E67"/>
      <c r="F67"/>
      <c r="G67"/>
      <c r="H67"/>
      <c r="I67"/>
    </row>
    <row r="68" spans="1:9" s="5" customFormat="1" ht="15" hidden="1" x14ac:dyDescent="0.25">
      <c r="A68"/>
      <c r="B68"/>
      <c r="C68"/>
      <c r="D68"/>
      <c r="E68"/>
      <c r="F68"/>
      <c r="G68"/>
      <c r="H68"/>
      <c r="I68"/>
    </row>
    <row r="69" spans="1:9" s="5" customFormat="1" ht="15" hidden="1" x14ac:dyDescent="0.25">
      <c r="A69"/>
      <c r="B69"/>
      <c r="C69"/>
      <c r="D69"/>
      <c r="E69"/>
      <c r="F69"/>
      <c r="G69"/>
      <c r="H69"/>
      <c r="I69"/>
    </row>
    <row r="70" spans="1:9" s="5" customFormat="1" ht="15" hidden="1" x14ac:dyDescent="0.25">
      <c r="A70"/>
      <c r="B70"/>
      <c r="C70"/>
      <c r="D70"/>
      <c r="E70"/>
      <c r="F70"/>
      <c r="G70"/>
      <c r="H70"/>
      <c r="I70"/>
    </row>
    <row r="71" spans="1:9" s="5" customFormat="1" ht="15" hidden="1" x14ac:dyDescent="0.25">
      <c r="A71"/>
      <c r="B71"/>
      <c r="C71"/>
      <c r="D71"/>
      <c r="E71"/>
      <c r="F71"/>
      <c r="G71"/>
      <c r="H71"/>
      <c r="I71"/>
    </row>
    <row r="72" spans="1:9" s="5" customFormat="1" ht="15" hidden="1" x14ac:dyDescent="0.25">
      <c r="A72"/>
      <c r="B72"/>
      <c r="C72"/>
      <c r="D72"/>
      <c r="E72"/>
      <c r="F72"/>
      <c r="G72"/>
      <c r="H72"/>
      <c r="I72"/>
    </row>
    <row r="73" spans="1:9" s="5" customFormat="1" ht="15" hidden="1" x14ac:dyDescent="0.25">
      <c r="A73"/>
      <c r="B73"/>
      <c r="C73"/>
      <c r="D73"/>
      <c r="E73"/>
      <c r="F73"/>
      <c r="G73"/>
      <c r="H73"/>
      <c r="I73"/>
    </row>
    <row r="74" spans="1:9" s="5" customFormat="1" ht="15" hidden="1" x14ac:dyDescent="0.25">
      <c r="A74"/>
      <c r="B74"/>
      <c r="C74"/>
      <c r="D74"/>
      <c r="E74"/>
      <c r="F74"/>
      <c r="G74"/>
      <c r="H74"/>
      <c r="I74"/>
    </row>
    <row r="75" spans="1:9" s="5" customFormat="1" ht="15" hidden="1" x14ac:dyDescent="0.25">
      <c r="A75"/>
      <c r="B75"/>
      <c r="C75"/>
      <c r="D75"/>
      <c r="E75"/>
      <c r="F75"/>
      <c r="G75"/>
      <c r="H75"/>
      <c r="I75"/>
    </row>
    <row r="76" spans="1:9" s="5" customFormat="1" ht="15" hidden="1" x14ac:dyDescent="0.25">
      <c r="A76"/>
      <c r="B76"/>
      <c r="C76"/>
      <c r="D76"/>
      <c r="E76"/>
      <c r="F76"/>
      <c r="G76"/>
      <c r="H76"/>
      <c r="I76"/>
    </row>
    <row r="77" spans="1:9" s="5" customFormat="1" ht="15" hidden="1" x14ac:dyDescent="0.25">
      <c r="A77"/>
      <c r="B77"/>
      <c r="C77"/>
      <c r="D77"/>
      <c r="E77"/>
      <c r="F77"/>
      <c r="G77"/>
      <c r="H77"/>
      <c r="I77"/>
    </row>
    <row r="78" spans="1:9" s="5" customFormat="1" ht="15" hidden="1" x14ac:dyDescent="0.25">
      <c r="A78"/>
      <c r="B78"/>
      <c r="C78"/>
      <c r="D78"/>
      <c r="E78"/>
      <c r="F78"/>
      <c r="G78"/>
      <c r="H78"/>
      <c r="I78"/>
    </row>
    <row r="79" spans="1:9" s="5" customFormat="1" ht="15" hidden="1" x14ac:dyDescent="0.25">
      <c r="A79"/>
      <c r="B79"/>
      <c r="C79"/>
      <c r="D79"/>
      <c r="E79"/>
      <c r="F79"/>
      <c r="G79"/>
      <c r="H79"/>
      <c r="I79"/>
    </row>
    <row r="80" spans="1:9" s="5" customFormat="1" ht="15" hidden="1" x14ac:dyDescent="0.25">
      <c r="A80"/>
      <c r="B80"/>
      <c r="C80"/>
      <c r="D80"/>
      <c r="E80"/>
      <c r="F80"/>
      <c r="G80"/>
      <c r="H80"/>
      <c r="I80"/>
    </row>
    <row r="81" spans="1:9" s="5" customFormat="1" ht="15" hidden="1" x14ac:dyDescent="0.25">
      <c r="A81"/>
      <c r="B81"/>
      <c r="C81"/>
      <c r="D81"/>
      <c r="E81"/>
      <c r="F81"/>
      <c r="G81"/>
      <c r="H81"/>
      <c r="I81"/>
    </row>
    <row r="82" spans="1:9" s="5" customFormat="1" ht="15" hidden="1" x14ac:dyDescent="0.25">
      <c r="A82"/>
      <c r="B82"/>
      <c r="C82"/>
      <c r="D82"/>
      <c r="E82"/>
      <c r="F82"/>
      <c r="G82"/>
      <c r="H82"/>
      <c r="I82"/>
    </row>
    <row r="83" spans="1:9" s="5" customFormat="1" ht="15" hidden="1" x14ac:dyDescent="0.25">
      <c r="A83"/>
      <c r="B83"/>
      <c r="C83"/>
      <c r="D83"/>
      <c r="E83"/>
      <c r="F83"/>
      <c r="G83"/>
      <c r="H83"/>
      <c r="I83"/>
    </row>
    <row r="84" spans="1:9" ht="15" hidden="1" x14ac:dyDescent="0.25">
      <c r="A84"/>
      <c r="B84"/>
      <c r="C84"/>
      <c r="D84"/>
      <c r="E84"/>
      <c r="F84"/>
      <c r="G84"/>
      <c r="H84"/>
      <c r="I84"/>
    </row>
    <row r="85" spans="1:9" s="5" customFormat="1" ht="15" hidden="1" x14ac:dyDescent="0.25">
      <c r="A85"/>
      <c r="B85"/>
      <c r="C85"/>
      <c r="D85"/>
      <c r="E85"/>
      <c r="F85"/>
      <c r="G85"/>
      <c r="H85"/>
      <c r="I85"/>
    </row>
    <row r="86" spans="1:9" s="5" customFormat="1" ht="15" hidden="1" x14ac:dyDescent="0.25">
      <c r="A86"/>
      <c r="B86"/>
      <c r="C86"/>
      <c r="D86"/>
      <c r="E86"/>
      <c r="F86"/>
      <c r="G86"/>
      <c r="H86"/>
      <c r="I86"/>
    </row>
    <row r="87" spans="1:9" s="5" customFormat="1" ht="15" hidden="1" x14ac:dyDescent="0.25">
      <c r="A87"/>
      <c r="B87"/>
      <c r="C87"/>
      <c r="D87"/>
      <c r="E87"/>
      <c r="F87"/>
      <c r="G87"/>
      <c r="H87"/>
      <c r="I87"/>
    </row>
    <row r="88" spans="1:9" s="5" customFormat="1" ht="15" hidden="1" x14ac:dyDescent="0.25">
      <c r="A88"/>
      <c r="B88"/>
      <c r="C88"/>
      <c r="D88"/>
      <c r="E88"/>
      <c r="F88"/>
      <c r="G88"/>
      <c r="H88"/>
      <c r="I88"/>
    </row>
    <row r="89" spans="1:9" ht="15" hidden="1" x14ac:dyDescent="0.25">
      <c r="A89"/>
      <c r="B89"/>
      <c r="C89"/>
      <c r="D89"/>
      <c r="E89"/>
      <c r="F89"/>
      <c r="G89"/>
      <c r="H89"/>
      <c r="I89"/>
    </row>
    <row r="90" spans="1:9" ht="15" hidden="1" x14ac:dyDescent="0.25">
      <c r="A90"/>
      <c r="B90"/>
      <c r="C90"/>
      <c r="D90"/>
      <c r="E90"/>
      <c r="F90"/>
      <c r="G90"/>
      <c r="H90"/>
      <c r="I90"/>
    </row>
    <row r="91" spans="1:9" ht="15" hidden="1" x14ac:dyDescent="0.25">
      <c r="A91"/>
      <c r="B91"/>
      <c r="C91"/>
      <c r="D91"/>
      <c r="E91"/>
      <c r="F91"/>
      <c r="G91"/>
      <c r="H91"/>
      <c r="I91"/>
    </row>
    <row r="92" spans="1:9" ht="15" hidden="1" x14ac:dyDescent="0.25">
      <c r="A92"/>
      <c r="B92"/>
      <c r="C92"/>
      <c r="D92"/>
      <c r="E92"/>
      <c r="F92"/>
      <c r="G92"/>
      <c r="H92"/>
      <c r="I92"/>
    </row>
    <row r="93" spans="1:9" ht="15" hidden="1" x14ac:dyDescent="0.25">
      <c r="A93"/>
      <c r="B93"/>
      <c r="C93"/>
      <c r="D93"/>
      <c r="E93"/>
      <c r="F93"/>
      <c r="G93"/>
      <c r="H93"/>
      <c r="I93"/>
    </row>
    <row r="94" spans="1:9" s="5" customFormat="1" ht="15" hidden="1" x14ac:dyDescent="0.25">
      <c r="A94"/>
      <c r="B94"/>
      <c r="C94"/>
      <c r="D94"/>
      <c r="E94"/>
      <c r="F94"/>
      <c r="G94"/>
      <c r="H94"/>
      <c r="I94"/>
    </row>
    <row r="95" spans="1:9" ht="15" hidden="1" x14ac:dyDescent="0.25">
      <c r="A95"/>
      <c r="B95"/>
      <c r="C95"/>
      <c r="D95"/>
      <c r="E95"/>
      <c r="F95"/>
      <c r="G95"/>
      <c r="H95"/>
      <c r="I95"/>
    </row>
    <row r="96" spans="1:9" ht="15" hidden="1" x14ac:dyDescent="0.25">
      <c r="A96"/>
      <c r="B96"/>
      <c r="C96"/>
      <c r="D96"/>
      <c r="E96"/>
      <c r="F96"/>
      <c r="G96"/>
      <c r="H96"/>
      <c r="I96"/>
    </row>
    <row r="97" spans="1:9" s="5" customFormat="1" ht="15" hidden="1" x14ac:dyDescent="0.25">
      <c r="A97"/>
      <c r="B97"/>
      <c r="C97"/>
      <c r="D97"/>
      <c r="E97"/>
      <c r="F97"/>
      <c r="G97"/>
      <c r="H97"/>
      <c r="I97"/>
    </row>
    <row r="98" spans="1:9" s="5" customFormat="1" ht="15" hidden="1" x14ac:dyDescent="0.25">
      <c r="A98"/>
      <c r="B98"/>
      <c r="C98"/>
      <c r="D98"/>
      <c r="E98"/>
      <c r="F98"/>
      <c r="G98"/>
      <c r="H98"/>
      <c r="I98"/>
    </row>
    <row r="99" spans="1:9" ht="15" hidden="1" x14ac:dyDescent="0.25">
      <c r="A99"/>
      <c r="B99"/>
      <c r="C99"/>
      <c r="D99"/>
      <c r="E99"/>
      <c r="F99"/>
      <c r="G99"/>
      <c r="H99"/>
      <c r="I99"/>
    </row>
    <row r="100" spans="1:9" s="5" customFormat="1" ht="15" hidden="1" x14ac:dyDescent="0.25">
      <c r="A100"/>
      <c r="B100"/>
      <c r="C100"/>
      <c r="D100"/>
      <c r="E100"/>
      <c r="F100"/>
      <c r="G100"/>
      <c r="H100"/>
      <c r="I100"/>
    </row>
    <row r="101" spans="1:9" ht="15" hidden="1" x14ac:dyDescent="0.25">
      <c r="A101"/>
      <c r="B101"/>
      <c r="C101"/>
      <c r="D101"/>
      <c r="E101"/>
      <c r="F101"/>
      <c r="G101"/>
      <c r="H101"/>
      <c r="I101"/>
    </row>
    <row r="102" spans="1:9" s="5" customFormat="1" ht="15" hidden="1" x14ac:dyDescent="0.25">
      <c r="A102"/>
      <c r="B102"/>
      <c r="C102"/>
      <c r="D102"/>
      <c r="E102"/>
      <c r="F102"/>
      <c r="G102"/>
      <c r="H102"/>
      <c r="I102"/>
    </row>
    <row r="103" spans="1:9" ht="15" hidden="1" x14ac:dyDescent="0.25">
      <c r="A103"/>
      <c r="B103"/>
      <c r="C103"/>
      <c r="D103"/>
      <c r="E103"/>
      <c r="F103"/>
      <c r="G103"/>
      <c r="H103"/>
      <c r="I103"/>
    </row>
    <row r="104" spans="1:9" s="5" customFormat="1" ht="15" hidden="1" x14ac:dyDescent="0.25">
      <c r="A104"/>
      <c r="B104"/>
      <c r="C104"/>
      <c r="D104"/>
      <c r="E104"/>
      <c r="F104"/>
      <c r="G104"/>
      <c r="H104"/>
      <c r="I104"/>
    </row>
    <row r="105" spans="1:9" s="5" customFormat="1" ht="15" hidden="1" x14ac:dyDescent="0.25">
      <c r="A105"/>
      <c r="B105"/>
      <c r="C105"/>
      <c r="D105"/>
      <c r="E105"/>
      <c r="F105"/>
      <c r="G105"/>
      <c r="H105"/>
      <c r="I105"/>
    </row>
    <row r="106" spans="1:9" s="5" customFormat="1" ht="15" hidden="1" x14ac:dyDescent="0.25">
      <c r="A106"/>
      <c r="B106"/>
      <c r="C106"/>
      <c r="D106"/>
      <c r="E106"/>
      <c r="F106"/>
      <c r="G106"/>
      <c r="H106"/>
      <c r="I106"/>
    </row>
    <row r="107" spans="1:9" s="5" customFormat="1" ht="15" hidden="1" x14ac:dyDescent="0.25">
      <c r="A107"/>
      <c r="B107"/>
      <c r="C107"/>
      <c r="D107"/>
      <c r="E107"/>
      <c r="F107"/>
      <c r="G107"/>
      <c r="H107"/>
      <c r="I107"/>
    </row>
    <row r="108" spans="1:9" s="5" customFormat="1" ht="15" hidden="1" x14ac:dyDescent="0.25">
      <c r="A108"/>
      <c r="B108"/>
      <c r="C108"/>
      <c r="D108"/>
      <c r="E108"/>
      <c r="F108"/>
      <c r="G108"/>
      <c r="H108"/>
      <c r="I108"/>
    </row>
    <row r="109" spans="1:9" s="5" customFormat="1" ht="15" hidden="1" x14ac:dyDescent="0.25">
      <c r="A109"/>
      <c r="B109"/>
      <c r="C109"/>
      <c r="D109"/>
      <c r="E109"/>
      <c r="F109"/>
      <c r="G109"/>
      <c r="H109"/>
      <c r="I109"/>
    </row>
    <row r="110" spans="1:9" s="5" customFormat="1" ht="15" hidden="1" x14ac:dyDescent="0.25">
      <c r="A110"/>
      <c r="B110"/>
      <c r="C110"/>
      <c r="D110"/>
      <c r="E110"/>
      <c r="F110"/>
      <c r="G110"/>
      <c r="H110"/>
      <c r="I110"/>
    </row>
    <row r="111" spans="1:9" s="5" customFormat="1" ht="15" hidden="1" x14ac:dyDescent="0.25">
      <c r="A111"/>
      <c r="B111"/>
      <c r="C111"/>
      <c r="D111"/>
      <c r="E111"/>
      <c r="F111"/>
      <c r="G111"/>
      <c r="H111"/>
      <c r="I111"/>
    </row>
    <row r="112" spans="1:9" s="5" customFormat="1" ht="15" hidden="1" x14ac:dyDescent="0.25">
      <c r="A112"/>
      <c r="B112"/>
      <c r="C112"/>
      <c r="D112"/>
      <c r="E112"/>
      <c r="F112"/>
      <c r="G112"/>
      <c r="H112"/>
      <c r="I112"/>
    </row>
    <row r="113" spans="1:9" ht="15" hidden="1" x14ac:dyDescent="0.25">
      <c r="A113"/>
      <c r="B113"/>
      <c r="C113"/>
      <c r="D113"/>
      <c r="E113"/>
      <c r="F113"/>
      <c r="G113"/>
      <c r="H113"/>
      <c r="I113"/>
    </row>
    <row r="114" spans="1:9" s="5" customFormat="1" ht="15" hidden="1" x14ac:dyDescent="0.25">
      <c r="A114"/>
      <c r="B114"/>
      <c r="C114"/>
      <c r="D114"/>
      <c r="E114"/>
      <c r="F114"/>
      <c r="G114"/>
      <c r="H114"/>
      <c r="I114"/>
    </row>
    <row r="115" spans="1:9" s="5" customFormat="1" ht="15" hidden="1" x14ac:dyDescent="0.25">
      <c r="A115"/>
      <c r="B115"/>
      <c r="C115"/>
      <c r="D115"/>
      <c r="E115"/>
      <c r="F115"/>
      <c r="G115"/>
      <c r="H115"/>
      <c r="I115"/>
    </row>
    <row r="116" spans="1:9" s="5" customFormat="1" ht="15" hidden="1" x14ac:dyDescent="0.25">
      <c r="A116"/>
      <c r="B116"/>
      <c r="C116"/>
      <c r="D116"/>
      <c r="E116"/>
      <c r="F116"/>
      <c r="G116"/>
      <c r="H116"/>
      <c r="I116"/>
    </row>
    <row r="117" spans="1:9" s="5" customFormat="1" ht="15" hidden="1" x14ac:dyDescent="0.25">
      <c r="A117"/>
      <c r="B117"/>
      <c r="C117"/>
      <c r="D117"/>
      <c r="E117"/>
      <c r="F117"/>
      <c r="G117"/>
      <c r="H117"/>
      <c r="I117"/>
    </row>
    <row r="118" spans="1:9" s="5" customFormat="1" ht="15" hidden="1" x14ac:dyDescent="0.25">
      <c r="A118"/>
      <c r="B118"/>
      <c r="C118"/>
      <c r="D118"/>
      <c r="E118"/>
      <c r="F118"/>
      <c r="G118"/>
      <c r="H118"/>
      <c r="I118"/>
    </row>
    <row r="119" spans="1:9" s="5" customFormat="1" ht="15" hidden="1" x14ac:dyDescent="0.25">
      <c r="A119"/>
      <c r="B119"/>
      <c r="C119"/>
      <c r="D119"/>
      <c r="E119"/>
      <c r="F119"/>
      <c r="G119"/>
      <c r="H119"/>
      <c r="I119"/>
    </row>
    <row r="120" spans="1:9" s="5" customFormat="1" ht="15" hidden="1" x14ac:dyDescent="0.25">
      <c r="A120"/>
      <c r="B120"/>
      <c r="C120"/>
      <c r="D120"/>
      <c r="E120"/>
      <c r="F120"/>
      <c r="G120"/>
      <c r="H120"/>
      <c r="I120"/>
    </row>
    <row r="121" spans="1:9" s="5" customFormat="1" ht="15" hidden="1" x14ac:dyDescent="0.25">
      <c r="A121"/>
      <c r="B121"/>
      <c r="C121"/>
      <c r="D121"/>
      <c r="E121"/>
      <c r="F121"/>
      <c r="G121"/>
      <c r="H121"/>
      <c r="I121"/>
    </row>
    <row r="122" spans="1:9" s="5" customFormat="1" ht="15" hidden="1" x14ac:dyDescent="0.25">
      <c r="A122"/>
      <c r="B122"/>
      <c r="C122"/>
      <c r="D122"/>
      <c r="E122"/>
      <c r="F122"/>
      <c r="G122"/>
      <c r="H122"/>
      <c r="I122"/>
    </row>
    <row r="123" spans="1:9" ht="15" hidden="1" x14ac:dyDescent="0.25">
      <c r="A123"/>
      <c r="B123"/>
      <c r="C123"/>
      <c r="D123"/>
      <c r="E123"/>
      <c r="F123"/>
      <c r="G123"/>
      <c r="H123"/>
      <c r="I123"/>
    </row>
    <row r="124" spans="1:9" s="5" customFormat="1" ht="15" hidden="1" x14ac:dyDescent="0.25">
      <c r="A124"/>
      <c r="B124"/>
      <c r="C124"/>
      <c r="D124"/>
      <c r="E124"/>
      <c r="F124"/>
      <c r="G124"/>
      <c r="H124"/>
      <c r="I124"/>
    </row>
    <row r="125" spans="1:9" s="5" customFormat="1" ht="15" hidden="1" x14ac:dyDescent="0.25">
      <c r="A125"/>
      <c r="B125"/>
      <c r="C125"/>
      <c r="D125"/>
      <c r="E125"/>
      <c r="F125"/>
      <c r="G125"/>
      <c r="H125"/>
      <c r="I125"/>
    </row>
    <row r="126" spans="1:9" s="5" customFormat="1" ht="15" hidden="1" x14ac:dyDescent="0.25">
      <c r="A126"/>
      <c r="B126"/>
      <c r="C126"/>
      <c r="D126"/>
      <c r="E126"/>
      <c r="F126"/>
      <c r="G126"/>
      <c r="H126"/>
      <c r="I126"/>
    </row>
    <row r="127" spans="1:9" s="5" customFormat="1" ht="15" hidden="1" x14ac:dyDescent="0.25">
      <c r="A127"/>
      <c r="B127"/>
      <c r="C127"/>
      <c r="D127"/>
      <c r="E127"/>
      <c r="F127"/>
      <c r="G127"/>
      <c r="H127"/>
      <c r="I127"/>
    </row>
    <row r="128" spans="1:9" s="5" customFormat="1" ht="15" hidden="1" x14ac:dyDescent="0.25">
      <c r="A128"/>
      <c r="B128"/>
      <c r="C128"/>
      <c r="D128"/>
      <c r="E128"/>
      <c r="F128"/>
      <c r="G128"/>
      <c r="H128"/>
      <c r="I128"/>
    </row>
    <row r="129" spans="1:9" s="5" customFormat="1" ht="15" hidden="1" x14ac:dyDescent="0.25">
      <c r="A129"/>
      <c r="B129"/>
      <c r="C129"/>
      <c r="D129"/>
      <c r="E129"/>
      <c r="F129"/>
      <c r="G129"/>
      <c r="H129"/>
      <c r="I129"/>
    </row>
    <row r="130" spans="1:9" s="5" customFormat="1" ht="15" hidden="1" x14ac:dyDescent="0.25">
      <c r="A130"/>
      <c r="B130"/>
      <c r="C130"/>
      <c r="D130"/>
      <c r="E130"/>
      <c r="F130"/>
      <c r="G130"/>
      <c r="H130"/>
      <c r="I130"/>
    </row>
    <row r="131" spans="1:9" s="5" customFormat="1" ht="15" hidden="1" x14ac:dyDescent="0.25">
      <c r="A131"/>
      <c r="B131"/>
      <c r="C131"/>
      <c r="D131"/>
      <c r="E131"/>
      <c r="F131"/>
      <c r="G131"/>
      <c r="H131"/>
      <c r="I131"/>
    </row>
    <row r="132" spans="1:9" s="5" customFormat="1" ht="15" hidden="1" x14ac:dyDescent="0.25">
      <c r="A132"/>
      <c r="B132"/>
      <c r="C132"/>
      <c r="D132"/>
      <c r="E132"/>
      <c r="F132"/>
      <c r="G132"/>
      <c r="H132"/>
      <c r="I132"/>
    </row>
    <row r="133" spans="1:9" s="5" customFormat="1" ht="15" hidden="1" x14ac:dyDescent="0.25">
      <c r="A133"/>
      <c r="B133"/>
      <c r="C133"/>
      <c r="D133"/>
      <c r="E133"/>
      <c r="F133"/>
      <c r="G133"/>
      <c r="H133"/>
      <c r="I133"/>
    </row>
    <row r="134" spans="1:9" s="5" customFormat="1" ht="15" hidden="1" x14ac:dyDescent="0.25">
      <c r="A134"/>
      <c r="B134"/>
      <c r="C134"/>
      <c r="D134"/>
      <c r="E134"/>
      <c r="F134"/>
      <c r="G134"/>
      <c r="H134"/>
      <c r="I134"/>
    </row>
    <row r="135" spans="1:9" s="5" customFormat="1" ht="15" hidden="1" x14ac:dyDescent="0.25">
      <c r="A135"/>
      <c r="B135"/>
      <c r="C135"/>
      <c r="D135"/>
      <c r="E135"/>
      <c r="F135"/>
      <c r="G135"/>
      <c r="H135"/>
      <c r="I135"/>
    </row>
    <row r="136" spans="1:9" s="5" customFormat="1" ht="15" hidden="1" x14ac:dyDescent="0.25">
      <c r="A136"/>
      <c r="B136"/>
      <c r="C136"/>
      <c r="D136"/>
      <c r="E136"/>
      <c r="F136"/>
      <c r="G136"/>
      <c r="H136"/>
      <c r="I136"/>
    </row>
    <row r="137" spans="1:9" s="5" customFormat="1" ht="15" hidden="1" x14ac:dyDescent="0.25">
      <c r="A137"/>
      <c r="B137"/>
      <c r="C137"/>
      <c r="D137"/>
      <c r="E137"/>
      <c r="F137"/>
      <c r="G137"/>
      <c r="H137"/>
      <c r="I137"/>
    </row>
    <row r="138" spans="1:9" s="5" customFormat="1" ht="15" hidden="1" x14ac:dyDescent="0.25">
      <c r="A138"/>
      <c r="B138"/>
      <c r="C138"/>
      <c r="D138"/>
      <c r="E138"/>
      <c r="F138"/>
      <c r="G138"/>
      <c r="H138"/>
      <c r="I138"/>
    </row>
    <row r="139" spans="1:9" s="5" customFormat="1" ht="15" hidden="1" x14ac:dyDescent="0.25">
      <c r="A139"/>
      <c r="B139"/>
      <c r="C139"/>
      <c r="D139"/>
      <c r="E139"/>
      <c r="F139"/>
      <c r="G139"/>
      <c r="H139"/>
      <c r="I139"/>
    </row>
    <row r="140" spans="1:9" s="5" customFormat="1" ht="15" hidden="1" x14ac:dyDescent="0.25">
      <c r="A140"/>
      <c r="B140"/>
      <c r="C140"/>
      <c r="D140"/>
      <c r="E140"/>
      <c r="F140"/>
      <c r="G140"/>
      <c r="H140"/>
      <c r="I140"/>
    </row>
    <row r="141" spans="1:9" s="5" customFormat="1" ht="15" hidden="1" x14ac:dyDescent="0.25">
      <c r="A141"/>
      <c r="B141"/>
      <c r="C141"/>
      <c r="D141"/>
      <c r="E141"/>
      <c r="F141"/>
      <c r="G141"/>
      <c r="H141"/>
      <c r="I141"/>
    </row>
    <row r="142" spans="1:9" s="5" customFormat="1" ht="15" hidden="1" x14ac:dyDescent="0.25">
      <c r="A142"/>
      <c r="B142"/>
      <c r="C142"/>
      <c r="D142"/>
      <c r="E142"/>
      <c r="F142"/>
      <c r="G142"/>
      <c r="H142"/>
      <c r="I142"/>
    </row>
    <row r="143" spans="1:9" s="5" customFormat="1" ht="15" hidden="1" x14ac:dyDescent="0.25">
      <c r="A143"/>
      <c r="B143"/>
      <c r="C143"/>
      <c r="D143"/>
      <c r="E143"/>
      <c r="F143"/>
      <c r="G143"/>
      <c r="H143"/>
      <c r="I143"/>
    </row>
    <row r="144" spans="1:9" s="5" customFormat="1" ht="15" hidden="1" x14ac:dyDescent="0.25">
      <c r="A144"/>
      <c r="B144"/>
      <c r="C144"/>
      <c r="D144"/>
      <c r="E144"/>
      <c r="F144"/>
      <c r="G144"/>
      <c r="H144"/>
      <c r="I144"/>
    </row>
    <row r="145" spans="1:9" s="5" customFormat="1" ht="15" hidden="1" x14ac:dyDescent="0.25">
      <c r="A145"/>
      <c r="B145"/>
      <c r="C145"/>
      <c r="D145"/>
      <c r="E145"/>
      <c r="F145"/>
      <c r="G145"/>
      <c r="H145"/>
      <c r="I145"/>
    </row>
    <row r="146" spans="1:9" s="5" customFormat="1" ht="15" hidden="1" x14ac:dyDescent="0.25">
      <c r="A146"/>
      <c r="B146"/>
      <c r="C146"/>
      <c r="D146"/>
      <c r="E146"/>
      <c r="F146"/>
      <c r="G146"/>
      <c r="H146"/>
      <c r="I146"/>
    </row>
    <row r="147" spans="1:9" s="5" customFormat="1" ht="15" hidden="1" x14ac:dyDescent="0.25">
      <c r="A147"/>
      <c r="B147"/>
      <c r="C147"/>
      <c r="D147"/>
      <c r="E147"/>
      <c r="F147"/>
      <c r="G147"/>
      <c r="H147"/>
      <c r="I147"/>
    </row>
    <row r="148" spans="1:9" s="5" customFormat="1" ht="15" hidden="1" x14ac:dyDescent="0.25">
      <c r="A148"/>
      <c r="B148"/>
      <c r="C148"/>
      <c r="D148"/>
      <c r="E148"/>
      <c r="F148"/>
      <c r="G148"/>
      <c r="H148"/>
      <c r="I148"/>
    </row>
    <row r="149" spans="1:9" s="5" customFormat="1" ht="15" hidden="1" x14ac:dyDescent="0.25">
      <c r="A149"/>
      <c r="B149"/>
      <c r="C149"/>
      <c r="D149"/>
      <c r="E149"/>
      <c r="F149"/>
      <c r="G149"/>
      <c r="H149"/>
      <c r="I149"/>
    </row>
    <row r="150" spans="1:9" s="5" customFormat="1" ht="15" hidden="1" x14ac:dyDescent="0.25">
      <c r="A150"/>
      <c r="B150"/>
      <c r="C150"/>
      <c r="D150"/>
      <c r="E150"/>
      <c r="F150"/>
      <c r="G150"/>
      <c r="H150"/>
      <c r="I150"/>
    </row>
    <row r="151" spans="1:9" s="5" customFormat="1" ht="15" hidden="1" x14ac:dyDescent="0.25">
      <c r="A151"/>
      <c r="B151"/>
      <c r="C151"/>
      <c r="D151"/>
      <c r="E151"/>
      <c r="F151"/>
      <c r="G151"/>
      <c r="H151"/>
      <c r="I151"/>
    </row>
    <row r="152" spans="1:9" s="5" customFormat="1" ht="15" hidden="1" x14ac:dyDescent="0.25">
      <c r="A152"/>
      <c r="B152"/>
      <c r="C152"/>
      <c r="D152"/>
      <c r="E152"/>
      <c r="F152"/>
      <c r="G152"/>
      <c r="H152"/>
      <c r="I152"/>
    </row>
    <row r="153" spans="1:9" s="5" customFormat="1" ht="15" hidden="1" x14ac:dyDescent="0.25">
      <c r="A153"/>
      <c r="B153"/>
      <c r="C153"/>
      <c r="D153"/>
      <c r="E153"/>
      <c r="F153"/>
      <c r="G153"/>
      <c r="H153"/>
      <c r="I153"/>
    </row>
    <row r="154" spans="1:9" s="5" customFormat="1" ht="15" hidden="1" x14ac:dyDescent="0.25">
      <c r="A154"/>
      <c r="B154"/>
      <c r="C154"/>
      <c r="D154"/>
      <c r="E154"/>
      <c r="F154"/>
      <c r="G154"/>
      <c r="H154"/>
      <c r="I154"/>
    </row>
    <row r="155" spans="1:9" s="5" customFormat="1" ht="15" hidden="1" x14ac:dyDescent="0.25">
      <c r="A155"/>
      <c r="B155"/>
      <c r="C155"/>
      <c r="D155"/>
      <c r="E155"/>
      <c r="F155"/>
      <c r="G155"/>
      <c r="H155"/>
      <c r="I155"/>
    </row>
    <row r="156" spans="1:9" s="5" customFormat="1" ht="15" hidden="1" x14ac:dyDescent="0.25">
      <c r="A156"/>
      <c r="B156"/>
      <c r="C156"/>
      <c r="D156"/>
      <c r="E156"/>
      <c r="F156"/>
      <c r="G156"/>
      <c r="H156"/>
      <c r="I156"/>
    </row>
    <row r="157" spans="1:9" ht="15" hidden="1" x14ac:dyDescent="0.25">
      <c r="A157"/>
      <c r="B157"/>
      <c r="C157"/>
      <c r="D157"/>
      <c r="E157"/>
      <c r="F157"/>
      <c r="G157"/>
      <c r="H157"/>
      <c r="I157"/>
    </row>
    <row r="158" spans="1:9" ht="15" hidden="1" x14ac:dyDescent="0.25">
      <c r="A158"/>
      <c r="B158"/>
      <c r="C158"/>
      <c r="D158"/>
      <c r="E158"/>
      <c r="F158"/>
      <c r="G158"/>
      <c r="H158"/>
      <c r="I158"/>
    </row>
    <row r="159" spans="1:9" ht="15" hidden="1" x14ac:dyDescent="0.25">
      <c r="A159"/>
      <c r="B159"/>
      <c r="C159"/>
      <c r="D159"/>
      <c r="E159"/>
      <c r="F159"/>
      <c r="G159"/>
      <c r="H159"/>
      <c r="I159"/>
    </row>
    <row r="160" spans="1:9" ht="15" hidden="1" x14ac:dyDescent="0.25">
      <c r="A160"/>
      <c r="B160"/>
      <c r="C160"/>
      <c r="D160"/>
      <c r="E160"/>
      <c r="F160"/>
      <c r="G160"/>
      <c r="H160"/>
      <c r="I160"/>
    </row>
    <row r="161" spans="1:9" ht="15" hidden="1" x14ac:dyDescent="0.25">
      <c r="A161"/>
      <c r="B161"/>
      <c r="C161"/>
      <c r="D161"/>
      <c r="E161"/>
      <c r="F161"/>
      <c r="G161"/>
      <c r="H161"/>
      <c r="I161"/>
    </row>
    <row r="162" spans="1:9" ht="15" hidden="1" x14ac:dyDescent="0.25">
      <c r="A162"/>
      <c r="B162"/>
      <c r="C162"/>
      <c r="D162"/>
      <c r="E162"/>
      <c r="F162"/>
      <c r="G162"/>
      <c r="H162"/>
      <c r="I162"/>
    </row>
    <row r="163" spans="1:9" ht="15" hidden="1" x14ac:dyDescent="0.25">
      <c r="A163"/>
      <c r="B163"/>
      <c r="C163"/>
      <c r="D163"/>
      <c r="E163"/>
      <c r="F163"/>
      <c r="G163"/>
      <c r="H163"/>
      <c r="I163"/>
    </row>
    <row r="164" spans="1:9" ht="15" hidden="1" x14ac:dyDescent="0.25">
      <c r="A164"/>
      <c r="B164"/>
      <c r="C164"/>
      <c r="D164"/>
      <c r="E164"/>
      <c r="F164"/>
      <c r="G164"/>
      <c r="H164"/>
      <c r="I164"/>
    </row>
    <row r="165" spans="1:9" ht="15" hidden="1" x14ac:dyDescent="0.25">
      <c r="A165"/>
      <c r="B165"/>
      <c r="C165"/>
      <c r="D165"/>
      <c r="E165"/>
      <c r="F165"/>
      <c r="G165"/>
      <c r="H165"/>
      <c r="I165"/>
    </row>
    <row r="166" spans="1:9" ht="15" hidden="1" x14ac:dyDescent="0.25">
      <c r="A166"/>
      <c r="B166"/>
      <c r="C166"/>
      <c r="D166"/>
      <c r="E166"/>
      <c r="F166"/>
      <c r="G166"/>
      <c r="H166"/>
      <c r="I166"/>
    </row>
    <row r="167" spans="1:9" ht="15" hidden="1" x14ac:dyDescent="0.25">
      <c r="A167"/>
      <c r="B167"/>
      <c r="C167"/>
      <c r="D167"/>
      <c r="E167"/>
      <c r="F167"/>
      <c r="G167"/>
      <c r="H167"/>
      <c r="I167"/>
    </row>
    <row r="168" spans="1:9" s="5" customFormat="1" ht="15" hidden="1" x14ac:dyDescent="0.25">
      <c r="A168"/>
      <c r="B168"/>
      <c r="C168"/>
      <c r="D168"/>
      <c r="E168"/>
      <c r="F168"/>
      <c r="G168"/>
      <c r="H168"/>
      <c r="I168"/>
    </row>
    <row r="169" spans="1:9" s="5" customFormat="1" ht="15" hidden="1" x14ac:dyDescent="0.25">
      <c r="A169"/>
      <c r="B169"/>
      <c r="C169"/>
      <c r="D169"/>
      <c r="E169"/>
      <c r="F169"/>
      <c r="G169"/>
      <c r="H169"/>
      <c r="I169"/>
    </row>
    <row r="170" spans="1:9" s="5" customFormat="1" ht="15" hidden="1" x14ac:dyDescent="0.25">
      <c r="A170"/>
      <c r="B170"/>
      <c r="C170"/>
      <c r="D170"/>
      <c r="E170"/>
      <c r="F170"/>
      <c r="G170"/>
      <c r="H170"/>
      <c r="I170"/>
    </row>
    <row r="171" spans="1:9" s="5" customFormat="1" ht="15" hidden="1" x14ac:dyDescent="0.25">
      <c r="A171"/>
      <c r="B171"/>
      <c r="C171"/>
      <c r="D171"/>
      <c r="E171"/>
      <c r="F171"/>
      <c r="G171"/>
      <c r="H171"/>
      <c r="I171"/>
    </row>
    <row r="172" spans="1:9" s="5" customFormat="1" ht="15" hidden="1" x14ac:dyDescent="0.25">
      <c r="A172"/>
      <c r="B172"/>
      <c r="C172"/>
      <c r="D172"/>
      <c r="E172"/>
      <c r="F172"/>
      <c r="G172"/>
      <c r="H172"/>
      <c r="I172"/>
    </row>
    <row r="173" spans="1:9" s="5" customFormat="1" ht="15" hidden="1" x14ac:dyDescent="0.25">
      <c r="A173"/>
      <c r="B173"/>
      <c r="C173"/>
      <c r="D173"/>
      <c r="E173"/>
      <c r="F173"/>
      <c r="G173"/>
      <c r="H173"/>
      <c r="I173"/>
    </row>
    <row r="174" spans="1:9" s="5" customFormat="1" ht="15" hidden="1" x14ac:dyDescent="0.25">
      <c r="A174"/>
      <c r="B174"/>
      <c r="C174"/>
      <c r="D174"/>
      <c r="E174"/>
      <c r="F174"/>
      <c r="G174"/>
      <c r="H174"/>
      <c r="I174"/>
    </row>
    <row r="175" spans="1:9" s="5" customFormat="1" ht="15" hidden="1" x14ac:dyDescent="0.25">
      <c r="A175"/>
      <c r="B175"/>
      <c r="C175"/>
      <c r="D175"/>
      <c r="E175"/>
      <c r="F175"/>
      <c r="G175"/>
      <c r="H175"/>
      <c r="I175"/>
    </row>
    <row r="176" spans="1:9" s="5" customFormat="1" ht="15" hidden="1" x14ac:dyDescent="0.25">
      <c r="A176"/>
      <c r="B176"/>
      <c r="C176"/>
      <c r="D176"/>
      <c r="E176"/>
      <c r="F176"/>
      <c r="G176"/>
      <c r="H176"/>
      <c r="I176"/>
    </row>
    <row r="177" spans="1:9" s="5" customFormat="1" ht="15" hidden="1" x14ac:dyDescent="0.25">
      <c r="A177"/>
      <c r="B177"/>
      <c r="C177"/>
      <c r="D177"/>
      <c r="E177"/>
      <c r="F177"/>
      <c r="G177"/>
      <c r="H177"/>
      <c r="I177"/>
    </row>
    <row r="178" spans="1:9" s="5" customFormat="1" ht="15" hidden="1" x14ac:dyDescent="0.25">
      <c r="A178"/>
      <c r="B178"/>
      <c r="C178"/>
      <c r="D178"/>
      <c r="E178"/>
      <c r="F178"/>
      <c r="G178"/>
      <c r="H178"/>
      <c r="I178"/>
    </row>
    <row r="179" spans="1:9" s="5" customFormat="1" ht="15" hidden="1" x14ac:dyDescent="0.25">
      <c r="A179"/>
      <c r="B179"/>
      <c r="C179"/>
      <c r="D179"/>
      <c r="E179"/>
      <c r="F179"/>
      <c r="G179"/>
      <c r="H179"/>
      <c r="I179"/>
    </row>
    <row r="180" spans="1:9" s="5" customFormat="1" ht="15" hidden="1" x14ac:dyDescent="0.25">
      <c r="A180"/>
      <c r="B180"/>
      <c r="C180"/>
      <c r="D180"/>
      <c r="E180"/>
      <c r="F180"/>
      <c r="G180"/>
      <c r="H180"/>
      <c r="I180"/>
    </row>
    <row r="181" spans="1:9" s="5" customFormat="1" ht="15" hidden="1" x14ac:dyDescent="0.25">
      <c r="A181"/>
      <c r="B181"/>
      <c r="C181"/>
      <c r="D181"/>
      <c r="E181"/>
      <c r="F181"/>
      <c r="G181"/>
      <c r="H181"/>
      <c r="I181"/>
    </row>
    <row r="182" spans="1:9" s="5" customFormat="1" ht="15" hidden="1" x14ac:dyDescent="0.25">
      <c r="A182"/>
      <c r="B182"/>
      <c r="C182"/>
      <c r="D182"/>
      <c r="E182"/>
      <c r="F182"/>
      <c r="G182"/>
      <c r="H182"/>
      <c r="I182"/>
    </row>
    <row r="183" spans="1:9" s="5" customFormat="1" ht="15" hidden="1" x14ac:dyDescent="0.25">
      <c r="A183"/>
      <c r="B183"/>
      <c r="C183"/>
      <c r="D183"/>
      <c r="E183"/>
      <c r="F183"/>
      <c r="G183"/>
      <c r="H183"/>
      <c r="I183"/>
    </row>
    <row r="184" spans="1:9" s="5" customFormat="1" ht="15" hidden="1" x14ac:dyDescent="0.25">
      <c r="A184"/>
      <c r="B184"/>
      <c r="C184"/>
      <c r="D184"/>
      <c r="E184"/>
      <c r="F184"/>
      <c r="G184"/>
      <c r="H184"/>
      <c r="I184"/>
    </row>
    <row r="185" spans="1:9" s="5" customFormat="1" ht="15" hidden="1" x14ac:dyDescent="0.25">
      <c r="A185"/>
      <c r="B185"/>
      <c r="C185"/>
      <c r="D185"/>
      <c r="E185"/>
      <c r="F185"/>
      <c r="G185"/>
      <c r="H185"/>
      <c r="I185"/>
    </row>
    <row r="186" spans="1:9" s="5" customFormat="1" ht="15" hidden="1" x14ac:dyDescent="0.25">
      <c r="A186"/>
      <c r="B186"/>
      <c r="C186"/>
      <c r="D186"/>
      <c r="E186"/>
      <c r="F186"/>
      <c r="G186"/>
      <c r="H186"/>
      <c r="I186"/>
    </row>
    <row r="187" spans="1:9" s="5" customFormat="1" ht="15" hidden="1" x14ac:dyDescent="0.25">
      <c r="A187"/>
      <c r="B187"/>
      <c r="C187"/>
      <c r="D187"/>
      <c r="E187"/>
      <c r="F187"/>
      <c r="G187"/>
      <c r="H187"/>
      <c r="I187"/>
    </row>
    <row r="188" spans="1:9" s="5" customFormat="1" ht="15" hidden="1" x14ac:dyDescent="0.25">
      <c r="A188"/>
      <c r="B188"/>
      <c r="C188"/>
      <c r="D188"/>
      <c r="E188"/>
      <c r="F188"/>
      <c r="G188"/>
      <c r="H188"/>
      <c r="I188"/>
    </row>
    <row r="189" spans="1:9" s="5" customFormat="1" ht="15" hidden="1" x14ac:dyDescent="0.25">
      <c r="A189"/>
      <c r="B189"/>
      <c r="C189"/>
      <c r="D189"/>
      <c r="E189"/>
      <c r="F189"/>
      <c r="G189"/>
      <c r="H189"/>
      <c r="I189"/>
    </row>
    <row r="190" spans="1:9" s="5" customFormat="1" ht="15" hidden="1" x14ac:dyDescent="0.25">
      <c r="A190"/>
      <c r="B190"/>
      <c r="C190"/>
      <c r="D190"/>
      <c r="E190"/>
      <c r="F190"/>
      <c r="G190"/>
      <c r="H190"/>
      <c r="I190"/>
    </row>
    <row r="191" spans="1:9" s="5" customFormat="1" ht="15" hidden="1" x14ac:dyDescent="0.25">
      <c r="A191"/>
      <c r="B191"/>
      <c r="C191"/>
      <c r="D191"/>
      <c r="E191"/>
      <c r="F191"/>
      <c r="G191"/>
      <c r="H191"/>
      <c r="I191"/>
    </row>
    <row r="192" spans="1:9" s="5" customFormat="1" ht="15" hidden="1" x14ac:dyDescent="0.25">
      <c r="A192"/>
      <c r="B192"/>
      <c r="C192"/>
      <c r="D192"/>
      <c r="E192"/>
      <c r="F192"/>
      <c r="G192"/>
      <c r="H192"/>
      <c r="I192"/>
    </row>
    <row r="193" spans="1:9" s="5" customFormat="1" ht="15" hidden="1" x14ac:dyDescent="0.25">
      <c r="A193"/>
      <c r="B193"/>
      <c r="C193"/>
      <c r="D193"/>
      <c r="E193"/>
      <c r="F193"/>
      <c r="G193"/>
      <c r="H193"/>
      <c r="I193"/>
    </row>
    <row r="194" spans="1:9" s="5" customFormat="1" ht="15" hidden="1" x14ac:dyDescent="0.25">
      <c r="A194"/>
      <c r="B194"/>
      <c r="C194"/>
      <c r="D194"/>
      <c r="E194"/>
      <c r="F194"/>
      <c r="G194"/>
      <c r="H194"/>
      <c r="I194"/>
    </row>
    <row r="195" spans="1:9" s="5" customFormat="1" ht="15" hidden="1" x14ac:dyDescent="0.25">
      <c r="A195"/>
      <c r="B195"/>
      <c r="C195"/>
      <c r="D195"/>
      <c r="E195"/>
      <c r="F195"/>
      <c r="G195"/>
      <c r="H195"/>
      <c r="I195"/>
    </row>
    <row r="196" spans="1:9" s="5" customFormat="1" ht="15" hidden="1" x14ac:dyDescent="0.25">
      <c r="A196"/>
      <c r="B196"/>
      <c r="C196"/>
      <c r="D196"/>
      <c r="E196"/>
      <c r="F196"/>
      <c r="G196"/>
      <c r="H196"/>
      <c r="I196"/>
    </row>
    <row r="197" spans="1:9" s="5" customFormat="1" ht="15" hidden="1" x14ac:dyDescent="0.25">
      <c r="A197"/>
      <c r="B197"/>
      <c r="C197"/>
      <c r="D197"/>
      <c r="E197"/>
      <c r="F197"/>
      <c r="G197"/>
      <c r="H197"/>
      <c r="I197"/>
    </row>
    <row r="198" spans="1:9" s="5" customFormat="1" ht="15" hidden="1" x14ac:dyDescent="0.25">
      <c r="A198"/>
      <c r="B198"/>
      <c r="C198"/>
      <c r="D198"/>
      <c r="E198"/>
      <c r="F198"/>
      <c r="G198"/>
      <c r="H198"/>
      <c r="I198"/>
    </row>
    <row r="199" spans="1:9" s="5" customFormat="1" ht="15" hidden="1" x14ac:dyDescent="0.25">
      <c r="A199"/>
      <c r="B199"/>
      <c r="C199"/>
      <c r="D199"/>
      <c r="E199"/>
      <c r="F199"/>
      <c r="G199"/>
      <c r="H199"/>
      <c r="I199"/>
    </row>
    <row r="200" spans="1:9" s="5" customFormat="1" ht="15" hidden="1" x14ac:dyDescent="0.25">
      <c r="A200"/>
      <c r="B200"/>
      <c r="C200"/>
      <c r="D200"/>
      <c r="E200"/>
      <c r="F200"/>
      <c r="G200"/>
      <c r="H200"/>
      <c r="I200"/>
    </row>
    <row r="201" spans="1:9" s="5" customFormat="1" ht="15" hidden="1" x14ac:dyDescent="0.25">
      <c r="A201"/>
      <c r="B201"/>
      <c r="C201"/>
      <c r="D201"/>
      <c r="E201"/>
      <c r="F201"/>
      <c r="G201"/>
      <c r="H201"/>
      <c r="I201"/>
    </row>
    <row r="202" spans="1:9" s="5" customFormat="1" ht="15" hidden="1" x14ac:dyDescent="0.25">
      <c r="A202"/>
      <c r="B202"/>
      <c r="C202"/>
      <c r="D202"/>
      <c r="E202"/>
      <c r="F202"/>
      <c r="G202"/>
      <c r="H202"/>
      <c r="I202"/>
    </row>
    <row r="203" spans="1:9" s="5" customFormat="1" ht="15" hidden="1" x14ac:dyDescent="0.25">
      <c r="A203"/>
      <c r="B203"/>
      <c r="C203"/>
      <c r="D203"/>
      <c r="E203"/>
      <c r="F203"/>
      <c r="G203"/>
      <c r="H203"/>
      <c r="I203"/>
    </row>
    <row r="204" spans="1:9" s="5" customFormat="1" ht="15" hidden="1" x14ac:dyDescent="0.25">
      <c r="A204"/>
      <c r="B204"/>
      <c r="C204"/>
      <c r="D204"/>
      <c r="E204"/>
      <c r="F204"/>
      <c r="G204"/>
      <c r="H204"/>
      <c r="I204"/>
    </row>
    <row r="205" spans="1:9" s="5" customFormat="1" ht="15" hidden="1" x14ac:dyDescent="0.25">
      <c r="A205"/>
      <c r="B205"/>
      <c r="C205"/>
      <c r="D205"/>
      <c r="E205"/>
      <c r="F205"/>
      <c r="G205"/>
      <c r="H205"/>
      <c r="I205"/>
    </row>
    <row r="206" spans="1:9" s="5" customFormat="1" ht="15" hidden="1" x14ac:dyDescent="0.25">
      <c r="A206"/>
      <c r="B206"/>
      <c r="C206"/>
      <c r="D206"/>
      <c r="E206"/>
      <c r="F206"/>
      <c r="G206"/>
      <c r="H206"/>
      <c r="I206"/>
    </row>
    <row r="207" spans="1:9" s="5" customFormat="1" ht="15" hidden="1" x14ac:dyDescent="0.25">
      <c r="A207"/>
      <c r="B207"/>
      <c r="C207"/>
      <c r="D207"/>
      <c r="E207"/>
      <c r="F207"/>
      <c r="G207"/>
      <c r="H207"/>
      <c r="I207"/>
    </row>
    <row r="208" spans="1:9" s="5" customFormat="1" ht="15" hidden="1" x14ac:dyDescent="0.25">
      <c r="A208"/>
      <c r="B208"/>
      <c r="C208"/>
      <c r="D208"/>
      <c r="E208"/>
      <c r="F208"/>
      <c r="G208"/>
      <c r="H208"/>
      <c r="I208"/>
    </row>
    <row r="209" spans="1:9" s="5" customFormat="1" ht="15" hidden="1" x14ac:dyDescent="0.25">
      <c r="A209"/>
      <c r="B209"/>
      <c r="C209"/>
      <c r="D209"/>
      <c r="E209"/>
      <c r="F209"/>
      <c r="G209"/>
      <c r="H209"/>
      <c r="I209"/>
    </row>
    <row r="210" spans="1:9" s="5" customFormat="1" ht="15" hidden="1" x14ac:dyDescent="0.25">
      <c r="A210"/>
      <c r="B210"/>
      <c r="C210"/>
      <c r="D210"/>
      <c r="E210"/>
      <c r="F210"/>
      <c r="G210"/>
      <c r="H210"/>
      <c r="I210"/>
    </row>
    <row r="211" spans="1:9" s="5" customFormat="1" ht="15" hidden="1" x14ac:dyDescent="0.25">
      <c r="A211"/>
      <c r="B211"/>
      <c r="C211"/>
      <c r="D211"/>
      <c r="E211"/>
      <c r="F211"/>
      <c r="G211"/>
      <c r="H211"/>
      <c r="I211"/>
    </row>
    <row r="212" spans="1:9" s="5" customFormat="1" ht="15" hidden="1" x14ac:dyDescent="0.25">
      <c r="A212"/>
      <c r="B212"/>
      <c r="C212"/>
      <c r="D212"/>
      <c r="E212"/>
      <c r="F212"/>
      <c r="G212"/>
      <c r="H212"/>
      <c r="I212"/>
    </row>
    <row r="213" spans="1:9" ht="15" hidden="1" x14ac:dyDescent="0.25">
      <c r="A213"/>
      <c r="B213"/>
      <c r="C213"/>
      <c r="D213"/>
      <c r="E213"/>
      <c r="F213"/>
      <c r="G213"/>
      <c r="H213"/>
      <c r="I213"/>
    </row>
    <row r="214" spans="1:9" s="5" customFormat="1" ht="15" hidden="1" x14ac:dyDescent="0.25">
      <c r="A214"/>
      <c r="B214"/>
      <c r="C214"/>
      <c r="D214"/>
      <c r="E214"/>
      <c r="F214"/>
      <c r="G214"/>
      <c r="H214"/>
      <c r="I214"/>
    </row>
    <row r="215" spans="1:9" s="5" customFormat="1" ht="15" hidden="1" x14ac:dyDescent="0.25">
      <c r="A215"/>
      <c r="B215"/>
      <c r="C215"/>
      <c r="D215"/>
      <c r="E215"/>
      <c r="F215"/>
      <c r="G215"/>
      <c r="H215"/>
      <c r="I215"/>
    </row>
    <row r="216" spans="1:9" s="5" customFormat="1" ht="15" hidden="1" x14ac:dyDescent="0.25">
      <c r="A216"/>
      <c r="B216"/>
      <c r="C216"/>
      <c r="D216"/>
      <c r="E216"/>
      <c r="F216"/>
      <c r="G216"/>
      <c r="H216"/>
      <c r="I216"/>
    </row>
    <row r="217" spans="1:9" s="5" customFormat="1" ht="15" hidden="1" x14ac:dyDescent="0.25">
      <c r="A217"/>
      <c r="B217"/>
      <c r="C217"/>
      <c r="D217"/>
      <c r="E217"/>
      <c r="F217"/>
      <c r="G217"/>
      <c r="H217"/>
      <c r="I217"/>
    </row>
    <row r="218" spans="1:9" s="5" customFormat="1" ht="15" hidden="1" x14ac:dyDescent="0.25">
      <c r="A218"/>
      <c r="B218"/>
      <c r="C218"/>
      <c r="D218"/>
      <c r="E218"/>
      <c r="F218"/>
      <c r="G218"/>
      <c r="H218"/>
      <c r="I218"/>
    </row>
    <row r="219" spans="1:9" ht="15" hidden="1" x14ac:dyDescent="0.25">
      <c r="A219"/>
      <c r="B219"/>
      <c r="C219"/>
      <c r="D219"/>
      <c r="E219"/>
      <c r="F219"/>
      <c r="G219"/>
      <c r="H219"/>
      <c r="I219"/>
    </row>
    <row r="220" spans="1:9" s="5" customFormat="1" ht="15" hidden="1" x14ac:dyDescent="0.25">
      <c r="A220"/>
      <c r="B220"/>
      <c r="C220"/>
      <c r="D220"/>
      <c r="E220"/>
      <c r="F220"/>
      <c r="G220"/>
      <c r="H220"/>
      <c r="I220"/>
    </row>
    <row r="221" spans="1:9" s="5" customFormat="1" ht="15" hidden="1" x14ac:dyDescent="0.25">
      <c r="A221"/>
      <c r="B221"/>
      <c r="C221"/>
      <c r="D221"/>
      <c r="E221"/>
      <c r="F221"/>
      <c r="G221"/>
      <c r="H221"/>
      <c r="I221"/>
    </row>
    <row r="222" spans="1:9" s="5" customFormat="1" ht="15" hidden="1" x14ac:dyDescent="0.25">
      <c r="A222"/>
      <c r="B222"/>
      <c r="C222"/>
      <c r="D222"/>
      <c r="E222"/>
      <c r="F222"/>
      <c r="G222"/>
      <c r="H222"/>
      <c r="I222"/>
    </row>
    <row r="223" spans="1:9" s="5" customFormat="1" ht="15" hidden="1" x14ac:dyDescent="0.25">
      <c r="A223"/>
      <c r="B223"/>
      <c r="C223"/>
      <c r="D223"/>
      <c r="E223"/>
      <c r="F223"/>
      <c r="G223"/>
      <c r="H223"/>
      <c r="I223"/>
    </row>
    <row r="224" spans="1:9" s="5" customFormat="1" ht="15" hidden="1" x14ac:dyDescent="0.25">
      <c r="A224"/>
      <c r="B224"/>
      <c r="C224"/>
      <c r="D224"/>
      <c r="E224"/>
      <c r="F224"/>
      <c r="G224"/>
      <c r="H224"/>
      <c r="I224"/>
    </row>
    <row r="225" spans="1:9" s="5" customFormat="1" ht="15" hidden="1" x14ac:dyDescent="0.25">
      <c r="A225"/>
      <c r="B225"/>
      <c r="C225"/>
      <c r="D225"/>
      <c r="E225"/>
      <c r="F225"/>
      <c r="G225"/>
      <c r="H225"/>
      <c r="I225"/>
    </row>
    <row r="226" spans="1:9" ht="15" hidden="1" x14ac:dyDescent="0.25">
      <c r="A226"/>
      <c r="B226"/>
      <c r="C226"/>
      <c r="D226"/>
      <c r="E226"/>
      <c r="F226"/>
      <c r="G226"/>
      <c r="H226"/>
      <c r="I226"/>
    </row>
    <row r="227" spans="1:9" s="5" customFormat="1" ht="15" hidden="1" x14ac:dyDescent="0.25">
      <c r="A227"/>
      <c r="B227"/>
      <c r="C227"/>
      <c r="D227"/>
      <c r="E227"/>
      <c r="F227"/>
      <c r="G227"/>
      <c r="H227"/>
      <c r="I227"/>
    </row>
    <row r="228" spans="1:9" s="5" customFormat="1" ht="15" hidden="1" x14ac:dyDescent="0.25">
      <c r="A228"/>
      <c r="B228"/>
      <c r="C228"/>
      <c r="D228"/>
      <c r="E228"/>
      <c r="F228"/>
      <c r="G228"/>
      <c r="H228"/>
      <c r="I228"/>
    </row>
    <row r="229" spans="1:9" s="5" customFormat="1" ht="15" hidden="1" x14ac:dyDescent="0.25">
      <c r="A229"/>
      <c r="B229"/>
      <c r="C229"/>
      <c r="D229"/>
      <c r="E229"/>
      <c r="F229"/>
      <c r="G229"/>
      <c r="H229"/>
      <c r="I229"/>
    </row>
    <row r="230" spans="1:9" s="5" customFormat="1" ht="15" hidden="1" x14ac:dyDescent="0.25">
      <c r="A230"/>
      <c r="B230"/>
      <c r="C230"/>
      <c r="D230"/>
      <c r="E230"/>
      <c r="F230"/>
      <c r="G230"/>
      <c r="H230"/>
      <c r="I230"/>
    </row>
    <row r="231" spans="1:9" ht="15" hidden="1" x14ac:dyDescent="0.25">
      <c r="A231"/>
      <c r="B231"/>
      <c r="C231"/>
      <c r="D231"/>
      <c r="E231"/>
      <c r="F231"/>
      <c r="G231"/>
      <c r="H231"/>
      <c r="I231"/>
    </row>
    <row r="232" spans="1:9" s="5" customFormat="1" ht="15" hidden="1" x14ac:dyDescent="0.25">
      <c r="A232"/>
      <c r="B232"/>
      <c r="C232"/>
      <c r="D232"/>
      <c r="E232"/>
      <c r="F232"/>
      <c r="G232"/>
      <c r="H232"/>
      <c r="I232"/>
    </row>
    <row r="233" spans="1:9" s="5" customFormat="1" ht="15" hidden="1" x14ac:dyDescent="0.25">
      <c r="A233"/>
      <c r="B233"/>
      <c r="C233"/>
      <c r="D233"/>
      <c r="E233"/>
      <c r="F233"/>
      <c r="G233"/>
      <c r="H233"/>
      <c r="I233"/>
    </row>
    <row r="234" spans="1:9" s="5" customFormat="1" ht="15" hidden="1" x14ac:dyDescent="0.25">
      <c r="A234"/>
      <c r="B234"/>
      <c r="C234"/>
      <c r="D234"/>
      <c r="E234"/>
      <c r="F234"/>
      <c r="G234"/>
      <c r="H234"/>
      <c r="I234"/>
    </row>
    <row r="235" spans="1:9" s="5" customFormat="1" ht="15" hidden="1" x14ac:dyDescent="0.25">
      <c r="A235"/>
      <c r="B235"/>
      <c r="C235"/>
      <c r="D235"/>
      <c r="E235"/>
      <c r="F235"/>
      <c r="G235"/>
      <c r="H235"/>
      <c r="I235"/>
    </row>
    <row r="236" spans="1:9" ht="15" hidden="1" x14ac:dyDescent="0.25">
      <c r="A236"/>
      <c r="B236"/>
      <c r="C236"/>
      <c r="D236"/>
      <c r="E236"/>
      <c r="F236"/>
      <c r="G236"/>
      <c r="H236"/>
      <c r="I236"/>
    </row>
    <row r="237" spans="1:9" s="5" customFormat="1" ht="15" hidden="1" x14ac:dyDescent="0.25">
      <c r="A237"/>
      <c r="B237"/>
      <c r="C237"/>
      <c r="D237"/>
      <c r="E237"/>
      <c r="F237"/>
      <c r="G237"/>
      <c r="H237"/>
      <c r="I237"/>
    </row>
    <row r="238" spans="1:9" s="5" customFormat="1" ht="15" hidden="1" x14ac:dyDescent="0.25">
      <c r="A238"/>
      <c r="B238"/>
      <c r="C238"/>
      <c r="D238"/>
      <c r="E238"/>
      <c r="F238"/>
      <c r="G238"/>
      <c r="H238"/>
      <c r="I238"/>
    </row>
    <row r="239" spans="1:9" s="5" customFormat="1" ht="15" hidden="1" x14ac:dyDescent="0.25">
      <c r="A239"/>
      <c r="B239"/>
      <c r="C239"/>
      <c r="D239"/>
      <c r="E239"/>
      <c r="F239"/>
      <c r="G239"/>
      <c r="H239"/>
      <c r="I239"/>
    </row>
    <row r="240" spans="1:9" s="5" customFormat="1" ht="15" hidden="1" x14ac:dyDescent="0.25">
      <c r="A240"/>
      <c r="B240"/>
      <c r="C240"/>
      <c r="D240"/>
      <c r="E240"/>
      <c r="F240"/>
      <c r="G240"/>
      <c r="H240"/>
      <c r="I240"/>
    </row>
    <row r="241" spans="1:9" ht="15" hidden="1" x14ac:dyDescent="0.25">
      <c r="A241"/>
      <c r="B241"/>
      <c r="C241"/>
      <c r="D241"/>
      <c r="E241"/>
      <c r="F241"/>
      <c r="G241"/>
      <c r="H241"/>
      <c r="I241"/>
    </row>
    <row r="242" spans="1:9" s="5" customFormat="1" ht="15" hidden="1" x14ac:dyDescent="0.25">
      <c r="A242"/>
      <c r="B242"/>
      <c r="C242"/>
      <c r="D242"/>
      <c r="E242"/>
      <c r="F242"/>
      <c r="G242"/>
      <c r="H242"/>
      <c r="I242"/>
    </row>
    <row r="243" spans="1:9" s="5" customFormat="1" ht="15" hidden="1" x14ac:dyDescent="0.25">
      <c r="A243"/>
      <c r="B243"/>
      <c r="C243"/>
      <c r="D243"/>
      <c r="E243"/>
      <c r="F243"/>
      <c r="G243"/>
      <c r="H243"/>
      <c r="I243"/>
    </row>
    <row r="244" spans="1:9" s="5" customFormat="1" ht="15" hidden="1" x14ac:dyDescent="0.25">
      <c r="A244"/>
      <c r="B244"/>
      <c r="C244"/>
      <c r="D244"/>
      <c r="E244"/>
      <c r="F244"/>
      <c r="G244"/>
      <c r="H244"/>
      <c r="I244"/>
    </row>
    <row r="245" spans="1:9" s="5" customFormat="1" ht="15" hidden="1" x14ac:dyDescent="0.25">
      <c r="A245"/>
      <c r="B245"/>
      <c r="C245"/>
      <c r="D245"/>
      <c r="E245"/>
      <c r="F245"/>
      <c r="G245"/>
      <c r="H245"/>
      <c r="I245"/>
    </row>
    <row r="246" spans="1:9" ht="15" hidden="1" x14ac:dyDescent="0.25">
      <c r="A246"/>
      <c r="B246"/>
      <c r="C246"/>
      <c r="D246"/>
      <c r="E246"/>
      <c r="F246"/>
      <c r="G246"/>
      <c r="H246"/>
      <c r="I246"/>
    </row>
    <row r="247" spans="1:9" s="5" customFormat="1" ht="15" hidden="1" x14ac:dyDescent="0.25">
      <c r="A247"/>
      <c r="B247"/>
      <c r="C247"/>
      <c r="D247"/>
      <c r="E247"/>
      <c r="F247"/>
      <c r="G247"/>
      <c r="H247"/>
      <c r="I247"/>
    </row>
    <row r="248" spans="1:9" ht="15" hidden="1" x14ac:dyDescent="0.25">
      <c r="A248"/>
      <c r="B248"/>
      <c r="C248"/>
      <c r="D248"/>
      <c r="E248"/>
      <c r="F248"/>
      <c r="G248"/>
      <c r="H248"/>
      <c r="I248"/>
    </row>
    <row r="249" spans="1:9" s="5" customFormat="1" ht="15" hidden="1" x14ac:dyDescent="0.25">
      <c r="A249"/>
      <c r="B249"/>
      <c r="C249"/>
      <c r="D249"/>
      <c r="E249"/>
      <c r="F249"/>
      <c r="G249"/>
      <c r="H249"/>
      <c r="I249"/>
    </row>
    <row r="250" spans="1:9" ht="15" hidden="1" x14ac:dyDescent="0.25">
      <c r="A250"/>
      <c r="B250"/>
      <c r="C250"/>
      <c r="D250"/>
      <c r="E250"/>
      <c r="F250"/>
      <c r="G250"/>
      <c r="H250"/>
      <c r="I250"/>
    </row>
    <row r="251" spans="1:9" s="5" customFormat="1" ht="15" hidden="1" x14ac:dyDescent="0.25">
      <c r="A251"/>
      <c r="B251"/>
      <c r="C251"/>
      <c r="D251"/>
      <c r="E251"/>
      <c r="F251"/>
      <c r="G251"/>
      <c r="H251"/>
      <c r="I251"/>
    </row>
    <row r="252" spans="1:9" s="5" customFormat="1" ht="15" hidden="1" x14ac:dyDescent="0.25">
      <c r="A252"/>
      <c r="B252"/>
      <c r="C252"/>
      <c r="D252"/>
      <c r="E252"/>
      <c r="F252"/>
      <c r="G252"/>
      <c r="H252"/>
      <c r="I252"/>
    </row>
    <row r="253" spans="1:9" s="5" customFormat="1" ht="15" hidden="1" x14ac:dyDescent="0.25">
      <c r="A253"/>
      <c r="B253"/>
      <c r="C253"/>
      <c r="D253"/>
      <c r="E253"/>
      <c r="F253"/>
      <c r="G253"/>
      <c r="H253"/>
      <c r="I253"/>
    </row>
    <row r="254" spans="1:9" s="5" customFormat="1" ht="15" hidden="1" x14ac:dyDescent="0.25">
      <c r="A254"/>
      <c r="B254"/>
      <c r="C254"/>
      <c r="D254"/>
      <c r="E254"/>
      <c r="F254"/>
      <c r="G254"/>
      <c r="H254"/>
      <c r="I254"/>
    </row>
    <row r="255" spans="1:9" ht="15" hidden="1" x14ac:dyDescent="0.25">
      <c r="A255"/>
      <c r="B255"/>
      <c r="C255"/>
      <c r="D255"/>
      <c r="E255"/>
      <c r="F255"/>
      <c r="G255"/>
      <c r="H255"/>
      <c r="I255"/>
    </row>
    <row r="256" spans="1:9" s="5" customFormat="1" ht="15" hidden="1" x14ac:dyDescent="0.25">
      <c r="A256"/>
      <c r="B256"/>
      <c r="C256"/>
      <c r="D256"/>
      <c r="E256"/>
      <c r="F256"/>
      <c r="G256"/>
      <c r="H256"/>
      <c r="I256"/>
    </row>
    <row r="257" spans="1:9" s="5" customFormat="1" ht="15" hidden="1" x14ac:dyDescent="0.25">
      <c r="A257"/>
      <c r="B257"/>
      <c r="C257"/>
      <c r="D257"/>
      <c r="E257"/>
      <c r="F257"/>
      <c r="G257"/>
      <c r="H257"/>
      <c r="I257"/>
    </row>
    <row r="258" spans="1:9" s="5" customFormat="1" ht="15" hidden="1" x14ac:dyDescent="0.25">
      <c r="A258"/>
      <c r="B258"/>
      <c r="C258"/>
      <c r="D258"/>
      <c r="E258"/>
      <c r="F258"/>
      <c r="G258"/>
      <c r="H258"/>
      <c r="I258"/>
    </row>
    <row r="259" spans="1:9" ht="15" hidden="1" x14ac:dyDescent="0.25">
      <c r="A259"/>
      <c r="B259"/>
      <c r="C259"/>
      <c r="D259"/>
      <c r="E259"/>
      <c r="F259"/>
      <c r="G259"/>
      <c r="H259"/>
      <c r="I259"/>
    </row>
    <row r="260" spans="1:9" s="5" customFormat="1" ht="15" hidden="1" x14ac:dyDescent="0.25">
      <c r="A260"/>
      <c r="B260"/>
      <c r="C260"/>
      <c r="D260"/>
      <c r="E260"/>
      <c r="F260"/>
      <c r="G260"/>
      <c r="H260"/>
      <c r="I260"/>
    </row>
    <row r="261" spans="1:9" s="5" customFormat="1" ht="15" hidden="1" x14ac:dyDescent="0.25">
      <c r="A261"/>
      <c r="B261"/>
      <c r="C261"/>
      <c r="D261"/>
      <c r="E261"/>
      <c r="F261"/>
      <c r="G261"/>
      <c r="H261"/>
      <c r="I261"/>
    </row>
    <row r="262" spans="1:9" ht="15" hidden="1" x14ac:dyDescent="0.25">
      <c r="A262"/>
      <c r="B262"/>
      <c r="C262"/>
      <c r="D262"/>
      <c r="E262"/>
      <c r="F262"/>
      <c r="G262"/>
      <c r="H262"/>
      <c r="I262"/>
    </row>
    <row r="263" spans="1:9" s="5" customFormat="1" ht="15" hidden="1" x14ac:dyDescent="0.25">
      <c r="A263"/>
      <c r="B263"/>
      <c r="C263"/>
      <c r="D263"/>
      <c r="E263"/>
      <c r="F263"/>
      <c r="G263"/>
      <c r="H263"/>
      <c r="I263"/>
    </row>
    <row r="264" spans="1:9" s="5" customFormat="1" ht="15" hidden="1" x14ac:dyDescent="0.25">
      <c r="A264"/>
      <c r="B264"/>
      <c r="C264"/>
      <c r="D264"/>
      <c r="E264"/>
      <c r="F264"/>
      <c r="G264"/>
      <c r="H264"/>
      <c r="I264"/>
    </row>
    <row r="265" spans="1:9" s="5" customFormat="1" ht="15" hidden="1" x14ac:dyDescent="0.25">
      <c r="A265"/>
      <c r="B265"/>
      <c r="C265"/>
      <c r="D265"/>
      <c r="E265"/>
      <c r="F265"/>
      <c r="G265"/>
      <c r="H265"/>
      <c r="I265"/>
    </row>
    <row r="266" spans="1:9" s="5" customFormat="1" ht="15" hidden="1" x14ac:dyDescent="0.25">
      <c r="A266"/>
      <c r="B266"/>
      <c r="C266"/>
      <c r="D266"/>
      <c r="E266"/>
      <c r="F266"/>
      <c r="G266"/>
      <c r="H266"/>
      <c r="I266"/>
    </row>
    <row r="267" spans="1:9" s="5" customFormat="1" ht="15" hidden="1" x14ac:dyDescent="0.25">
      <c r="A267"/>
      <c r="B267"/>
      <c r="C267"/>
      <c r="D267"/>
      <c r="E267"/>
      <c r="F267"/>
      <c r="G267"/>
      <c r="H267"/>
      <c r="I267"/>
    </row>
    <row r="268" spans="1:9" s="5" customFormat="1" ht="15" hidden="1" x14ac:dyDescent="0.25">
      <c r="A268"/>
      <c r="B268"/>
      <c r="C268"/>
      <c r="D268"/>
      <c r="E268"/>
      <c r="F268"/>
      <c r="G268"/>
      <c r="H268"/>
      <c r="I268"/>
    </row>
    <row r="269" spans="1:9" s="5" customFormat="1" ht="15" hidden="1" x14ac:dyDescent="0.25">
      <c r="A269"/>
      <c r="B269"/>
      <c r="C269"/>
      <c r="D269"/>
      <c r="E269"/>
      <c r="F269"/>
      <c r="G269"/>
      <c r="H269"/>
      <c r="I269"/>
    </row>
    <row r="270" spans="1:9" s="5" customFormat="1" ht="15" hidden="1" x14ac:dyDescent="0.25">
      <c r="A270"/>
      <c r="B270"/>
      <c r="C270"/>
      <c r="D270"/>
      <c r="E270"/>
      <c r="F270"/>
      <c r="G270"/>
      <c r="H270"/>
      <c r="I270"/>
    </row>
    <row r="271" spans="1:9" ht="15" hidden="1" x14ac:dyDescent="0.25">
      <c r="A271"/>
      <c r="B271"/>
      <c r="C271"/>
      <c r="D271"/>
      <c r="E271"/>
      <c r="F271"/>
      <c r="G271"/>
      <c r="H271"/>
      <c r="I271"/>
    </row>
    <row r="272" spans="1:9" s="5" customFormat="1" ht="15" hidden="1" x14ac:dyDescent="0.25">
      <c r="A272"/>
      <c r="B272"/>
      <c r="C272"/>
      <c r="D272"/>
      <c r="E272"/>
      <c r="F272"/>
      <c r="G272"/>
      <c r="H272"/>
      <c r="I272"/>
    </row>
    <row r="273" spans="1:9" s="5" customFormat="1" ht="15" hidden="1" x14ac:dyDescent="0.25">
      <c r="A273"/>
      <c r="B273"/>
      <c r="C273"/>
      <c r="D273"/>
      <c r="E273"/>
      <c r="F273"/>
      <c r="G273"/>
      <c r="H273"/>
      <c r="I273"/>
    </row>
    <row r="274" spans="1:9" ht="15" hidden="1" x14ac:dyDescent="0.25">
      <c r="A274"/>
      <c r="B274"/>
      <c r="C274"/>
      <c r="D274"/>
      <c r="E274"/>
      <c r="F274"/>
      <c r="G274"/>
      <c r="H274"/>
      <c r="I274"/>
    </row>
    <row r="275" spans="1:9" s="5" customFormat="1" ht="15" hidden="1" x14ac:dyDescent="0.25">
      <c r="A275"/>
      <c r="B275"/>
      <c r="C275"/>
      <c r="D275"/>
      <c r="E275"/>
      <c r="F275"/>
      <c r="G275"/>
      <c r="H275"/>
      <c r="I275"/>
    </row>
    <row r="276" spans="1:9" s="5" customFormat="1" ht="15" hidden="1" x14ac:dyDescent="0.25">
      <c r="A276"/>
      <c r="B276"/>
      <c r="C276"/>
      <c r="D276"/>
      <c r="E276"/>
      <c r="F276"/>
      <c r="G276"/>
      <c r="H276"/>
      <c r="I276"/>
    </row>
    <row r="277" spans="1:9" s="5" customFormat="1" ht="15" hidden="1" x14ac:dyDescent="0.25">
      <c r="A277"/>
      <c r="B277"/>
      <c r="C277"/>
      <c r="D277"/>
      <c r="E277"/>
      <c r="F277"/>
      <c r="G277"/>
      <c r="H277"/>
      <c r="I277"/>
    </row>
    <row r="278" spans="1:9" s="5" customFormat="1" ht="15" hidden="1" x14ac:dyDescent="0.25">
      <c r="A278"/>
      <c r="B278"/>
      <c r="C278"/>
      <c r="D278"/>
      <c r="E278"/>
      <c r="F278"/>
      <c r="G278"/>
      <c r="H278"/>
      <c r="I278"/>
    </row>
    <row r="279" spans="1:9" s="5" customFormat="1" ht="15" hidden="1" x14ac:dyDescent="0.25">
      <c r="A279"/>
      <c r="B279"/>
      <c r="C279"/>
      <c r="D279"/>
      <c r="E279"/>
      <c r="F279"/>
      <c r="G279"/>
      <c r="H279"/>
      <c r="I279"/>
    </row>
    <row r="280" spans="1:9" s="5" customFormat="1" ht="15" hidden="1" x14ac:dyDescent="0.25">
      <c r="A280"/>
      <c r="B280"/>
      <c r="C280"/>
      <c r="D280"/>
      <c r="E280"/>
      <c r="F280"/>
      <c r="G280"/>
      <c r="H280"/>
      <c r="I280"/>
    </row>
    <row r="281" spans="1:9" s="5" customFormat="1" ht="15" hidden="1" x14ac:dyDescent="0.25">
      <c r="A281"/>
      <c r="B281"/>
      <c r="C281"/>
      <c r="D281"/>
      <c r="E281"/>
      <c r="F281"/>
      <c r="G281"/>
      <c r="H281"/>
      <c r="I281"/>
    </row>
    <row r="282" spans="1:9" s="5" customFormat="1" ht="15" hidden="1" x14ac:dyDescent="0.25">
      <c r="A282"/>
      <c r="B282"/>
      <c r="C282"/>
      <c r="D282"/>
      <c r="E282"/>
      <c r="F282"/>
      <c r="G282"/>
      <c r="H282"/>
      <c r="I282"/>
    </row>
    <row r="283" spans="1:9" s="5" customFormat="1" ht="15" hidden="1" x14ac:dyDescent="0.25">
      <c r="A283"/>
      <c r="B283"/>
      <c r="C283"/>
      <c r="D283"/>
      <c r="E283"/>
      <c r="F283"/>
      <c r="G283"/>
      <c r="H283"/>
      <c r="I283"/>
    </row>
    <row r="284" spans="1:9" s="5" customFormat="1" ht="15" hidden="1" x14ac:dyDescent="0.25">
      <c r="A284"/>
      <c r="B284"/>
      <c r="C284"/>
      <c r="D284"/>
      <c r="E284"/>
      <c r="F284"/>
      <c r="G284"/>
      <c r="H284"/>
      <c r="I284"/>
    </row>
    <row r="285" spans="1:9" s="5" customFormat="1" ht="15" hidden="1" x14ac:dyDescent="0.25">
      <c r="A285"/>
      <c r="B285"/>
      <c r="C285"/>
      <c r="D285"/>
      <c r="E285"/>
      <c r="F285"/>
      <c r="G285"/>
      <c r="H285"/>
      <c r="I285"/>
    </row>
    <row r="286" spans="1:9" s="5" customFormat="1" ht="15" hidden="1" x14ac:dyDescent="0.25">
      <c r="A286"/>
      <c r="B286"/>
      <c r="C286"/>
      <c r="D286"/>
      <c r="E286"/>
      <c r="F286"/>
      <c r="G286"/>
      <c r="H286"/>
      <c r="I286"/>
    </row>
    <row r="287" spans="1:9" s="5" customFormat="1" ht="15" hidden="1" x14ac:dyDescent="0.25">
      <c r="A287"/>
      <c r="B287"/>
      <c r="C287"/>
      <c r="D287"/>
      <c r="E287"/>
      <c r="F287"/>
      <c r="G287"/>
      <c r="H287"/>
      <c r="I287"/>
    </row>
    <row r="288" spans="1:9" s="5" customFormat="1" ht="15" hidden="1" x14ac:dyDescent="0.25">
      <c r="A288"/>
      <c r="B288"/>
      <c r="C288"/>
      <c r="D288"/>
      <c r="E288"/>
      <c r="F288"/>
      <c r="G288"/>
      <c r="H288"/>
      <c r="I288"/>
    </row>
    <row r="289" spans="1:9" s="5" customFormat="1" ht="15" hidden="1" x14ac:dyDescent="0.25">
      <c r="A289"/>
      <c r="B289"/>
      <c r="C289"/>
      <c r="D289"/>
      <c r="E289"/>
      <c r="F289"/>
      <c r="G289"/>
      <c r="H289"/>
      <c r="I289"/>
    </row>
    <row r="290" spans="1:9" s="5" customFormat="1" ht="15" hidden="1" x14ac:dyDescent="0.25">
      <c r="A290"/>
      <c r="B290"/>
      <c r="C290"/>
      <c r="D290"/>
      <c r="E290"/>
      <c r="F290"/>
      <c r="G290"/>
      <c r="H290"/>
      <c r="I290"/>
    </row>
    <row r="291" spans="1:9" s="5" customFormat="1" ht="15" hidden="1" x14ac:dyDescent="0.25">
      <c r="A291"/>
      <c r="B291"/>
      <c r="C291"/>
      <c r="D291"/>
      <c r="E291"/>
      <c r="F291"/>
      <c r="G291"/>
      <c r="H291"/>
      <c r="I291"/>
    </row>
    <row r="292" spans="1:9" s="5" customFormat="1" ht="15" hidden="1" x14ac:dyDescent="0.25">
      <c r="A292"/>
      <c r="B292"/>
      <c r="C292"/>
      <c r="D292"/>
      <c r="E292"/>
      <c r="F292"/>
      <c r="G292"/>
      <c r="H292"/>
      <c r="I292"/>
    </row>
    <row r="293" spans="1:9" s="5" customFormat="1" ht="15" hidden="1" x14ac:dyDescent="0.25">
      <c r="A293"/>
      <c r="B293"/>
      <c r="C293"/>
      <c r="D293"/>
      <c r="E293"/>
      <c r="F293"/>
      <c r="G293"/>
      <c r="H293"/>
      <c r="I293"/>
    </row>
    <row r="294" spans="1:9" s="5" customFormat="1" ht="15" hidden="1" x14ac:dyDescent="0.25">
      <c r="A294"/>
      <c r="B294"/>
      <c r="C294"/>
      <c r="D294"/>
      <c r="E294"/>
      <c r="F294"/>
      <c r="G294"/>
      <c r="H294"/>
      <c r="I294"/>
    </row>
    <row r="295" spans="1:9" s="5" customFormat="1" ht="15" hidden="1" x14ac:dyDescent="0.25">
      <c r="A295"/>
      <c r="B295"/>
      <c r="C295"/>
      <c r="D295"/>
      <c r="E295"/>
      <c r="F295"/>
      <c r="G295"/>
      <c r="H295"/>
      <c r="I295"/>
    </row>
    <row r="296" spans="1:9" s="5" customFormat="1" ht="15" hidden="1" x14ac:dyDescent="0.25">
      <c r="A296"/>
      <c r="B296"/>
      <c r="C296"/>
      <c r="D296"/>
      <c r="E296"/>
      <c r="F296"/>
      <c r="G296"/>
      <c r="H296"/>
      <c r="I296"/>
    </row>
    <row r="297" spans="1:9" s="5" customFormat="1" ht="15" hidden="1" x14ac:dyDescent="0.25">
      <c r="A297"/>
      <c r="B297"/>
      <c r="C297"/>
      <c r="D297"/>
      <c r="E297"/>
      <c r="F297"/>
      <c r="G297"/>
      <c r="H297"/>
      <c r="I297"/>
    </row>
    <row r="298" spans="1:9" s="5" customFormat="1" ht="15" hidden="1" x14ac:dyDescent="0.25">
      <c r="A298"/>
      <c r="B298"/>
      <c r="C298"/>
      <c r="D298"/>
      <c r="E298"/>
      <c r="F298"/>
      <c r="G298"/>
      <c r="H298"/>
      <c r="I298"/>
    </row>
    <row r="299" spans="1:9" s="5" customFormat="1" ht="15" hidden="1" x14ac:dyDescent="0.25">
      <c r="A299"/>
      <c r="B299"/>
      <c r="C299"/>
      <c r="D299"/>
      <c r="E299"/>
      <c r="F299"/>
      <c r="G299"/>
      <c r="H299"/>
      <c r="I299"/>
    </row>
    <row r="300" spans="1:9" s="5" customFormat="1" ht="15" hidden="1" x14ac:dyDescent="0.25">
      <c r="A300"/>
      <c r="B300"/>
      <c r="C300"/>
      <c r="D300"/>
      <c r="E300"/>
      <c r="F300"/>
      <c r="G300"/>
      <c r="H300"/>
      <c r="I300"/>
    </row>
    <row r="301" spans="1:9" s="5" customFormat="1" ht="15" hidden="1" x14ac:dyDescent="0.25">
      <c r="A301"/>
      <c r="B301"/>
      <c r="C301"/>
      <c r="D301"/>
      <c r="E301"/>
      <c r="F301"/>
      <c r="G301"/>
      <c r="H301"/>
      <c r="I301"/>
    </row>
    <row r="302" spans="1:9" s="5" customFormat="1" ht="15" hidden="1" x14ac:dyDescent="0.25">
      <c r="A302"/>
      <c r="B302"/>
      <c r="C302"/>
      <c r="D302"/>
      <c r="E302"/>
      <c r="F302"/>
      <c r="G302"/>
      <c r="H302"/>
      <c r="I302"/>
    </row>
    <row r="303" spans="1:9" s="5" customFormat="1" ht="15" hidden="1" x14ac:dyDescent="0.25">
      <c r="A303"/>
      <c r="B303"/>
      <c r="C303"/>
      <c r="D303"/>
      <c r="E303"/>
      <c r="F303"/>
      <c r="G303"/>
      <c r="H303"/>
      <c r="I303"/>
    </row>
    <row r="304" spans="1:9" s="5" customFormat="1" ht="15" hidden="1" x14ac:dyDescent="0.25">
      <c r="A304"/>
      <c r="B304"/>
      <c r="C304"/>
      <c r="D304"/>
      <c r="E304"/>
      <c r="F304"/>
      <c r="G304"/>
      <c r="H304"/>
      <c r="I304"/>
    </row>
    <row r="305" spans="1:9" s="5" customFormat="1" ht="15" hidden="1" x14ac:dyDescent="0.25">
      <c r="A305"/>
      <c r="B305"/>
      <c r="C305"/>
      <c r="D305"/>
      <c r="E305"/>
      <c r="F305"/>
      <c r="G305"/>
      <c r="H305"/>
      <c r="I305"/>
    </row>
    <row r="306" spans="1:9" s="5" customFormat="1" ht="15" hidden="1" x14ac:dyDescent="0.25">
      <c r="A306"/>
      <c r="B306"/>
      <c r="C306"/>
      <c r="D306"/>
      <c r="E306"/>
      <c r="F306"/>
      <c r="G306"/>
      <c r="H306"/>
      <c r="I306"/>
    </row>
    <row r="307" spans="1:9" s="5" customFormat="1" ht="15" hidden="1" x14ac:dyDescent="0.25">
      <c r="A307"/>
      <c r="B307"/>
      <c r="C307"/>
      <c r="D307"/>
      <c r="E307"/>
      <c r="F307"/>
      <c r="G307"/>
      <c r="H307"/>
      <c r="I307"/>
    </row>
    <row r="308" spans="1:9" s="5" customFormat="1" ht="15" hidden="1" x14ac:dyDescent="0.25">
      <c r="A308"/>
      <c r="B308"/>
      <c r="C308"/>
      <c r="D308"/>
      <c r="E308"/>
      <c r="F308"/>
      <c r="G308"/>
      <c r="H308"/>
      <c r="I308"/>
    </row>
    <row r="309" spans="1:9" s="5" customFormat="1" ht="15" hidden="1" x14ac:dyDescent="0.25">
      <c r="A309"/>
      <c r="B309"/>
      <c r="C309"/>
      <c r="D309"/>
      <c r="E309"/>
      <c r="F309"/>
      <c r="G309"/>
      <c r="H309"/>
      <c r="I309"/>
    </row>
    <row r="310" spans="1:9" s="5" customFormat="1" ht="15" hidden="1" x14ac:dyDescent="0.25">
      <c r="A310"/>
      <c r="B310"/>
      <c r="C310"/>
      <c r="D310"/>
      <c r="E310"/>
      <c r="F310"/>
      <c r="G310"/>
      <c r="H310"/>
      <c r="I310"/>
    </row>
    <row r="311" spans="1:9" s="5" customFormat="1" ht="15" hidden="1" x14ac:dyDescent="0.25">
      <c r="A311"/>
      <c r="B311"/>
      <c r="C311"/>
      <c r="D311"/>
      <c r="E311"/>
      <c r="F311"/>
      <c r="G311"/>
      <c r="H311"/>
      <c r="I311"/>
    </row>
    <row r="312" spans="1:9" s="5" customFormat="1" ht="15" hidden="1" x14ac:dyDescent="0.25">
      <c r="A312"/>
      <c r="B312"/>
      <c r="C312"/>
      <c r="D312"/>
      <c r="E312"/>
      <c r="F312"/>
      <c r="G312"/>
      <c r="H312"/>
      <c r="I312"/>
    </row>
    <row r="313" spans="1:9" s="5" customFormat="1" ht="15" hidden="1" x14ac:dyDescent="0.25">
      <c r="A313"/>
      <c r="B313"/>
      <c r="C313"/>
      <c r="D313"/>
      <c r="E313"/>
      <c r="F313"/>
      <c r="G313"/>
      <c r="H313"/>
      <c r="I313"/>
    </row>
    <row r="314" spans="1:9" s="5" customFormat="1" ht="15" hidden="1" x14ac:dyDescent="0.25">
      <c r="A314"/>
      <c r="B314"/>
      <c r="C314"/>
      <c r="D314"/>
      <c r="E314"/>
      <c r="F314"/>
      <c r="G314"/>
      <c r="H314"/>
      <c r="I314"/>
    </row>
    <row r="315" spans="1:9" s="5" customFormat="1" ht="15" hidden="1" x14ac:dyDescent="0.25">
      <c r="A315"/>
      <c r="B315"/>
      <c r="C315"/>
      <c r="D315"/>
      <c r="E315"/>
      <c r="F315"/>
      <c r="G315"/>
      <c r="H315"/>
      <c r="I315"/>
    </row>
    <row r="316" spans="1:9" s="5" customFormat="1" ht="15" hidden="1" x14ac:dyDescent="0.25">
      <c r="A316"/>
      <c r="B316"/>
      <c r="C316"/>
      <c r="D316"/>
      <c r="E316"/>
      <c r="F316"/>
      <c r="G316"/>
      <c r="H316"/>
      <c r="I316"/>
    </row>
    <row r="317" spans="1:9" ht="15" hidden="1" x14ac:dyDescent="0.25">
      <c r="A317"/>
      <c r="B317"/>
      <c r="C317"/>
      <c r="D317"/>
      <c r="E317"/>
      <c r="F317"/>
      <c r="G317"/>
      <c r="H317"/>
      <c r="I317"/>
    </row>
    <row r="318" spans="1:9" ht="15" x14ac:dyDescent="0.25">
      <c r="A318" s="96"/>
      <c r="B318" s="96"/>
      <c r="C318" s="96"/>
      <c r="D318" s="96"/>
      <c r="E318" s="96"/>
      <c r="F318" s="96"/>
      <c r="G318" s="96"/>
      <c r="H318" s="96"/>
      <c r="I318" s="96"/>
    </row>
    <row r="319" spans="1:9" ht="15" x14ac:dyDescent="0.25">
      <c r="A319" s="96"/>
      <c r="B319" s="96"/>
      <c r="C319" s="96"/>
      <c r="D319" s="96"/>
      <c r="E319" s="96"/>
      <c r="F319" s="96"/>
      <c r="G319" s="96"/>
      <c r="H319" s="96"/>
      <c r="I319" s="96"/>
    </row>
    <row r="320" spans="1:9" ht="15" x14ac:dyDescent="0.25">
      <c r="A320" s="96"/>
      <c r="B320" s="96"/>
      <c r="C320" s="96"/>
      <c r="D320" s="96"/>
      <c r="E320" s="96"/>
      <c r="F320" s="96"/>
      <c r="G320" s="96"/>
      <c r="H320" s="96"/>
      <c r="I320" s="96"/>
    </row>
    <row r="321" spans="1:9" ht="15" x14ac:dyDescent="0.25">
      <c r="A321" s="96"/>
      <c r="B321" s="96"/>
      <c r="C321" s="96"/>
      <c r="D321" s="96"/>
      <c r="E321" s="96"/>
      <c r="F321" s="96"/>
      <c r="G321" s="96"/>
      <c r="H321" s="96"/>
      <c r="I321" s="96"/>
    </row>
    <row r="322" spans="1:9" ht="15" x14ac:dyDescent="0.25">
      <c r="A322" s="96"/>
      <c r="B322" s="96"/>
      <c r="C322" s="96"/>
      <c r="D322" s="96"/>
      <c r="E322" s="96"/>
      <c r="F322" s="96"/>
      <c r="G322" s="96"/>
      <c r="H322" s="96"/>
      <c r="I322" s="96"/>
    </row>
    <row r="323" spans="1:9" ht="15" x14ac:dyDescent="0.25">
      <c r="A323" s="96"/>
      <c r="B323" s="96"/>
      <c r="C323" s="96"/>
      <c r="D323" s="96"/>
      <c r="E323" s="96"/>
      <c r="F323" s="96"/>
      <c r="G323" s="96"/>
      <c r="H323" s="96"/>
      <c r="I323" s="96"/>
    </row>
    <row r="324" spans="1:9" ht="15" x14ac:dyDescent="0.25">
      <c r="A324" s="96"/>
      <c r="B324" s="96"/>
      <c r="C324" s="96"/>
      <c r="D324" s="96"/>
      <c r="E324" s="96"/>
      <c r="F324" s="96"/>
      <c r="G324" s="96"/>
      <c r="H324" s="96"/>
      <c r="I324" s="96"/>
    </row>
    <row r="325" spans="1:9" ht="15" x14ac:dyDescent="0.25">
      <c r="A325" s="96"/>
      <c r="B325" s="96"/>
      <c r="C325" s="96"/>
      <c r="D325" s="96"/>
      <c r="E325" s="96"/>
      <c r="F325" s="96"/>
      <c r="G325" s="96"/>
      <c r="H325" s="96"/>
      <c r="I325" s="96"/>
    </row>
    <row r="326" spans="1:9" ht="15" x14ac:dyDescent="0.25">
      <c r="A326" s="96"/>
      <c r="B326" s="96"/>
      <c r="C326" s="96"/>
      <c r="D326" s="96"/>
      <c r="E326" s="96"/>
      <c r="F326" s="96"/>
      <c r="G326" s="96"/>
      <c r="H326" s="96"/>
      <c r="I326" s="96"/>
    </row>
    <row r="327" spans="1:9" ht="15" x14ac:dyDescent="0.25">
      <c r="A327" s="96"/>
      <c r="B327" s="96"/>
      <c r="C327" s="96"/>
      <c r="D327" s="96"/>
      <c r="E327" s="96"/>
      <c r="F327" s="96"/>
      <c r="G327" s="96"/>
      <c r="H327" s="96"/>
      <c r="I327" s="96"/>
    </row>
    <row r="328" spans="1:9" ht="15" x14ac:dyDescent="0.25">
      <c r="A328" s="96"/>
      <c r="B328" s="96"/>
      <c r="C328" s="96"/>
      <c r="D328" s="96"/>
      <c r="E328" s="96"/>
      <c r="F328" s="96"/>
      <c r="G328" s="96"/>
      <c r="H328" s="96"/>
      <c r="I328" s="96"/>
    </row>
    <row r="329" spans="1:9" ht="15" x14ac:dyDescent="0.25">
      <c r="A329" s="96"/>
      <c r="B329" s="96"/>
      <c r="C329" s="96"/>
      <c r="D329" s="96"/>
      <c r="E329" s="96"/>
      <c r="F329" s="96"/>
      <c r="G329" s="96"/>
      <c r="H329" s="96"/>
      <c r="I329" s="96"/>
    </row>
    <row r="330" spans="1:9" ht="15" x14ac:dyDescent="0.25">
      <c r="A330" s="96"/>
      <c r="B330" s="96"/>
      <c r="C330" s="96"/>
      <c r="D330" s="96"/>
      <c r="E330" s="96"/>
      <c r="F330" s="96"/>
      <c r="G330" s="96"/>
      <c r="H330" s="96"/>
      <c r="I330" s="96"/>
    </row>
    <row r="331" spans="1:9" ht="15" x14ac:dyDescent="0.25">
      <c r="A331" s="96"/>
      <c r="B331" s="96"/>
      <c r="C331" s="96"/>
      <c r="D331" s="96"/>
      <c r="E331" s="96"/>
      <c r="F331" s="96"/>
      <c r="G331" s="96"/>
      <c r="H331" s="96"/>
      <c r="I331" s="96"/>
    </row>
    <row r="332" spans="1:9" ht="15" x14ac:dyDescent="0.25">
      <c r="A332" s="96"/>
      <c r="B332" s="96"/>
      <c r="C332" s="96"/>
      <c r="D332" s="96"/>
      <c r="E332" s="96"/>
      <c r="F332" s="96"/>
      <c r="G332" s="96"/>
      <c r="H332" s="96"/>
      <c r="I332" s="96"/>
    </row>
    <row r="333" spans="1:9" ht="15" x14ac:dyDescent="0.25">
      <c r="A333" s="96"/>
      <c r="B333" s="96"/>
      <c r="C333" s="96"/>
      <c r="D333" s="96"/>
      <c r="E333" s="96"/>
      <c r="F333" s="96"/>
      <c r="G333" s="96"/>
      <c r="H333" s="96"/>
      <c r="I333" s="96"/>
    </row>
    <row r="334" spans="1:9" ht="15" x14ac:dyDescent="0.25">
      <c r="A334" s="96"/>
      <c r="B334" s="96"/>
      <c r="C334" s="96"/>
      <c r="D334" s="96"/>
      <c r="E334" s="96"/>
      <c r="F334" s="96"/>
      <c r="G334" s="96"/>
      <c r="H334" s="96"/>
      <c r="I334" s="96"/>
    </row>
    <row r="335" spans="1:9" ht="15" x14ac:dyDescent="0.25">
      <c r="A335" s="96"/>
      <c r="B335" s="96"/>
      <c r="C335" s="96"/>
      <c r="D335" s="96"/>
      <c r="E335" s="96"/>
      <c r="F335" s="96"/>
      <c r="G335" s="96"/>
      <c r="H335" s="96"/>
      <c r="I335" s="96"/>
    </row>
    <row r="336" spans="1:9" ht="15" x14ac:dyDescent="0.25">
      <c r="A336" s="96"/>
      <c r="B336" s="96"/>
      <c r="C336" s="96"/>
      <c r="D336" s="96"/>
      <c r="E336" s="96"/>
      <c r="F336" s="96"/>
      <c r="G336" s="96"/>
      <c r="H336" s="96"/>
      <c r="I336" s="96"/>
    </row>
    <row r="337" spans="1:9" ht="15" x14ac:dyDescent="0.25">
      <c r="A337" s="96"/>
      <c r="B337" s="96"/>
      <c r="C337" s="96"/>
      <c r="D337" s="96"/>
      <c r="E337" s="96"/>
      <c r="F337" s="96"/>
      <c r="G337" s="96"/>
      <c r="H337" s="96"/>
      <c r="I337" s="96"/>
    </row>
    <row r="338" spans="1:9" ht="15" x14ac:dyDescent="0.25">
      <c r="A338" s="96"/>
      <c r="B338" s="96"/>
      <c r="C338" s="96"/>
      <c r="D338" s="96"/>
      <c r="E338" s="96"/>
      <c r="F338" s="96"/>
      <c r="G338" s="96"/>
      <c r="H338" s="96"/>
      <c r="I338" s="96"/>
    </row>
    <row r="339" spans="1:9" ht="15" x14ac:dyDescent="0.25">
      <c r="A339" s="96"/>
      <c r="B339" s="96"/>
      <c r="C339" s="96"/>
      <c r="D339" s="96"/>
      <c r="E339" s="96"/>
      <c r="F339" s="96"/>
      <c r="G339" s="96"/>
      <c r="H339" s="96"/>
      <c r="I339" s="96"/>
    </row>
    <row r="340" spans="1:9" ht="15" x14ac:dyDescent="0.25">
      <c r="A340" s="96"/>
      <c r="B340" s="96"/>
      <c r="C340" s="96"/>
      <c r="D340" s="96"/>
      <c r="E340" s="96"/>
      <c r="F340" s="96"/>
      <c r="G340" s="96"/>
      <c r="H340" s="96"/>
      <c r="I340" s="96"/>
    </row>
    <row r="341" spans="1:9" ht="15" x14ac:dyDescent="0.25">
      <c r="A341" s="96"/>
      <c r="B341" s="96"/>
      <c r="C341" s="96"/>
      <c r="D341" s="96"/>
      <c r="E341" s="96"/>
      <c r="F341" s="96"/>
      <c r="G341" s="96"/>
      <c r="H341" s="96"/>
      <c r="I341" s="96"/>
    </row>
    <row r="342" spans="1:9" ht="15" x14ac:dyDescent="0.25">
      <c r="A342" s="96"/>
      <c r="B342" s="96"/>
      <c r="C342" s="96"/>
      <c r="D342" s="96"/>
      <c r="E342" s="96"/>
      <c r="F342" s="96"/>
      <c r="G342" s="96"/>
      <c r="H342" s="96"/>
      <c r="I342" s="96"/>
    </row>
    <row r="343" spans="1:9" ht="15" x14ac:dyDescent="0.25">
      <c r="A343" s="96"/>
      <c r="B343" s="96"/>
      <c r="C343" s="96"/>
      <c r="D343" s="96"/>
      <c r="E343" s="96"/>
      <c r="F343" s="96"/>
      <c r="G343" s="96"/>
      <c r="H343" s="96"/>
      <c r="I343" s="96"/>
    </row>
    <row r="344" spans="1:9" ht="15" x14ac:dyDescent="0.25">
      <c r="A344" s="96"/>
      <c r="B344" s="96"/>
      <c r="C344" s="96"/>
      <c r="D344" s="96"/>
      <c r="E344" s="96"/>
      <c r="F344" s="96"/>
      <c r="G344" s="96"/>
      <c r="H344" s="96"/>
      <c r="I344" s="96"/>
    </row>
    <row r="345" spans="1:9" ht="15" x14ac:dyDescent="0.25">
      <c r="A345" s="96"/>
      <c r="B345" s="96"/>
      <c r="C345" s="96"/>
      <c r="D345" s="96"/>
      <c r="E345" s="96"/>
      <c r="F345" s="96"/>
      <c r="G345" s="96"/>
      <c r="H345" s="96"/>
      <c r="I345" s="96"/>
    </row>
    <row r="346" spans="1:9" ht="15" x14ac:dyDescent="0.25">
      <c r="A346" s="96"/>
      <c r="B346" s="96"/>
      <c r="C346" s="96"/>
      <c r="D346" s="96"/>
      <c r="E346" s="96"/>
      <c r="F346" s="96"/>
      <c r="G346" s="96"/>
      <c r="H346" s="96"/>
      <c r="I346" s="96"/>
    </row>
  </sheetData>
  <autoFilter ref="A3:I317" xr:uid="{F7F44E2F-0633-42B7-8978-CE6606F45AA2}">
    <filterColumn colId="5">
      <customFilters>
        <customFilter operator="notEqual" val=" "/>
      </customFilters>
    </filterColumn>
    <sortState xmlns:xlrd2="http://schemas.microsoft.com/office/spreadsheetml/2017/richdata2" ref="A5:I37">
      <sortCondition ref="B3:B317"/>
    </sortState>
  </autoFilter>
  <mergeCells count="1">
    <mergeCell ref="A1:I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F5E42-3DE6-4781-81E9-F890CE6E17C7}">
  <sheetPr codeName="Sheet4" filterMode="1"/>
  <dimension ref="A1:J545"/>
  <sheetViews>
    <sheetView showZeros="0" zoomScaleNormal="100" workbookViewId="0">
      <pane ySplit="3" topLeftCell="A209" activePane="bottomLeft" state="frozen"/>
      <selection sqref="A1:I2"/>
      <selection pane="bottomLeft" activeCell="B7" sqref="B7"/>
    </sheetView>
  </sheetViews>
  <sheetFormatPr defaultColWidth="9.28515625" defaultRowHeight="13.5" x14ac:dyDescent="0.25"/>
  <cols>
    <col min="1" max="1" width="11.28515625" style="45" bestFit="1" customWidth="1"/>
    <col min="2" max="2" width="44.140625" style="45" bestFit="1" customWidth="1"/>
    <col min="3" max="3" width="12.28515625" style="46" bestFit="1" customWidth="1"/>
    <col min="4" max="4" width="10" style="46" bestFit="1" customWidth="1"/>
    <col min="5" max="5" width="11.140625" style="46" bestFit="1" customWidth="1"/>
    <col min="6" max="6" width="24.42578125" style="46" bestFit="1" customWidth="1"/>
    <col min="7" max="7" width="10" style="46" bestFit="1" customWidth="1"/>
    <col min="8" max="8" width="51" style="45" bestFit="1" customWidth="1"/>
    <col min="9" max="9" width="42.85546875" style="45" bestFit="1" customWidth="1"/>
    <col min="10" max="16384" width="9.28515625" style="45"/>
  </cols>
  <sheetData>
    <row r="1" spans="1:9" x14ac:dyDescent="0.25">
      <c r="A1" s="174" t="s">
        <v>503</v>
      </c>
      <c r="B1" s="178"/>
      <c r="C1" s="178"/>
      <c r="D1" s="178"/>
      <c r="E1" s="178"/>
      <c r="F1" s="178"/>
      <c r="G1" s="178"/>
      <c r="H1" s="178"/>
      <c r="I1" s="179"/>
    </row>
    <row r="2" spans="1:9" ht="14.25" thickBot="1" x14ac:dyDescent="0.3">
      <c r="A2" s="180"/>
      <c r="B2" s="180"/>
      <c r="C2" s="180"/>
      <c r="D2" s="180"/>
      <c r="E2" s="180"/>
      <c r="F2" s="180"/>
      <c r="G2" s="180"/>
      <c r="H2" s="180"/>
      <c r="I2" s="181"/>
    </row>
    <row r="3" spans="1:9" ht="15" x14ac:dyDescent="0.25">
      <c r="A3" s="25" t="s">
        <v>98</v>
      </c>
      <c r="B3" s="26" t="s">
        <v>99</v>
      </c>
      <c r="C3" s="26" t="s">
        <v>3</v>
      </c>
      <c r="D3" s="26" t="s">
        <v>4</v>
      </c>
      <c r="E3" s="26" t="s">
        <v>5</v>
      </c>
      <c r="F3" s="26" t="s">
        <v>100</v>
      </c>
      <c r="G3" s="26" t="s">
        <v>6</v>
      </c>
      <c r="H3" s="27" t="s">
        <v>101</v>
      </c>
      <c r="I3" s="28" t="s">
        <v>7</v>
      </c>
    </row>
    <row r="4" spans="1:9" ht="15" x14ac:dyDescent="0.25">
      <c r="A4" s="96" t="str">
        <f>Originals!A83</f>
        <v>2-Spencer</v>
      </c>
      <c r="B4" s="96" t="str">
        <f>Originals!B83</f>
        <v>Advanced Signal Processing Toolkit</v>
      </c>
      <c r="C4" s="96" t="str">
        <f>Originals!C83</f>
        <v>15.0.0</v>
      </c>
      <c r="D4" s="96" t="str">
        <f>Originals!D83</f>
        <v>32</v>
      </c>
      <c r="E4" s="96" t="str">
        <f>Originals!E83</f>
        <v>2015</v>
      </c>
      <c r="F4" s="96" t="str">
        <f>Originals!F83</f>
        <v>Development</v>
      </c>
      <c r="G4" s="96" t="str">
        <f>Originals!G83</f>
        <v>NI</v>
      </c>
      <c r="H4" s="96" t="str">
        <f>Originals!H83</f>
        <v>Advanced Signal Processing Toolkit 15.0.0</v>
      </c>
      <c r="I4" s="96" t="str">
        <f>Originals!I83</f>
        <v>NI Developer Suite 2015 DS2 Install</v>
      </c>
    </row>
    <row r="5" spans="1:9" ht="15" x14ac:dyDescent="0.25">
      <c r="A5" s="96" t="str">
        <f>Originals!A84</f>
        <v>2-Spencer</v>
      </c>
      <c r="B5" s="96" t="str">
        <f>Originals!B84</f>
        <v>C Series Module Support</v>
      </c>
      <c r="C5" s="96" t="str">
        <f>Originals!C84</f>
        <v>15.0.0</v>
      </c>
      <c r="D5" s="96" t="str">
        <f>Originals!D84</f>
        <v>32</v>
      </c>
      <c r="E5" s="96" t="str">
        <f>Originals!E84</f>
        <v>2015</v>
      </c>
      <c r="F5" s="96" t="str">
        <f>Originals!F84</f>
        <v>Development</v>
      </c>
      <c r="G5" s="96" t="str">
        <f>Originals!G84</f>
        <v>NI</v>
      </c>
      <c r="H5" s="96" t="str">
        <f>Originals!H84</f>
        <v>C Series Module Support 15.0.0</v>
      </c>
      <c r="I5" s="96" t="str">
        <f>Originals!I84</f>
        <v>NI Developer Suite 2015 DS2 Install</v>
      </c>
    </row>
    <row r="6" spans="1:9" ht="15" x14ac:dyDescent="0.25">
      <c r="A6" s="96" t="str">
        <f>Scott!A5</f>
        <v>3-Scott</v>
      </c>
      <c r="B6" s="96" t="str">
        <f>Scott!B5</f>
        <v>C Series Module Support</v>
      </c>
      <c r="C6" s="96" t="str">
        <f>Scott!C5</f>
        <v>18.1.0</v>
      </c>
      <c r="D6" s="96" t="str">
        <f>Scott!D5</f>
        <v>32</v>
      </c>
      <c r="E6" s="96" t="str">
        <f>Scott!E5</f>
        <v>2018</v>
      </c>
      <c r="F6" s="96" t="str">
        <f>Scott!F5</f>
        <v>Development</v>
      </c>
      <c r="G6" s="96" t="str">
        <f>Scott!G5</f>
        <v>NI</v>
      </c>
      <c r="H6" s="96" t="str">
        <f>Scott!H5</f>
        <v>C Series Module Support 18.1.0</v>
      </c>
      <c r="I6" s="96" t="str">
        <f>Scott!I5</f>
        <v>CompactRIO 18.1.0</v>
      </c>
    </row>
    <row r="7" spans="1:9" ht="15" x14ac:dyDescent="0.25">
      <c r="A7" s="96" t="str">
        <f>Originals!A166</f>
        <v>4-Vinnie</v>
      </c>
      <c r="B7" s="96" t="str">
        <f>Originals!B166</f>
        <v>C Series Module Support</v>
      </c>
      <c r="C7" s="96" t="str">
        <f>Originals!C166</f>
        <v>15.5.0</v>
      </c>
      <c r="D7" s="96" t="str">
        <f>Originals!D166</f>
        <v>32</v>
      </c>
      <c r="E7" s="96">
        <f>Originals!E166</f>
        <v>2015</v>
      </c>
      <c r="F7" s="96" t="str">
        <f>Originals!F166</f>
        <v>Development</v>
      </c>
      <c r="G7" s="96" t="str">
        <f>Originals!G166</f>
        <v>NI</v>
      </c>
      <c r="H7" s="96" t="str">
        <f>Originals!H166</f>
        <v>C Series Module Support 15.5.0</v>
      </c>
      <c r="I7" s="96">
        <f>Originals!I166</f>
        <v>0</v>
      </c>
    </row>
    <row r="8" spans="1:9" ht="15" x14ac:dyDescent="0.25">
      <c r="A8" s="96" t="str">
        <f>Originals!A167</f>
        <v>4-Vinnie</v>
      </c>
      <c r="B8" s="96" t="str">
        <f>Originals!B167</f>
        <v>Caraya Unit Test Framework</v>
      </c>
      <c r="C8" s="96" t="str">
        <f>Originals!C167</f>
        <v>0.6.3.54</v>
      </c>
      <c r="D8" s="96" t="str">
        <f>Originals!D167</f>
        <v>32</v>
      </c>
      <c r="E8" s="96" t="str">
        <f>Originals!E167</f>
        <v>N/A</v>
      </c>
      <c r="F8" s="96" t="str">
        <f>Originals!F167</f>
        <v>Development</v>
      </c>
      <c r="G8" s="96" t="str">
        <f>Originals!G167</f>
        <v>JKI</v>
      </c>
      <c r="H8" s="96" t="str">
        <f>Originals!H167</f>
        <v>Caraya Unit Test Framework 0.6.3.54</v>
      </c>
      <c r="I8" s="96" t="str">
        <f>Originals!I167</f>
        <v>VIPM Community</v>
      </c>
    </row>
    <row r="9" spans="1:9" ht="15" x14ac:dyDescent="0.25">
      <c r="A9" s="96" t="str">
        <f>Originals!A85</f>
        <v>2-Spencer</v>
      </c>
      <c r="B9" s="96" t="str">
        <f>Originals!B85</f>
        <v>CompactRIO</v>
      </c>
      <c r="C9" s="96" t="str">
        <f>Originals!C85</f>
        <v>15.0.0</v>
      </c>
      <c r="D9" s="96" t="str">
        <f>Originals!D85</f>
        <v>32</v>
      </c>
      <c r="E9" s="96" t="str">
        <f>Originals!E85</f>
        <v>2015</v>
      </c>
      <c r="F9" s="96" t="str">
        <f>Originals!F85</f>
        <v>Development</v>
      </c>
      <c r="G9" s="96" t="str">
        <f>Originals!G85</f>
        <v>NI</v>
      </c>
      <c r="H9" s="96" t="str">
        <f>Originals!H85</f>
        <v>CompactRIO 15.0.0</v>
      </c>
      <c r="I9" s="96" t="str">
        <f>Originals!I85</f>
        <v>NI Developer Suite 2015 DS2 Install</v>
      </c>
    </row>
    <row r="10" spans="1:9" ht="15" x14ac:dyDescent="0.25">
      <c r="A10" s="96" t="str">
        <f>Originals!A168</f>
        <v>4-Vinnie</v>
      </c>
      <c r="B10" s="96" t="str">
        <f>Originals!B168</f>
        <v>CompactRIO</v>
      </c>
      <c r="C10" s="96" t="str">
        <f>Originals!C168</f>
        <v>15.5.0</v>
      </c>
      <c r="D10" s="96" t="str">
        <f>Originals!D168</f>
        <v>32</v>
      </c>
      <c r="E10" s="96">
        <f>Originals!E168</f>
        <v>2015</v>
      </c>
      <c r="F10" s="96" t="str">
        <f>Originals!F168</f>
        <v>Development</v>
      </c>
      <c r="G10" s="96" t="str">
        <f>Originals!G168</f>
        <v>NI</v>
      </c>
      <c r="H10" s="96" t="str">
        <f>Originals!H168</f>
        <v>CompactRIO 15.5.0</v>
      </c>
      <c r="I10" s="96">
        <f>Originals!I168</f>
        <v>0</v>
      </c>
    </row>
    <row r="11" spans="1:9" ht="15" x14ac:dyDescent="0.25">
      <c r="A11" s="96" t="str">
        <f>Originals!A369</f>
        <v>5-Confluence</v>
      </c>
      <c r="B11" s="96" t="str">
        <f>Originals!B369</f>
        <v>CompactRIO</v>
      </c>
      <c r="C11" s="96" t="str">
        <f>Originals!C369</f>
        <v>18.1.0</v>
      </c>
      <c r="D11" s="96" t="str">
        <f>Originals!D369</f>
        <v>32</v>
      </c>
      <c r="E11" s="96" t="str">
        <f>Originals!E369</f>
        <v>2018</v>
      </c>
      <c r="F11" s="96" t="str">
        <f>Originals!F369</f>
        <v>Development</v>
      </c>
      <c r="G11" s="96" t="str">
        <f>Originals!G369</f>
        <v>NI</v>
      </c>
      <c r="H11" s="96" t="str">
        <f>Originals!H369</f>
        <v>CompactRIO 18.1.0</v>
      </c>
      <c r="I11" s="96" t="str">
        <f>Originals!I369</f>
        <v>CompactRIO 18.1.0</v>
      </c>
    </row>
    <row r="12" spans="1:9" ht="15" x14ac:dyDescent="0.25">
      <c r="A12" s="96" t="str">
        <f>Scott!A8</f>
        <v>3-Scott</v>
      </c>
      <c r="B12" s="96" t="str">
        <f>Scott!B8</f>
        <v>CVI</v>
      </c>
      <c r="C12" s="96" t="str">
        <f>Scott!C8</f>
        <v>15.0.0</v>
      </c>
      <c r="D12" s="96">
        <f>Scott!D8</f>
        <v>32</v>
      </c>
      <c r="E12" s="96">
        <f>Scott!E8</f>
        <v>2015</v>
      </c>
      <c r="F12" s="96" t="str">
        <f>Scott!F8</f>
        <v>Development</v>
      </c>
      <c r="G12" s="96" t="str">
        <f>Scott!G8</f>
        <v>NI</v>
      </c>
      <c r="H12" s="96" t="str">
        <f>Scott!H8</f>
        <v>CVI 15.0.0</v>
      </c>
      <c r="I12" s="96" t="str">
        <f>Scott!I8</f>
        <v>NI Developer Suite 2015 DS2 Install</v>
      </c>
    </row>
    <row r="13" spans="1:9" ht="15" x14ac:dyDescent="0.25">
      <c r="A13" s="96" t="str">
        <f>Scott!A10</f>
        <v>3-Scott</v>
      </c>
      <c r="B13" s="96" t="str">
        <f>Scott!B10</f>
        <v>CVI AddOns</v>
      </c>
      <c r="C13" s="96">
        <f>Scott!C10</f>
        <v>0</v>
      </c>
      <c r="D13" s="96">
        <f>Scott!D10</f>
        <v>32</v>
      </c>
      <c r="E13" s="96">
        <f>Scott!E10</f>
        <v>2015</v>
      </c>
      <c r="F13" s="96" t="str">
        <f>Scott!F10</f>
        <v>Development</v>
      </c>
      <c r="G13" s="96" t="str">
        <f>Scott!G10</f>
        <v>NI</v>
      </c>
      <c r="H13" s="96" t="str">
        <f>Scott!H10</f>
        <v xml:space="preserve">CVI AddOns </v>
      </c>
      <c r="I13" s="96" t="str">
        <f>Scott!I10</f>
        <v>NI Developer Suite 2015 DS2 Install</v>
      </c>
    </row>
    <row r="14" spans="1:9" ht="15" x14ac:dyDescent="0.25">
      <c r="A14" s="96" t="str">
        <f>Originals!A8</f>
        <v>1-Corey</v>
      </c>
      <c r="B14" s="96" t="str">
        <f>Originals!B8</f>
        <v>Database Connectivity Toolkit</v>
      </c>
      <c r="C14" s="96" t="str">
        <f>Originals!C8</f>
        <v>15.0.0</v>
      </c>
      <c r="D14" s="96" t="str">
        <f>Originals!D8</f>
        <v>32</v>
      </c>
      <c r="E14" s="96" t="str">
        <f>Originals!E8</f>
        <v>2015</v>
      </c>
      <c r="F14" s="96" t="str">
        <f>Originals!F8</f>
        <v>Development</v>
      </c>
      <c r="G14" s="96" t="str">
        <f>Originals!G8</f>
        <v>NI</v>
      </c>
      <c r="H14" s="96" t="str">
        <f>Originals!H8</f>
        <v>Database Connectivity Toolkit 15.0.0</v>
      </c>
      <c r="I14" s="96" t="str">
        <f>Originals!I8</f>
        <v>NI Developer Suite 2015 DS2 Install</v>
      </c>
    </row>
    <row r="15" spans="1:9" ht="15" x14ac:dyDescent="0.25">
      <c r="A15" s="96" t="str">
        <f>Originals!A9</f>
        <v>1-Corey</v>
      </c>
      <c r="B15" s="96" t="str">
        <f>Originals!B9</f>
        <v>DataFinder Toolkit</v>
      </c>
      <c r="C15" s="96" t="str">
        <f>Originals!C9</f>
        <v>15.0.06020</v>
      </c>
      <c r="D15" s="96" t="str">
        <f>Originals!D9</f>
        <v>32</v>
      </c>
      <c r="E15" s="96" t="str">
        <f>Originals!E9</f>
        <v>2015</v>
      </c>
      <c r="F15" s="96" t="str">
        <f>Originals!F9</f>
        <v>Development</v>
      </c>
      <c r="G15" s="96" t="str">
        <f>Originals!G9</f>
        <v>NI</v>
      </c>
      <c r="H15" s="96" t="str">
        <f>Originals!H9</f>
        <v>DataFinder Toolkit 15.0.06020</v>
      </c>
      <c r="I15" s="96" t="str">
        <f>Originals!I9</f>
        <v>NI Developer Suite 2015 DS2 Install</v>
      </c>
    </row>
    <row r="16" spans="1:9" ht="15" x14ac:dyDescent="0.25">
      <c r="A16" s="96" t="str">
        <f>Originals!A172</f>
        <v>4-Vinnie</v>
      </c>
      <c r="B16" s="96" t="str">
        <f>Originals!B172</f>
        <v>Delacor QMH</v>
      </c>
      <c r="C16" s="96" t="str">
        <f>Originals!C172</f>
        <v>4.0.0.28</v>
      </c>
      <c r="D16" s="96" t="str">
        <f>Originals!D172</f>
        <v>32</v>
      </c>
      <c r="E16" s="96" t="str">
        <f>Originals!E172</f>
        <v>N/A</v>
      </c>
      <c r="F16" s="96" t="str">
        <f>Originals!F172</f>
        <v>Development</v>
      </c>
      <c r="G16" s="96" t="str">
        <f>Originals!G172</f>
        <v>DQMH Consortium</v>
      </c>
      <c r="H16" s="96" t="str">
        <f>Originals!H172</f>
        <v>Delacor QMH 4.0.0.28</v>
      </c>
      <c r="I16" s="96" t="str">
        <f>Originals!I172</f>
        <v>VIPM Community</v>
      </c>
    </row>
    <row r="17" spans="1:9" ht="15" x14ac:dyDescent="0.25">
      <c r="A17" s="96" t="str">
        <f>Originals!A173</f>
        <v>4-Vinnie</v>
      </c>
      <c r="B17" s="96" t="str">
        <f>Originals!B173</f>
        <v>Delacor QMH Event Scripter</v>
      </c>
      <c r="C17" s="96" t="str">
        <f>Originals!C173</f>
        <v>4.0.0.68</v>
      </c>
      <c r="D17" s="96" t="str">
        <f>Originals!D173</f>
        <v>32</v>
      </c>
      <c r="E17" s="96" t="str">
        <f>Originals!E173</f>
        <v>N/A</v>
      </c>
      <c r="F17" s="96" t="str">
        <f>Originals!F173</f>
        <v>Development</v>
      </c>
      <c r="G17" s="96" t="str">
        <f>Originals!G173</f>
        <v>DQMH Consortium</v>
      </c>
      <c r="H17" s="96" t="str">
        <f>Originals!H173</f>
        <v>Delacor QMH Event Scripter 4.0.0.68</v>
      </c>
      <c r="I17" s="96" t="str">
        <f>Originals!I173</f>
        <v>VIPM Community</v>
      </c>
    </row>
    <row r="18" spans="1:9" ht="15" x14ac:dyDescent="0.25">
      <c r="A18" s="96" t="str">
        <f>Originals!A174</f>
        <v>4-Vinnie</v>
      </c>
      <c r="B18" s="96" t="str">
        <f>Originals!B174</f>
        <v>Delacor QMH Palette</v>
      </c>
      <c r="C18" s="96" t="str">
        <f>Originals!C174</f>
        <v>3.0.0.1</v>
      </c>
      <c r="D18" s="96" t="str">
        <f>Originals!D174</f>
        <v>32</v>
      </c>
      <c r="E18" s="96" t="str">
        <f>Originals!E174</f>
        <v>N/A</v>
      </c>
      <c r="F18" s="96" t="str">
        <f>Originals!F174</f>
        <v>Development</v>
      </c>
      <c r="G18" s="96" t="str">
        <f>Originals!G174</f>
        <v>DQMH Consortium</v>
      </c>
      <c r="H18" s="96" t="str">
        <f>Originals!H174</f>
        <v>Delacor QMH Palette 3.0.0.1</v>
      </c>
      <c r="I18" s="96" t="str">
        <f>Originals!I174</f>
        <v>VIPM Community</v>
      </c>
    </row>
    <row r="19" spans="1:9" ht="15" x14ac:dyDescent="0.25">
      <c r="A19" s="96" t="str">
        <f>Originals!A175</f>
        <v>4-Vinnie</v>
      </c>
      <c r="B19" s="96" t="str">
        <f>Originals!B175</f>
        <v>Delacor QMH Project Template</v>
      </c>
      <c r="C19" s="96" t="str">
        <f>Originals!C175</f>
        <v>4.0.0.47</v>
      </c>
      <c r="D19" s="96" t="str">
        <f>Originals!D175</f>
        <v>32</v>
      </c>
      <c r="E19" s="96" t="str">
        <f>Originals!E175</f>
        <v>N/A</v>
      </c>
      <c r="F19" s="96" t="str">
        <f>Originals!F175</f>
        <v>Development</v>
      </c>
      <c r="G19" s="96" t="str">
        <f>Originals!G175</f>
        <v>DQMH Consortium</v>
      </c>
      <c r="H19" s="96" t="str">
        <f>Originals!H175</f>
        <v>Delacor QMH Project Template 4.0.0.47</v>
      </c>
      <c r="I19" s="96" t="str">
        <f>Originals!I175</f>
        <v>VIPM Community</v>
      </c>
    </row>
    <row r="20" spans="1:9" ht="15" x14ac:dyDescent="0.25">
      <c r="A20" s="96" t="str">
        <f>Originals!A176</f>
        <v>4-Vinnie</v>
      </c>
      <c r="B20" s="96" t="str">
        <f>Originals!B176</f>
        <v>Delacor QMH Thermal Chamber Examples</v>
      </c>
      <c r="C20" s="96" t="str">
        <f>Originals!C176</f>
        <v>4.0.0.21</v>
      </c>
      <c r="D20" s="96" t="str">
        <f>Originals!D176</f>
        <v>32</v>
      </c>
      <c r="E20" s="96" t="str">
        <f>Originals!E176</f>
        <v>N/A</v>
      </c>
      <c r="F20" s="96" t="str">
        <f>Originals!F176</f>
        <v>Development</v>
      </c>
      <c r="G20" s="96" t="str">
        <f>Originals!G176</f>
        <v>DQMH Consortium</v>
      </c>
      <c r="H20" s="96" t="str">
        <f>Originals!H176</f>
        <v>Delacor QMH Thermal Chamber Examples 4.0.0.21</v>
      </c>
      <c r="I20" s="96" t="str">
        <f>Originals!I176</f>
        <v>VIPM Community</v>
      </c>
    </row>
    <row r="21" spans="1:9" ht="15" x14ac:dyDescent="0.25">
      <c r="A21" s="96" t="str">
        <f>Originals!A10</f>
        <v>1-Corey</v>
      </c>
      <c r="B21" s="96" t="str">
        <f>Originals!B10</f>
        <v>Digital Filter Design Toolkit</v>
      </c>
      <c r="C21" s="96" t="str">
        <f>Originals!C10</f>
        <v>15.0.0</v>
      </c>
      <c r="D21" s="96" t="str">
        <f>Originals!D10</f>
        <v>32</v>
      </c>
      <c r="E21" s="96" t="str">
        <f>Originals!E10</f>
        <v>2015</v>
      </c>
      <c r="F21" s="96" t="str">
        <f>Originals!F10</f>
        <v>Development</v>
      </c>
      <c r="G21" s="96" t="str">
        <f>Originals!G10</f>
        <v>NI</v>
      </c>
      <c r="H21" s="96" t="str">
        <f>Originals!H10</f>
        <v>Digital Filter Design Toolkit 15.0.0</v>
      </c>
      <c r="I21" s="96" t="str">
        <f>Originals!I10</f>
        <v>NI Developer Suite 2015 DS2 Install</v>
      </c>
    </row>
    <row r="22" spans="1:9" ht="15" x14ac:dyDescent="0.25">
      <c r="A22" s="96" t="str">
        <f>Originals!A177</f>
        <v>4-Vinnie</v>
      </c>
      <c r="B22" s="96" t="str">
        <f>Originals!B177</f>
        <v>DMC UX Toolkit</v>
      </c>
      <c r="C22" s="96" t="str">
        <f>Originals!C177</f>
        <v>1.0.0.2</v>
      </c>
      <c r="D22" s="96" t="str">
        <f>Originals!D177</f>
        <v>32</v>
      </c>
      <c r="E22" s="96" t="str">
        <f>Originals!E177</f>
        <v>N/A</v>
      </c>
      <c r="F22" s="96" t="str">
        <f>Originals!F177</f>
        <v>Development</v>
      </c>
      <c r="G22" s="96" t="str">
        <f>Originals!G177</f>
        <v>DMC</v>
      </c>
      <c r="H22" s="96" t="str">
        <f>Originals!H177</f>
        <v>DMC UX Toolkit 1.0.0.2</v>
      </c>
      <c r="I22" s="96" t="str">
        <f>Originals!I177</f>
        <v>VIPM Community</v>
      </c>
    </row>
    <row r="23" spans="1:9" ht="15" x14ac:dyDescent="0.25">
      <c r="A23" s="96" t="str">
        <f>Originals!A178</f>
        <v>4-Vinnie</v>
      </c>
      <c r="B23" s="96" t="str">
        <f>Originals!B178</f>
        <v>FieldPoint</v>
      </c>
      <c r="C23" s="96">
        <f>Originals!C178</f>
        <v>15</v>
      </c>
      <c r="D23" s="96" t="str">
        <f>Originals!D178</f>
        <v>32</v>
      </c>
      <c r="E23" s="96" t="str">
        <f>Originals!E178</f>
        <v>2015</v>
      </c>
      <c r="F23" s="96" t="str">
        <f>Originals!F178</f>
        <v>Development</v>
      </c>
      <c r="G23" s="96" t="str">
        <f>Originals!G178</f>
        <v>NI</v>
      </c>
      <c r="H23" s="96" t="str">
        <f>Originals!H178</f>
        <v>FieldPoint 15</v>
      </c>
      <c r="I23" s="96">
        <f>Originals!I178</f>
        <v>0</v>
      </c>
    </row>
    <row r="24" spans="1:9" ht="15" x14ac:dyDescent="0.25">
      <c r="A24" s="96" t="str">
        <f>Originals!A11</f>
        <v>1-Corey</v>
      </c>
      <c r="B24" s="96" t="str">
        <f>Originals!B11</f>
        <v>FlexRIO</v>
      </c>
      <c r="C24" s="96" t="str">
        <f>Originals!C11</f>
        <v xml:space="preserve">15.0.0f0 </v>
      </c>
      <c r="D24" s="96" t="str">
        <f>Originals!D11</f>
        <v>32</v>
      </c>
      <c r="E24" s="96" t="str">
        <f>Originals!E11</f>
        <v>2015</v>
      </c>
      <c r="F24" s="96" t="str">
        <f>Originals!F11</f>
        <v>Development</v>
      </c>
      <c r="G24" s="96" t="str">
        <f>Originals!G11</f>
        <v>NI</v>
      </c>
      <c r="H24" s="96" t="str">
        <f>Originals!H11</f>
        <v xml:space="preserve">FlexRIO 15.0.0f0 </v>
      </c>
      <c r="I24" s="96" t="str">
        <f>Originals!I11</f>
        <v>NI Developer Suite 2015 DS2 Install</v>
      </c>
    </row>
    <row r="25" spans="1:9" ht="15" x14ac:dyDescent="0.25">
      <c r="A25" s="96" t="str">
        <f>Originals!A90</f>
        <v>2-Spencer</v>
      </c>
      <c r="B25" s="96" t="str">
        <f>Originals!B90</f>
        <v>FlexRIO</v>
      </c>
      <c r="C25" s="96" t="str">
        <f>Originals!C90</f>
        <v>15.0.0f0</v>
      </c>
      <c r="D25" s="96" t="str">
        <f>Originals!D90</f>
        <v>32</v>
      </c>
      <c r="E25" s="96" t="str">
        <f>Originals!E90</f>
        <v>2015</v>
      </c>
      <c r="F25" s="96" t="str">
        <f>Originals!F90</f>
        <v>Development</v>
      </c>
      <c r="G25" s="96" t="str">
        <f>Originals!G90</f>
        <v>NI</v>
      </c>
      <c r="H25" s="96" t="str">
        <f>Originals!H90</f>
        <v>FlexRIO 15.0.0f0</v>
      </c>
      <c r="I25" s="96" t="str">
        <f>Originals!I90</f>
        <v>NI Developer Suite 2015 DS2 Install</v>
      </c>
    </row>
    <row r="26" spans="1:9" ht="15" x14ac:dyDescent="0.25">
      <c r="A26" s="96" t="str">
        <f>Originals!A179</f>
        <v>4-Vinnie</v>
      </c>
      <c r="B26" s="96" t="str">
        <f>Originals!B179</f>
        <v>FlexRIO</v>
      </c>
      <c r="C26" s="96" t="str">
        <f>Originals!C179</f>
        <v>15.5.0f0</v>
      </c>
      <c r="D26" s="96" t="str">
        <f>Originals!D179</f>
        <v>32</v>
      </c>
      <c r="E26" s="96">
        <f>Originals!E179</f>
        <v>2015</v>
      </c>
      <c r="F26" s="96" t="str">
        <f>Originals!F179</f>
        <v>Development</v>
      </c>
      <c r="G26" s="96" t="str">
        <f>Originals!G179</f>
        <v>NI</v>
      </c>
      <c r="H26" s="96" t="str">
        <f>Originals!H179</f>
        <v>FlexRIO 15.5.0f0</v>
      </c>
      <c r="I26" s="96">
        <f>Originals!I179</f>
        <v>0</v>
      </c>
    </row>
    <row r="27" spans="1:9" ht="15" x14ac:dyDescent="0.25">
      <c r="A27" s="96" t="str">
        <f>Originals!A180</f>
        <v>4-Vinnie</v>
      </c>
      <c r="B27" s="96" t="str">
        <f>Originals!B180</f>
        <v>FPGA</v>
      </c>
      <c r="C27" s="96" t="str">
        <f>Originals!C180</f>
        <v>15.0.1</v>
      </c>
      <c r="D27" s="96" t="str">
        <f>Originals!D180</f>
        <v>32</v>
      </c>
      <c r="E27" s="96">
        <f>Originals!E180</f>
        <v>2015</v>
      </c>
      <c r="F27" s="96" t="str">
        <f>Originals!F180</f>
        <v>Development</v>
      </c>
      <c r="G27" s="96" t="str">
        <f>Originals!G180</f>
        <v>NI</v>
      </c>
      <c r="H27" s="96" t="str">
        <f>Originals!H180</f>
        <v>FPGA 15.0.1</v>
      </c>
      <c r="I27" s="96">
        <f>Originals!I180</f>
        <v>0</v>
      </c>
    </row>
    <row r="28" spans="1:9" ht="15" x14ac:dyDescent="0.25">
      <c r="A28" s="96" t="str">
        <f>Scott!A21</f>
        <v>3-Scott</v>
      </c>
      <c r="B28" s="96" t="str">
        <f>Scott!B21</f>
        <v>GigE Vision Driver</v>
      </c>
      <c r="C28" s="96" t="str">
        <f>Scott!C21</f>
        <v>1.9.3.49152</v>
      </c>
      <c r="D28" s="96" t="str">
        <f>Scott!D21</f>
        <v>32</v>
      </c>
      <c r="E28" s="96" t="str">
        <f>Scott!E21</f>
        <v>2019</v>
      </c>
      <c r="F28" s="96" t="str">
        <f>Scott!F21</f>
        <v>Development</v>
      </c>
      <c r="G28" s="96" t="str">
        <f>Scott!G21</f>
        <v>NI</v>
      </c>
      <c r="H28" s="96" t="str">
        <f>Scott!H21</f>
        <v>GigE Vision Driver 2019 1.9.3.49152</v>
      </c>
      <c r="I28" s="96" t="str">
        <f>Scott!I21</f>
        <v>LabVIEW 2019</v>
      </c>
    </row>
    <row r="29" spans="1:9" ht="15" x14ac:dyDescent="0.25">
      <c r="A29" s="96" t="str">
        <f>Originals!A181</f>
        <v>4-Vinnie</v>
      </c>
      <c r="B29" s="96" t="str">
        <f>Originals!B181</f>
        <v>GPower All Toolsets</v>
      </c>
      <c r="C29" s="96" t="str">
        <f>Originals!C181</f>
        <v>2017.0.0.11</v>
      </c>
      <c r="D29" s="96" t="str">
        <f>Originals!D181</f>
        <v>32</v>
      </c>
      <c r="E29" s="96" t="str">
        <f>Originals!E181</f>
        <v>N/A</v>
      </c>
      <c r="F29" s="96" t="str">
        <f>Originals!F181</f>
        <v>Development</v>
      </c>
      <c r="G29" s="96" t="str">
        <f>Originals!G181</f>
        <v>GPower</v>
      </c>
      <c r="H29" s="96" t="str">
        <f>Originals!H181</f>
        <v>GPower All Toolsets 2017.0.0.11</v>
      </c>
      <c r="I29" s="96" t="str">
        <f>Originals!I181</f>
        <v>VIPM Community</v>
      </c>
    </row>
    <row r="30" spans="1:9" ht="15" x14ac:dyDescent="0.25">
      <c r="A30" s="96" t="str">
        <f>Originals!A182</f>
        <v>4-Vinnie</v>
      </c>
      <c r="B30" s="96" t="str">
        <f>Originals!B182</f>
        <v>GPower Array</v>
      </c>
      <c r="C30" s="96" t="str">
        <f>Originals!C182</f>
        <v>2016.2.0.27</v>
      </c>
      <c r="D30" s="96" t="str">
        <f>Originals!D182</f>
        <v>32</v>
      </c>
      <c r="E30" s="96" t="str">
        <f>Originals!E182</f>
        <v>N/A</v>
      </c>
      <c r="F30" s="96" t="str">
        <f>Originals!F182</f>
        <v>Development</v>
      </c>
      <c r="G30" s="96" t="str">
        <f>Originals!G182</f>
        <v>GPower</v>
      </c>
      <c r="H30" s="96" t="str">
        <f>Originals!H182</f>
        <v>GPower Array 2016.2.0.27</v>
      </c>
      <c r="I30" s="96" t="str">
        <f>Originals!I182</f>
        <v>VIPM Community</v>
      </c>
    </row>
    <row r="31" spans="1:9" ht="15" x14ac:dyDescent="0.25">
      <c r="A31" s="96" t="str">
        <f>Originals!A183</f>
        <v>4-Vinnie</v>
      </c>
      <c r="B31" s="96" t="str">
        <f>Originals!B183</f>
        <v>Gpower Array Library</v>
      </c>
      <c r="C31" s="96" t="str">
        <f>Originals!C183</f>
        <v>2016.2.0.27</v>
      </c>
      <c r="D31" s="96" t="str">
        <f>Originals!D183</f>
        <v>32</v>
      </c>
      <c r="E31" s="96" t="str">
        <f>Originals!E183</f>
        <v>2016</v>
      </c>
      <c r="F31" s="96" t="str">
        <f>Originals!F183</f>
        <v>Development</v>
      </c>
      <c r="G31" s="96" t="str">
        <f>Originals!G183</f>
        <v>Gpower</v>
      </c>
      <c r="H31" s="96" t="str">
        <f>Originals!H183</f>
        <v>Gpower Array Library 2016.2.0.27</v>
      </c>
      <c r="I31" s="96" t="str">
        <f>Originals!I183</f>
        <v>VIPM Community</v>
      </c>
    </row>
    <row r="32" spans="1:9" ht="15" x14ac:dyDescent="0.25">
      <c r="A32" s="96" t="str">
        <f>Originals!A184</f>
        <v>4-Vinnie</v>
      </c>
      <c r="B32" s="96" t="str">
        <f>Originals!B184</f>
        <v>GPower Comparison</v>
      </c>
      <c r="C32" s="96" t="str">
        <f>Originals!C184</f>
        <v>2016.0.0.4</v>
      </c>
      <c r="D32" s="96" t="str">
        <f>Originals!D184</f>
        <v>32</v>
      </c>
      <c r="E32" s="96" t="str">
        <f>Originals!E184</f>
        <v>N/A</v>
      </c>
      <c r="F32" s="96" t="str">
        <f>Originals!F184</f>
        <v>Development</v>
      </c>
      <c r="G32" s="96" t="str">
        <f>Originals!G184</f>
        <v>GPower</v>
      </c>
      <c r="H32" s="96" t="str">
        <f>Originals!H184</f>
        <v>GPower Comparison 2016.0.0.4</v>
      </c>
      <c r="I32" s="96" t="str">
        <f>Originals!I184</f>
        <v>VIPM Community</v>
      </c>
    </row>
    <row r="33" spans="1:9" ht="15" x14ac:dyDescent="0.25">
      <c r="A33" s="96" t="str">
        <f>Originals!A185</f>
        <v>4-Vinnie</v>
      </c>
      <c r="B33" s="96" t="str">
        <f>Originals!B185</f>
        <v>GPower Error &amp; Warning</v>
      </c>
      <c r="C33" s="96" t="str">
        <f>Originals!C185</f>
        <v>2014.0.0.38</v>
      </c>
      <c r="D33" s="96" t="str">
        <f>Originals!D185</f>
        <v>32</v>
      </c>
      <c r="E33" s="96" t="str">
        <f>Originals!E185</f>
        <v>N/A</v>
      </c>
      <c r="F33" s="96" t="str">
        <f>Originals!F185</f>
        <v>Development</v>
      </c>
      <c r="G33" s="96" t="str">
        <f>Originals!G185</f>
        <v>GPower</v>
      </c>
      <c r="H33" s="96" t="str">
        <f>Originals!H185</f>
        <v>GPower Error &amp; Warning 2014.0.0.38</v>
      </c>
      <c r="I33" s="96" t="str">
        <f>Originals!I185</f>
        <v>VIPM Community</v>
      </c>
    </row>
    <row r="34" spans="1:9" ht="15" x14ac:dyDescent="0.25">
      <c r="A34" s="96" t="str">
        <f>Originals!A186</f>
        <v>4-Vinnie</v>
      </c>
      <c r="B34" s="96" t="str">
        <f>Originals!B186</f>
        <v>GPower Events</v>
      </c>
      <c r="C34" s="96" t="str">
        <f>Originals!C186</f>
        <v>2012.0.0.7</v>
      </c>
      <c r="D34" s="96" t="str">
        <f>Originals!D186</f>
        <v>32</v>
      </c>
      <c r="E34" s="96" t="str">
        <f>Originals!E186</f>
        <v>N/A</v>
      </c>
      <c r="F34" s="96" t="str">
        <f>Originals!F186</f>
        <v>Development</v>
      </c>
      <c r="G34" s="96" t="str">
        <f>Originals!G186</f>
        <v>GPower</v>
      </c>
      <c r="H34" s="96" t="str">
        <f>Originals!H186</f>
        <v>GPower Events 2012.0.0.7</v>
      </c>
      <c r="I34" s="96" t="str">
        <f>Originals!I186</f>
        <v>VIPM Community</v>
      </c>
    </row>
    <row r="35" spans="1:9" ht="15" x14ac:dyDescent="0.25">
      <c r="A35" s="96" t="str">
        <f>Originals!A187</f>
        <v>4-Vinnie</v>
      </c>
      <c r="B35" s="96" t="str">
        <f>Originals!B187</f>
        <v>GPower Math</v>
      </c>
      <c r="C35" s="96" t="str">
        <f>Originals!C187</f>
        <v>2012.1.0.6</v>
      </c>
      <c r="D35" s="96" t="str">
        <f>Originals!D187</f>
        <v>32</v>
      </c>
      <c r="E35" s="96" t="str">
        <f>Originals!E187</f>
        <v>N/A</v>
      </c>
      <c r="F35" s="96" t="str">
        <f>Originals!F187</f>
        <v>Development</v>
      </c>
      <c r="G35" s="96" t="str">
        <f>Originals!G187</f>
        <v>GPower</v>
      </c>
      <c r="H35" s="96" t="str">
        <f>Originals!H187</f>
        <v>GPower Math 2012.1.0.6</v>
      </c>
      <c r="I35" s="96" t="str">
        <f>Originals!I187</f>
        <v>VIPM Community</v>
      </c>
    </row>
    <row r="36" spans="1:9" ht="15" x14ac:dyDescent="0.25">
      <c r="A36" s="96" t="str">
        <f>Originals!A188</f>
        <v>4-Vinnie</v>
      </c>
      <c r="B36" s="96" t="str">
        <f>Originals!B188</f>
        <v>GPower Numeric</v>
      </c>
      <c r="C36" s="96" t="str">
        <f>Originals!C188</f>
        <v>2016.2.0.14</v>
      </c>
      <c r="D36" s="96" t="str">
        <f>Originals!D188</f>
        <v>32</v>
      </c>
      <c r="E36" s="96" t="str">
        <f>Originals!E188</f>
        <v>N/A</v>
      </c>
      <c r="F36" s="96" t="str">
        <f>Originals!F188</f>
        <v>Development</v>
      </c>
      <c r="G36" s="96" t="str">
        <f>Originals!G188</f>
        <v>GPower</v>
      </c>
      <c r="H36" s="96" t="str">
        <f>Originals!H188</f>
        <v>GPower Numeric 2016.2.0.14</v>
      </c>
      <c r="I36" s="96" t="str">
        <f>Originals!I188</f>
        <v>VIPM Community</v>
      </c>
    </row>
    <row r="37" spans="1:9" ht="15" x14ac:dyDescent="0.25">
      <c r="A37" s="96" t="str">
        <f>Originals!A189</f>
        <v>4-Vinnie</v>
      </c>
      <c r="B37" s="96" t="str">
        <f>Originals!B189</f>
        <v>GPower Overflow</v>
      </c>
      <c r="C37" s="96" t="str">
        <f>Originals!C189</f>
        <v>2014.0.0.4</v>
      </c>
      <c r="D37" s="96" t="str">
        <f>Originals!D189</f>
        <v>32</v>
      </c>
      <c r="E37" s="96" t="str">
        <f>Originals!E189</f>
        <v>N/A</v>
      </c>
      <c r="F37" s="96" t="str">
        <f>Originals!F189</f>
        <v>Development</v>
      </c>
      <c r="G37" s="96" t="str">
        <f>Originals!G189</f>
        <v>GPower</v>
      </c>
      <c r="H37" s="96" t="str">
        <f>Originals!H189</f>
        <v>GPower Overflow 2014.0.0.4</v>
      </c>
      <c r="I37" s="96" t="str">
        <f>Originals!I189</f>
        <v>VIPM Community</v>
      </c>
    </row>
    <row r="38" spans="1:9" ht="15" x14ac:dyDescent="0.25">
      <c r="A38" s="96" t="str">
        <f>Originals!A190</f>
        <v>4-Vinnie</v>
      </c>
      <c r="B38" s="96" t="str">
        <f>Originals!B190</f>
        <v>GPower String</v>
      </c>
      <c r="C38" s="96" t="str">
        <f>Originals!C190</f>
        <v>2016.1.0.11</v>
      </c>
      <c r="D38" s="96" t="str">
        <f>Originals!D190</f>
        <v>32</v>
      </c>
      <c r="E38" s="96" t="str">
        <f>Originals!E190</f>
        <v>N/A</v>
      </c>
      <c r="F38" s="96" t="str">
        <f>Originals!F190</f>
        <v>Development</v>
      </c>
      <c r="G38" s="96" t="str">
        <f>Originals!G190</f>
        <v>GPower</v>
      </c>
      <c r="H38" s="96" t="str">
        <f>Originals!H190</f>
        <v>GPower String 2016.1.0.11</v>
      </c>
      <c r="I38" s="96" t="str">
        <f>Originals!I190</f>
        <v>VIPM Community</v>
      </c>
    </row>
    <row r="39" spans="1:9" ht="15" x14ac:dyDescent="0.25">
      <c r="A39" s="96" t="str">
        <f>Originals!A191</f>
        <v>4-Vinnie</v>
      </c>
      <c r="B39" s="96" t="str">
        <f>Originals!B191</f>
        <v>GPower Timing</v>
      </c>
      <c r="C39" s="96" t="str">
        <f>Originals!C191</f>
        <v>2017.0.0.26</v>
      </c>
      <c r="D39" s="96" t="str">
        <f>Originals!D191</f>
        <v>32</v>
      </c>
      <c r="E39" s="96" t="str">
        <f>Originals!E191</f>
        <v>N/A</v>
      </c>
      <c r="F39" s="96" t="str">
        <f>Originals!F191</f>
        <v>Development</v>
      </c>
      <c r="G39" s="96" t="str">
        <f>Originals!G191</f>
        <v>GPower</v>
      </c>
      <c r="H39" s="96" t="str">
        <f>Originals!H191</f>
        <v>GPower Timing 2017.0.0.26</v>
      </c>
      <c r="I39" s="96" t="str">
        <f>Originals!I191</f>
        <v>VIPM Community</v>
      </c>
    </row>
    <row r="40" spans="1:9" ht="15" x14ac:dyDescent="0.25">
      <c r="A40" s="96" t="str">
        <f>Originals!A192</f>
        <v>4-Vinnie</v>
      </c>
      <c r="B40" s="96" t="str">
        <f>Originals!B192</f>
        <v>GPower VI Launcher</v>
      </c>
      <c r="C40" s="96" t="str">
        <f>Originals!C192</f>
        <v>2012.2.0.26</v>
      </c>
      <c r="D40" s="96" t="str">
        <f>Originals!D192</f>
        <v>32</v>
      </c>
      <c r="E40" s="96" t="str">
        <f>Originals!E192</f>
        <v>N/A</v>
      </c>
      <c r="F40" s="96" t="str">
        <f>Originals!F192</f>
        <v>Development</v>
      </c>
      <c r="G40" s="96" t="str">
        <f>Originals!G192</f>
        <v>GPower</v>
      </c>
      <c r="H40" s="96" t="str">
        <f>Originals!H192</f>
        <v>GPower VI Launcher 2012.2.0.26</v>
      </c>
      <c r="I40" s="96" t="str">
        <f>Originals!I192</f>
        <v>VIPM Community</v>
      </c>
    </row>
    <row r="41" spans="1:9" ht="15" x14ac:dyDescent="0.25">
      <c r="A41" s="96" t="str">
        <f>Originals!A193</f>
        <v>4-Vinnie</v>
      </c>
      <c r="B41" s="96" t="str">
        <f>Originals!B193</f>
        <v>GPower VI Register</v>
      </c>
      <c r="C41" s="96" t="str">
        <f>Originals!C193</f>
        <v>2016.0.0.31</v>
      </c>
      <c r="D41" s="96" t="str">
        <f>Originals!D193</f>
        <v>32</v>
      </c>
      <c r="E41" s="96" t="str">
        <f>Originals!E193</f>
        <v>N/A</v>
      </c>
      <c r="F41" s="96" t="str">
        <f>Originals!F193</f>
        <v>Development</v>
      </c>
      <c r="G41" s="96" t="str">
        <f>Originals!G193</f>
        <v>GPower</v>
      </c>
      <c r="H41" s="96" t="str">
        <f>Originals!H193</f>
        <v>GPower VI Register 2016.0.0.31</v>
      </c>
      <c r="I41" s="96" t="str">
        <f>Originals!I193</f>
        <v>VIPM Community</v>
      </c>
    </row>
    <row r="42" spans="1:9" ht="15" x14ac:dyDescent="0.25">
      <c r="A42" s="96" t="str">
        <f>Originals!A197</f>
        <v>4-Vinnie</v>
      </c>
      <c r="B42" s="96" t="str">
        <f>Originals!B197</f>
        <v>Image Processing and Machine Vision</v>
      </c>
      <c r="C42" s="96" t="str">
        <f>Originals!C197</f>
        <v>19.5.0.49152</v>
      </c>
      <c r="D42" s="96" t="str">
        <f>Originals!D197</f>
        <v>32</v>
      </c>
      <c r="E42" s="96" t="str">
        <f>Originals!E197</f>
        <v>2019</v>
      </c>
      <c r="F42" s="96" t="str">
        <f>Originals!F197</f>
        <v>Development</v>
      </c>
      <c r="G42" s="96" t="str">
        <f>Originals!G197</f>
        <v>NI</v>
      </c>
      <c r="H42" s="96" t="str">
        <f>Originals!H197</f>
        <v>Image Processing and Machine Vision 19.5.0.49152</v>
      </c>
      <c r="I42" s="96" t="str">
        <f>Originals!I197</f>
        <v>LabVIEW 2019</v>
      </c>
    </row>
    <row r="43" spans="1:9" ht="15" x14ac:dyDescent="0.25">
      <c r="A43" s="96" t="str">
        <f>Originals!A198</f>
        <v>4-Vinnie</v>
      </c>
      <c r="B43" s="96" t="str">
        <f>Originals!B198</f>
        <v>Image Services</v>
      </c>
      <c r="C43" s="96" t="str">
        <f>Originals!C198</f>
        <v>19.5.0.49152</v>
      </c>
      <c r="D43" s="96" t="str">
        <f>Originals!D198</f>
        <v>32</v>
      </c>
      <c r="E43" s="96" t="str">
        <f>Originals!E198</f>
        <v>2019</v>
      </c>
      <c r="F43" s="96" t="str">
        <f>Originals!F198</f>
        <v>Development</v>
      </c>
      <c r="G43" s="96" t="str">
        <f>Originals!G198</f>
        <v>NI</v>
      </c>
      <c r="H43" s="96" t="str">
        <f>Originals!H198</f>
        <v>Image Services 19.5.0.49152</v>
      </c>
      <c r="I43" s="96" t="str">
        <f>Originals!I198</f>
        <v>LabVIEW 2019</v>
      </c>
    </row>
    <row r="44" spans="1:9" ht="15" x14ac:dyDescent="0.25">
      <c r="A44" s="96" t="str">
        <f>Originals!A12</f>
        <v>1-Corey</v>
      </c>
      <c r="B44" s="96" t="str">
        <f>Originals!B12</f>
        <v>IVI Compliance Package</v>
      </c>
      <c r="C44" s="96" t="str">
        <f>Originals!C12</f>
        <v>15.0</v>
      </c>
      <c r="D44" s="96" t="str">
        <f>Originals!D12</f>
        <v>32</v>
      </c>
      <c r="E44" s="96" t="str">
        <f>Originals!E12</f>
        <v>2015</v>
      </c>
      <c r="F44" s="96" t="str">
        <f>Originals!F12</f>
        <v>Development</v>
      </c>
      <c r="G44" s="96" t="str">
        <f>Originals!G12</f>
        <v>NI</v>
      </c>
      <c r="H44" s="96" t="str">
        <f>Originals!H12</f>
        <v>IVI Compliance Package 15.0</v>
      </c>
      <c r="I44" s="96" t="str">
        <f>Originals!I12</f>
        <v>NI Developer Suite 2015 DS2 Install</v>
      </c>
    </row>
    <row r="45" spans="1:9" ht="15" x14ac:dyDescent="0.25">
      <c r="A45" s="96" t="str">
        <f>Originals!A199</f>
        <v>4-Vinnie</v>
      </c>
      <c r="B45" s="96" t="str">
        <f>Originals!B199</f>
        <v>IVI Driver Toolset</v>
      </c>
      <c r="C45" s="96">
        <f>Originals!C199</f>
        <v>1.5</v>
      </c>
      <c r="D45" s="96" t="str">
        <f>Originals!D199</f>
        <v>32</v>
      </c>
      <c r="E45" s="96" t="str">
        <f>Originals!E199</f>
        <v>N/A</v>
      </c>
      <c r="F45" s="96" t="str">
        <f>Originals!F199</f>
        <v>Development</v>
      </c>
      <c r="G45" s="96" t="str">
        <f>Originals!G199</f>
        <v>NI</v>
      </c>
      <c r="H45" s="96" t="str">
        <f>Originals!H199</f>
        <v>IVI Driver Toolset 1.5</v>
      </c>
      <c r="I45" s="96">
        <f>Originals!I199</f>
        <v>0</v>
      </c>
    </row>
    <row r="46" spans="1:9" ht="15" x14ac:dyDescent="0.25">
      <c r="A46" s="96" t="str">
        <f>Originals!A200</f>
        <v>4-Vinnie</v>
      </c>
      <c r="B46" s="96" t="str">
        <f>Originals!B200</f>
        <v>IVI Engine</v>
      </c>
      <c r="C46" s="96" t="str">
        <f>Originals!C200</f>
        <v>15.0.0.f0</v>
      </c>
      <c r="D46" s="96" t="str">
        <f>Originals!D200</f>
        <v>32</v>
      </c>
      <c r="E46" s="96">
        <f>Originals!E200</f>
        <v>2015</v>
      </c>
      <c r="F46" s="96" t="str">
        <f>Originals!F200</f>
        <v>Development</v>
      </c>
      <c r="G46" s="96" t="str">
        <f>Originals!G200</f>
        <v>NI</v>
      </c>
      <c r="H46" s="96" t="str">
        <f>Originals!H200</f>
        <v>IVI Engine 15.0.0.f0</v>
      </c>
      <c r="I46" s="96">
        <f>Originals!I200</f>
        <v>0</v>
      </c>
    </row>
    <row r="47" spans="1:9" ht="15" x14ac:dyDescent="0.25">
      <c r="A47" s="96" t="str">
        <f>Originals!A201</f>
        <v>4-Vinnie</v>
      </c>
      <c r="B47" s="96" t="str">
        <f>Originals!B201</f>
        <v>JKI State Machine</v>
      </c>
      <c r="C47" s="96" t="str">
        <f>Originals!C201</f>
        <v>3.0.0.8</v>
      </c>
      <c r="D47" s="96" t="str">
        <f>Originals!D201</f>
        <v>32</v>
      </c>
      <c r="E47" s="96" t="str">
        <f>Originals!E201</f>
        <v>N/A</v>
      </c>
      <c r="F47" s="96" t="str">
        <f>Originals!F201</f>
        <v>Development</v>
      </c>
      <c r="G47" s="96" t="str">
        <f>Originals!G201</f>
        <v>JKI</v>
      </c>
      <c r="H47" s="96" t="str">
        <f>Originals!H201</f>
        <v>JKI State Machine 3.0.0.8</v>
      </c>
      <c r="I47" s="96" t="str">
        <f>Originals!I201</f>
        <v>VIPM Community</v>
      </c>
    </row>
    <row r="48" spans="1:9" ht="15" x14ac:dyDescent="0.25">
      <c r="A48" s="96" t="str">
        <f>Originals!A202</f>
        <v>4-Vinnie</v>
      </c>
      <c r="B48" s="96" t="str">
        <f>Originals!B202</f>
        <v>JKI State Machine Editor</v>
      </c>
      <c r="C48" s="96" t="str">
        <f>Originals!C202</f>
        <v>2013.6.3.239</v>
      </c>
      <c r="D48" s="96" t="str">
        <f>Originals!D202</f>
        <v>32</v>
      </c>
      <c r="E48" s="96" t="str">
        <f>Originals!E202</f>
        <v>N/A</v>
      </c>
      <c r="F48" s="96" t="str">
        <f>Originals!F202</f>
        <v>Development</v>
      </c>
      <c r="G48" s="96" t="str">
        <f>Originals!G202</f>
        <v>JKI</v>
      </c>
      <c r="H48" s="96" t="str">
        <f>Originals!H202</f>
        <v>JKI State Machine Editor 2013.6.3.239</v>
      </c>
      <c r="I48" s="96" t="str">
        <f>Originals!I202</f>
        <v>VIPM Community</v>
      </c>
    </row>
    <row r="49" spans="1:9" ht="15" x14ac:dyDescent="0.25">
      <c r="A49" s="96" t="str">
        <f>Originals!A203</f>
        <v>4-Vinnie</v>
      </c>
      <c r="B49" s="96" t="str">
        <f>Originals!B203</f>
        <v>JKI State Machine Objects (SMO)</v>
      </c>
      <c r="C49" s="96" t="str">
        <f>Originals!C203</f>
        <v>1.3.0.56</v>
      </c>
      <c r="D49" s="96" t="str">
        <f>Originals!D203</f>
        <v>32</v>
      </c>
      <c r="E49" s="96" t="str">
        <f>Originals!E203</f>
        <v>N/A</v>
      </c>
      <c r="F49" s="96" t="str">
        <f>Originals!F203</f>
        <v>Development</v>
      </c>
      <c r="G49" s="96" t="str">
        <f>Originals!G203</f>
        <v>JKI</v>
      </c>
      <c r="H49" s="96" t="str">
        <f>Originals!H203</f>
        <v>JKI State Machine Objects (SMO) 1.3.0.56</v>
      </c>
      <c r="I49" s="96" t="str">
        <f>Originals!I203</f>
        <v>VIPM Community</v>
      </c>
    </row>
    <row r="50" spans="1:9" ht="15" x14ac:dyDescent="0.25">
      <c r="A50" s="96" t="str">
        <f>Originals!A204</f>
        <v>4-Vinnie</v>
      </c>
      <c r="B50" s="96" t="str">
        <f>Originals!B204</f>
        <v>JKI VIPM</v>
      </c>
      <c r="C50" s="96">
        <f>Originals!C204</f>
        <v>0</v>
      </c>
      <c r="D50" s="96">
        <f>Originals!D204</f>
        <v>0</v>
      </c>
      <c r="E50" s="96" t="str">
        <f>Originals!E204</f>
        <v>N/A</v>
      </c>
      <c r="F50" s="96" t="str">
        <f>Originals!F204</f>
        <v>Development</v>
      </c>
      <c r="G50" s="96" t="str">
        <f>Originals!G204</f>
        <v>NI</v>
      </c>
      <c r="H50" s="96" t="str">
        <f>Originals!H204</f>
        <v xml:space="preserve">JKI VIPM </v>
      </c>
      <c r="I50" s="96" t="str">
        <f>Originals!I204</f>
        <v>vipm-22.0.2371-windows-setup</v>
      </c>
    </row>
    <row r="51" spans="1:9" ht="15" x14ac:dyDescent="0.25">
      <c r="A51" s="96" t="str">
        <f>Originals!A205</f>
        <v>4-Vinnie</v>
      </c>
      <c r="B51" s="96" t="str">
        <f>Originals!B205</f>
        <v>jki_rsc_toolkits_palette</v>
      </c>
      <c r="C51" s="96" t="str">
        <f>Originals!C205</f>
        <v>1.1-1</v>
      </c>
      <c r="D51" s="96" t="str">
        <f>Originals!D205</f>
        <v>32</v>
      </c>
      <c r="E51" s="96" t="str">
        <f>Originals!E205</f>
        <v>N/A</v>
      </c>
      <c r="F51" s="96" t="str">
        <f>Originals!F205</f>
        <v>Development</v>
      </c>
      <c r="G51" s="96" t="str">
        <f>Originals!G205</f>
        <v>JKI Software</v>
      </c>
      <c r="H51" s="96" t="str">
        <f>Originals!H205</f>
        <v>jki_rsc_toolkits_palette 1.1-1</v>
      </c>
      <c r="I51" s="96" t="str">
        <f>Originals!I205</f>
        <v>VIPM Community</v>
      </c>
    </row>
    <row r="52" spans="1:9" ht="15" x14ac:dyDescent="0.25">
      <c r="A52" s="96" t="str">
        <f>Originals!A13</f>
        <v>1-Corey</v>
      </c>
      <c r="B52" s="96" t="str">
        <f>Originals!B13</f>
        <v>LabVIEW</v>
      </c>
      <c r="C52" s="96" t="str">
        <f>Originals!C13</f>
        <v>15.0.1</v>
      </c>
      <c r="D52" s="96" t="str">
        <f>Originals!D13</f>
        <v>32</v>
      </c>
      <c r="E52" s="96" t="str">
        <f>Originals!E13</f>
        <v>2015 SP1 f10</v>
      </c>
      <c r="F52" s="96" t="str">
        <f>Originals!F13</f>
        <v>Development</v>
      </c>
      <c r="G52" s="96" t="str">
        <f>Originals!G13</f>
        <v>NI</v>
      </c>
      <c r="H52" s="96" t="str">
        <f>Originals!H13</f>
        <v>LabVIEW 2015 SP1 f10 15.0.1</v>
      </c>
      <c r="I52" s="96" t="str">
        <f>Originals!I13</f>
        <v>2015 SP1 Update Service</v>
      </c>
    </row>
    <row r="53" spans="1:9" ht="15" x14ac:dyDescent="0.25">
      <c r="A53" s="96" t="str">
        <f>Scott!A42</f>
        <v>3-Scott</v>
      </c>
      <c r="B53" s="96" t="str">
        <f>Scott!B42</f>
        <v>LabVIEW</v>
      </c>
      <c r="C53" s="96" t="str">
        <f>Scott!C42</f>
        <v>15.0.0</v>
      </c>
      <c r="D53" s="96">
        <f>Scott!D42</f>
        <v>64</v>
      </c>
      <c r="E53" s="96">
        <f>Scott!E42</f>
        <v>2015</v>
      </c>
      <c r="F53" s="96" t="str">
        <f>Scott!F42</f>
        <v>Development</v>
      </c>
      <c r="G53" s="96" t="str">
        <f>Scott!G42</f>
        <v>NI</v>
      </c>
      <c r="H53" s="96" t="str">
        <f>Scott!H42</f>
        <v>LabVIEW 2015 15.0.0</v>
      </c>
      <c r="I53" s="96" t="str">
        <f>Scott!I42</f>
        <v>NI Developer Suite 2015 DS2 Install</v>
      </c>
    </row>
    <row r="54" spans="1:9" ht="15" x14ac:dyDescent="0.25">
      <c r="A54" s="96" t="str">
        <f>Originals!A212</f>
        <v>4-Vinnie</v>
      </c>
      <c r="B54" s="96" t="str">
        <f>Originals!B212</f>
        <v>LabVIEW</v>
      </c>
      <c r="C54" s="96" t="str">
        <f>Originals!C212</f>
        <v>15</v>
      </c>
      <c r="D54" s="96" t="str">
        <f>Originals!D212</f>
        <v>32</v>
      </c>
      <c r="E54" s="96" t="str">
        <f>Originals!E212</f>
        <v>2015 SP1 f7</v>
      </c>
      <c r="F54" s="96" t="str">
        <f>Originals!F212</f>
        <v>Development</v>
      </c>
      <c r="G54" s="96" t="str">
        <f>Originals!G212</f>
        <v>NI</v>
      </c>
      <c r="H54" s="96" t="str">
        <f>Originals!H212</f>
        <v>LabVIEW 2015 SP1 f7 15</v>
      </c>
      <c r="I54" s="96">
        <f>Originals!I212</f>
        <v>0</v>
      </c>
    </row>
    <row r="55" spans="1:9" ht="15" x14ac:dyDescent="0.25">
      <c r="A55" s="96" t="str">
        <f>Originals!A213</f>
        <v>4-Vinnie</v>
      </c>
      <c r="B55" s="96" t="str">
        <f>Originals!B213</f>
        <v>LabVIEW</v>
      </c>
      <c r="C55" s="96" t="str">
        <f>Originals!C213</f>
        <v>15.0.1</v>
      </c>
      <c r="D55" s="96" t="str">
        <f>Originals!D213</f>
        <v>32</v>
      </c>
      <c r="E55" s="96" t="str">
        <f>Originals!E213</f>
        <v>2015</v>
      </c>
      <c r="F55" s="96" t="str">
        <f>Originals!F213</f>
        <v>Development</v>
      </c>
      <c r="G55" s="96" t="str">
        <f>Originals!G213</f>
        <v>NI</v>
      </c>
      <c r="H55" s="96" t="str">
        <f>Originals!H213</f>
        <v>LabVIEW 2015 15.0.1</v>
      </c>
      <c r="I55" s="96" t="str">
        <f>Originals!I213</f>
        <v>LabVIEW 2015 SP1</v>
      </c>
    </row>
    <row r="56" spans="1:9" ht="15" x14ac:dyDescent="0.25">
      <c r="A56" s="96" t="str">
        <f>Scott!A208</f>
        <v>3-Scott</v>
      </c>
      <c r="B56" s="96" t="str">
        <f>Scott!B208</f>
        <v>LabVIEW Interface</v>
      </c>
      <c r="C56" s="96">
        <f>Scott!C208</f>
        <v>15</v>
      </c>
      <c r="D56" s="96">
        <f>Scott!D208</f>
        <v>32</v>
      </c>
      <c r="E56" s="96">
        <f>Scott!E208</f>
        <v>2015</v>
      </c>
      <c r="F56" s="96" t="str">
        <f>Scott!F208</f>
        <v>Development</v>
      </c>
      <c r="G56" s="96" t="str">
        <f>Scott!G208</f>
        <v>NI</v>
      </c>
      <c r="H56" s="96" t="str">
        <f>Scott!H208</f>
        <v>LabVIEW Interface 15</v>
      </c>
      <c r="I56" s="96" t="str">
        <f>Scott!I208</f>
        <v>NI FieldPoint 15.0</v>
      </c>
    </row>
    <row r="57" spans="1:9" ht="15" x14ac:dyDescent="0.25">
      <c r="A57" s="96" t="str">
        <f>Originals!A216</f>
        <v>4-Vinnie</v>
      </c>
      <c r="B57" s="96" t="str">
        <f>Originals!B216</f>
        <v>LAVA Palette</v>
      </c>
      <c r="C57" s="96" t="str">
        <f>Originals!C216</f>
        <v>1.0.0.1</v>
      </c>
      <c r="D57" s="96" t="str">
        <f>Originals!D216</f>
        <v>32</v>
      </c>
      <c r="E57" s="96" t="str">
        <f>Originals!E216</f>
        <v>N/A</v>
      </c>
      <c r="F57" s="96" t="str">
        <f>Originals!F216</f>
        <v>Development</v>
      </c>
      <c r="G57" s="96" t="str">
        <f>Originals!G216</f>
        <v>LAVA</v>
      </c>
      <c r="H57" s="96" t="str">
        <f>Originals!H216</f>
        <v>LAVA Palette 1.0.0.1</v>
      </c>
      <c r="I57" s="96" t="str">
        <f>Originals!I216</f>
        <v>VIPM Community</v>
      </c>
    </row>
    <row r="58" spans="1:9" ht="15" x14ac:dyDescent="0.25">
      <c r="A58" s="96" t="str">
        <f>Originals!A21</f>
        <v>1-Corey</v>
      </c>
      <c r="B58" s="96" t="str">
        <f>Originals!B21</f>
        <v>MathScript RT Module</v>
      </c>
      <c r="C58" s="96" t="str">
        <f>Originals!C21</f>
        <v>15.0.0</v>
      </c>
      <c r="D58" s="96" t="str">
        <f>Originals!D21</f>
        <v>32</v>
      </c>
      <c r="E58" s="96" t="str">
        <f>Originals!E21</f>
        <v>2015</v>
      </c>
      <c r="F58" s="96" t="str">
        <f>Originals!F21</f>
        <v>Development</v>
      </c>
      <c r="G58" s="96" t="str">
        <f>Originals!G21</f>
        <v>NI</v>
      </c>
      <c r="H58" s="96" t="str">
        <f>Originals!H21</f>
        <v>MathScript RT Module 15.0.0</v>
      </c>
      <c r="I58" s="96" t="str">
        <f>Originals!I21</f>
        <v>NI Developer Suite 2015 DS2 Install</v>
      </c>
    </row>
    <row r="59" spans="1:9" ht="15" x14ac:dyDescent="0.25">
      <c r="A59" s="96" t="str">
        <f>Originals!A22</f>
        <v>1-Corey</v>
      </c>
      <c r="B59" s="96" t="str">
        <f>Originals!B22</f>
        <v>Measurement &amp; Automation Explorer</v>
      </c>
      <c r="C59" s="96" t="str">
        <f>Originals!C22</f>
        <v>15.3.0f0</v>
      </c>
      <c r="D59" s="96" t="str">
        <f>Originals!D22</f>
        <v>32</v>
      </c>
      <c r="E59" s="96" t="str">
        <f>Originals!E22</f>
        <v>2015</v>
      </c>
      <c r="F59" s="96" t="str">
        <f>Originals!F22</f>
        <v>Development</v>
      </c>
      <c r="G59" s="96" t="str">
        <f>Originals!G22</f>
        <v>NI</v>
      </c>
      <c r="H59" s="96" t="str">
        <f>Originals!H22</f>
        <v>Measurement &amp; Automation Explorer 15.3.0f0</v>
      </c>
      <c r="I59" s="96" t="str">
        <f>Originals!I22</f>
        <v>LabVIEW 2015 SP1</v>
      </c>
    </row>
    <row r="60" spans="1:9" ht="15" x14ac:dyDescent="0.25">
      <c r="A60" s="96" t="str">
        <f>Scott!A56</f>
        <v>3-Scott</v>
      </c>
      <c r="B60" s="96" t="str">
        <f>Scott!B56</f>
        <v>Measurement &amp; Automation Explorer</v>
      </c>
      <c r="C60" s="96" t="str">
        <f>Scott!C56</f>
        <v>18.0.0f0</v>
      </c>
      <c r="D60" s="96" t="str">
        <f>Scott!D56</f>
        <v>32</v>
      </c>
      <c r="E60" s="96" t="str">
        <f>Scott!E56</f>
        <v>2018</v>
      </c>
      <c r="F60" s="96" t="str">
        <f>Scott!F56</f>
        <v>Development</v>
      </c>
      <c r="G60" s="96" t="str">
        <f>Scott!G56</f>
        <v>NI</v>
      </c>
      <c r="H60" s="96" t="str">
        <f>Scott!H56</f>
        <v>Measurement &amp; Automation Explorer 18.0.0f0</v>
      </c>
      <c r="I60" s="96" t="str">
        <f>Scott!I56</f>
        <v>CompactRIO 18.1.0</v>
      </c>
    </row>
    <row r="61" spans="1:9" ht="15" x14ac:dyDescent="0.25">
      <c r="A61" s="96" t="str">
        <f>Originals!A217</f>
        <v>4-Vinnie</v>
      </c>
      <c r="B61" s="96" t="str">
        <f>Originals!B217</f>
        <v>Measurement &amp; Automation Explorer</v>
      </c>
      <c r="C61" s="96" t="str">
        <f>Originals!C217</f>
        <v>19.5.0f0</v>
      </c>
      <c r="D61" s="96" t="str">
        <f>Originals!D217</f>
        <v>32</v>
      </c>
      <c r="E61" s="96" t="str">
        <f>Originals!E217</f>
        <v>2019</v>
      </c>
      <c r="F61" s="96" t="str">
        <f>Originals!F217</f>
        <v>Development</v>
      </c>
      <c r="G61" s="96" t="str">
        <f>Originals!G217</f>
        <v>NI</v>
      </c>
      <c r="H61" s="96" t="str">
        <f>Originals!H217</f>
        <v>Measurement &amp; Automation Explorer 19.5.0f0</v>
      </c>
      <c r="I61" s="96">
        <f>Originals!I217</f>
        <v>0</v>
      </c>
    </row>
    <row r="62" spans="1:9" ht="15" x14ac:dyDescent="0.25">
      <c r="A62" s="96" t="str">
        <f>Originals!A379</f>
        <v>5-Confluence</v>
      </c>
      <c r="B62" s="96" t="str">
        <f>Originals!B379</f>
        <v>Measurement &amp; Automation Explorer</v>
      </c>
      <c r="C62" s="96" t="str">
        <f>Originals!C379</f>
        <v>18.0</v>
      </c>
      <c r="D62" s="96" t="str">
        <f>Originals!D379</f>
        <v>32</v>
      </c>
      <c r="E62" s="96" t="str">
        <f>Originals!E379</f>
        <v>2018</v>
      </c>
      <c r="F62" s="96" t="str">
        <f>Originals!F379</f>
        <v>Development</v>
      </c>
      <c r="G62" s="96" t="str">
        <f>Originals!G379</f>
        <v>NI</v>
      </c>
      <c r="H62" s="96" t="str">
        <f>Originals!H379</f>
        <v>Measurement &amp; Automation Explorer 18.0</v>
      </c>
      <c r="I62" s="96" t="str">
        <f>Originals!I379</f>
        <v>CompactRIO 18.1.0</v>
      </c>
    </row>
    <row r="63" spans="1:9" ht="15" x14ac:dyDescent="0.25">
      <c r="A63" s="96" t="str">
        <f>Originals!A23</f>
        <v>1-Corey</v>
      </c>
      <c r="B63" s="96" t="str">
        <f>Originals!B23</f>
        <v>Measurement Studio</v>
      </c>
      <c r="C63" s="96">
        <f>Originals!C23</f>
        <v>0</v>
      </c>
      <c r="D63" s="96" t="str">
        <f>Originals!D23</f>
        <v>32</v>
      </c>
      <c r="E63" s="96" t="str">
        <f>Originals!E23</f>
        <v>2010</v>
      </c>
      <c r="F63" s="96" t="str">
        <f>Originals!F23</f>
        <v>Development</v>
      </c>
      <c r="G63" s="96" t="str">
        <f>Originals!G23</f>
        <v>NI</v>
      </c>
      <c r="H63" s="96" t="str">
        <f>Originals!H23</f>
        <v xml:space="preserve">Measurement Studio </v>
      </c>
      <c r="I63" s="96" t="str">
        <f>Originals!I23</f>
        <v>NI Developer Suite 2015 DS2 Install</v>
      </c>
    </row>
    <row r="64" spans="1:9" ht="15" x14ac:dyDescent="0.25">
      <c r="A64" s="96" t="str">
        <f>Originals!A24</f>
        <v>1-Corey</v>
      </c>
      <c r="B64" s="96" t="str">
        <f>Originals!B24</f>
        <v>Measurement Studio Common</v>
      </c>
      <c r="C64" s="96" t="str">
        <f>Originals!C24</f>
        <v>15.0.40.49154</v>
      </c>
      <c r="D64" s="96" t="str">
        <f>Originals!D24</f>
        <v>32</v>
      </c>
      <c r="E64" s="96" t="str">
        <f>Originals!E24</f>
        <v>2015</v>
      </c>
      <c r="F64" s="96" t="str">
        <f>Originals!F24</f>
        <v>Development</v>
      </c>
      <c r="G64" s="96" t="str">
        <f>Originals!G24</f>
        <v>NI</v>
      </c>
      <c r="H64" s="96" t="str">
        <f>Originals!H24</f>
        <v>Measurement Studio Common 15.0.40.49154</v>
      </c>
      <c r="I64" s="96" t="str">
        <f>Originals!I24</f>
        <v>NI Developer Suite 2015 DS2 Install</v>
      </c>
    </row>
    <row r="65" spans="1:9" ht="15" x14ac:dyDescent="0.25">
      <c r="A65" s="96" t="str">
        <f>Originals!A102</f>
        <v>2-Spencer</v>
      </c>
      <c r="B65" s="96" t="str">
        <f>Originals!B102</f>
        <v>Measurement Studio Common</v>
      </c>
      <c r="C65" s="96" t="str">
        <f>Originals!C102</f>
        <v>15.1.40.49152</v>
      </c>
      <c r="D65" s="96" t="str">
        <f>Originals!D102</f>
        <v>32</v>
      </c>
      <c r="E65" s="96" t="str">
        <f>Originals!E102</f>
        <v>2015</v>
      </c>
      <c r="F65" s="96" t="str">
        <f>Originals!F102</f>
        <v>Development</v>
      </c>
      <c r="G65" s="96" t="str">
        <f>Originals!G102</f>
        <v>NI</v>
      </c>
      <c r="H65" s="96" t="str">
        <f>Originals!H102</f>
        <v>Measurement Studio Common 15.1.40.49152</v>
      </c>
      <c r="I65" s="96">
        <f>Originals!I102</f>
        <v>0</v>
      </c>
    </row>
    <row r="66" spans="1:9" ht="15" x14ac:dyDescent="0.25">
      <c r="A66" s="96" t="str">
        <f>Originals!A221</f>
        <v>4-Vinnie</v>
      </c>
      <c r="B66" s="96" t="str">
        <f>Originals!B221</f>
        <v>Measurement Studio Common</v>
      </c>
      <c r="C66" s="96" t="str">
        <f>Originals!C221</f>
        <v>12.0.20.258</v>
      </c>
      <c r="D66" s="96" t="str">
        <f>Originals!D221</f>
        <v>32</v>
      </c>
      <c r="E66" s="96" t="str">
        <f>Originals!E221</f>
        <v>2005</v>
      </c>
      <c r="F66" s="96" t="str">
        <f>Originals!F221</f>
        <v>Development</v>
      </c>
      <c r="G66" s="96" t="str">
        <f>Originals!G221</f>
        <v>NI</v>
      </c>
      <c r="H66" s="96" t="str">
        <f>Originals!H221</f>
        <v>Measurement Studio Common 12.0.20.258</v>
      </c>
      <c r="I66" s="96">
        <f>Originals!I221</f>
        <v>0</v>
      </c>
    </row>
    <row r="67" spans="1:9" ht="15" x14ac:dyDescent="0.25">
      <c r="A67" s="96" t="str">
        <f>Originals!A222</f>
        <v>4-Vinnie</v>
      </c>
      <c r="B67" s="96" t="str">
        <f>Originals!B222</f>
        <v>Measurement Studio Common</v>
      </c>
      <c r="C67" s="96" t="str">
        <f>Originals!C222</f>
        <v>13.5.35.173</v>
      </c>
      <c r="D67" s="96" t="str">
        <f>Originals!D222</f>
        <v>32</v>
      </c>
      <c r="E67" s="96" t="str">
        <f>Originals!E222</f>
        <v>2018</v>
      </c>
      <c r="F67" s="96" t="str">
        <f>Originals!F222</f>
        <v>Development</v>
      </c>
      <c r="G67" s="96" t="str">
        <f>Originals!G222</f>
        <v>NI</v>
      </c>
      <c r="H67" s="96" t="str">
        <f>Originals!H222</f>
        <v>Measurement Studio Common 13.5.35.173</v>
      </c>
      <c r="I67" s="96">
        <f>Originals!I222</f>
        <v>0</v>
      </c>
    </row>
    <row r="68" spans="1:9" ht="15" x14ac:dyDescent="0.25">
      <c r="A68" s="96" t="str">
        <f>Originals!A26</f>
        <v>1-Corey</v>
      </c>
      <c r="B68" s="96" t="str">
        <f>Originals!B26</f>
        <v>Measurement Studio DotNET</v>
      </c>
      <c r="C68" s="96">
        <f>Originals!C26</f>
        <v>0</v>
      </c>
      <c r="D68" s="96" t="str">
        <f>Originals!D26</f>
        <v>32</v>
      </c>
      <c r="E68" s="96" t="str">
        <f>Originals!E26</f>
        <v>2010</v>
      </c>
      <c r="F68" s="96" t="str">
        <f>Originals!F26</f>
        <v>Development</v>
      </c>
      <c r="G68" s="96" t="str">
        <f>Originals!G26</f>
        <v>NI</v>
      </c>
      <c r="H68" s="96" t="str">
        <f>Originals!H26</f>
        <v xml:space="preserve">Measurement Studio DotNET </v>
      </c>
      <c r="I68" s="96" t="str">
        <f>Originals!I26</f>
        <v>NI Developer Suite 2015 DS2 Install</v>
      </c>
    </row>
    <row r="69" spans="1:9" ht="15" x14ac:dyDescent="0.25">
      <c r="A69" s="96" t="str">
        <f>Originals!A229</f>
        <v>4-Vinnie</v>
      </c>
      <c r="B69" s="96" t="str">
        <f>Originals!B229</f>
        <v>Measurement Studio Vision</v>
      </c>
      <c r="C69" s="96">
        <f>Originals!C229</f>
        <v>0</v>
      </c>
      <c r="D69" s="96" t="str">
        <f>Originals!D229</f>
        <v>32</v>
      </c>
      <c r="E69" s="96" t="str">
        <f>Originals!E229</f>
        <v>2005</v>
      </c>
      <c r="F69" s="96" t="str">
        <f>Originals!F229</f>
        <v>Development</v>
      </c>
      <c r="G69" s="96" t="str">
        <f>Originals!G229</f>
        <v>NI</v>
      </c>
      <c r="H69" s="96" t="str">
        <f>Originals!H229</f>
        <v xml:space="preserve">Measurement Studio Vision </v>
      </c>
      <c r="I69" s="96">
        <f>Originals!I229</f>
        <v>0</v>
      </c>
    </row>
    <row r="70" spans="1:9" ht="15" x14ac:dyDescent="0.25">
      <c r="A70" s="96" t="str">
        <f>Originals!A231</f>
        <v>4-Vinnie</v>
      </c>
      <c r="B70" s="96" t="str">
        <f>Originals!B231</f>
        <v>MGI 1D Array</v>
      </c>
      <c r="C70" s="96" t="str">
        <f>Originals!C231</f>
        <v>1.0.2.3</v>
      </c>
      <c r="D70" s="96" t="str">
        <f>Originals!D231</f>
        <v>32</v>
      </c>
      <c r="E70" s="96" t="str">
        <f>Originals!E231</f>
        <v>N/A</v>
      </c>
      <c r="F70" s="96" t="str">
        <f>Originals!F231</f>
        <v>Development</v>
      </c>
      <c r="G70" s="96" t="str">
        <f>Originals!G231</f>
        <v>MGI</v>
      </c>
      <c r="H70" s="96" t="str">
        <f>Originals!H231</f>
        <v>MGI 1D Array 1.0.2.3</v>
      </c>
      <c r="I70" s="96" t="str">
        <f>Originals!I231</f>
        <v>VIPM Community</v>
      </c>
    </row>
    <row r="71" spans="1:9" ht="15" x14ac:dyDescent="0.25">
      <c r="A71" s="96" t="str">
        <f>Originals!A232</f>
        <v>4-Vinnie</v>
      </c>
      <c r="B71" s="96" t="str">
        <f>Originals!B232</f>
        <v>MGI 2D Array</v>
      </c>
      <c r="C71" s="96" t="str">
        <f>Originals!C232</f>
        <v>1.1.1.5</v>
      </c>
      <c r="D71" s="96" t="str">
        <f>Originals!D232</f>
        <v>32</v>
      </c>
      <c r="E71" s="96" t="str">
        <f>Originals!E232</f>
        <v>N/A</v>
      </c>
      <c r="F71" s="96" t="str">
        <f>Originals!F232</f>
        <v>Development</v>
      </c>
      <c r="G71" s="96" t="str">
        <f>Originals!G232</f>
        <v>MGI</v>
      </c>
      <c r="H71" s="96" t="str">
        <f>Originals!H232</f>
        <v>MGI 2D Array 1.1.1.5</v>
      </c>
      <c r="I71" s="96" t="str">
        <f>Originals!I232</f>
        <v>VIPM Community</v>
      </c>
    </row>
    <row r="72" spans="1:9" ht="15" x14ac:dyDescent="0.25">
      <c r="A72" s="96" t="str">
        <f>Originals!A233</f>
        <v>4-Vinnie</v>
      </c>
      <c r="B72" s="96" t="str">
        <f>Originals!B233</f>
        <v>MGI Actor Framework Message Maker</v>
      </c>
      <c r="C72" s="96" t="str">
        <f>Originals!C233</f>
        <v>1.0.1.6</v>
      </c>
      <c r="D72" s="96" t="str">
        <f>Originals!D233</f>
        <v>32</v>
      </c>
      <c r="E72" s="96" t="str">
        <f>Originals!E233</f>
        <v>N/A</v>
      </c>
      <c r="F72" s="96" t="str">
        <f>Originals!F233</f>
        <v>Development</v>
      </c>
      <c r="G72" s="96" t="str">
        <f>Originals!G233</f>
        <v>MGI</v>
      </c>
      <c r="H72" s="96" t="str">
        <f>Originals!H233</f>
        <v>MGI Actor Framework Message Maker 1.0.1.6</v>
      </c>
      <c r="I72" s="96" t="str">
        <f>Originals!I233</f>
        <v>VIPM Community</v>
      </c>
    </row>
    <row r="73" spans="1:9" ht="15" x14ac:dyDescent="0.25">
      <c r="A73" s="96" t="str">
        <f>Originals!A234</f>
        <v>4-Vinnie</v>
      </c>
      <c r="B73" s="96" t="str">
        <f>Originals!B234</f>
        <v>MGI Application Control</v>
      </c>
      <c r="C73" s="96" t="str">
        <f>Originals!C234</f>
        <v>1.1.1.10</v>
      </c>
      <c r="D73" s="96" t="str">
        <f>Originals!D234</f>
        <v>32</v>
      </c>
      <c r="E73" s="96" t="str">
        <f>Originals!E234</f>
        <v>N/A</v>
      </c>
      <c r="F73" s="96" t="str">
        <f>Originals!F234</f>
        <v>Development</v>
      </c>
      <c r="G73" s="96" t="str">
        <f>Originals!G234</f>
        <v>MGI</v>
      </c>
      <c r="H73" s="96" t="str">
        <f>Originals!H234</f>
        <v>MGI Application Control 1.1.1.10</v>
      </c>
      <c r="I73" s="96" t="str">
        <f>Originals!I234</f>
        <v>VIPM Community</v>
      </c>
    </row>
    <row r="74" spans="1:9" ht="15" x14ac:dyDescent="0.25">
      <c r="A74" s="96" t="str">
        <f>Originals!A235</f>
        <v>4-Vinnie</v>
      </c>
      <c r="B74" s="96" t="str">
        <f>Originals!B235</f>
        <v>MGI Bezier</v>
      </c>
      <c r="C74" s="96" t="str">
        <f>Originals!C235</f>
        <v>1.1.1.2</v>
      </c>
      <c r="D74" s="96" t="str">
        <f>Originals!D235</f>
        <v>32</v>
      </c>
      <c r="E74" s="96" t="str">
        <f>Originals!E235</f>
        <v>N/A</v>
      </c>
      <c r="F74" s="96" t="str">
        <f>Originals!F235</f>
        <v>Development</v>
      </c>
      <c r="G74" s="96" t="str">
        <f>Originals!G235</f>
        <v>MGI</v>
      </c>
      <c r="H74" s="96" t="str">
        <f>Originals!H235</f>
        <v>MGI Bezier 1.1.1.2</v>
      </c>
      <c r="I74" s="96" t="str">
        <f>Originals!I235</f>
        <v>VIPM Community</v>
      </c>
    </row>
    <row r="75" spans="1:9" ht="15" x14ac:dyDescent="0.25">
      <c r="A75" s="96" t="str">
        <f>Originals!A236</f>
        <v>4-Vinnie</v>
      </c>
      <c r="B75" s="96" t="str">
        <f>Originals!B236</f>
        <v>MGI Boolean</v>
      </c>
      <c r="C75" s="96" t="str">
        <f>Originals!C236</f>
        <v>1.0.1.3</v>
      </c>
      <c r="D75" s="96" t="str">
        <f>Originals!D236</f>
        <v>32</v>
      </c>
      <c r="E75" s="96" t="str">
        <f>Originals!E236</f>
        <v>N/A</v>
      </c>
      <c r="F75" s="96" t="str">
        <f>Originals!F236</f>
        <v>Development</v>
      </c>
      <c r="G75" s="96" t="str">
        <f>Originals!G236</f>
        <v>MGI</v>
      </c>
      <c r="H75" s="96" t="str">
        <f>Originals!H236</f>
        <v>MGI Boolean 1.0.1.3</v>
      </c>
      <c r="I75" s="96" t="str">
        <f>Originals!I236</f>
        <v>VIPM Community</v>
      </c>
    </row>
    <row r="76" spans="1:9" ht="15" x14ac:dyDescent="0.25">
      <c r="A76" s="96" t="str">
        <f>Originals!A237</f>
        <v>4-Vinnie</v>
      </c>
      <c r="B76" s="96" t="str">
        <f>Originals!B237</f>
        <v>MGI Class Method Browser</v>
      </c>
      <c r="C76" s="96" t="str">
        <f>Originals!C237</f>
        <v>1.0.0.20</v>
      </c>
      <c r="D76" s="96" t="str">
        <f>Originals!D237</f>
        <v>32</v>
      </c>
      <c r="E76" s="96" t="str">
        <f>Originals!E237</f>
        <v>N/A</v>
      </c>
      <c r="F76" s="96" t="str">
        <f>Originals!F237</f>
        <v>Development</v>
      </c>
      <c r="G76" s="96" t="str">
        <f>Originals!G237</f>
        <v>MGI</v>
      </c>
      <c r="H76" s="96" t="str">
        <f>Originals!H237</f>
        <v>MGI Class Method Browser 1.0.0.20</v>
      </c>
      <c r="I76" s="96" t="str">
        <f>Originals!I237</f>
        <v>VIPM Community</v>
      </c>
    </row>
    <row r="77" spans="1:9" ht="15" x14ac:dyDescent="0.25">
      <c r="A77" s="96" t="str">
        <f>Originals!A238</f>
        <v>4-Vinnie</v>
      </c>
      <c r="B77" s="96" t="str">
        <f>Originals!B238</f>
        <v>MGI Cluster</v>
      </c>
      <c r="C77" s="96" t="str">
        <f>Originals!C238</f>
        <v>1.1.0.1</v>
      </c>
      <c r="D77" s="96" t="str">
        <f>Originals!D238</f>
        <v>32</v>
      </c>
      <c r="E77" s="96" t="str">
        <f>Originals!E238</f>
        <v>N/A</v>
      </c>
      <c r="F77" s="96" t="str">
        <f>Originals!F238</f>
        <v>Development</v>
      </c>
      <c r="G77" s="96" t="str">
        <f>Originals!G238</f>
        <v>MGI</v>
      </c>
      <c r="H77" s="96" t="str">
        <f>Originals!H238</f>
        <v>MGI Cluster 1.1.0.1</v>
      </c>
      <c r="I77" s="96" t="str">
        <f>Originals!I238</f>
        <v>VIPM Community</v>
      </c>
    </row>
    <row r="78" spans="1:9" ht="15" x14ac:dyDescent="0.25">
      <c r="A78" s="96" t="str">
        <f>Originals!A239</f>
        <v>4-Vinnie</v>
      </c>
      <c r="B78" s="96" t="str">
        <f>Originals!B239</f>
        <v>MGI Coordinates</v>
      </c>
      <c r="C78" s="96" t="str">
        <f>Originals!C239</f>
        <v>1.1.1.2</v>
      </c>
      <c r="D78" s="96" t="str">
        <f>Originals!D239</f>
        <v>32</v>
      </c>
      <c r="E78" s="96" t="str">
        <f>Originals!E239</f>
        <v>N/A</v>
      </c>
      <c r="F78" s="96" t="str">
        <f>Originals!F239</f>
        <v>Development</v>
      </c>
      <c r="G78" s="96" t="str">
        <f>Originals!G239</f>
        <v>MGI</v>
      </c>
      <c r="H78" s="96" t="str">
        <f>Originals!H239</f>
        <v>MGI Coordinates 1.1.1.2</v>
      </c>
      <c r="I78" s="96" t="str">
        <f>Originals!I239</f>
        <v>VIPM Community</v>
      </c>
    </row>
    <row r="79" spans="1:9" ht="15" x14ac:dyDescent="0.25">
      <c r="A79" s="96" t="str">
        <f>Originals!A240</f>
        <v>4-Vinnie</v>
      </c>
      <c r="B79" s="96" t="str">
        <f>Originals!B240</f>
        <v>MGI Error Handling</v>
      </c>
      <c r="C79" s="96" t="str">
        <f>Originals!C240</f>
        <v>1.1.1.3</v>
      </c>
      <c r="D79" s="96" t="str">
        <f>Originals!D240</f>
        <v>32</v>
      </c>
      <c r="E79" s="96" t="str">
        <f>Originals!E240</f>
        <v>N/A</v>
      </c>
      <c r="F79" s="96" t="str">
        <f>Originals!F240</f>
        <v>Development</v>
      </c>
      <c r="G79" s="96" t="str">
        <f>Originals!G240</f>
        <v>MGI</v>
      </c>
      <c r="H79" s="96" t="str">
        <f>Originals!H240</f>
        <v>MGI Error Handling 1.1.1.3</v>
      </c>
      <c r="I79" s="96" t="str">
        <f>Originals!I240</f>
        <v>VIPM Community</v>
      </c>
    </row>
    <row r="80" spans="1:9" ht="15" x14ac:dyDescent="0.25">
      <c r="A80" s="96" t="str">
        <f>Originals!A241</f>
        <v>4-Vinnie</v>
      </c>
      <c r="B80" s="96" t="str">
        <f>Originals!B241</f>
        <v>MGI Error Reporter</v>
      </c>
      <c r="C80" s="96" t="str">
        <f>Originals!C241</f>
        <v>1.0.2.5</v>
      </c>
      <c r="D80" s="96" t="str">
        <f>Originals!D241</f>
        <v>32</v>
      </c>
      <c r="E80" s="96" t="str">
        <f>Originals!E241</f>
        <v>N/A</v>
      </c>
      <c r="F80" s="96" t="str">
        <f>Originals!F241</f>
        <v>Development</v>
      </c>
      <c r="G80" s="96" t="str">
        <f>Originals!G241</f>
        <v>MGI</v>
      </c>
      <c r="H80" s="96" t="str">
        <f>Originals!H241</f>
        <v>MGI Error Reporter 1.0.2.5</v>
      </c>
      <c r="I80" s="96" t="str">
        <f>Originals!I241</f>
        <v>VIPM Community</v>
      </c>
    </row>
    <row r="81" spans="1:9" ht="15" x14ac:dyDescent="0.25">
      <c r="A81" s="96" t="str">
        <f>Originals!A242</f>
        <v>4-Vinnie</v>
      </c>
      <c r="B81" s="96" t="str">
        <f>Originals!B242</f>
        <v>MGI File</v>
      </c>
      <c r="C81" s="96" t="str">
        <f>Originals!C242</f>
        <v>1.1.0.4</v>
      </c>
      <c r="D81" s="96" t="str">
        <f>Originals!D242</f>
        <v>32</v>
      </c>
      <c r="E81" s="96" t="str">
        <f>Originals!E242</f>
        <v>N/A</v>
      </c>
      <c r="F81" s="96" t="str">
        <f>Originals!F242</f>
        <v>Development</v>
      </c>
      <c r="G81" s="96" t="str">
        <f>Originals!G242</f>
        <v>MGI</v>
      </c>
      <c r="H81" s="96" t="str">
        <f>Originals!H242</f>
        <v>MGI File 1.1.0.4</v>
      </c>
      <c r="I81" s="96" t="str">
        <f>Originals!I242</f>
        <v>VIPM Community</v>
      </c>
    </row>
    <row r="82" spans="1:9" ht="15" x14ac:dyDescent="0.25">
      <c r="A82" s="96" t="str">
        <f>Originals!A243</f>
        <v>4-Vinnie</v>
      </c>
      <c r="B82" s="96" t="str">
        <f>Originals!B243</f>
        <v>MGI Graph</v>
      </c>
      <c r="C82" s="96" t="str">
        <f>Originals!C243</f>
        <v>1.0.2.6</v>
      </c>
      <c r="D82" s="96" t="str">
        <f>Originals!D243</f>
        <v>32</v>
      </c>
      <c r="E82" s="96" t="str">
        <f>Originals!E243</f>
        <v>N/A</v>
      </c>
      <c r="F82" s="96" t="str">
        <f>Originals!F243</f>
        <v>Development</v>
      </c>
      <c r="G82" s="96" t="str">
        <f>Originals!G243</f>
        <v>MGI</v>
      </c>
      <c r="H82" s="96" t="str">
        <f>Originals!H243</f>
        <v>MGI Graph 1.0.2.6</v>
      </c>
      <c r="I82" s="96" t="str">
        <f>Originals!I243</f>
        <v>VIPM Community</v>
      </c>
    </row>
    <row r="83" spans="1:9" ht="15" x14ac:dyDescent="0.25">
      <c r="A83" s="96" t="str">
        <f>Originals!A244</f>
        <v>4-Vinnie</v>
      </c>
      <c r="B83" s="96" t="str">
        <f>Originals!B244</f>
        <v>MGI Library</v>
      </c>
      <c r="C83" s="96" t="str">
        <f>Originals!C244</f>
        <v>1.2.0.4</v>
      </c>
      <c r="D83" s="96" t="str">
        <f>Originals!D244</f>
        <v>32</v>
      </c>
      <c r="E83" s="96" t="str">
        <f>Originals!E244</f>
        <v>N/A</v>
      </c>
      <c r="F83" s="96" t="str">
        <f>Originals!F244</f>
        <v>Development</v>
      </c>
      <c r="G83" s="96" t="str">
        <f>Originals!G244</f>
        <v>MGI</v>
      </c>
      <c r="H83" s="96" t="str">
        <f>Originals!H244</f>
        <v>MGI Library 1.2.0.4</v>
      </c>
      <c r="I83" s="96" t="str">
        <f>Originals!I244</f>
        <v>VIPM Community</v>
      </c>
    </row>
    <row r="84" spans="1:9" ht="15" x14ac:dyDescent="0.25">
      <c r="A84" s="96" t="str">
        <f>Originals!A245</f>
        <v>4-Vinnie</v>
      </c>
      <c r="B84" s="96" t="str">
        <f>Originals!B245</f>
        <v>MGI Matrix &amp; Vector</v>
      </c>
      <c r="C84" s="96" t="str">
        <f>Originals!C245</f>
        <v>1.1.0.1</v>
      </c>
      <c r="D84" s="96" t="str">
        <f>Originals!D245</f>
        <v>32</v>
      </c>
      <c r="E84" s="96" t="str">
        <f>Originals!E245</f>
        <v>N/A</v>
      </c>
      <c r="F84" s="96" t="str">
        <f>Originals!F245</f>
        <v>Development</v>
      </c>
      <c r="G84" s="96" t="str">
        <f>Originals!G245</f>
        <v>MGI</v>
      </c>
      <c r="H84" s="96" t="str">
        <f>Originals!H245</f>
        <v>MGI Matrix &amp; Vector 1.1.0.1</v>
      </c>
      <c r="I84" s="96" t="str">
        <f>Originals!I245</f>
        <v>VIPM Community</v>
      </c>
    </row>
    <row r="85" spans="1:9" ht="15" x14ac:dyDescent="0.25">
      <c r="A85" s="96" t="str">
        <f>Originals!A246</f>
        <v>4-Vinnie</v>
      </c>
      <c r="B85" s="96" t="str">
        <f>Originals!B246</f>
        <v>MGI Menu Building</v>
      </c>
      <c r="C85" s="96" t="str">
        <f>Originals!C246</f>
        <v>1.0.1.4</v>
      </c>
      <c r="D85" s="96" t="str">
        <f>Originals!D246</f>
        <v>32</v>
      </c>
      <c r="E85" s="96" t="str">
        <f>Originals!E246</f>
        <v>N/A</v>
      </c>
      <c r="F85" s="96" t="str">
        <f>Originals!F246</f>
        <v>Development</v>
      </c>
      <c r="G85" s="96" t="str">
        <f>Originals!G246</f>
        <v>MGI</v>
      </c>
      <c r="H85" s="96" t="str">
        <f>Originals!H246</f>
        <v>MGI Menu Building 1.0.1.4</v>
      </c>
      <c r="I85" s="96" t="str">
        <f>Originals!I246</f>
        <v>VIPM Community</v>
      </c>
    </row>
    <row r="86" spans="1:9" ht="15" x14ac:dyDescent="0.25">
      <c r="A86" s="96" t="str">
        <f>Originals!A247</f>
        <v>4-Vinnie</v>
      </c>
      <c r="B86" s="96" t="str">
        <f>Originals!B247</f>
        <v>MGI Monitored Actor</v>
      </c>
      <c r="C86" s="96" t="str">
        <f>Originals!C247</f>
        <v>2.0.0.23</v>
      </c>
      <c r="D86" s="96" t="str">
        <f>Originals!D247</f>
        <v>32</v>
      </c>
      <c r="E86" s="96" t="str">
        <f>Originals!E247</f>
        <v>N/A</v>
      </c>
      <c r="F86" s="96" t="str">
        <f>Originals!F247</f>
        <v>Development</v>
      </c>
      <c r="G86" s="96" t="str">
        <f>Originals!G247</f>
        <v>MGI</v>
      </c>
      <c r="H86" s="96" t="str">
        <f>Originals!H247</f>
        <v>MGI Monitored Actor 2.0.0.23</v>
      </c>
      <c r="I86" s="96" t="str">
        <f>Originals!I247</f>
        <v>VIPM Community</v>
      </c>
    </row>
    <row r="87" spans="1:9" ht="15" x14ac:dyDescent="0.25">
      <c r="A87" s="96" t="str">
        <f>Originals!A248</f>
        <v>4-Vinnie</v>
      </c>
      <c r="B87" s="96" t="str">
        <f>Originals!B248</f>
        <v>MGI Numeric</v>
      </c>
      <c r="C87" s="96" t="str">
        <f>Originals!C248</f>
        <v>1.1.0.2</v>
      </c>
      <c r="D87" s="96" t="str">
        <f>Originals!D248</f>
        <v>32</v>
      </c>
      <c r="E87" s="96" t="str">
        <f>Originals!E248</f>
        <v>N/A</v>
      </c>
      <c r="F87" s="96" t="str">
        <f>Originals!F248</f>
        <v>Development</v>
      </c>
      <c r="G87" s="96" t="str">
        <f>Originals!G248</f>
        <v>MGI</v>
      </c>
      <c r="H87" s="96" t="str">
        <f>Originals!H248</f>
        <v>MGI Numeric 1.1.0.2</v>
      </c>
      <c r="I87" s="96" t="str">
        <f>Originals!I248</f>
        <v>VIPM Community</v>
      </c>
    </row>
    <row r="88" spans="1:9" ht="15" x14ac:dyDescent="0.25">
      <c r="A88" s="96" t="str">
        <f>Originals!A249</f>
        <v>4-Vinnie</v>
      </c>
      <c r="B88" s="96" t="str">
        <f>Originals!B249</f>
        <v>MGI Panel Manager</v>
      </c>
      <c r="C88" s="96" t="str">
        <f>Originals!C249</f>
        <v>1.0.1.4</v>
      </c>
      <c r="D88" s="96" t="str">
        <f>Originals!D249</f>
        <v>32</v>
      </c>
      <c r="E88" s="96" t="str">
        <f>Originals!E249</f>
        <v>N/A</v>
      </c>
      <c r="F88" s="96" t="str">
        <f>Originals!F249</f>
        <v>Development</v>
      </c>
      <c r="G88" s="96" t="str">
        <f>Originals!G249</f>
        <v>MGI</v>
      </c>
      <c r="H88" s="96" t="str">
        <f>Originals!H249</f>
        <v>MGI Panel Manager 1.0.1.4</v>
      </c>
      <c r="I88" s="96" t="str">
        <f>Originals!I249</f>
        <v>VIPM Community</v>
      </c>
    </row>
    <row r="89" spans="1:9" ht="15" x14ac:dyDescent="0.25">
      <c r="A89" s="96" t="str">
        <f>Originals!A250</f>
        <v>4-Vinnie</v>
      </c>
      <c r="B89" s="96" t="str">
        <f>Originals!B250</f>
        <v>MGI Panel Manager - DQMH Panels</v>
      </c>
      <c r="C89" s="96" t="str">
        <f>Originals!C250</f>
        <v>1.0.1.6</v>
      </c>
      <c r="D89" s="96" t="str">
        <f>Originals!D250</f>
        <v>32</v>
      </c>
      <c r="E89" s="96" t="str">
        <f>Originals!E250</f>
        <v>N/A</v>
      </c>
      <c r="F89" s="96" t="str">
        <f>Originals!F250</f>
        <v>Development</v>
      </c>
      <c r="G89" s="96" t="str">
        <f>Originals!G250</f>
        <v>MGI</v>
      </c>
      <c r="H89" s="96" t="str">
        <f>Originals!H250</f>
        <v>MGI Panel Manager - DQMH Panels 1.0.1.6</v>
      </c>
      <c r="I89" s="96" t="str">
        <f>Originals!I250</f>
        <v>VIPM Community</v>
      </c>
    </row>
    <row r="90" spans="1:9" ht="15" x14ac:dyDescent="0.25">
      <c r="A90" s="96" t="str">
        <f>Originals!A251</f>
        <v>4-Vinnie</v>
      </c>
      <c r="B90" s="96" t="str">
        <f>Originals!B251</f>
        <v>MGI Picture &amp; Image</v>
      </c>
      <c r="C90" s="96" t="str">
        <f>Originals!C251</f>
        <v>1.0.2.1</v>
      </c>
      <c r="D90" s="96" t="str">
        <f>Originals!D251</f>
        <v>32</v>
      </c>
      <c r="E90" s="96" t="str">
        <f>Originals!E251</f>
        <v>N/A</v>
      </c>
      <c r="F90" s="96" t="str">
        <f>Originals!F251</f>
        <v>Development</v>
      </c>
      <c r="G90" s="96" t="str">
        <f>Originals!G251</f>
        <v>MGI</v>
      </c>
      <c r="H90" s="96" t="str">
        <f>Originals!H251</f>
        <v>MGI Picture &amp; Image 1.0.2.1</v>
      </c>
      <c r="I90" s="96" t="str">
        <f>Originals!I251</f>
        <v>VIPM Community</v>
      </c>
    </row>
    <row r="91" spans="1:9" ht="15" x14ac:dyDescent="0.25">
      <c r="A91" s="96" t="str">
        <f>Originals!A252</f>
        <v>4-Vinnie</v>
      </c>
      <c r="B91" s="96" t="str">
        <f>Originals!B252</f>
        <v>MGI Read/Write Anything</v>
      </c>
      <c r="C91" s="96" t="str">
        <f>Originals!C252</f>
        <v>2.1.4.4</v>
      </c>
      <c r="D91" s="96" t="str">
        <f>Originals!D252</f>
        <v>32</v>
      </c>
      <c r="E91" s="96" t="str">
        <f>Originals!E252</f>
        <v>N/A</v>
      </c>
      <c r="F91" s="96" t="str">
        <f>Originals!F252</f>
        <v>Development</v>
      </c>
      <c r="G91" s="96" t="str">
        <f>Originals!G252</f>
        <v>MGI</v>
      </c>
      <c r="H91" s="96" t="str">
        <f>Originals!H252</f>
        <v>MGI Read/Write Anything 2.1.4.4</v>
      </c>
      <c r="I91" s="96" t="str">
        <f>Originals!I252</f>
        <v>VIPM Community</v>
      </c>
    </row>
    <row r="92" spans="1:9" ht="15" x14ac:dyDescent="0.25">
      <c r="A92" s="96" t="str">
        <f>Originals!A253</f>
        <v>4-Vinnie</v>
      </c>
      <c r="B92" s="96" t="str">
        <f>Originals!B253</f>
        <v>MGI Robust XML</v>
      </c>
      <c r="C92" s="96" t="str">
        <f>Originals!C253</f>
        <v>1.0.3.4</v>
      </c>
      <c r="D92" s="96" t="str">
        <f>Originals!D253</f>
        <v>32</v>
      </c>
      <c r="E92" s="96" t="str">
        <f>Originals!E253</f>
        <v>N/A</v>
      </c>
      <c r="F92" s="96" t="str">
        <f>Originals!F253</f>
        <v>Development</v>
      </c>
      <c r="G92" s="96" t="str">
        <f>Originals!G253</f>
        <v>MGI</v>
      </c>
      <c r="H92" s="96" t="str">
        <f>Originals!H253</f>
        <v>MGI Robust XML 1.0.3.4</v>
      </c>
      <c r="I92" s="96" t="str">
        <f>Originals!I253</f>
        <v>VIPM Community</v>
      </c>
    </row>
    <row r="93" spans="1:9" ht="15" x14ac:dyDescent="0.25">
      <c r="A93" s="96" t="str">
        <f>Originals!A254</f>
        <v>4-Vinnie</v>
      </c>
      <c r="B93" s="96" t="str">
        <f>Originals!B254</f>
        <v>MGI Spline</v>
      </c>
      <c r="C93" s="96" t="str">
        <f>Originals!C254</f>
        <v>1.1.0.1</v>
      </c>
      <c r="D93" s="96" t="str">
        <f>Originals!D254</f>
        <v>32</v>
      </c>
      <c r="E93" s="96" t="str">
        <f>Originals!E254</f>
        <v>N/A</v>
      </c>
      <c r="F93" s="96" t="str">
        <f>Originals!F254</f>
        <v>Development</v>
      </c>
      <c r="G93" s="96" t="str">
        <f>Originals!G254</f>
        <v>MGI</v>
      </c>
      <c r="H93" s="96" t="str">
        <f>Originals!H254</f>
        <v>MGI Spline 1.1.0.1</v>
      </c>
      <c r="I93" s="96" t="str">
        <f>Originals!I254</f>
        <v>VIPM Community</v>
      </c>
    </row>
    <row r="94" spans="1:9" ht="15" x14ac:dyDescent="0.25">
      <c r="A94" s="96" t="str">
        <f>Originals!A255</f>
        <v>4-Vinnie</v>
      </c>
      <c r="B94" s="96" t="str">
        <f>Originals!B255</f>
        <v>MGI String</v>
      </c>
      <c r="C94" s="96" t="str">
        <f>Originals!C255</f>
        <v>1.1.1.5</v>
      </c>
      <c r="D94" s="96" t="str">
        <f>Originals!D255</f>
        <v>32</v>
      </c>
      <c r="E94" s="96" t="str">
        <f>Originals!E255</f>
        <v>N/A</v>
      </c>
      <c r="F94" s="96" t="str">
        <f>Originals!F255</f>
        <v>Development</v>
      </c>
      <c r="G94" s="96" t="str">
        <f>Originals!G255</f>
        <v>MGI</v>
      </c>
      <c r="H94" s="96" t="str">
        <f>Originals!H255</f>
        <v>MGI String 1.1.1.5</v>
      </c>
      <c r="I94" s="96" t="str">
        <f>Originals!I255</f>
        <v>VIPM Community</v>
      </c>
    </row>
    <row r="95" spans="1:9" ht="15" x14ac:dyDescent="0.25">
      <c r="A95" s="96" t="str">
        <f>Originals!A256</f>
        <v>4-Vinnie</v>
      </c>
      <c r="B95" s="96" t="str">
        <f>Originals!B256</f>
        <v>MGI Timing</v>
      </c>
      <c r="C95" s="96" t="str">
        <f>Originals!C256</f>
        <v>1.1.0.2</v>
      </c>
      <c r="D95" s="96" t="str">
        <f>Originals!D256</f>
        <v>32</v>
      </c>
      <c r="E95" s="96" t="str">
        <f>Originals!E256</f>
        <v>N/A</v>
      </c>
      <c r="F95" s="96" t="str">
        <f>Originals!F256</f>
        <v>Development</v>
      </c>
      <c r="G95" s="96" t="str">
        <f>Originals!G256</f>
        <v>MGI</v>
      </c>
      <c r="H95" s="96" t="str">
        <f>Originals!H256</f>
        <v>MGI Timing 1.1.0.2</v>
      </c>
      <c r="I95" s="96" t="str">
        <f>Originals!I256</f>
        <v>VIPM Community</v>
      </c>
    </row>
    <row r="96" spans="1:9" ht="15" x14ac:dyDescent="0.25">
      <c r="A96" s="96" t="str">
        <f>Originals!A257</f>
        <v>4-Vinnie</v>
      </c>
      <c r="B96" s="96" t="str">
        <f>Originals!B257</f>
        <v>MGI Tools</v>
      </c>
      <c r="C96" s="96" t="str">
        <f>Originals!C257</f>
        <v>1.0.0.4</v>
      </c>
      <c r="D96" s="96" t="str">
        <f>Originals!D257</f>
        <v>32</v>
      </c>
      <c r="E96" s="96" t="str">
        <f>Originals!E257</f>
        <v>N/A</v>
      </c>
      <c r="F96" s="96" t="str">
        <f>Originals!F257</f>
        <v>Development</v>
      </c>
      <c r="G96" s="96" t="str">
        <f>Originals!G257</f>
        <v>MGI</v>
      </c>
      <c r="H96" s="96" t="str">
        <f>Originals!H257</f>
        <v>MGI Tools 1.0.0.4</v>
      </c>
      <c r="I96" s="96" t="str">
        <f>Originals!I257</f>
        <v>VIPM Community</v>
      </c>
    </row>
    <row r="97" spans="1:9" ht="15" x14ac:dyDescent="0.25">
      <c r="A97" s="96" t="str">
        <f>Originals!A258</f>
        <v>4-Vinnie</v>
      </c>
      <c r="B97" s="96" t="str">
        <f>Originals!B258</f>
        <v>MGI Tree</v>
      </c>
      <c r="C97" s="96" t="str">
        <f>Originals!C258</f>
        <v>1.0.4.4</v>
      </c>
      <c r="D97" s="96" t="str">
        <f>Originals!D258</f>
        <v>32</v>
      </c>
      <c r="E97" s="96" t="str">
        <f>Originals!E258</f>
        <v>N/A</v>
      </c>
      <c r="F97" s="96" t="str">
        <f>Originals!F258</f>
        <v>Development</v>
      </c>
      <c r="G97" s="96" t="str">
        <f>Originals!G258</f>
        <v>MGI</v>
      </c>
      <c r="H97" s="96" t="str">
        <f>Originals!H258</f>
        <v>MGI Tree 1.0.4.4</v>
      </c>
      <c r="I97" s="96" t="str">
        <f>Originals!I258</f>
        <v>VIPM Community</v>
      </c>
    </row>
    <row r="98" spans="1:9" ht="15" x14ac:dyDescent="0.25">
      <c r="A98" s="96" t="str">
        <f>Originals!A259</f>
        <v>4-Vinnie</v>
      </c>
      <c r="B98" s="96" t="str">
        <f>Originals!B259</f>
        <v>MGI User Interface</v>
      </c>
      <c r="C98" s="96" t="str">
        <f>Originals!C259</f>
        <v>1.0.1.11</v>
      </c>
      <c r="D98" s="96" t="str">
        <f>Originals!D259</f>
        <v>32</v>
      </c>
      <c r="E98" s="96" t="str">
        <f>Originals!E259</f>
        <v>N/A</v>
      </c>
      <c r="F98" s="96" t="str">
        <f>Originals!F259</f>
        <v>Development</v>
      </c>
      <c r="G98" s="96" t="str">
        <f>Originals!G259</f>
        <v>MGI</v>
      </c>
      <c r="H98" s="96" t="str">
        <f>Originals!H259</f>
        <v>MGI User Interface 1.0.1.11</v>
      </c>
      <c r="I98" s="96" t="str">
        <f>Originals!I259</f>
        <v>VIPM Community</v>
      </c>
    </row>
    <row r="99" spans="1:9" ht="15" x14ac:dyDescent="0.25">
      <c r="A99" s="96" t="str">
        <f>Originals!A260</f>
        <v>4-Vinnie</v>
      </c>
      <c r="B99" s="96" t="str">
        <f>Originals!B260</f>
        <v>MGI WSA Framework</v>
      </c>
      <c r="C99" s="96" t="str">
        <f>Originals!C260</f>
        <v>1.0.0.27</v>
      </c>
      <c r="D99" s="96" t="str">
        <f>Originals!D260</f>
        <v>32</v>
      </c>
      <c r="E99" s="96" t="str">
        <f>Originals!E260</f>
        <v>N/A</v>
      </c>
      <c r="F99" s="96" t="str">
        <f>Originals!F260</f>
        <v>Development</v>
      </c>
      <c r="G99" s="96" t="str">
        <f>Originals!G260</f>
        <v>MGI</v>
      </c>
      <c r="H99" s="96" t="str">
        <f>Originals!H260</f>
        <v>MGI WSA Framework 1.0.0.27</v>
      </c>
      <c r="I99" s="96" t="str">
        <f>Originals!I260</f>
        <v>VIPM Community</v>
      </c>
    </row>
    <row r="100" spans="1:9" ht="15" x14ac:dyDescent="0.25">
      <c r="A100" s="96" t="str">
        <f>Originals!A27</f>
        <v>1-Corey</v>
      </c>
      <c r="B100" s="96" t="str">
        <f>Originals!B27</f>
        <v>NI 1588-2008 Network Management</v>
      </c>
      <c r="C100" s="96" t="str">
        <f>Originals!C27</f>
        <v>15.0.0f0</v>
      </c>
      <c r="D100" s="96" t="str">
        <f>Originals!D27</f>
        <v>32</v>
      </c>
      <c r="E100" s="96" t="str">
        <f>Originals!E27</f>
        <v>2015</v>
      </c>
      <c r="F100" s="96" t="str">
        <f>Originals!F27</f>
        <v>Development</v>
      </c>
      <c r="G100" s="96" t="str">
        <f>Originals!G27</f>
        <v>NI</v>
      </c>
      <c r="H100" s="96" t="str">
        <f>Originals!H27</f>
        <v>NI 1588-2008 Network Management 15.0.0f0</v>
      </c>
      <c r="I100" s="96" t="str">
        <f>Originals!I27</f>
        <v>NI Developer Suite 2015 DS2 Install</v>
      </c>
    </row>
    <row r="101" spans="1:9" ht="15" x14ac:dyDescent="0.25">
      <c r="A101" s="96" t="str">
        <f>Scott!A91</f>
        <v>3-Scott</v>
      </c>
      <c r="B101" s="96" t="str">
        <f>Scott!B91</f>
        <v>NI 1588-2008 Network Management 15.0.0</v>
      </c>
      <c r="C101" s="96" t="str">
        <f>Scott!C91</f>
        <v>15.0.0f0</v>
      </c>
      <c r="D101" s="96">
        <f>Scott!D91</f>
        <v>32</v>
      </c>
      <c r="E101" s="96">
        <f>Scott!E91</f>
        <v>2015</v>
      </c>
      <c r="F101" s="96" t="str">
        <f>Scott!F91</f>
        <v>Development</v>
      </c>
      <c r="G101" s="96" t="str">
        <f>Scott!G91</f>
        <v>NI</v>
      </c>
      <c r="H101" s="96" t="str">
        <f>Scott!H91</f>
        <v>NI 1588-2008 Network Management 15.0.0 15.0.0f0</v>
      </c>
      <c r="I101" s="96" t="str">
        <f>Scott!I91</f>
        <v>NI Developer Suite 2015 DS2 Install</v>
      </c>
    </row>
    <row r="102" spans="1:9" ht="15" x14ac:dyDescent="0.25">
      <c r="A102" s="96" t="str">
        <f>Originals!A265</f>
        <v>4-Vinnie</v>
      </c>
      <c r="B102" s="96" t="str">
        <f>Originals!B265</f>
        <v>NI Asynchronous Message Communication (AMC) Library</v>
      </c>
      <c r="C102" s="96" t="str">
        <f>Originals!C265</f>
        <v>3.3.1.22</v>
      </c>
      <c r="D102" s="96" t="str">
        <f>Originals!D265</f>
        <v>32</v>
      </c>
      <c r="E102" s="96" t="str">
        <f>Originals!E265</f>
        <v>N/A</v>
      </c>
      <c r="F102" s="96" t="str">
        <f>Originals!F265</f>
        <v>Development</v>
      </c>
      <c r="G102" s="96" t="str">
        <f>Originals!G265</f>
        <v>NI</v>
      </c>
      <c r="H102" s="96" t="str">
        <f>Originals!H265</f>
        <v>NI Asynchronous Message Communication (AMC) Library 3.3.1.22</v>
      </c>
      <c r="I102" s="96" t="str">
        <f>Originals!I265</f>
        <v>VIPM Community</v>
      </c>
    </row>
    <row r="103" spans="1:9" ht="15" x14ac:dyDescent="0.25">
      <c r="A103" s="96" t="str">
        <f>Originals!A267</f>
        <v>4-Vinnie</v>
      </c>
      <c r="B103" s="96" t="str">
        <f>Originals!B267</f>
        <v>NI CompactRIO Information (CRI) Library</v>
      </c>
      <c r="C103" s="96" t="str">
        <f>Originals!C267</f>
        <v>2015.0.0.1</v>
      </c>
      <c r="D103" s="96" t="str">
        <f>Originals!D267</f>
        <v>32</v>
      </c>
      <c r="E103" s="96" t="str">
        <f>Originals!E267</f>
        <v>2015</v>
      </c>
      <c r="F103" s="96" t="str">
        <f>Originals!F267</f>
        <v>Development</v>
      </c>
      <c r="G103" s="96" t="str">
        <f>Originals!G267</f>
        <v>NI</v>
      </c>
      <c r="H103" s="96" t="str">
        <f>Originals!H267</f>
        <v>NI CompactRIO Information (CRI) Library 2015.0.0.1</v>
      </c>
      <c r="I103" s="96" t="str">
        <f>Originals!I267</f>
        <v>VIPM Community</v>
      </c>
    </row>
    <row r="104" spans="1:9" ht="15" x14ac:dyDescent="0.25">
      <c r="A104" s="96" t="str">
        <f>Originals!A268</f>
        <v>4-Vinnie</v>
      </c>
      <c r="B104" s="96" t="str">
        <f>Originals!B268</f>
        <v>NI GXML</v>
      </c>
      <c r="C104" s="96" t="str">
        <f>Originals!C268</f>
        <v>1.4.2.8</v>
      </c>
      <c r="D104" s="96" t="str">
        <f>Originals!D268</f>
        <v>32</v>
      </c>
      <c r="E104" s="96" t="str">
        <f>Originals!E268</f>
        <v>N/A</v>
      </c>
      <c r="F104" s="96" t="str">
        <f>Originals!F268</f>
        <v>Development</v>
      </c>
      <c r="G104" s="96" t="str">
        <f>Originals!G268</f>
        <v>NI</v>
      </c>
      <c r="H104" s="96" t="str">
        <f>Originals!H268</f>
        <v>NI GXML 1.4.2.8</v>
      </c>
      <c r="I104" s="96" t="str">
        <f>Originals!I268</f>
        <v>VIPM Community</v>
      </c>
    </row>
    <row r="105" spans="1:9" ht="15" x14ac:dyDescent="0.25">
      <c r="A105" s="96" t="str">
        <f>Originals!A28</f>
        <v>1-Corey</v>
      </c>
      <c r="B105" s="96" t="str">
        <f>Originals!B28</f>
        <v>NI I/O Trace</v>
      </c>
      <c r="C105" s="96" t="str">
        <f>Originals!C28</f>
        <v>15.0.0f0</v>
      </c>
      <c r="D105" s="96" t="str">
        <f>Originals!D28</f>
        <v>32</v>
      </c>
      <c r="E105" s="96" t="str">
        <f>Originals!E28</f>
        <v>2015</v>
      </c>
      <c r="F105" s="96" t="str">
        <f>Originals!F28</f>
        <v>Development</v>
      </c>
      <c r="G105" s="96" t="str">
        <f>Originals!G28</f>
        <v>NI</v>
      </c>
      <c r="H105" s="96" t="str">
        <f>Originals!H28</f>
        <v>NI I/O Trace 15.0.0f0</v>
      </c>
      <c r="I105" s="96" t="str">
        <f>Originals!I28</f>
        <v>NI Developer Suite 2015 DS2 Install</v>
      </c>
    </row>
    <row r="106" spans="1:9" ht="15" x14ac:dyDescent="0.25">
      <c r="A106" s="96" t="str">
        <f>Scott!A96</f>
        <v>3-Scott</v>
      </c>
      <c r="B106" s="96" t="str">
        <f>Scott!B96</f>
        <v>NI I/O Trace</v>
      </c>
      <c r="C106" s="96" t="str">
        <f>Scott!C96</f>
        <v>19.0.0f0</v>
      </c>
      <c r="D106" s="96">
        <f>Scott!D96</f>
        <v>32</v>
      </c>
      <c r="E106" s="96">
        <f>Scott!E96</f>
        <v>2019</v>
      </c>
      <c r="F106" s="96" t="str">
        <f>Scott!F96</f>
        <v>Development</v>
      </c>
      <c r="G106" s="96" t="str">
        <f>Scott!G96</f>
        <v>NI</v>
      </c>
      <c r="H106" s="96" t="str">
        <f>Scott!H96</f>
        <v>NI I/O Trace 19.0.0f0</v>
      </c>
      <c r="I106" s="96" t="str">
        <f>Scott!I96</f>
        <v>NI Developer Suite 2015 DS2 Install</v>
      </c>
    </row>
    <row r="107" spans="1:9" ht="15" x14ac:dyDescent="0.25">
      <c r="A107" s="96" t="str">
        <f>Originals!A269</f>
        <v>4-Vinnie</v>
      </c>
      <c r="B107" s="96" t="str">
        <f>Originals!B269</f>
        <v>NI I/O Trace</v>
      </c>
      <c r="C107" s="96" t="str">
        <f>Originals!C269</f>
        <v>18.5.0f0</v>
      </c>
      <c r="D107" s="96" t="str">
        <f>Originals!D269</f>
        <v>32</v>
      </c>
      <c r="E107" s="96" t="str">
        <f>Originals!E269</f>
        <v>2018</v>
      </c>
      <c r="F107" s="96" t="str">
        <f>Originals!F269</f>
        <v>Development</v>
      </c>
      <c r="G107" s="96" t="str">
        <f>Originals!G269</f>
        <v>NI</v>
      </c>
      <c r="H107" s="96" t="str">
        <f>Originals!H269</f>
        <v>NI I/O Trace 18.5.0f0</v>
      </c>
      <c r="I107" s="96" t="str">
        <f>Originals!I269</f>
        <v>NI Developer Suite 2015 DS2 Install</v>
      </c>
    </row>
    <row r="108" spans="1:9" ht="15" x14ac:dyDescent="0.25">
      <c r="A108" s="96" t="str">
        <f>Originals!A380</f>
        <v>5-Confluence</v>
      </c>
      <c r="B108" s="96" t="str">
        <f>Originals!B380</f>
        <v>NI I/O Trace</v>
      </c>
      <c r="C108" s="96" t="str">
        <f>Originals!C380</f>
        <v>18.1</v>
      </c>
      <c r="D108" s="96" t="str">
        <f>Originals!D380</f>
        <v>32</v>
      </c>
      <c r="E108" s="96" t="str">
        <f>Originals!E380</f>
        <v>2018</v>
      </c>
      <c r="F108" s="96" t="str">
        <f>Originals!F380</f>
        <v>Development</v>
      </c>
      <c r="G108" s="96" t="str">
        <f>Originals!G380</f>
        <v>NI</v>
      </c>
      <c r="H108" s="96" t="str">
        <f>Originals!H380</f>
        <v>NI I/O Trace 18.1</v>
      </c>
      <c r="I108" s="96">
        <f>Originals!I380</f>
        <v>0</v>
      </c>
    </row>
    <row r="109" spans="1:9" ht="15" x14ac:dyDescent="0.25">
      <c r="A109" s="96" t="str">
        <f>Originals!A270</f>
        <v>4-Vinnie</v>
      </c>
      <c r="B109" s="96" t="str">
        <f>Originals!B270</f>
        <v>NI Keyed Array Library</v>
      </c>
      <c r="C109" s="96" t="str">
        <f>Originals!C270</f>
        <v>2.0.0.11</v>
      </c>
      <c r="D109" s="96" t="str">
        <f>Originals!D270</f>
        <v>32</v>
      </c>
      <c r="E109" s="96" t="str">
        <f>Originals!E270</f>
        <v>N/A</v>
      </c>
      <c r="F109" s="96" t="str">
        <f>Originals!F270</f>
        <v>Development</v>
      </c>
      <c r="G109" s="96" t="str">
        <f>Originals!G270</f>
        <v>NI</v>
      </c>
      <c r="H109" s="96" t="str">
        <f>Originals!H270</f>
        <v>NI Keyed Array Library 2.0.0.11</v>
      </c>
      <c r="I109" s="96" t="str">
        <f>Originals!I270</f>
        <v>VIPM Community</v>
      </c>
    </row>
    <row r="110" spans="1:9" ht="15" x14ac:dyDescent="0.25">
      <c r="A110" s="96" t="str">
        <f>Originals!A271</f>
        <v>4-Vinnie</v>
      </c>
      <c r="B110" s="96" t="str">
        <f>Originals!B271</f>
        <v>NI Modbus Library</v>
      </c>
      <c r="C110" s="96" t="str">
        <f>Originals!C271</f>
        <v>1.2.1.42</v>
      </c>
      <c r="D110" s="96" t="str">
        <f>Originals!D271</f>
        <v>32</v>
      </c>
      <c r="E110" s="96" t="str">
        <f>Originals!E271</f>
        <v>N/A</v>
      </c>
      <c r="F110" s="96" t="str">
        <f>Originals!F271</f>
        <v>Development</v>
      </c>
      <c r="G110" s="96" t="str">
        <f>Originals!G271</f>
        <v>NI</v>
      </c>
      <c r="H110" s="96" t="str">
        <f>Originals!H271</f>
        <v>NI Modbus Library 1.2.1.42</v>
      </c>
      <c r="I110" s="96" t="str">
        <f>Originals!I271</f>
        <v>VIPM Community</v>
      </c>
    </row>
    <row r="111" spans="1:9" ht="15" x14ac:dyDescent="0.25">
      <c r="A111" s="96" t="str">
        <f>Originals!A29</f>
        <v>1-Corey</v>
      </c>
      <c r="B111" s="96" t="str">
        <f>Originals!B29</f>
        <v>NI PXI Platform Services Configuration</v>
      </c>
      <c r="C111" s="96" t="str">
        <f>Originals!C29</f>
        <v>15.0.0f1</v>
      </c>
      <c r="D111" s="96" t="str">
        <f>Originals!D29</f>
        <v>32</v>
      </c>
      <c r="E111" s="96" t="str">
        <f>Originals!E29</f>
        <v>2015</v>
      </c>
      <c r="F111" s="96" t="str">
        <f>Originals!F29</f>
        <v>Development</v>
      </c>
      <c r="G111" s="96" t="str">
        <f>Originals!G29</f>
        <v>NI</v>
      </c>
      <c r="H111" s="96" t="str">
        <f>Originals!H29</f>
        <v>NI PXI Platform Services Configuration 15.0.0f1</v>
      </c>
      <c r="I111" s="96" t="str">
        <f>Originals!I29</f>
        <v>NI Developer Suite 2015 DS2 Install</v>
      </c>
    </row>
    <row r="112" spans="1:9" ht="15" x14ac:dyDescent="0.25">
      <c r="A112" s="96" t="str">
        <f>Originals!A30</f>
        <v>1-Corey</v>
      </c>
      <c r="B112" s="96" t="str">
        <f>Originals!B30</f>
        <v>NI PXI Platform Services Configuration</v>
      </c>
      <c r="C112" s="96" t="str">
        <f>Originals!C30</f>
        <v>19.5.0f0</v>
      </c>
      <c r="D112" s="96" t="str">
        <f>Originals!D30</f>
        <v>32</v>
      </c>
      <c r="E112" s="96" t="str">
        <f>Originals!E30</f>
        <v>2019</v>
      </c>
      <c r="F112" s="96" t="str">
        <f>Originals!F30</f>
        <v>Development</v>
      </c>
      <c r="G112" s="96" t="str">
        <f>Originals!G30</f>
        <v>NI</v>
      </c>
      <c r="H112" s="96" t="str">
        <f>Originals!H30</f>
        <v>NI PXI Platform Services Configuration 19.5.0f0</v>
      </c>
      <c r="I112" s="96">
        <f>Originals!I30</f>
        <v>0</v>
      </c>
    </row>
    <row r="113" spans="1:9" ht="15" x14ac:dyDescent="0.25">
      <c r="A113" s="96" t="str">
        <f>Scott!A100</f>
        <v>3-Scott</v>
      </c>
      <c r="B113" s="96" t="str">
        <f>Scott!B100</f>
        <v>NI PXI Platform Services Configuration</v>
      </c>
      <c r="C113" s="96" t="str">
        <f>Scott!C100</f>
        <v>18.0.0f0</v>
      </c>
      <c r="D113" s="96" t="str">
        <f>Scott!D100</f>
        <v>32</v>
      </c>
      <c r="E113" s="96" t="str">
        <f>Scott!E100</f>
        <v>2018</v>
      </c>
      <c r="F113" s="96" t="str">
        <f>Scott!F100</f>
        <v>Development</v>
      </c>
      <c r="G113" s="96" t="str">
        <f>Scott!G100</f>
        <v>NI</v>
      </c>
      <c r="H113" s="96" t="str">
        <f>Scott!H100</f>
        <v>NI PXI Platform Services Configuration 18.0.0f0</v>
      </c>
      <c r="I113" s="96" t="str">
        <f>Scott!I100</f>
        <v>CompactRIO 18.1.0</v>
      </c>
    </row>
    <row r="114" spans="1:9" ht="15" x14ac:dyDescent="0.25">
      <c r="A114" s="96" t="str">
        <f>Originals!A273</f>
        <v>4-Vinnie</v>
      </c>
      <c r="B114" s="96" t="str">
        <f>Originals!B273</f>
        <v>NI PXI Platform Services Configuration</v>
      </c>
      <c r="C114" s="96" t="str">
        <f>Originals!C273</f>
        <v>18.5.0f2</v>
      </c>
      <c r="D114" s="96" t="str">
        <f>Originals!D273</f>
        <v>32</v>
      </c>
      <c r="E114" s="96" t="str">
        <f>Originals!E273</f>
        <v>2018</v>
      </c>
      <c r="F114" s="96" t="str">
        <f>Originals!F273</f>
        <v>Development</v>
      </c>
      <c r="G114" s="96" t="str">
        <f>Originals!G273</f>
        <v>NI</v>
      </c>
      <c r="H114" s="96" t="str">
        <f>Originals!H273</f>
        <v>NI PXI Platform Services Configuration 18.5.0f2</v>
      </c>
      <c r="I114" s="96">
        <f>Originals!I273</f>
        <v>0</v>
      </c>
    </row>
    <row r="115" spans="1:9" ht="15" x14ac:dyDescent="0.25">
      <c r="A115" s="96" t="str">
        <f>Originals!A382</f>
        <v>5-Confluence</v>
      </c>
      <c r="B115" s="96" t="str">
        <f>Originals!B382</f>
        <v>NI PXI Platform Services Configuration</v>
      </c>
      <c r="C115" s="96" t="str">
        <f>Originals!C382</f>
        <v>18.0</v>
      </c>
      <c r="D115" s="96" t="str">
        <f>Originals!D382</f>
        <v>32</v>
      </c>
      <c r="E115" s="96" t="str">
        <f>Originals!E382</f>
        <v>2018</v>
      </c>
      <c r="F115" s="96" t="str">
        <f>Originals!F382</f>
        <v>Development</v>
      </c>
      <c r="G115" s="96" t="str">
        <f>Originals!G382</f>
        <v>NI</v>
      </c>
      <c r="H115" s="96" t="str">
        <f>Originals!H382</f>
        <v>NI PXI Platform Services Configuration 18.0</v>
      </c>
      <c r="I115" s="96" t="str">
        <f>Originals!I382</f>
        <v>CompactRIO 18.1.0</v>
      </c>
    </row>
    <row r="116" spans="1:9" ht="15" x14ac:dyDescent="0.25">
      <c r="A116" s="96" t="str">
        <f>Originals!A31</f>
        <v>1-Corey</v>
      </c>
      <c r="B116" s="96" t="str">
        <f>Originals!B31</f>
        <v>NI R Series Multifunction RIO</v>
      </c>
      <c r="C116" s="96" t="str">
        <f>Originals!C31</f>
        <v>15.0.0</v>
      </c>
      <c r="D116" s="96" t="str">
        <f>Originals!D31</f>
        <v>32</v>
      </c>
      <c r="E116" s="96" t="str">
        <f>Originals!E31</f>
        <v>2015</v>
      </c>
      <c r="F116" s="96" t="str">
        <f>Originals!F31</f>
        <v>Development</v>
      </c>
      <c r="G116" s="96" t="str">
        <f>Originals!G31</f>
        <v>NI</v>
      </c>
      <c r="H116" s="96" t="str">
        <f>Originals!H31</f>
        <v>NI R Series Multifunction RIO 15.0.0</v>
      </c>
      <c r="I116" s="96" t="str">
        <f>Originals!I31</f>
        <v>NI Developer Suite 2015 DS2 Install</v>
      </c>
    </row>
    <row r="117" spans="1:9" ht="15" x14ac:dyDescent="0.25">
      <c r="A117" s="96" t="str">
        <f>Originals!A274</f>
        <v>4-Vinnie</v>
      </c>
      <c r="B117" s="96" t="str">
        <f>Originals!B274</f>
        <v>NI R Series Multifunction RIO</v>
      </c>
      <c r="C117" s="96" t="str">
        <f>Originals!C274</f>
        <v>15.5.0</v>
      </c>
      <c r="D117" s="96" t="str">
        <f>Originals!D274</f>
        <v>32</v>
      </c>
      <c r="E117" s="96">
        <f>Originals!E274</f>
        <v>2015</v>
      </c>
      <c r="F117" s="96" t="str">
        <f>Originals!F274</f>
        <v>Development</v>
      </c>
      <c r="G117" s="96" t="str">
        <f>Originals!G274</f>
        <v>NI</v>
      </c>
      <c r="H117" s="96" t="str">
        <f>Originals!H274</f>
        <v>NI R Series Multifunction RIO 15.5.0</v>
      </c>
      <c r="I117" s="96">
        <f>Originals!I274</f>
        <v>0</v>
      </c>
    </row>
    <row r="118" spans="1:9" ht="15" x14ac:dyDescent="0.25">
      <c r="A118" s="96" t="str">
        <f>Originals!A32</f>
        <v>1-Corey</v>
      </c>
      <c r="B118" s="96" t="str">
        <f>Originals!B32</f>
        <v>NI Script Editor</v>
      </c>
      <c r="C118" s="96" t="str">
        <f>Originals!C32</f>
        <v>14.0</v>
      </c>
      <c r="D118" s="96" t="str">
        <f>Originals!D32</f>
        <v>32</v>
      </c>
      <c r="E118" s="96" t="str">
        <f>Originals!E32</f>
        <v>2014</v>
      </c>
      <c r="F118" s="96" t="str">
        <f>Originals!F32</f>
        <v>Development</v>
      </c>
      <c r="G118" s="96" t="str">
        <f>Originals!G32</f>
        <v>NI</v>
      </c>
      <c r="H118" s="96" t="str">
        <f>Originals!H32</f>
        <v>NI Script Editor 14.0</v>
      </c>
      <c r="I118" s="96" t="str">
        <f>Originals!I32</f>
        <v>NI Developer Suite 2015 DS2 Install</v>
      </c>
    </row>
    <row r="119" spans="1:9" ht="15" x14ac:dyDescent="0.25">
      <c r="A119" s="96" t="str">
        <f>Originals!A33</f>
        <v>1-Corey</v>
      </c>
      <c r="B119" s="96" t="str">
        <f>Originals!B33</f>
        <v>NI SignalExpress</v>
      </c>
      <c r="C119" s="96">
        <f>Originals!C33</f>
        <v>0</v>
      </c>
      <c r="D119" s="96" t="str">
        <f>Originals!D33</f>
        <v>32</v>
      </c>
      <c r="E119" s="96" t="str">
        <f>Originals!E33</f>
        <v>2015</v>
      </c>
      <c r="F119" s="96" t="str">
        <f>Originals!F33</f>
        <v>Development</v>
      </c>
      <c r="G119" s="96" t="str">
        <f>Originals!G33</f>
        <v>NI</v>
      </c>
      <c r="H119" s="96" t="str">
        <f>Originals!H33</f>
        <v xml:space="preserve">NI SignalExpress </v>
      </c>
      <c r="I119" s="96" t="str">
        <f>Originals!I33</f>
        <v>NI Developer Suite 2015 DS2 Install</v>
      </c>
    </row>
    <row r="120" spans="1:9" ht="15" x14ac:dyDescent="0.25">
      <c r="A120" s="96" t="str">
        <f>Originals!A111</f>
        <v>2-Spencer</v>
      </c>
      <c r="B120" s="96" t="str">
        <f>Originals!B111</f>
        <v>NI SignalExpress</v>
      </c>
      <c r="C120" s="96" t="str">
        <f>Originals!C111</f>
        <v>15.0</v>
      </c>
      <c r="D120" s="96" t="str">
        <f>Originals!D111</f>
        <v>32</v>
      </c>
      <c r="E120" s="96" t="str">
        <f>Originals!E111</f>
        <v>2015</v>
      </c>
      <c r="F120" s="96" t="str">
        <f>Originals!F111</f>
        <v>Development</v>
      </c>
      <c r="G120" s="96" t="str">
        <f>Originals!G111</f>
        <v>NI</v>
      </c>
      <c r="H120" s="96" t="str">
        <f>Originals!H111</f>
        <v>NI SignalExpress 15.0</v>
      </c>
      <c r="I120" s="96" t="str">
        <f>Originals!I111</f>
        <v>NI Developer Suite 2015 DS2 Install</v>
      </c>
    </row>
    <row r="121" spans="1:9" ht="15" x14ac:dyDescent="0.25">
      <c r="A121" s="96" t="str">
        <f>Originals!A277</f>
        <v>4-Vinnie</v>
      </c>
      <c r="B121" s="96" t="str">
        <f>Originals!B277</f>
        <v>NI String Tools Library</v>
      </c>
      <c r="C121" s="96" t="str">
        <f>Originals!C277</f>
        <v>2.0.0.5</v>
      </c>
      <c r="D121" s="96" t="str">
        <f>Originals!D277</f>
        <v>32</v>
      </c>
      <c r="E121" s="96" t="str">
        <f>Originals!E277</f>
        <v>N/A</v>
      </c>
      <c r="F121" s="96" t="str">
        <f>Originals!F277</f>
        <v>Development</v>
      </c>
      <c r="G121" s="96" t="str">
        <f>Originals!G277</f>
        <v>NI</v>
      </c>
      <c r="H121" s="96" t="str">
        <f>Originals!H277</f>
        <v>NI String Tools Library 2.0.0.5</v>
      </c>
      <c r="I121" s="96" t="str">
        <f>Originals!I277</f>
        <v>VIPM Community</v>
      </c>
    </row>
    <row r="122" spans="1:9" ht="15" x14ac:dyDescent="0.25">
      <c r="A122" s="96" t="str">
        <f>Originals!A34</f>
        <v>1-Corey</v>
      </c>
      <c r="B122" s="96" t="str">
        <f>Originals!B34</f>
        <v>NI System Configuration</v>
      </c>
      <c r="C122" s="96" t="str">
        <f>Originals!C34</f>
        <v>19.5.0f0</v>
      </c>
      <c r="D122" s="96" t="str">
        <f>Originals!D34</f>
        <v>32</v>
      </c>
      <c r="E122" s="96" t="str">
        <f>Originals!E34</f>
        <v>2019</v>
      </c>
      <c r="F122" s="96" t="str">
        <f>Originals!F34</f>
        <v>Development</v>
      </c>
      <c r="G122" s="96" t="str">
        <f>Originals!G34</f>
        <v>NI</v>
      </c>
      <c r="H122" s="96" t="str">
        <f>Originals!H34</f>
        <v>NI System Configuration 19.5.0f0</v>
      </c>
      <c r="I122" s="96">
        <f>Originals!I34</f>
        <v>0</v>
      </c>
    </row>
    <row r="123" spans="1:9" ht="15" x14ac:dyDescent="0.25">
      <c r="A123" s="96" t="str">
        <f>Scott!A104</f>
        <v>3-Scott</v>
      </c>
      <c r="B123" s="96" t="str">
        <f>Scott!B104</f>
        <v>NI System Configuration</v>
      </c>
      <c r="C123" s="96" t="str">
        <f>Scott!C104</f>
        <v>19.0.0f0</v>
      </c>
      <c r="D123" s="96">
        <f>Scott!D104</f>
        <v>32</v>
      </c>
      <c r="E123" s="96">
        <f>Scott!E104</f>
        <v>2019</v>
      </c>
      <c r="F123" s="96" t="str">
        <f>Scott!F104</f>
        <v>Development</v>
      </c>
      <c r="G123" s="96" t="str">
        <f>Scott!G104</f>
        <v>NI</v>
      </c>
      <c r="H123" s="96" t="str">
        <f>Scott!H104</f>
        <v>NI System Configuration 19.0.0f0</v>
      </c>
      <c r="I123" s="96" t="str">
        <f>Scott!I104</f>
        <v>LabVIEW 2019</v>
      </c>
    </row>
    <row r="124" spans="1:9" ht="15" x14ac:dyDescent="0.25">
      <c r="A124" s="96" t="str">
        <f>Originals!A384</f>
        <v>5-Confluence</v>
      </c>
      <c r="B124" s="96" t="str">
        <f>Originals!B384</f>
        <v>NI System Configuration</v>
      </c>
      <c r="C124" s="96" t="str">
        <f>Originals!C384</f>
        <v>18.1</v>
      </c>
      <c r="D124" s="96" t="str">
        <f>Originals!D384</f>
        <v>32</v>
      </c>
      <c r="E124" s="96" t="str">
        <f>Originals!E384</f>
        <v>2018</v>
      </c>
      <c r="F124" s="96" t="str">
        <f>Originals!F384</f>
        <v>Development</v>
      </c>
      <c r="G124" s="96" t="str">
        <f>Originals!G384</f>
        <v>NI</v>
      </c>
      <c r="H124" s="96" t="str">
        <f>Originals!H384</f>
        <v>NI System Configuration 18.1</v>
      </c>
      <c r="I124" s="96">
        <f>Originals!I384</f>
        <v>0</v>
      </c>
    </row>
    <row r="125" spans="1:9" ht="15" x14ac:dyDescent="0.25">
      <c r="A125" s="96" t="str">
        <f>Originals!A35</f>
        <v>1-Corey</v>
      </c>
      <c r="B125" s="96" t="str">
        <f>Originals!B35</f>
        <v>NI-488.2</v>
      </c>
      <c r="C125" s="96" t="str">
        <f>Originals!C35</f>
        <v>15.0.0</v>
      </c>
      <c r="D125" s="96" t="str">
        <f>Originals!D35</f>
        <v>32</v>
      </c>
      <c r="E125" s="96" t="str">
        <f>Originals!E35</f>
        <v>2015</v>
      </c>
      <c r="F125" s="96" t="str">
        <f>Originals!F35</f>
        <v>Development</v>
      </c>
      <c r="G125" s="96" t="str">
        <f>Originals!G35</f>
        <v>NI</v>
      </c>
      <c r="H125" s="96" t="str">
        <f>Originals!H35</f>
        <v>NI-488.2 15.0.0</v>
      </c>
      <c r="I125" s="96" t="str">
        <f>Originals!I35</f>
        <v>NI Developer Suite 2015 DS2 Install</v>
      </c>
    </row>
    <row r="126" spans="1:9" ht="15" x14ac:dyDescent="0.25">
      <c r="A126" s="96" t="str">
        <f>Originals!A283</f>
        <v>4-Vinnie</v>
      </c>
      <c r="B126" s="96" t="str">
        <f>Originals!B283</f>
        <v>NI-488.2</v>
      </c>
      <c r="C126" s="96" t="str">
        <f>Originals!C283</f>
        <v>15.5.0</v>
      </c>
      <c r="D126" s="96" t="str">
        <f>Originals!D283</f>
        <v>32</v>
      </c>
      <c r="E126" s="96" t="str">
        <f>Originals!E283</f>
        <v>2019</v>
      </c>
      <c r="F126" s="96" t="str">
        <f>Originals!F283</f>
        <v>Development</v>
      </c>
      <c r="G126" s="96" t="str">
        <f>Originals!G283</f>
        <v>NI</v>
      </c>
      <c r="H126" s="96" t="str">
        <f>Originals!H283</f>
        <v>NI-488.2 15.5.0</v>
      </c>
      <c r="I126" s="96">
        <f>Originals!I283</f>
        <v>0</v>
      </c>
    </row>
    <row r="127" spans="1:9" ht="15" x14ac:dyDescent="0.25">
      <c r="A127" s="96" t="str">
        <f>Originals!A285</f>
        <v>4-Vinnie</v>
      </c>
      <c r="B127" s="96" t="str">
        <f>Originals!B285</f>
        <v>NI-CAN</v>
      </c>
      <c r="C127" s="96" t="str">
        <f>Originals!C285</f>
        <v>15.0.0f0</v>
      </c>
      <c r="D127" s="96" t="str">
        <f>Originals!D285</f>
        <v>32</v>
      </c>
      <c r="E127" s="96">
        <f>Originals!E285</f>
        <v>2015</v>
      </c>
      <c r="F127" s="96" t="str">
        <f>Originals!F285</f>
        <v>Development</v>
      </c>
      <c r="G127" s="96" t="str">
        <f>Originals!G285</f>
        <v>NI</v>
      </c>
      <c r="H127" s="96" t="str">
        <f>Originals!H285</f>
        <v>NI-CAN 15.0.0f0</v>
      </c>
      <c r="I127" s="96">
        <f>Originals!I285</f>
        <v>0</v>
      </c>
    </row>
    <row r="128" spans="1:9" ht="15" x14ac:dyDescent="0.25">
      <c r="A128" s="96" t="str">
        <f>Originals!A37</f>
        <v>1-Corey</v>
      </c>
      <c r="B128" s="96" t="str">
        <f>Originals!B37</f>
        <v>NI-DAQmx ADE Support</v>
      </c>
      <c r="C128" s="96" t="str">
        <f>Originals!C37</f>
        <v>15.0.0</v>
      </c>
      <c r="D128" s="96" t="str">
        <f>Originals!D37</f>
        <v>32</v>
      </c>
      <c r="E128" s="96" t="str">
        <f>Originals!E37</f>
        <v>2015</v>
      </c>
      <c r="F128" s="96" t="str">
        <f>Originals!F37</f>
        <v>Development</v>
      </c>
      <c r="G128" s="96" t="str">
        <f>Originals!G37</f>
        <v>NI</v>
      </c>
      <c r="H128" s="96" t="str">
        <f>Originals!H37</f>
        <v>NI-DAQmx ADE Support 15.0.0</v>
      </c>
      <c r="I128" s="96" t="str">
        <f>Originals!I37</f>
        <v>NI Developer Suite 2015 DS2 Install</v>
      </c>
    </row>
    <row r="129" spans="1:9" ht="15" x14ac:dyDescent="0.25">
      <c r="A129" s="96" t="str">
        <f>Scott!A108</f>
        <v>3-Scott</v>
      </c>
      <c r="B129" s="96" t="str">
        <f>Scott!B108</f>
        <v>NI-DAQmx ADE Support</v>
      </c>
      <c r="C129" s="96" t="str">
        <f>Scott!C108</f>
        <v>18.1.0</v>
      </c>
      <c r="D129" s="96" t="str">
        <f>Scott!D108</f>
        <v>32</v>
      </c>
      <c r="E129" s="96" t="str">
        <f>Scott!E108</f>
        <v>2018</v>
      </c>
      <c r="F129" s="96" t="str">
        <f>Scott!F108</f>
        <v>Development</v>
      </c>
      <c r="G129" s="96" t="str">
        <f>Scott!G108</f>
        <v>NI</v>
      </c>
      <c r="H129" s="96" t="str">
        <f>Scott!H108</f>
        <v>NI-DAQmx ADE Support 18.1.0</v>
      </c>
      <c r="I129" s="96" t="str">
        <f>Scott!I108</f>
        <v>CompactRIO 18.1.0</v>
      </c>
    </row>
    <row r="130" spans="1:9" ht="15" x14ac:dyDescent="0.25">
      <c r="A130" s="96" t="str">
        <f>Originals!A286</f>
        <v>4-Vinnie</v>
      </c>
      <c r="B130" s="96" t="str">
        <f>Originals!B286</f>
        <v>NI-DAQmx ADE Support</v>
      </c>
      <c r="C130" s="96" t="str">
        <f>Originals!C286</f>
        <v>18.5.0</v>
      </c>
      <c r="D130" s="96" t="str">
        <f>Originals!D286</f>
        <v>32</v>
      </c>
      <c r="E130" s="96" t="str">
        <f>Originals!E286</f>
        <v>2018</v>
      </c>
      <c r="F130" s="96" t="str">
        <f>Originals!F286</f>
        <v>Development</v>
      </c>
      <c r="G130" s="96" t="str">
        <f>Originals!G286</f>
        <v>NI</v>
      </c>
      <c r="H130" s="96" t="str">
        <f>Originals!H286</f>
        <v>NI-DAQmx ADE Support 18.5.0</v>
      </c>
      <c r="I130" s="96">
        <f>Originals!I286</f>
        <v>0</v>
      </c>
    </row>
    <row r="131" spans="1:9" ht="15" x14ac:dyDescent="0.25">
      <c r="A131" s="96" t="str">
        <f>Originals!A386</f>
        <v>5-Confluence</v>
      </c>
      <c r="B131" s="96" t="str">
        <f>Originals!B386</f>
        <v>NI-DAQmx ADE Support</v>
      </c>
      <c r="C131" s="96" t="str">
        <f>Originals!C386</f>
        <v>18.1</v>
      </c>
      <c r="D131" s="96" t="str">
        <f>Originals!D386</f>
        <v>32</v>
      </c>
      <c r="E131" s="96" t="str">
        <f>Originals!E386</f>
        <v>2018</v>
      </c>
      <c r="F131" s="96" t="str">
        <f>Originals!F386</f>
        <v>Development</v>
      </c>
      <c r="G131" s="96" t="str">
        <f>Originals!G386</f>
        <v>NI</v>
      </c>
      <c r="H131" s="96" t="str">
        <f>Originals!H386</f>
        <v>NI-DAQmx ADE Support 18.1</v>
      </c>
      <c r="I131" s="96" t="str">
        <f>Originals!I386</f>
        <v>CompactRIO 18.1.0</v>
      </c>
    </row>
    <row r="132" spans="1:9" ht="15" x14ac:dyDescent="0.25">
      <c r="A132" s="96" t="str">
        <f>Originals!A38</f>
        <v>1-Corey</v>
      </c>
      <c r="B132" s="96" t="str">
        <f>Originals!B38</f>
        <v>NI-DAQmx Device Driver</v>
      </c>
      <c r="C132" s="96" t="str">
        <f>Originals!C38</f>
        <v>15.0.0f2</v>
      </c>
      <c r="D132" s="96" t="str">
        <f>Originals!D38</f>
        <v>32</v>
      </c>
      <c r="E132" s="96" t="str">
        <f>Originals!E38</f>
        <v>2015</v>
      </c>
      <c r="F132" s="96" t="str">
        <f>Originals!F38</f>
        <v>Development</v>
      </c>
      <c r="G132" s="96" t="str">
        <f>Originals!G38</f>
        <v>NI</v>
      </c>
      <c r="H132" s="96" t="str">
        <f>Originals!H38</f>
        <v>NI-DAQmx Device Driver 15.0.0f2</v>
      </c>
      <c r="I132" s="96" t="str">
        <f>Originals!I38</f>
        <v>NI Developer Suite 2015 DS2 Install</v>
      </c>
    </row>
    <row r="133" spans="1:9" ht="15" x14ac:dyDescent="0.25">
      <c r="A133" s="96" t="str">
        <f>Scott!A109</f>
        <v>3-Scott</v>
      </c>
      <c r="B133" s="96" t="str">
        <f>Scott!B109</f>
        <v>NI-DAQmx Device Driver</v>
      </c>
      <c r="C133" s="96" t="str">
        <f>Scott!C109</f>
        <v>19.0.0.f1</v>
      </c>
      <c r="D133" s="96">
        <f>Scott!D109</f>
        <v>32</v>
      </c>
      <c r="E133" s="96">
        <f>Scott!E109</f>
        <v>2019</v>
      </c>
      <c r="F133" s="96" t="str">
        <f>Scott!F109</f>
        <v>Development</v>
      </c>
      <c r="G133" s="96" t="str">
        <f>Scott!G109</f>
        <v>NI</v>
      </c>
      <c r="H133" s="96" t="str">
        <f>Scott!H109</f>
        <v>NI-DAQmx Device Driver 19.0.0.f1</v>
      </c>
      <c r="I133" s="96" t="str">
        <f>Scott!I109</f>
        <v>LabVIEW 2019</v>
      </c>
    </row>
    <row r="134" spans="1:9" ht="15" x14ac:dyDescent="0.25">
      <c r="A134" s="96" t="str">
        <f>Originals!A287</f>
        <v>4-Vinnie</v>
      </c>
      <c r="B134" s="96" t="str">
        <f>Originals!B287</f>
        <v>NI-DAQmx Device Driver</v>
      </c>
      <c r="C134" s="96" t="str">
        <f>Originals!C287</f>
        <v>19.5.0f0</v>
      </c>
      <c r="D134" s="96" t="str">
        <f>Originals!D287</f>
        <v>32</v>
      </c>
      <c r="E134" s="96" t="str">
        <f>Originals!E287</f>
        <v>2019</v>
      </c>
      <c r="F134" s="96" t="str">
        <f>Originals!F287</f>
        <v>Development</v>
      </c>
      <c r="G134" s="96" t="str">
        <f>Originals!G287</f>
        <v>NI</v>
      </c>
      <c r="H134" s="96" t="str">
        <f>Originals!H287</f>
        <v>NI-DAQmx Device Driver 19.5.0f0</v>
      </c>
      <c r="I134" s="96">
        <f>Originals!I287</f>
        <v>0</v>
      </c>
    </row>
    <row r="135" spans="1:9" ht="15" x14ac:dyDescent="0.25">
      <c r="A135" s="96" t="str">
        <f>Originals!A387</f>
        <v>5-Confluence</v>
      </c>
      <c r="B135" s="96" t="str">
        <f>Originals!B387</f>
        <v>NI-DAQmx Device Driver</v>
      </c>
      <c r="C135" s="96" t="str">
        <f>Originals!C387</f>
        <v>18.1</v>
      </c>
      <c r="D135" s="96" t="str">
        <f>Originals!D387</f>
        <v>32</v>
      </c>
      <c r="E135" s="96" t="str">
        <f>Originals!E387</f>
        <v>2018</v>
      </c>
      <c r="F135" s="96" t="str">
        <f>Originals!F387</f>
        <v>Development</v>
      </c>
      <c r="G135" s="96" t="str">
        <f>Originals!G387</f>
        <v>NI</v>
      </c>
      <c r="H135" s="96" t="str">
        <f>Originals!H387</f>
        <v>NI-DAQmx Device Driver 18.1</v>
      </c>
      <c r="I135" s="96" t="str">
        <f>Originals!I387</f>
        <v>CompactRIO 18.1.0</v>
      </c>
    </row>
    <row r="136" spans="1:9" ht="15" x14ac:dyDescent="0.25">
      <c r="A136" s="96" t="str">
        <f>Originals!A39</f>
        <v>1-Corey</v>
      </c>
      <c r="B136" s="96" t="str">
        <f>Originals!B39</f>
        <v>NI-DAQmx MAX Configuration</v>
      </c>
      <c r="C136" s="96" t="str">
        <f>Originals!C39</f>
        <v>15.0.0</v>
      </c>
      <c r="D136" s="96" t="str">
        <f>Originals!D39</f>
        <v>32</v>
      </c>
      <c r="E136" s="96" t="str">
        <f>Originals!E39</f>
        <v>2015</v>
      </c>
      <c r="F136" s="96" t="str">
        <f>Originals!F39</f>
        <v>Development</v>
      </c>
      <c r="G136" s="96" t="str">
        <f>Originals!G39</f>
        <v>NI</v>
      </c>
      <c r="H136" s="96" t="str">
        <f>Originals!H39</f>
        <v>NI-DAQmx MAX Configuration 15.0.0</v>
      </c>
      <c r="I136" s="96" t="str">
        <f>Originals!I39</f>
        <v>NI Developer Suite 2015 DS2 Install</v>
      </c>
    </row>
    <row r="137" spans="1:9" ht="15" x14ac:dyDescent="0.25">
      <c r="A137" s="96" t="str">
        <f>Scott!A110</f>
        <v>3-Scott</v>
      </c>
      <c r="B137" s="96" t="str">
        <f>Scott!B110</f>
        <v>NI-DAQmx MAX Configuration</v>
      </c>
      <c r="C137" s="96" t="str">
        <f>Scott!C110</f>
        <v>18.1.0</v>
      </c>
      <c r="D137" s="96" t="str">
        <f>Scott!D110</f>
        <v>32</v>
      </c>
      <c r="E137" s="96" t="str">
        <f>Scott!E110</f>
        <v>2018</v>
      </c>
      <c r="F137" s="96" t="str">
        <f>Scott!F110</f>
        <v>Development</v>
      </c>
      <c r="G137" s="96" t="str">
        <f>Scott!G110</f>
        <v>NI</v>
      </c>
      <c r="H137" s="96" t="str">
        <f>Scott!H110</f>
        <v>NI-DAQmx MAX Configuration 18.1.0</v>
      </c>
      <c r="I137" s="96" t="str">
        <f>Scott!I110</f>
        <v>CompactRIO 18.1.0</v>
      </c>
    </row>
    <row r="138" spans="1:9" ht="15" x14ac:dyDescent="0.25">
      <c r="A138" s="96" t="str">
        <f>Originals!A288</f>
        <v>4-Vinnie</v>
      </c>
      <c r="B138" s="96" t="str">
        <f>Originals!B288</f>
        <v>NI-DAQmx MAX Configuration</v>
      </c>
      <c r="C138" s="96" t="str">
        <f>Originals!C288</f>
        <v>18.5.0</v>
      </c>
      <c r="D138" s="96" t="str">
        <f>Originals!D288</f>
        <v>32</v>
      </c>
      <c r="E138" s="96" t="str">
        <f>Originals!E288</f>
        <v>2018</v>
      </c>
      <c r="F138" s="96" t="str">
        <f>Originals!F288</f>
        <v>Development</v>
      </c>
      <c r="G138" s="96" t="str">
        <f>Originals!G288</f>
        <v>NI</v>
      </c>
      <c r="H138" s="96" t="str">
        <f>Originals!H288</f>
        <v>NI-DAQmx MAX Configuration 18.5.0</v>
      </c>
      <c r="I138" s="96">
        <f>Originals!I288</f>
        <v>0</v>
      </c>
    </row>
    <row r="139" spans="1:9" ht="15" x14ac:dyDescent="0.25">
      <c r="A139" s="96" t="str">
        <f>Originals!A388</f>
        <v>5-Confluence</v>
      </c>
      <c r="B139" s="96" t="str">
        <f>Originals!B388</f>
        <v>NI-DAQmx MAX Configuration</v>
      </c>
      <c r="C139" s="96" t="str">
        <f>Originals!C388</f>
        <v>18.1</v>
      </c>
      <c r="D139" s="96" t="str">
        <f>Originals!D388</f>
        <v>32</v>
      </c>
      <c r="E139" s="96" t="str">
        <f>Originals!E388</f>
        <v>2018</v>
      </c>
      <c r="F139" s="96" t="str">
        <f>Originals!F388</f>
        <v>Development</v>
      </c>
      <c r="G139" s="96" t="str">
        <f>Originals!G388</f>
        <v>NI</v>
      </c>
      <c r="H139" s="96" t="str">
        <f>Originals!H388</f>
        <v>NI-DAQmx MAX Configuration 18.1</v>
      </c>
      <c r="I139" s="96" t="str">
        <f>Originals!I388</f>
        <v>CompactRIO 18.1.0</v>
      </c>
    </row>
    <row r="140" spans="1:9" ht="15" x14ac:dyDescent="0.25">
      <c r="A140" s="96" t="str">
        <f>Originals!A40</f>
        <v>1-Corey</v>
      </c>
      <c r="B140" s="96" t="str">
        <f>Originals!B40</f>
        <v>NI-DCPower</v>
      </c>
      <c r="C140" s="96" t="str">
        <f>Originals!C40</f>
        <v>15.0</v>
      </c>
      <c r="D140" s="96" t="str">
        <f>Originals!D40</f>
        <v>32</v>
      </c>
      <c r="E140" s="96" t="str">
        <f>Originals!E40</f>
        <v>2015</v>
      </c>
      <c r="F140" s="96" t="str">
        <f>Originals!F40</f>
        <v>Development</v>
      </c>
      <c r="G140" s="96" t="str">
        <f>Originals!G40</f>
        <v>NI</v>
      </c>
      <c r="H140" s="96" t="str">
        <f>Originals!H40</f>
        <v>NI-DCPower 15.0</v>
      </c>
      <c r="I140" s="96" t="str">
        <f>Originals!I40</f>
        <v>NI Developer Suite 2015 DS2 Install</v>
      </c>
    </row>
    <row r="141" spans="1:9" ht="15" x14ac:dyDescent="0.25">
      <c r="A141" s="96" t="str">
        <f>Originals!A118</f>
        <v>2-Spencer</v>
      </c>
      <c r="B141" s="96" t="str">
        <f>Originals!B118</f>
        <v>NI-DCPower</v>
      </c>
      <c r="C141" s="96">
        <f>Originals!C118</f>
        <v>0</v>
      </c>
      <c r="D141" s="96" t="str">
        <f>Originals!D118</f>
        <v>32</v>
      </c>
      <c r="E141" s="96" t="str">
        <f>Originals!E118</f>
        <v>2015</v>
      </c>
      <c r="F141" s="96" t="str">
        <f>Originals!F118</f>
        <v>Development</v>
      </c>
      <c r="G141" s="96" t="str">
        <f>Originals!G118</f>
        <v>NI</v>
      </c>
      <c r="H141" s="96" t="str">
        <f>Originals!H118</f>
        <v xml:space="preserve">NI-DCPower </v>
      </c>
      <c r="I141" s="96" t="str">
        <f>Originals!I118</f>
        <v>NI Developer Suite 2015 DS2 Install</v>
      </c>
    </row>
    <row r="142" spans="1:9" ht="15" x14ac:dyDescent="0.25">
      <c r="A142" s="96" t="str">
        <f>Originals!A42</f>
        <v>1-Corey</v>
      </c>
      <c r="B142" s="96" t="str">
        <f>Originals!B42</f>
        <v>NI-DCPower Configuration Support</v>
      </c>
      <c r="C142" s="96" t="str">
        <f>Originals!C42</f>
        <v>15.0</v>
      </c>
      <c r="D142" s="96" t="str">
        <f>Originals!D42</f>
        <v>32</v>
      </c>
      <c r="E142" s="96" t="str">
        <f>Originals!E42</f>
        <v>2015</v>
      </c>
      <c r="F142" s="96" t="str">
        <f>Originals!F42</f>
        <v>Development</v>
      </c>
      <c r="G142" s="96" t="str">
        <f>Originals!G42</f>
        <v>NI</v>
      </c>
      <c r="H142" s="96" t="str">
        <f>Originals!H42</f>
        <v>NI-DCPower Configuration Support 15.0</v>
      </c>
      <c r="I142" s="96" t="str">
        <f>Originals!I42</f>
        <v>NI Developer Suite 2015 DS2 Install</v>
      </c>
    </row>
    <row r="143" spans="1:9" ht="15" x14ac:dyDescent="0.25">
      <c r="A143" s="96" t="str">
        <f>Originals!A43</f>
        <v>1-Corey</v>
      </c>
      <c r="B143" s="96" t="str">
        <f>Originals!B43</f>
        <v>NI-DCPower Development Support</v>
      </c>
      <c r="C143" s="96" t="str">
        <f>Originals!C43</f>
        <v>15.0</v>
      </c>
      <c r="D143" s="96" t="str">
        <f>Originals!D43</f>
        <v>32</v>
      </c>
      <c r="E143" s="96" t="str">
        <f>Originals!E43</f>
        <v>2015</v>
      </c>
      <c r="F143" s="96" t="str">
        <f>Originals!F43</f>
        <v>Development</v>
      </c>
      <c r="G143" s="96" t="str">
        <f>Originals!G43</f>
        <v>NI</v>
      </c>
      <c r="H143" s="96" t="str">
        <f>Originals!H43</f>
        <v>NI-DCPower Development Support 15.0</v>
      </c>
      <c r="I143" s="96" t="str">
        <f>Originals!I43</f>
        <v>NI Developer Suite 2015 DS2 Install</v>
      </c>
    </row>
    <row r="144" spans="1:9" ht="15" x14ac:dyDescent="0.25">
      <c r="A144" s="96" t="str">
        <f>Originals!A44</f>
        <v>1-Corey</v>
      </c>
      <c r="B144" s="96" t="str">
        <f>Originals!B44</f>
        <v>NI-DCPower Soft Front Panel</v>
      </c>
      <c r="C144" s="96" t="str">
        <f>Originals!C44</f>
        <v>15.0</v>
      </c>
      <c r="D144" s="96" t="str">
        <f>Originals!D44</f>
        <v>32</v>
      </c>
      <c r="E144" s="96" t="str">
        <f>Originals!E44</f>
        <v>2015</v>
      </c>
      <c r="F144" s="96" t="str">
        <f>Originals!F44</f>
        <v>Development</v>
      </c>
      <c r="G144" s="96" t="str">
        <f>Originals!G44</f>
        <v>NI</v>
      </c>
      <c r="H144" s="96" t="str">
        <f>Originals!H44</f>
        <v>NI-DCPower Soft Front Panel 15.0</v>
      </c>
      <c r="I144" s="96" t="str">
        <f>Originals!I44</f>
        <v>NI Developer Suite 2015 DS2 Install</v>
      </c>
    </row>
    <row r="145" spans="1:9" ht="15" x14ac:dyDescent="0.25">
      <c r="A145" s="96" t="str">
        <f>Originals!A45</f>
        <v>1-Corey</v>
      </c>
      <c r="B145" s="96" t="str">
        <f>Originals!B45</f>
        <v>NI-DMM</v>
      </c>
      <c r="C145" s="96" t="str">
        <f>Originals!C45</f>
        <v>15.0</v>
      </c>
      <c r="D145" s="96" t="str">
        <f>Originals!D45</f>
        <v>32</v>
      </c>
      <c r="E145" s="96" t="str">
        <f>Originals!E45</f>
        <v>2015</v>
      </c>
      <c r="F145" s="96" t="str">
        <f>Originals!F45</f>
        <v>Development</v>
      </c>
      <c r="G145" s="96" t="str">
        <f>Originals!G45</f>
        <v>NI</v>
      </c>
      <c r="H145" s="96" t="str">
        <f>Originals!H45</f>
        <v>NI-DMM 15.0</v>
      </c>
      <c r="I145" s="96" t="str">
        <f>Originals!I45</f>
        <v>NI Developer Suite 2015 DS2 Install</v>
      </c>
    </row>
    <row r="146" spans="1:9" ht="15" x14ac:dyDescent="0.25">
      <c r="A146" s="96" t="str">
        <f>Originals!A123</f>
        <v>2-Spencer</v>
      </c>
      <c r="B146" s="96" t="str">
        <f>Originals!B123</f>
        <v>NI-DMM</v>
      </c>
      <c r="C146" s="96">
        <f>Originals!C123</f>
        <v>0</v>
      </c>
      <c r="D146" s="96" t="str">
        <f>Originals!D123</f>
        <v>32</v>
      </c>
      <c r="E146" s="96" t="str">
        <f>Originals!E123</f>
        <v>2015</v>
      </c>
      <c r="F146" s="96" t="str">
        <f>Originals!F123</f>
        <v>Development</v>
      </c>
      <c r="G146" s="96" t="str">
        <f>Originals!G123</f>
        <v>NI</v>
      </c>
      <c r="H146" s="96" t="str">
        <f>Originals!H123</f>
        <v xml:space="preserve">NI-DMM </v>
      </c>
      <c r="I146" s="96" t="str">
        <f>Originals!I123</f>
        <v>NI Developer Suite 2015 DS2 Install</v>
      </c>
    </row>
    <row r="147" spans="1:9" ht="15" x14ac:dyDescent="0.25">
      <c r="A147" s="96" t="str">
        <f>Originals!A47</f>
        <v>1-Corey</v>
      </c>
      <c r="B147" s="96" t="str">
        <f>Originals!B47</f>
        <v>NI-DMM Configuration Support</v>
      </c>
      <c r="C147" s="96" t="str">
        <f>Originals!C47</f>
        <v>15.0</v>
      </c>
      <c r="D147" s="96" t="str">
        <f>Originals!D47</f>
        <v>32</v>
      </c>
      <c r="E147" s="96" t="str">
        <f>Originals!E47</f>
        <v>2015</v>
      </c>
      <c r="F147" s="96" t="str">
        <f>Originals!F47</f>
        <v>Development</v>
      </c>
      <c r="G147" s="96" t="str">
        <f>Originals!G47</f>
        <v>NI</v>
      </c>
      <c r="H147" s="96" t="str">
        <f>Originals!H47</f>
        <v>NI-DMM Configuration Support 15.0</v>
      </c>
      <c r="I147" s="96" t="str">
        <f>Originals!I47</f>
        <v>NI Developer Suite 2015 DS2 Install</v>
      </c>
    </row>
    <row r="148" spans="1:9" ht="15" x14ac:dyDescent="0.25">
      <c r="A148" s="96" t="str">
        <f>Originals!A48</f>
        <v>1-Corey</v>
      </c>
      <c r="B148" s="96" t="str">
        <f>Originals!B48</f>
        <v>NI-DMM Development Support</v>
      </c>
      <c r="C148" s="96" t="str">
        <f>Originals!C48</f>
        <v>15.0</v>
      </c>
      <c r="D148" s="96" t="str">
        <f>Originals!D48</f>
        <v>32</v>
      </c>
      <c r="E148" s="96" t="str">
        <f>Originals!E48</f>
        <v>2015</v>
      </c>
      <c r="F148" s="96" t="str">
        <f>Originals!F48</f>
        <v>Development</v>
      </c>
      <c r="G148" s="96" t="str">
        <f>Originals!G48</f>
        <v>NI</v>
      </c>
      <c r="H148" s="96" t="str">
        <f>Originals!H48</f>
        <v>NI-DMM Development Support 15.0</v>
      </c>
      <c r="I148" s="96" t="str">
        <f>Originals!I48</f>
        <v>NI Developer Suite 2015 DS2 Install</v>
      </c>
    </row>
    <row r="149" spans="1:9" ht="15" x14ac:dyDescent="0.25">
      <c r="A149" s="96" t="str">
        <f>Originals!A49</f>
        <v>1-Corey</v>
      </c>
      <c r="B149" s="96" t="str">
        <f>Originals!B49</f>
        <v>NI-DMM Soft Front Panel</v>
      </c>
      <c r="C149" s="96" t="str">
        <f>Originals!C49</f>
        <v>15.0</v>
      </c>
      <c r="D149" s="96" t="str">
        <f>Originals!D49</f>
        <v>32</v>
      </c>
      <c r="E149" s="96" t="str">
        <f>Originals!E49</f>
        <v>2015</v>
      </c>
      <c r="F149" s="96" t="str">
        <f>Originals!F49</f>
        <v>Development</v>
      </c>
      <c r="G149" s="96" t="str">
        <f>Originals!G49</f>
        <v>NI</v>
      </c>
      <c r="H149" s="96" t="str">
        <f>Originals!H49</f>
        <v>NI-DMM Soft Front Panel 15.0</v>
      </c>
      <c r="I149" s="96" t="str">
        <f>Originals!I49</f>
        <v>NI Developer Suite 2015 DS2 Install</v>
      </c>
    </row>
    <row r="150" spans="1:9" ht="15" x14ac:dyDescent="0.25">
      <c r="A150" s="96" t="str">
        <f>Originals!A50</f>
        <v>1-Corey</v>
      </c>
      <c r="B150" s="96" t="str">
        <f>Originals!B50</f>
        <v>NI-FGEN</v>
      </c>
      <c r="C150" s="96" t="str">
        <f>Originals!C50</f>
        <v>15.0</v>
      </c>
      <c r="D150" s="96" t="str">
        <f>Originals!D50</f>
        <v>32</v>
      </c>
      <c r="E150" s="96" t="str">
        <f>Originals!E50</f>
        <v>2015</v>
      </c>
      <c r="F150" s="96" t="str">
        <f>Originals!F50</f>
        <v>Development</v>
      </c>
      <c r="G150" s="96" t="str">
        <f>Originals!G50</f>
        <v>NI</v>
      </c>
      <c r="H150" s="96" t="str">
        <f>Originals!H50</f>
        <v>NI-FGEN 15.0</v>
      </c>
      <c r="I150" s="96" t="str">
        <f>Originals!I50</f>
        <v>NI Developer Suite 2015 DS2 Install</v>
      </c>
    </row>
    <row r="151" spans="1:9" ht="15" x14ac:dyDescent="0.25">
      <c r="A151" s="96" t="str">
        <f>Originals!A127</f>
        <v>2-Spencer</v>
      </c>
      <c r="B151" s="96" t="str">
        <f>Originals!B127</f>
        <v>NI-FGEN</v>
      </c>
      <c r="C151" s="96">
        <f>Originals!C127</f>
        <v>0</v>
      </c>
      <c r="D151" s="96" t="str">
        <f>Originals!D127</f>
        <v>32</v>
      </c>
      <c r="E151" s="96" t="str">
        <f>Originals!E127</f>
        <v>2015</v>
      </c>
      <c r="F151" s="96" t="str">
        <f>Originals!F127</f>
        <v>Development</v>
      </c>
      <c r="G151" s="96" t="str">
        <f>Originals!G127</f>
        <v>NI</v>
      </c>
      <c r="H151" s="96" t="str">
        <f>Originals!H127</f>
        <v xml:space="preserve">NI-FGEN </v>
      </c>
      <c r="I151" s="96" t="str">
        <f>Originals!I127</f>
        <v>NI Developer Suite 2015 DS2 Install</v>
      </c>
    </row>
    <row r="152" spans="1:9" ht="15" x14ac:dyDescent="0.25">
      <c r="A152" s="96" t="str">
        <f>Originals!A52</f>
        <v>1-Corey</v>
      </c>
      <c r="B152" s="96" t="str">
        <f>Originals!B52</f>
        <v>NI-FGEN Configuration Support</v>
      </c>
      <c r="C152" s="96" t="str">
        <f>Originals!C52</f>
        <v>15.0</v>
      </c>
      <c r="D152" s="96" t="str">
        <f>Originals!D52</f>
        <v>32</v>
      </c>
      <c r="E152" s="96" t="str">
        <f>Originals!E52</f>
        <v>2015</v>
      </c>
      <c r="F152" s="96" t="str">
        <f>Originals!F52</f>
        <v>Development</v>
      </c>
      <c r="G152" s="96" t="str">
        <f>Originals!G52</f>
        <v>NI</v>
      </c>
      <c r="H152" s="96" t="str">
        <f>Originals!H52</f>
        <v>NI-FGEN Configuration Support 15.0</v>
      </c>
      <c r="I152" s="96" t="str">
        <f>Originals!I52</f>
        <v>NI Developer Suite 2015 DS2 Install</v>
      </c>
    </row>
    <row r="153" spans="1:9" ht="15" x14ac:dyDescent="0.25">
      <c r="A153" s="96" t="str">
        <f>Originals!A53</f>
        <v>1-Corey</v>
      </c>
      <c r="B153" s="96" t="str">
        <f>Originals!B53</f>
        <v>NI-FGEN Development Support</v>
      </c>
      <c r="C153" s="96" t="str">
        <f>Originals!C53</f>
        <v>15.0</v>
      </c>
      <c r="D153" s="96" t="str">
        <f>Originals!D53</f>
        <v>32</v>
      </c>
      <c r="E153" s="96" t="str">
        <f>Originals!E53</f>
        <v>2015</v>
      </c>
      <c r="F153" s="96" t="str">
        <f>Originals!F53</f>
        <v>Development</v>
      </c>
      <c r="G153" s="96" t="str">
        <f>Originals!G53</f>
        <v>NI</v>
      </c>
      <c r="H153" s="96" t="str">
        <f>Originals!H53</f>
        <v>NI-FGEN Development Support 15.0</v>
      </c>
      <c r="I153" s="96" t="str">
        <f>Originals!I53</f>
        <v>NI Developer Suite 2015 DS2 Install</v>
      </c>
    </row>
    <row r="154" spans="1:9" ht="15" x14ac:dyDescent="0.25">
      <c r="A154" s="96" t="str">
        <f>Originals!A54</f>
        <v>1-Corey</v>
      </c>
      <c r="B154" s="96" t="str">
        <f>Originals!B54</f>
        <v>NI-FGEN Soft Front Panel</v>
      </c>
      <c r="C154" s="96" t="str">
        <f>Originals!C54</f>
        <v>15.0</v>
      </c>
      <c r="D154" s="96" t="str">
        <f>Originals!D54</f>
        <v>32</v>
      </c>
      <c r="E154" s="96" t="str">
        <f>Originals!E54</f>
        <v>2015</v>
      </c>
      <c r="F154" s="96" t="str">
        <f>Originals!F54</f>
        <v>Development</v>
      </c>
      <c r="G154" s="96" t="str">
        <f>Originals!G54</f>
        <v>NI</v>
      </c>
      <c r="H154" s="96" t="str">
        <f>Originals!H54</f>
        <v>NI-FGEN Soft Front Panel 15.0</v>
      </c>
      <c r="I154" s="96" t="str">
        <f>Originals!I54</f>
        <v>NI Developer Suite 2015 DS2 Install</v>
      </c>
    </row>
    <row r="155" spans="1:9" ht="15" x14ac:dyDescent="0.25">
      <c r="A155" s="96" t="str">
        <f>Originals!A132</f>
        <v>2-Spencer</v>
      </c>
      <c r="B155" s="96" t="str">
        <f>Originals!B132</f>
        <v>NI-HSDIO</v>
      </c>
      <c r="C155" s="96">
        <f>Originals!C132</f>
        <v>0</v>
      </c>
      <c r="D155" s="96" t="str">
        <f>Originals!D132</f>
        <v>32</v>
      </c>
      <c r="E155" s="96" t="str">
        <f>Originals!E132</f>
        <v>2015</v>
      </c>
      <c r="F155" s="96" t="str">
        <f>Originals!F132</f>
        <v>Development</v>
      </c>
      <c r="G155" s="96" t="str">
        <f>Originals!G132</f>
        <v>NI</v>
      </c>
      <c r="H155" s="96" t="str">
        <f>Originals!H132</f>
        <v xml:space="preserve">NI-HSDIO </v>
      </c>
      <c r="I155" s="96" t="str">
        <f>Originals!I132</f>
        <v>NI Developer Suite 2015 DS2 Install</v>
      </c>
    </row>
    <row r="156" spans="1:9" ht="15" x14ac:dyDescent="0.25">
      <c r="A156" s="96" t="str">
        <f>Originals!A134</f>
        <v>2-Spencer</v>
      </c>
      <c r="B156" s="96" t="str">
        <f>Originals!B134</f>
        <v>NI-HSDIO Configuration Support</v>
      </c>
      <c r="C156" s="96" t="str">
        <f>Originals!C134</f>
        <v>15.0</v>
      </c>
      <c r="D156" s="96" t="str">
        <f>Originals!D134</f>
        <v>32</v>
      </c>
      <c r="E156" s="96" t="str">
        <f>Originals!E134</f>
        <v>2015</v>
      </c>
      <c r="F156" s="96" t="str">
        <f>Originals!F134</f>
        <v>Development</v>
      </c>
      <c r="G156" s="96" t="str">
        <f>Originals!G134</f>
        <v>NI</v>
      </c>
      <c r="H156" s="96" t="str">
        <f>Originals!H134</f>
        <v>NI-HSDIO Configuration Support 15.0</v>
      </c>
      <c r="I156" s="96" t="str">
        <f>Originals!I134</f>
        <v>NI Developer Suite 2015 DS2 Install</v>
      </c>
    </row>
    <row r="157" spans="1:9" ht="15" x14ac:dyDescent="0.25">
      <c r="A157" s="96" t="str">
        <f>Originals!A135</f>
        <v>2-Spencer</v>
      </c>
      <c r="B157" s="96" t="str">
        <f>Originals!B135</f>
        <v>NI-HSDIO Development Support</v>
      </c>
      <c r="C157" s="96" t="str">
        <f>Originals!C135</f>
        <v>15.0</v>
      </c>
      <c r="D157" s="96" t="str">
        <f>Originals!D135</f>
        <v>32</v>
      </c>
      <c r="E157" s="96" t="str">
        <f>Originals!E135</f>
        <v>2015</v>
      </c>
      <c r="F157" s="96" t="str">
        <f>Originals!F135</f>
        <v>Development</v>
      </c>
      <c r="G157" s="96" t="str">
        <f>Originals!G135</f>
        <v>NI</v>
      </c>
      <c r="H157" s="96" t="str">
        <f>Originals!H135</f>
        <v>NI-HSDIO Development Support 15.0</v>
      </c>
      <c r="I157" s="96" t="str">
        <f>Originals!I135</f>
        <v>NI Developer Suite 2015 DS2 Install</v>
      </c>
    </row>
    <row r="158" spans="1:9" ht="15" x14ac:dyDescent="0.25">
      <c r="A158" s="96" t="str">
        <f>Originals!A136</f>
        <v>2-Spencer</v>
      </c>
      <c r="B158" s="96" t="str">
        <f>Originals!B136</f>
        <v>NI-HWS</v>
      </c>
      <c r="C158" s="96" t="str">
        <f>Originals!C136</f>
        <v>15.0.0</v>
      </c>
      <c r="D158" s="96" t="str">
        <f>Originals!D136</f>
        <v>32</v>
      </c>
      <c r="E158" s="96" t="str">
        <f>Originals!E136</f>
        <v>2015</v>
      </c>
      <c r="F158" s="96" t="str">
        <f>Originals!F136</f>
        <v>Development</v>
      </c>
      <c r="G158" s="96" t="str">
        <f>Originals!G136</f>
        <v>NI</v>
      </c>
      <c r="H158" s="96" t="str">
        <f>Originals!H136</f>
        <v>NI-HWS 15.0.0</v>
      </c>
      <c r="I158" s="96" t="str">
        <f>Originals!I136</f>
        <v>NI Developer Suite 2015 DS2 Install</v>
      </c>
    </row>
    <row r="159" spans="1:9" ht="15" x14ac:dyDescent="0.25">
      <c r="A159" s="96" t="str">
        <f>Scott!A131</f>
        <v>3-Scott</v>
      </c>
      <c r="B159" s="96" t="str">
        <f>Scott!B131</f>
        <v>NI-IMAQ</v>
      </c>
      <c r="C159" s="96" t="str">
        <f>Scott!C131</f>
        <v>19.0.0</v>
      </c>
      <c r="D159" s="96" t="str">
        <f>Scott!D131</f>
        <v>32</v>
      </c>
      <c r="E159" s="96" t="str">
        <f>Scott!E131</f>
        <v>2019</v>
      </c>
      <c r="F159" s="96" t="str">
        <f>Scott!F131</f>
        <v>Development</v>
      </c>
      <c r="G159" s="96" t="str">
        <f>Scott!G131</f>
        <v>NI</v>
      </c>
      <c r="H159" s="96" t="str">
        <f>Scott!H131</f>
        <v>NI-IMAQ 19.0.0</v>
      </c>
      <c r="I159" s="96" t="str">
        <f>Scott!I131</f>
        <v>LabVIEW 2019</v>
      </c>
    </row>
    <row r="160" spans="1:9" ht="15" x14ac:dyDescent="0.25">
      <c r="A160" s="96" t="str">
        <f>Originals!A289</f>
        <v>4-Vinnie</v>
      </c>
      <c r="B160" s="96" t="str">
        <f>Originals!B289</f>
        <v>NI-IMAQ</v>
      </c>
      <c r="C160" s="96" t="str">
        <f>Originals!C289</f>
        <v>19.5.0</v>
      </c>
      <c r="D160" s="96" t="str">
        <f>Originals!D289</f>
        <v>32</v>
      </c>
      <c r="E160" s="96" t="str">
        <f>Originals!E289</f>
        <v>2019</v>
      </c>
      <c r="F160" s="96" t="str">
        <f>Originals!F289</f>
        <v>Development</v>
      </c>
      <c r="G160" s="96" t="str">
        <f>Originals!G289</f>
        <v>NI</v>
      </c>
      <c r="H160" s="96" t="str">
        <f>Originals!H289</f>
        <v>NI-IMAQ 19.5.0</v>
      </c>
      <c r="I160" s="96">
        <f>Originals!I289</f>
        <v>0</v>
      </c>
    </row>
    <row r="161" spans="1:9" ht="15" x14ac:dyDescent="0.25">
      <c r="A161" s="96" t="str">
        <f>Originals!A291</f>
        <v>4-Vinnie</v>
      </c>
      <c r="B161" s="96" t="str">
        <f>Originals!B291</f>
        <v>NI-IMAQ Development Support</v>
      </c>
      <c r="C161" s="96" t="str">
        <f>Originals!C291</f>
        <v>18.5.0</v>
      </c>
      <c r="D161" s="96" t="str">
        <f>Originals!D291</f>
        <v>32</v>
      </c>
      <c r="E161" s="96" t="str">
        <f>Originals!E291</f>
        <v>2018</v>
      </c>
      <c r="F161" s="96" t="str">
        <f>Originals!F291</f>
        <v>Development</v>
      </c>
      <c r="G161" s="96" t="str">
        <f>Originals!G291</f>
        <v>NI</v>
      </c>
      <c r="H161" s="96" t="str">
        <f>Originals!H291</f>
        <v>NI-IMAQ Development Support 18.5.0</v>
      </c>
      <c r="I161" s="96">
        <f>Originals!I291</f>
        <v>0</v>
      </c>
    </row>
    <row r="162" spans="1:9" ht="15" x14ac:dyDescent="0.25">
      <c r="A162" s="96" t="str">
        <f>Scott!A133</f>
        <v>3-Scott</v>
      </c>
      <c r="B162" s="96" t="str">
        <f>Scott!B133</f>
        <v>NI-IMAQ I/O</v>
      </c>
      <c r="C162" s="96" t="str">
        <f>Scott!C133</f>
        <v>19.0.0</v>
      </c>
      <c r="D162" s="96" t="str">
        <f>Scott!D133</f>
        <v>32</v>
      </c>
      <c r="E162" s="96" t="str">
        <f>Scott!E133</f>
        <v>2019</v>
      </c>
      <c r="F162" s="96" t="str">
        <f>Scott!F133</f>
        <v>Development</v>
      </c>
      <c r="G162" s="96" t="str">
        <f>Scott!G133</f>
        <v>NI</v>
      </c>
      <c r="H162" s="96" t="str">
        <f>Scott!H133</f>
        <v>NI-IMAQ I/O 19.0.0</v>
      </c>
      <c r="I162" s="96" t="str">
        <f>Scott!I133</f>
        <v>LabVIEW 2019</v>
      </c>
    </row>
    <row r="163" spans="1:9" ht="15" x14ac:dyDescent="0.25">
      <c r="A163" s="96" t="str">
        <f>Originals!A292</f>
        <v>4-Vinnie</v>
      </c>
      <c r="B163" s="96" t="str">
        <f>Originals!B292</f>
        <v>NI-IMAQ I/O</v>
      </c>
      <c r="C163" s="96" t="str">
        <f>Originals!C292</f>
        <v>18.5.0</v>
      </c>
      <c r="D163" s="96" t="str">
        <f>Originals!D292</f>
        <v>32</v>
      </c>
      <c r="E163" s="96" t="str">
        <f>Originals!E292</f>
        <v>2018</v>
      </c>
      <c r="F163" s="96" t="str">
        <f>Originals!F292</f>
        <v>Development</v>
      </c>
      <c r="G163" s="96" t="str">
        <f>Originals!G292</f>
        <v>NI</v>
      </c>
      <c r="H163" s="96" t="str">
        <f>Originals!H292</f>
        <v>NI-IMAQ I/O 18.5.0</v>
      </c>
      <c r="I163" s="96">
        <f>Originals!I292</f>
        <v>0</v>
      </c>
    </row>
    <row r="164" spans="1:9" ht="15" x14ac:dyDescent="0.25">
      <c r="A164" s="96" t="str">
        <f>Originals!A294</f>
        <v>4-Vinnie</v>
      </c>
      <c r="B164" s="96" t="str">
        <f>Originals!B294</f>
        <v>NI-IMAQ I/O Development Support</v>
      </c>
      <c r="C164" s="96" t="str">
        <f>Originals!C294</f>
        <v>18.5.0</v>
      </c>
      <c r="D164" s="96" t="str">
        <f>Originals!D294</f>
        <v>32</v>
      </c>
      <c r="E164" s="96" t="str">
        <f>Originals!E294</f>
        <v>2018</v>
      </c>
      <c r="F164" s="96" t="str">
        <f>Originals!F294</f>
        <v>Development</v>
      </c>
      <c r="G164" s="96" t="str">
        <f>Originals!G294</f>
        <v>NI</v>
      </c>
      <c r="H164" s="96" t="str">
        <f>Originals!H294</f>
        <v>NI-IMAQ I/O Development Support 18.5.0</v>
      </c>
      <c r="I164" s="96">
        <f>Originals!I294</f>
        <v>0</v>
      </c>
    </row>
    <row r="165" spans="1:9" ht="15" x14ac:dyDescent="0.25">
      <c r="A165" s="96" t="str">
        <f>Scott!A135</f>
        <v>3-Scott</v>
      </c>
      <c r="B165" s="96" t="str">
        <f>Scott!B135</f>
        <v>NI-IMAQdx</v>
      </c>
      <c r="C165" s="96" t="str">
        <f>Scott!C135</f>
        <v>19.0.0</v>
      </c>
      <c r="D165" s="96" t="str">
        <f>Scott!D135</f>
        <v>32</v>
      </c>
      <c r="E165" s="96" t="str">
        <f>Scott!E135</f>
        <v>2019</v>
      </c>
      <c r="F165" s="96" t="str">
        <f>Scott!F135</f>
        <v>Development</v>
      </c>
      <c r="G165" s="96" t="str">
        <f>Scott!G135</f>
        <v>NI</v>
      </c>
      <c r="H165" s="96" t="str">
        <f>Scott!H135</f>
        <v>NI-IMAQdx 19.0.0</v>
      </c>
      <c r="I165" s="96" t="str">
        <f>Scott!I135</f>
        <v>LabVIEW 2019</v>
      </c>
    </row>
    <row r="166" spans="1:9" ht="15" x14ac:dyDescent="0.25">
      <c r="A166" s="96" t="str">
        <f>Originals!A295</f>
        <v>4-Vinnie</v>
      </c>
      <c r="B166" s="96" t="str">
        <f>Originals!B295</f>
        <v>NI-IMAQdx</v>
      </c>
      <c r="C166" s="96" t="str">
        <f>Originals!C295</f>
        <v>18.5.0</v>
      </c>
      <c r="D166" s="96" t="str">
        <f>Originals!D295</f>
        <v>32</v>
      </c>
      <c r="E166" s="96" t="str">
        <f>Originals!E295</f>
        <v>2018</v>
      </c>
      <c r="F166" s="96" t="str">
        <f>Originals!F295</f>
        <v>Development</v>
      </c>
      <c r="G166" s="96" t="str">
        <f>Originals!G295</f>
        <v>NI</v>
      </c>
      <c r="H166" s="96" t="str">
        <f>Originals!H295</f>
        <v>NI-IMAQdx 18.5.0</v>
      </c>
      <c r="I166" s="96">
        <f>Originals!I295</f>
        <v>0</v>
      </c>
    </row>
    <row r="167" spans="1:9" ht="15" x14ac:dyDescent="0.25">
      <c r="A167" s="96" t="str">
        <f>Originals!A297</f>
        <v>4-Vinnie</v>
      </c>
      <c r="B167" s="96" t="str">
        <f>Originals!B297</f>
        <v>NI-IMAQdx Development Support</v>
      </c>
      <c r="C167" s="96" t="str">
        <f>Originals!C297</f>
        <v>18.5.0</v>
      </c>
      <c r="D167" s="96" t="str">
        <f>Originals!D297</f>
        <v>32</v>
      </c>
      <c r="E167" s="96" t="str">
        <f>Originals!E297</f>
        <v>2018</v>
      </c>
      <c r="F167" s="96" t="str">
        <f>Originals!F297</f>
        <v>Development</v>
      </c>
      <c r="G167" s="96" t="str">
        <f>Originals!G297</f>
        <v>NI</v>
      </c>
      <c r="H167" s="96" t="str">
        <f>Originals!H297</f>
        <v>NI-IMAQdx Development Support 18.5.0</v>
      </c>
      <c r="I167" s="96">
        <f>Originals!I297</f>
        <v>0</v>
      </c>
    </row>
    <row r="168" spans="1:9" ht="15" x14ac:dyDescent="0.25">
      <c r="A168" s="96" t="str">
        <f>Originals!A137</f>
        <v>2-Spencer</v>
      </c>
      <c r="B168" s="96" t="str">
        <f>Originals!B137</f>
        <v>NI-Industrial Communications for EtherCAT</v>
      </c>
      <c r="C168" s="96" t="str">
        <f>Originals!C137</f>
        <v>15.0.0f3</v>
      </c>
      <c r="D168" s="96" t="str">
        <f>Originals!D137</f>
        <v>32</v>
      </c>
      <c r="E168" s="96" t="str">
        <f>Originals!E137</f>
        <v>2015</v>
      </c>
      <c r="F168" s="96" t="str">
        <f>Originals!F137</f>
        <v>Development</v>
      </c>
      <c r="G168" s="96" t="str">
        <f>Originals!G137</f>
        <v>NI</v>
      </c>
      <c r="H168" s="96" t="str">
        <f>Originals!H137</f>
        <v>NI-Industrial Communications for EtherCAT 15.0.0f3</v>
      </c>
      <c r="I168" s="96" t="str">
        <f>Originals!I137</f>
        <v>NI-Industrial Communications for EtherCAT on "Y' Drive</v>
      </c>
    </row>
    <row r="169" spans="1:9" ht="15" x14ac:dyDescent="0.25">
      <c r="A169" s="96" t="str">
        <f>Scott!A137</f>
        <v>3-Scott</v>
      </c>
      <c r="B169" s="96" t="str">
        <f>Scott!B137</f>
        <v>NI-Industrial Communications for EtherCAT</v>
      </c>
      <c r="C169" s="96" t="str">
        <f>Scott!C137</f>
        <v>18.0.0f1</v>
      </c>
      <c r="D169" s="96">
        <f>Scott!D137</f>
        <v>32</v>
      </c>
      <c r="E169" s="96">
        <f>Scott!E137</f>
        <v>2015</v>
      </c>
      <c r="F169" s="96" t="str">
        <f>Scott!F137</f>
        <v>Development</v>
      </c>
      <c r="G169" s="96" t="str">
        <f>Scott!G137</f>
        <v>NI</v>
      </c>
      <c r="H169" s="96" t="str">
        <f>Scott!H137</f>
        <v>NI-Industrial Communications for EtherCAT 18.0.0f1</v>
      </c>
      <c r="I169" s="96" t="str">
        <f>Scott!I137</f>
        <v>NI-Industrial Communications for EtherCAT on "Y' Drive</v>
      </c>
    </row>
    <row r="170" spans="1:9" ht="15" x14ac:dyDescent="0.25">
      <c r="A170" s="96" t="str">
        <f>Originals!A298</f>
        <v>4-Vinnie</v>
      </c>
      <c r="B170" s="96" t="str">
        <f>Originals!B298</f>
        <v>NI-Industrial Communications for EtherCAT</v>
      </c>
      <c r="C170" s="96" t="str">
        <f>Originals!C298</f>
        <v>15.0</v>
      </c>
      <c r="D170" s="96" t="str">
        <f>Originals!D298</f>
        <v>32</v>
      </c>
      <c r="E170" s="96" t="str">
        <f>Originals!E298</f>
        <v>2015</v>
      </c>
      <c r="F170" s="96" t="str">
        <f>Originals!F298</f>
        <v>Development</v>
      </c>
      <c r="G170" s="96" t="str">
        <f>Originals!G298</f>
        <v>NI</v>
      </c>
      <c r="H170" s="96" t="str">
        <f>Originals!H298</f>
        <v>NI-Industrial Communications for EtherCAT 15.0</v>
      </c>
      <c r="I170" s="96" t="str">
        <f>Originals!I298</f>
        <v>NI-Industrial Communications for EtherCAT on "Y' Drive</v>
      </c>
    </row>
    <row r="171" spans="1:9" ht="15" x14ac:dyDescent="0.25">
      <c r="A171" s="96" t="str">
        <f>Originals!A389</f>
        <v>5-Confluence</v>
      </c>
      <c r="B171" s="96" t="str">
        <f>Originals!B389</f>
        <v>NI-Industrial Communications for EtherCAT</v>
      </c>
      <c r="C171" s="96" t="str">
        <f>Originals!C389</f>
        <v>18.0</v>
      </c>
      <c r="D171" s="96" t="str">
        <f>Originals!D389</f>
        <v>32</v>
      </c>
      <c r="E171" s="96" t="str">
        <f>Originals!E389</f>
        <v>2018</v>
      </c>
      <c r="F171" s="96" t="str">
        <f>Originals!F389</f>
        <v>Development</v>
      </c>
      <c r="G171" s="96" t="str">
        <f>Originals!G389</f>
        <v>NI</v>
      </c>
      <c r="H171" s="96" t="str">
        <f>Originals!H389</f>
        <v>NI-Industrial Communications for EtherCAT 18.0</v>
      </c>
      <c r="I171" s="96">
        <f>Originals!I389</f>
        <v>0</v>
      </c>
    </row>
    <row r="172" spans="1:9" ht="15" x14ac:dyDescent="0.25">
      <c r="A172" s="96" t="str">
        <f>Originals!A138</f>
        <v>2-Spencer</v>
      </c>
      <c r="B172" s="96" t="str">
        <f>Originals!B138</f>
        <v>NI-PAL</v>
      </c>
      <c r="C172" s="96" t="str">
        <f>Originals!C138</f>
        <v>19.0.0</v>
      </c>
      <c r="D172" s="96" t="str">
        <f>Originals!D138</f>
        <v>32</v>
      </c>
      <c r="E172" s="96" t="str">
        <f>Originals!E138</f>
        <v>2019</v>
      </c>
      <c r="F172" s="96" t="str">
        <f>Originals!F138</f>
        <v>Development</v>
      </c>
      <c r="G172" s="96" t="str">
        <f>Originals!G138</f>
        <v>NI</v>
      </c>
      <c r="H172" s="96" t="str">
        <f>Originals!H138</f>
        <v>NI-PAL 19.0.0</v>
      </c>
      <c r="I172" s="96">
        <f>Originals!I138</f>
        <v>0</v>
      </c>
    </row>
    <row r="173" spans="1:9" ht="15" x14ac:dyDescent="0.25">
      <c r="A173" s="96" t="str">
        <f>Originals!A390</f>
        <v>5-Confluence</v>
      </c>
      <c r="B173" s="96" t="str">
        <f>Originals!B390</f>
        <v>NI-PAL</v>
      </c>
      <c r="C173" s="96" t="str">
        <f>Originals!C390</f>
        <v>18.2</v>
      </c>
      <c r="D173" s="96" t="str">
        <f>Originals!D390</f>
        <v>32</v>
      </c>
      <c r="E173" s="96" t="str">
        <f>Originals!E390</f>
        <v>2018</v>
      </c>
      <c r="F173" s="96" t="str">
        <f>Originals!F390</f>
        <v>Development</v>
      </c>
      <c r="G173" s="96" t="str">
        <f>Originals!G390</f>
        <v>NI</v>
      </c>
      <c r="H173" s="96" t="str">
        <f>Originals!H390</f>
        <v>NI-PAL 18.2</v>
      </c>
      <c r="I173" s="96">
        <f>Originals!I390</f>
        <v>0</v>
      </c>
    </row>
    <row r="174" spans="1:9" ht="15" x14ac:dyDescent="0.25">
      <c r="A174" s="96" t="str">
        <f>Originals!A55</f>
        <v>1-Corey</v>
      </c>
      <c r="B174" s="96" t="str">
        <f>Originals!B55</f>
        <v>NI-PAL Software</v>
      </c>
      <c r="C174" s="96" t="str">
        <f>Originals!C55</f>
        <v>19.0.0</v>
      </c>
      <c r="D174" s="96" t="str">
        <f>Originals!D55</f>
        <v>32</v>
      </c>
      <c r="E174" s="96" t="str">
        <f>Originals!E55</f>
        <v>2019</v>
      </c>
      <c r="F174" s="96" t="str">
        <f>Originals!F55</f>
        <v>Development</v>
      </c>
      <c r="G174" s="96" t="str">
        <f>Originals!G55</f>
        <v>NI</v>
      </c>
      <c r="H174" s="96" t="str">
        <f>Originals!H55</f>
        <v>NI-PAL Software 19.0.0</v>
      </c>
      <c r="I174" s="96" t="str">
        <f>Originals!I55</f>
        <v>LabVIEW 2019</v>
      </c>
    </row>
    <row r="175" spans="1:9" ht="15" x14ac:dyDescent="0.25">
      <c r="A175" s="96" t="str">
        <f>Originals!A56</f>
        <v>1-Corey</v>
      </c>
      <c r="B175" s="96" t="str">
        <f>Originals!B56</f>
        <v>NI-RIO</v>
      </c>
      <c r="C175" s="96" t="str">
        <f>Originals!C56</f>
        <v>15.0.0</v>
      </c>
      <c r="D175" s="96" t="str">
        <f>Originals!D56</f>
        <v>32</v>
      </c>
      <c r="E175" s="96" t="str">
        <f>Originals!E56</f>
        <v>2015</v>
      </c>
      <c r="F175" s="96" t="str">
        <f>Originals!F56</f>
        <v>Development</v>
      </c>
      <c r="G175" s="96" t="str">
        <f>Originals!G56</f>
        <v>NI</v>
      </c>
      <c r="H175" s="96" t="str">
        <f>Originals!H56</f>
        <v>NI-RIO 15.0.0</v>
      </c>
      <c r="I175" s="96" t="str">
        <f>Originals!I56</f>
        <v>NI Developer Suite 2015 DS2 Install</v>
      </c>
    </row>
    <row r="176" spans="1:9" ht="15" x14ac:dyDescent="0.25">
      <c r="A176" s="96" t="str">
        <f>Originals!A303</f>
        <v>4-Vinnie</v>
      </c>
      <c r="B176" s="96" t="str">
        <f>Originals!B303</f>
        <v>NI-RIO</v>
      </c>
      <c r="C176" s="96" t="str">
        <f>Originals!C303</f>
        <v>18.5.0</v>
      </c>
      <c r="D176" s="96" t="str">
        <f>Originals!D303</f>
        <v>32</v>
      </c>
      <c r="E176" s="96" t="str">
        <f>Originals!E303</f>
        <v>2018</v>
      </c>
      <c r="F176" s="96" t="str">
        <f>Originals!F303</f>
        <v>Development</v>
      </c>
      <c r="G176" s="96" t="str">
        <f>Originals!G303</f>
        <v>NI</v>
      </c>
      <c r="H176" s="96" t="str">
        <f>Originals!H303</f>
        <v>NI-RIO 18.5.0</v>
      </c>
      <c r="I176" s="96">
        <f>Originals!I303</f>
        <v>0</v>
      </c>
    </row>
    <row r="177" spans="1:9" ht="15" x14ac:dyDescent="0.25">
      <c r="A177" s="96" t="str">
        <f>Originals!A391</f>
        <v>5-Confluence</v>
      </c>
      <c r="B177" s="96" t="str">
        <f>Originals!B391</f>
        <v>NI-RIO</v>
      </c>
      <c r="C177" s="96" t="str">
        <f>Originals!C391</f>
        <v>18.0</v>
      </c>
      <c r="D177" s="96" t="str">
        <f>Originals!D391</f>
        <v>32</v>
      </c>
      <c r="E177" s="96" t="str">
        <f>Originals!E391</f>
        <v>2018</v>
      </c>
      <c r="F177" s="96" t="str">
        <f>Originals!F391</f>
        <v>Development</v>
      </c>
      <c r="G177" s="96" t="str">
        <f>Originals!G391</f>
        <v>NI</v>
      </c>
      <c r="H177" s="96" t="str">
        <f>Originals!H391</f>
        <v>NI-RIO 18.0</v>
      </c>
      <c r="I177" s="96">
        <f>Originals!I391</f>
        <v>0</v>
      </c>
    </row>
    <row r="178" spans="1:9" ht="15" x14ac:dyDescent="0.25">
      <c r="A178" s="96" t="str">
        <f>Originals!A57</f>
        <v>1-Corey</v>
      </c>
      <c r="B178" s="96" t="str">
        <f>Originals!B57</f>
        <v>NI-SCOPE</v>
      </c>
      <c r="C178" s="96" t="str">
        <f>Originals!C57</f>
        <v>15.0</v>
      </c>
      <c r="D178" s="96" t="str">
        <f>Originals!D57</f>
        <v>32</v>
      </c>
      <c r="E178" s="96" t="str">
        <f>Originals!E57</f>
        <v>2015</v>
      </c>
      <c r="F178" s="96" t="str">
        <f>Originals!F57</f>
        <v>Development</v>
      </c>
      <c r="G178" s="96" t="str">
        <f>Originals!G57</f>
        <v>NI</v>
      </c>
      <c r="H178" s="96" t="str">
        <f>Originals!H57</f>
        <v>NI-SCOPE 15.0</v>
      </c>
      <c r="I178" s="96" t="str">
        <f>Originals!I57</f>
        <v>NI Developer Suite 2015 DS2 Install</v>
      </c>
    </row>
    <row r="179" spans="1:9" ht="15" x14ac:dyDescent="0.25">
      <c r="A179" s="96" t="str">
        <f>Originals!A142</f>
        <v>2-Spencer</v>
      </c>
      <c r="B179" s="96" t="str">
        <f>Originals!B142</f>
        <v>NI-SCOPE Configuration Support</v>
      </c>
      <c r="C179" s="96" t="str">
        <f>Originals!C142</f>
        <v>15.0</v>
      </c>
      <c r="D179" s="96" t="str">
        <f>Originals!D142</f>
        <v>32</v>
      </c>
      <c r="E179" s="96" t="str">
        <f>Originals!E142</f>
        <v>2015</v>
      </c>
      <c r="F179" s="96" t="str">
        <f>Originals!F142</f>
        <v>Development</v>
      </c>
      <c r="G179" s="96" t="str">
        <f>Originals!G142</f>
        <v>NI</v>
      </c>
      <c r="H179" s="96" t="str">
        <f>Originals!H142</f>
        <v>NI-SCOPE Configuration Support 15.0</v>
      </c>
      <c r="I179" s="96" t="str">
        <f>Originals!I142</f>
        <v>NI Developer Suite 2015 DS2 Install</v>
      </c>
    </row>
    <row r="180" spans="1:9" ht="15" x14ac:dyDescent="0.25">
      <c r="A180" s="96" t="str">
        <f>Originals!A59</f>
        <v>1-Corey</v>
      </c>
      <c r="B180" s="96" t="str">
        <f>Originals!B59</f>
        <v xml:space="preserve">NI-SCOPE Configuration Support </v>
      </c>
      <c r="C180" s="96" t="str">
        <f>Originals!C59</f>
        <v>15.0</v>
      </c>
      <c r="D180" s="96" t="str">
        <f>Originals!D59</f>
        <v>32</v>
      </c>
      <c r="E180" s="96" t="str">
        <f>Originals!E59</f>
        <v>2015</v>
      </c>
      <c r="F180" s="96" t="str">
        <f>Originals!F59</f>
        <v>Development</v>
      </c>
      <c r="G180" s="96" t="str">
        <f>Originals!G59</f>
        <v>NI</v>
      </c>
      <c r="H180" s="96" t="str">
        <f>Originals!H59</f>
        <v>NI-SCOPE Configuration Support  15.0</v>
      </c>
      <c r="I180" s="96" t="str">
        <f>Originals!I59</f>
        <v>NI Developer Suite 2015 DS2 Install</v>
      </c>
    </row>
    <row r="181" spans="1:9" ht="15" x14ac:dyDescent="0.25">
      <c r="A181" s="96" t="str">
        <f>Originals!A60</f>
        <v>1-Corey</v>
      </c>
      <c r="B181" s="96" t="str">
        <f>Originals!B60</f>
        <v>NI-SCOPE Development Support</v>
      </c>
      <c r="C181" s="96" t="str">
        <f>Originals!C60</f>
        <v>15.0</v>
      </c>
      <c r="D181" s="96" t="str">
        <f>Originals!D60</f>
        <v>32</v>
      </c>
      <c r="E181" s="96" t="str">
        <f>Originals!E60</f>
        <v>2015</v>
      </c>
      <c r="F181" s="96" t="str">
        <f>Originals!F60</f>
        <v>Development</v>
      </c>
      <c r="G181" s="96" t="str">
        <f>Originals!G60</f>
        <v>NI</v>
      </c>
      <c r="H181" s="96" t="str">
        <f>Originals!H60</f>
        <v>NI-SCOPE Development Support 15.0</v>
      </c>
      <c r="I181" s="96" t="str">
        <f>Originals!I60</f>
        <v>NI Developer Suite 2015 DS2 Install</v>
      </c>
    </row>
    <row r="182" spans="1:9" ht="15" x14ac:dyDescent="0.25">
      <c r="A182" s="96" t="str">
        <f>Originals!A61</f>
        <v>1-Corey</v>
      </c>
      <c r="B182" s="96" t="str">
        <f>Originals!B61</f>
        <v>NI-SCOPE Soft Front Panel</v>
      </c>
      <c r="C182" s="96" t="str">
        <f>Originals!C61</f>
        <v>15.0</v>
      </c>
      <c r="D182" s="96" t="str">
        <f>Originals!D61</f>
        <v>32</v>
      </c>
      <c r="E182" s="96" t="str">
        <f>Originals!E61</f>
        <v>2015</v>
      </c>
      <c r="F182" s="96" t="str">
        <f>Originals!F61</f>
        <v>Development</v>
      </c>
      <c r="G182" s="96" t="str">
        <f>Originals!G61</f>
        <v>NI</v>
      </c>
      <c r="H182" s="96" t="str">
        <f>Originals!H61</f>
        <v>NI-SCOPE Soft Front Panel 15.0</v>
      </c>
      <c r="I182" s="96" t="str">
        <f>Originals!I61</f>
        <v>NI Developer Suite 2015 DS2 Install</v>
      </c>
    </row>
    <row r="183" spans="1:9" ht="15" x14ac:dyDescent="0.25">
      <c r="A183" s="96" t="str">
        <f>Originals!A63</f>
        <v>1-Corey</v>
      </c>
      <c r="B183" s="96" t="str">
        <f>Originals!B63</f>
        <v>NI-Serial Configuration</v>
      </c>
      <c r="C183" s="96" t="str">
        <f>Originals!C63</f>
        <v>15.0.0f0</v>
      </c>
      <c r="D183" s="96" t="str">
        <f>Originals!D63</f>
        <v>32</v>
      </c>
      <c r="E183" s="96" t="str">
        <f>Originals!E63</f>
        <v>2015</v>
      </c>
      <c r="F183" s="96" t="str">
        <f>Originals!F63</f>
        <v>Development</v>
      </c>
      <c r="G183" s="96" t="str">
        <f>Originals!G63</f>
        <v>NI</v>
      </c>
      <c r="H183" s="96" t="str">
        <f>Originals!H63</f>
        <v>NI-Serial Configuration 15.0.0f0</v>
      </c>
      <c r="I183" s="96" t="str">
        <f>Originals!I63</f>
        <v>NI Developer Suite 2015 DS2 Install</v>
      </c>
    </row>
    <row r="184" spans="1:9" ht="15" x14ac:dyDescent="0.25">
      <c r="A184" s="96" t="str">
        <f>Scott!A146</f>
        <v>3-Scott</v>
      </c>
      <c r="B184" s="96" t="str">
        <f>Scott!B146</f>
        <v>NI-Serial Configuration</v>
      </c>
      <c r="C184" s="96" t="str">
        <f>Scott!C146</f>
        <v>17.5.0f0</v>
      </c>
      <c r="D184" s="96" t="str">
        <f>Scott!D146</f>
        <v>32</v>
      </c>
      <c r="E184" s="96" t="str">
        <f>Scott!E146</f>
        <v>2017</v>
      </c>
      <c r="F184" s="96" t="str">
        <f>Scott!F146</f>
        <v>Development</v>
      </c>
      <c r="G184" s="96" t="str">
        <f>Scott!G146</f>
        <v>NI</v>
      </c>
      <c r="H184" s="96" t="str">
        <f>Scott!H146</f>
        <v>NI-Serial Configuration 17.5.0f0</v>
      </c>
      <c r="I184" s="96" t="str">
        <f>Scott!I146</f>
        <v>CompactRIO 18.1.0</v>
      </c>
    </row>
    <row r="185" spans="1:9" ht="15" x14ac:dyDescent="0.25">
      <c r="A185" s="96" t="str">
        <f>Originals!A306</f>
        <v>4-Vinnie</v>
      </c>
      <c r="B185" s="96" t="str">
        <f>Originals!B306</f>
        <v>NI-Serial Configuration</v>
      </c>
      <c r="C185" s="96" t="str">
        <f>Originals!C306</f>
        <v>18.5.0f0</v>
      </c>
      <c r="D185" s="96" t="str">
        <f>Originals!D306</f>
        <v>32</v>
      </c>
      <c r="E185" s="96" t="str">
        <f>Originals!E306</f>
        <v>2018</v>
      </c>
      <c r="F185" s="96" t="str">
        <f>Originals!F306</f>
        <v>Development</v>
      </c>
      <c r="G185" s="96" t="str">
        <f>Originals!G306</f>
        <v>NI</v>
      </c>
      <c r="H185" s="96" t="str">
        <f>Originals!H306</f>
        <v>NI-Serial Configuration 18.5.0f0</v>
      </c>
      <c r="I185" s="96">
        <f>Originals!I306</f>
        <v>0</v>
      </c>
    </row>
    <row r="186" spans="1:9" ht="15" x14ac:dyDescent="0.25">
      <c r="A186" s="96" t="str">
        <f>Originals!A392</f>
        <v>5-Confluence</v>
      </c>
      <c r="B186" s="96" t="str">
        <f>Originals!B392</f>
        <v>NI-Serial Configuration</v>
      </c>
      <c r="C186" s="96" t="str">
        <f>Originals!C392</f>
        <v>17.5</v>
      </c>
      <c r="D186" s="96" t="str">
        <f>Originals!D392</f>
        <v>32</v>
      </c>
      <c r="E186" s="96" t="str">
        <f>Originals!E392</f>
        <v>2017</v>
      </c>
      <c r="F186" s="96" t="str">
        <f>Originals!F392</f>
        <v>Development</v>
      </c>
      <c r="G186" s="96" t="str">
        <f>Originals!G392</f>
        <v>NI</v>
      </c>
      <c r="H186" s="96" t="str">
        <f>Originals!H392</f>
        <v>NI-Serial Configuration 17.5</v>
      </c>
      <c r="I186" s="96" t="str">
        <f>Originals!I392</f>
        <v>CompactRIO 18.1.0</v>
      </c>
    </row>
    <row r="187" spans="1:9" ht="15" x14ac:dyDescent="0.25">
      <c r="A187" s="96" t="str">
        <f>Originals!A64</f>
        <v>1-Corey</v>
      </c>
      <c r="B187" s="96" t="str">
        <f>Originals!B64</f>
        <v>NI-SWITCH</v>
      </c>
      <c r="C187" s="96" t="str">
        <f>Originals!C64</f>
        <v>15.0</v>
      </c>
      <c r="D187" s="96" t="str">
        <f>Originals!D64</f>
        <v>32</v>
      </c>
      <c r="E187" s="96" t="str">
        <f>Originals!E64</f>
        <v>2015</v>
      </c>
      <c r="F187" s="96" t="str">
        <f>Originals!F64</f>
        <v>Development</v>
      </c>
      <c r="G187" s="96" t="str">
        <f>Originals!G64</f>
        <v>NI</v>
      </c>
      <c r="H187" s="96" t="str">
        <f>Originals!H64</f>
        <v>NI-SWITCH 15.0</v>
      </c>
      <c r="I187" s="96" t="str">
        <f>Originals!I64</f>
        <v>NI Developer Suite 2015 DS2 Install</v>
      </c>
    </row>
    <row r="188" spans="1:9" ht="15" x14ac:dyDescent="0.25">
      <c r="A188" s="96" t="str">
        <f>Originals!A65</f>
        <v>1-Corey</v>
      </c>
      <c r="B188" s="96" t="str">
        <f>Originals!B65</f>
        <v>NI-SWITCH Configuration Support</v>
      </c>
      <c r="C188" s="96" t="str">
        <f>Originals!C65</f>
        <v>15.0</v>
      </c>
      <c r="D188" s="96" t="str">
        <f>Originals!D65</f>
        <v>32</v>
      </c>
      <c r="E188" s="96" t="str">
        <f>Originals!E65</f>
        <v>2015</v>
      </c>
      <c r="F188" s="96" t="str">
        <f>Originals!F65</f>
        <v>Development</v>
      </c>
      <c r="G188" s="96" t="str">
        <f>Originals!G65</f>
        <v>NI</v>
      </c>
      <c r="H188" s="96" t="str">
        <f>Originals!H65</f>
        <v>NI-SWITCH Configuration Support 15.0</v>
      </c>
      <c r="I188" s="96" t="str">
        <f>Originals!I65</f>
        <v>NI Developer Suite 2015 DS2 Install</v>
      </c>
    </row>
    <row r="189" spans="1:9" ht="15" x14ac:dyDescent="0.25">
      <c r="A189" s="96" t="str">
        <f>Originals!A66</f>
        <v>1-Corey</v>
      </c>
      <c r="B189" s="96" t="str">
        <f>Originals!B66</f>
        <v>NI-SWITCH Development Support</v>
      </c>
      <c r="C189" s="96" t="str">
        <f>Originals!C66</f>
        <v>15.0</v>
      </c>
      <c r="D189" s="96" t="str">
        <f>Originals!D66</f>
        <v>32</v>
      </c>
      <c r="E189" s="96" t="str">
        <f>Originals!E66</f>
        <v>2015</v>
      </c>
      <c r="F189" s="96" t="str">
        <f>Originals!F66</f>
        <v>Development</v>
      </c>
      <c r="G189" s="96" t="str">
        <f>Originals!G66</f>
        <v>NI</v>
      </c>
      <c r="H189" s="96" t="str">
        <f>Originals!H66</f>
        <v>NI-SWITCH Development Support 15.0</v>
      </c>
      <c r="I189" s="96" t="str">
        <f>Originals!I66</f>
        <v>NI Developer Suite 2015 DS2 Install</v>
      </c>
    </row>
    <row r="190" spans="1:9" ht="15" x14ac:dyDescent="0.25">
      <c r="A190" s="96" t="str">
        <f>Originals!A67</f>
        <v>1-Corey</v>
      </c>
      <c r="B190" s="96" t="str">
        <f>Originals!B67</f>
        <v>NI-SWITCH Soft Front Panel</v>
      </c>
      <c r="C190" s="96" t="str">
        <f>Originals!C67</f>
        <v>15.0.0</v>
      </c>
      <c r="D190" s="96" t="str">
        <f>Originals!D67</f>
        <v>32</v>
      </c>
      <c r="E190" s="96" t="str">
        <f>Originals!E67</f>
        <v>2015</v>
      </c>
      <c r="F190" s="96" t="str">
        <f>Originals!F67</f>
        <v>Development</v>
      </c>
      <c r="G190" s="96" t="str">
        <f>Originals!G67</f>
        <v>NI</v>
      </c>
      <c r="H190" s="96" t="str">
        <f>Originals!H67</f>
        <v>NI-SWITCH Soft Front Panel 15.0.0</v>
      </c>
      <c r="I190" s="96" t="str">
        <f>Originals!I67</f>
        <v>NI Developer Suite 2015 DS2 Install</v>
      </c>
    </row>
    <row r="191" spans="1:9" ht="15" x14ac:dyDescent="0.25">
      <c r="A191" s="96" t="str">
        <f>Scott!A151</f>
        <v>3-Scott</v>
      </c>
      <c r="B191" s="96" t="str">
        <f>Scott!B151</f>
        <v>NI-SWITCH Soft Front Panel</v>
      </c>
      <c r="C191" s="96" t="str">
        <f>Scott!C151</f>
        <v>18.1.0</v>
      </c>
      <c r="D191" s="96" t="str">
        <f>Scott!D151</f>
        <v>32</v>
      </c>
      <c r="E191" s="96" t="str">
        <f>Scott!E151</f>
        <v>2018</v>
      </c>
      <c r="F191" s="96" t="str">
        <f>Scott!F151</f>
        <v>Development</v>
      </c>
      <c r="G191" s="96" t="str">
        <f>Scott!G151</f>
        <v>NI</v>
      </c>
      <c r="H191" s="96" t="str">
        <f>Scott!H151</f>
        <v>NI-Switch Soft Front Panel 18.1.0</v>
      </c>
      <c r="I191" s="96" t="str">
        <f>Scott!I151</f>
        <v>CompactRIO 18.1.0</v>
      </c>
    </row>
    <row r="192" spans="1:9" ht="15" x14ac:dyDescent="0.25">
      <c r="A192" s="96" t="str">
        <f>Originals!A69</f>
        <v>1-Corey</v>
      </c>
      <c r="B192" s="96" t="str">
        <f>Originals!B69</f>
        <v>NI-Sync</v>
      </c>
      <c r="C192" s="96" t="str">
        <f>Originals!C69</f>
        <v>15.0.0f0</v>
      </c>
      <c r="D192" s="96" t="str">
        <f>Originals!D69</f>
        <v>32</v>
      </c>
      <c r="E192" s="96" t="str">
        <f>Originals!E69</f>
        <v>2015</v>
      </c>
      <c r="F192" s="96" t="str">
        <f>Originals!F69</f>
        <v>Development</v>
      </c>
      <c r="G192" s="96" t="str">
        <f>Originals!G69</f>
        <v>NI</v>
      </c>
      <c r="H192" s="96" t="str">
        <f>Originals!H69</f>
        <v>NI-Sync 15.0.0f0</v>
      </c>
      <c r="I192" s="96" t="str">
        <f>Originals!I69</f>
        <v>NI Developer Suite 2015 DS2 Install</v>
      </c>
    </row>
    <row r="193" spans="1:9" ht="15" x14ac:dyDescent="0.25">
      <c r="A193" s="96" t="str">
        <f>Scott!A152</f>
        <v>3-Scott</v>
      </c>
      <c r="B193" s="96" t="str">
        <f>Scott!B152</f>
        <v>NI-Sync</v>
      </c>
      <c r="C193" s="96" t="str">
        <f>Scott!C152</f>
        <v>18.1.0f0</v>
      </c>
      <c r="D193" s="96" t="str">
        <f>Scott!D152</f>
        <v>32</v>
      </c>
      <c r="E193" s="96" t="str">
        <f>Scott!E152</f>
        <v>2018</v>
      </c>
      <c r="F193" s="96" t="str">
        <f>Scott!F152</f>
        <v>Development</v>
      </c>
      <c r="G193" s="96" t="str">
        <f>Scott!G152</f>
        <v>NI</v>
      </c>
      <c r="H193" s="96" t="str">
        <f>Scott!H152</f>
        <v>NI-Sync 18.1.0f0</v>
      </c>
      <c r="I193" s="96" t="str">
        <f>Scott!I152</f>
        <v>CompactRIO 18.1.0</v>
      </c>
    </row>
    <row r="194" spans="1:9" ht="15" x14ac:dyDescent="0.25">
      <c r="A194" s="96" t="str">
        <f>Originals!A70</f>
        <v>1-Corey</v>
      </c>
      <c r="B194" s="96" t="str">
        <f>Originals!B70</f>
        <v>NI-TClk</v>
      </c>
      <c r="C194" s="96" t="str">
        <f>Originals!C70</f>
        <v>15.0</v>
      </c>
      <c r="D194" s="96" t="str">
        <f>Originals!D70</f>
        <v>32</v>
      </c>
      <c r="E194" s="96" t="str">
        <f>Originals!E70</f>
        <v>2015</v>
      </c>
      <c r="F194" s="96" t="str">
        <f>Originals!F70</f>
        <v>Development</v>
      </c>
      <c r="G194" s="96" t="str">
        <f>Originals!G70</f>
        <v>NI</v>
      </c>
      <c r="H194" s="96" t="str">
        <f>Originals!H70</f>
        <v>NI-TClk 15.0</v>
      </c>
      <c r="I194" s="96" t="str">
        <f>Originals!I70</f>
        <v>NI Developer Suite 2015 DS2 Install</v>
      </c>
    </row>
    <row r="195" spans="1:9" ht="15" x14ac:dyDescent="0.25">
      <c r="A195" s="96" t="str">
        <f>Originals!A71</f>
        <v>1-Corey</v>
      </c>
      <c r="B195" s="96" t="str">
        <f>Originals!B71</f>
        <v>NI-TimeSync</v>
      </c>
      <c r="C195" s="96" t="str">
        <f>Originals!C71</f>
        <v>15.0.0f0</v>
      </c>
      <c r="D195" s="96" t="str">
        <f>Originals!D71</f>
        <v>32</v>
      </c>
      <c r="E195" s="96" t="str">
        <f>Originals!E71</f>
        <v>2015</v>
      </c>
      <c r="F195" s="96" t="str">
        <f>Originals!F71</f>
        <v>Development</v>
      </c>
      <c r="G195" s="96" t="str">
        <f>Originals!G71</f>
        <v>NI</v>
      </c>
      <c r="H195" s="96" t="str">
        <f>Originals!H71</f>
        <v>NI-TimeSync 15.0.0f0</v>
      </c>
      <c r="I195" s="96" t="str">
        <f>Originals!I71</f>
        <v>NI Developer Suite 2015 DS2 Install</v>
      </c>
    </row>
    <row r="196" spans="1:9" ht="15" x14ac:dyDescent="0.25">
      <c r="A196" s="96" t="str">
        <f>Originals!A72</f>
        <v>1-Corey</v>
      </c>
      <c r="B196" s="96" t="str">
        <f>Originals!B72</f>
        <v>NI-USI</v>
      </c>
      <c r="C196" s="96" t="str">
        <f>Originals!C72</f>
        <v>15.0.1.6118</v>
      </c>
      <c r="D196" s="96" t="str">
        <f>Originals!D72</f>
        <v>32</v>
      </c>
      <c r="E196" s="96" t="str">
        <f>Originals!E72</f>
        <v>2015</v>
      </c>
      <c r="F196" s="96" t="str">
        <f>Originals!F72</f>
        <v>Development</v>
      </c>
      <c r="G196" s="96" t="str">
        <f>Originals!G72</f>
        <v>NI</v>
      </c>
      <c r="H196" s="96" t="str">
        <f>Originals!H72</f>
        <v>NI-USI 15.0.1.6118</v>
      </c>
      <c r="I196" s="96" t="str">
        <f>Originals!I72</f>
        <v>LabVIEW 2015 SP1</v>
      </c>
    </row>
    <row r="197" spans="1:9" ht="15" x14ac:dyDescent="0.25">
      <c r="A197" s="96" t="str">
        <f>Originals!A155</f>
        <v>2-Spencer</v>
      </c>
      <c r="B197" s="96" t="str">
        <f>Originals!B155</f>
        <v>NI-USI</v>
      </c>
      <c r="C197" s="96" t="str">
        <f>Originals!C155</f>
        <v>17.0.0.6654</v>
      </c>
      <c r="D197" s="96" t="str">
        <f>Originals!D155</f>
        <v>32</v>
      </c>
      <c r="E197" s="96" t="str">
        <f>Originals!E155</f>
        <v>2017</v>
      </c>
      <c r="F197" s="96" t="str">
        <f>Originals!F155</f>
        <v>Development</v>
      </c>
      <c r="G197" s="96" t="str">
        <f>Originals!G155</f>
        <v>NI</v>
      </c>
      <c r="H197" s="96" t="str">
        <f>Originals!H155</f>
        <v>NI-USI 17.0.0.6654</v>
      </c>
      <c r="I197" s="96">
        <f>Originals!I155</f>
        <v>0</v>
      </c>
    </row>
    <row r="198" spans="1:9" ht="15" x14ac:dyDescent="0.25">
      <c r="A198" s="96" t="str">
        <f>Originals!A311</f>
        <v>4-Vinnie</v>
      </c>
      <c r="B198" s="96" t="str">
        <f>Originals!B311</f>
        <v>NI-USI</v>
      </c>
      <c r="C198" s="96" t="str">
        <f>Originals!C311</f>
        <v>18.5.5.7372</v>
      </c>
      <c r="D198" s="96" t="str">
        <f>Originals!D311</f>
        <v>32</v>
      </c>
      <c r="E198" s="96" t="str">
        <f>Originals!E311</f>
        <v>2018</v>
      </c>
      <c r="F198" s="96" t="str">
        <f>Originals!F311</f>
        <v>Development</v>
      </c>
      <c r="G198" s="96" t="str">
        <f>Originals!G311</f>
        <v>NI</v>
      </c>
      <c r="H198" s="96" t="str">
        <f>Originals!H311</f>
        <v>NI-USI 18.5.5.7372</v>
      </c>
      <c r="I198" s="96">
        <f>Originals!I311</f>
        <v>0</v>
      </c>
    </row>
    <row r="199" spans="1:9" ht="15" x14ac:dyDescent="0.25">
      <c r="A199" s="96" t="str">
        <f>Originals!A393</f>
        <v>5-Confluence</v>
      </c>
      <c r="B199" s="96" t="str">
        <f>Originals!B393</f>
        <v>NI-USI</v>
      </c>
      <c r="C199" s="96" t="str">
        <f>Originals!C393</f>
        <v>17.0.1</v>
      </c>
      <c r="D199" s="96" t="str">
        <f>Originals!D393</f>
        <v>32</v>
      </c>
      <c r="E199" s="96" t="str">
        <f>Originals!E393</f>
        <v>2018</v>
      </c>
      <c r="F199" s="96" t="str">
        <f>Originals!F393</f>
        <v>Development</v>
      </c>
      <c r="G199" s="96" t="str">
        <f>Originals!G393</f>
        <v>NI</v>
      </c>
      <c r="H199" s="96" t="str">
        <f>Originals!H393</f>
        <v>NI-USI 17.0.1</v>
      </c>
      <c r="I199" s="96">
        <f>Originals!I393</f>
        <v>0</v>
      </c>
    </row>
    <row r="200" spans="1:9" ht="15" x14ac:dyDescent="0.25">
      <c r="A200" s="96" t="str">
        <f>Originals!A73</f>
        <v>1-Corey</v>
      </c>
      <c r="B200" s="96" t="str">
        <f>Originals!B73</f>
        <v>NI-VISA</v>
      </c>
      <c r="C200" s="96" t="str">
        <f>Originals!C73</f>
        <v>19.5</v>
      </c>
      <c r="D200" s="96" t="str">
        <f>Originals!D73</f>
        <v>32</v>
      </c>
      <c r="E200" s="96" t="str">
        <f>Originals!E73</f>
        <v>2019</v>
      </c>
      <c r="F200" s="96" t="str">
        <f>Originals!F73</f>
        <v>Development</v>
      </c>
      <c r="G200" s="96" t="str">
        <f>Originals!G73</f>
        <v>NI</v>
      </c>
      <c r="H200" s="96" t="str">
        <f>Originals!H73</f>
        <v>NI-VISA 19.5</v>
      </c>
      <c r="I200" s="96">
        <f>Originals!I73</f>
        <v>0</v>
      </c>
    </row>
    <row r="201" spans="1:9" ht="15" x14ac:dyDescent="0.25">
      <c r="A201" s="96" t="str">
        <f>Scott!A156</f>
        <v>3-Scott</v>
      </c>
      <c r="B201" s="96" t="str">
        <f>Scott!B156</f>
        <v>NI-VISA</v>
      </c>
      <c r="C201" s="96" t="str">
        <f>Scott!C156</f>
        <v>15.5</v>
      </c>
      <c r="D201" s="96">
        <f>Scott!D156</f>
        <v>32</v>
      </c>
      <c r="E201" s="96">
        <f>Scott!E156</f>
        <v>2015</v>
      </c>
      <c r="F201" s="96" t="str">
        <f>Scott!F156</f>
        <v>Development</v>
      </c>
      <c r="G201" s="96" t="str">
        <f>Scott!G156</f>
        <v>NI</v>
      </c>
      <c r="H201" s="96" t="str">
        <f>Scott!H156</f>
        <v>NI-VISA 15.5</v>
      </c>
      <c r="I201" s="96" t="str">
        <f>Scott!I156</f>
        <v>2015 SP1 Update Service</v>
      </c>
    </row>
    <row r="202" spans="1:9" ht="15" x14ac:dyDescent="0.25">
      <c r="A202" s="96" t="str">
        <f>Originals!A394</f>
        <v>5-Confluence</v>
      </c>
      <c r="B202" s="96" t="str">
        <f>Originals!B394</f>
        <v>NI-VISA</v>
      </c>
      <c r="C202" s="96" t="str">
        <f>Originals!C394</f>
        <v>18.0</v>
      </c>
      <c r="D202" s="96" t="str">
        <f>Originals!D394</f>
        <v>32</v>
      </c>
      <c r="E202" s="96" t="str">
        <f>Originals!E394</f>
        <v>2018</v>
      </c>
      <c r="F202" s="96" t="str">
        <f>Originals!F394</f>
        <v>Development</v>
      </c>
      <c r="G202" s="96" t="str">
        <f>Originals!G394</f>
        <v>NI</v>
      </c>
      <c r="H202" s="96" t="str">
        <f>Originals!H394</f>
        <v>NI-VISA 18.0</v>
      </c>
      <c r="I202" s="96">
        <f>Originals!I394</f>
        <v>0</v>
      </c>
    </row>
    <row r="203" spans="1:9" ht="15" x14ac:dyDescent="0.25">
      <c r="A203" s="96" t="str">
        <f>Originals!A75</f>
        <v>1-Corey</v>
      </c>
      <c r="B203" s="96" t="str">
        <f>Originals!B75</f>
        <v>NIvisaic.exe</v>
      </c>
      <c r="C203" s="96" t="str">
        <f>Originals!C75</f>
        <v>15.0.0.49152</v>
      </c>
      <c r="D203" s="96" t="str">
        <f>Originals!D75</f>
        <v>32</v>
      </c>
      <c r="E203" s="96" t="str">
        <f>Originals!E75</f>
        <v>2019</v>
      </c>
      <c r="F203" s="96" t="str">
        <f>Originals!F75</f>
        <v>Development</v>
      </c>
      <c r="G203" s="96" t="str">
        <f>Originals!G75</f>
        <v>NI</v>
      </c>
      <c r="H203" s="96" t="str">
        <f>Originals!H75</f>
        <v>NIvisaic.exe 15.0.0.49152</v>
      </c>
      <c r="I203" s="96" t="str">
        <f>Originals!I75</f>
        <v>NI Developer Suite 2015 DS2 Install</v>
      </c>
    </row>
    <row r="204" spans="1:9" ht="15" x14ac:dyDescent="0.25">
      <c r="A204" s="96" t="str">
        <f>Originals!A315</f>
        <v>4-Vinnie</v>
      </c>
      <c r="B204" s="96" t="str">
        <f>Originals!B315</f>
        <v>NIvisaic.exe</v>
      </c>
      <c r="C204" s="96" t="str">
        <f>Originals!C315</f>
        <v>18.5.0.49152</v>
      </c>
      <c r="D204" s="96" t="str">
        <f>Originals!D315</f>
        <v>32</v>
      </c>
      <c r="E204" s="96" t="str">
        <f>Originals!E315</f>
        <v>2018</v>
      </c>
      <c r="F204" s="96" t="str">
        <f>Originals!F315</f>
        <v>Development</v>
      </c>
      <c r="G204" s="96" t="str">
        <f>Originals!G315</f>
        <v>NI</v>
      </c>
      <c r="H204" s="96" t="str">
        <f>Originals!H315</f>
        <v>NIvisaic.exe 18.5.0.49152</v>
      </c>
      <c r="I204" s="96" t="str">
        <f>Originals!I315</f>
        <v>NI Developer Suite 2015 DS2 Install</v>
      </c>
    </row>
    <row r="205" spans="1:9" ht="15" x14ac:dyDescent="0.25">
      <c r="A205" s="96" t="str">
        <f>Originals!A76</f>
        <v>1-Corey</v>
      </c>
      <c r="B205" s="96" t="str">
        <f>Originals!B76</f>
        <v>NiVisaServer.exe</v>
      </c>
      <c r="C205" s="96" t="str">
        <f>Originals!C76</f>
        <v>15.0.0.49152</v>
      </c>
      <c r="D205" s="96" t="str">
        <f>Originals!D76</f>
        <v>32</v>
      </c>
      <c r="E205" s="96" t="str">
        <f>Originals!E76</f>
        <v>2019</v>
      </c>
      <c r="F205" s="96" t="str">
        <f>Originals!F76</f>
        <v>Development</v>
      </c>
      <c r="G205" s="96" t="str">
        <f>Originals!G76</f>
        <v>NI</v>
      </c>
      <c r="H205" s="96" t="str">
        <f>Originals!H76</f>
        <v>NiVisaServer.exe 15.0.0.49152</v>
      </c>
      <c r="I205" s="96" t="str">
        <f>Originals!I76</f>
        <v>NI Developer Suite 2015 DS2 Install</v>
      </c>
    </row>
    <row r="206" spans="1:9" ht="15" x14ac:dyDescent="0.25">
      <c r="A206" s="96" t="str">
        <f>Originals!A318</f>
        <v>4-Vinnie</v>
      </c>
      <c r="B206" s="96" t="str">
        <f>Originals!B318</f>
        <v>NI-XNET</v>
      </c>
      <c r="C206" s="96" t="str">
        <f>Originals!C318</f>
        <v>18.5.0f0</v>
      </c>
      <c r="D206" s="96" t="str">
        <f>Originals!D318</f>
        <v>32</v>
      </c>
      <c r="E206" s="96" t="str">
        <f>Originals!E318</f>
        <v>2018</v>
      </c>
      <c r="F206" s="96" t="str">
        <f>Originals!F318</f>
        <v>Development</v>
      </c>
      <c r="G206" s="96" t="str">
        <f>Originals!G318</f>
        <v>NI</v>
      </c>
      <c r="H206" s="96" t="str">
        <f>Originals!H318</f>
        <v>NI-XNET 18.5.0f0</v>
      </c>
      <c r="I206" s="96">
        <f>Originals!I318</f>
        <v>0</v>
      </c>
    </row>
    <row r="207" spans="1:9" ht="15" x14ac:dyDescent="0.25">
      <c r="A207" s="96" t="str">
        <f>Scott!A161</f>
        <v>3-Scott</v>
      </c>
      <c r="B207" s="96" t="str">
        <f>Scott!B161</f>
        <v>Open Source GOOP Development Suite</v>
      </c>
      <c r="C207" s="96" t="str">
        <f>Scott!C161</f>
        <v>1.1.17.56</v>
      </c>
      <c r="D207" s="96" t="str">
        <f>Scott!D161</f>
        <v>32</v>
      </c>
      <c r="E207" s="96" t="str">
        <f>Scott!E161</f>
        <v>N/A</v>
      </c>
      <c r="F207" s="96" t="str">
        <f>Scott!F161</f>
        <v>Development</v>
      </c>
      <c r="G207" s="96" t="str">
        <f>Scott!G161</f>
        <v>OpenG.org</v>
      </c>
      <c r="H207" s="96" t="str">
        <f>Scott!H161</f>
        <v>Open Source GOOP Development Suite 1.1.17.56</v>
      </c>
      <c r="I207" s="96" t="str">
        <f>Scott!I161</f>
        <v>VIPM Community</v>
      </c>
    </row>
    <row r="208" spans="1:9" ht="15" x14ac:dyDescent="0.25">
      <c r="A208" s="96" t="str">
        <f>Originals!A320</f>
        <v>4-Vinnie</v>
      </c>
      <c r="B208" s="96" t="str">
        <f>Originals!B320</f>
        <v>OpenG Application Control Library</v>
      </c>
      <c r="C208" s="96" t="str">
        <f>Originals!C320</f>
        <v>4.1.0.7</v>
      </c>
      <c r="D208" s="96" t="str">
        <f>Originals!D320</f>
        <v>32</v>
      </c>
      <c r="E208" s="96" t="str">
        <f>Originals!E320</f>
        <v>N/A</v>
      </c>
      <c r="F208" s="96" t="str">
        <f>Originals!F320</f>
        <v>Development</v>
      </c>
      <c r="G208" s="96" t="str">
        <f>Originals!G320</f>
        <v>OpenG.org</v>
      </c>
      <c r="H208" s="96" t="str">
        <f>Originals!H320</f>
        <v>OpenG Application Control Library 4.1.0.7</v>
      </c>
      <c r="I208" s="96" t="str">
        <f>Originals!I320</f>
        <v>VIPM Community</v>
      </c>
    </row>
    <row r="209" spans="1:9" ht="15" x14ac:dyDescent="0.25">
      <c r="A209" s="96" t="str">
        <f>Originals!A321</f>
        <v>4-Vinnie</v>
      </c>
      <c r="B209" s="96" t="str">
        <f>Originals!B321</f>
        <v>OpenG Array Library</v>
      </c>
      <c r="C209" s="96" t="str">
        <f>Originals!C321</f>
        <v>4.1.1.14</v>
      </c>
      <c r="D209" s="96" t="str">
        <f>Originals!D321</f>
        <v>32</v>
      </c>
      <c r="E209" s="96" t="str">
        <f>Originals!E321</f>
        <v>N/A</v>
      </c>
      <c r="F209" s="96" t="str">
        <f>Originals!F321</f>
        <v>Development</v>
      </c>
      <c r="G209" s="96" t="str">
        <f>Originals!G321</f>
        <v>OpenG.org</v>
      </c>
      <c r="H209" s="96" t="str">
        <f>Originals!H321</f>
        <v>OpenG Array Library 4.1.1.14</v>
      </c>
      <c r="I209" s="96" t="str">
        <f>Originals!I321</f>
        <v>VIPM Community</v>
      </c>
    </row>
    <row r="210" spans="1:9" ht="15" x14ac:dyDescent="0.25">
      <c r="A210" s="96" t="str">
        <f>Originals!A322</f>
        <v>4-Vinnie</v>
      </c>
      <c r="B210" s="96" t="str">
        <f>Originals!B322</f>
        <v>OpenG Boolean Library</v>
      </c>
      <c r="C210" s="96" t="str">
        <f>Originals!C322</f>
        <v>4.0.0.7</v>
      </c>
      <c r="D210" s="96" t="str">
        <f>Originals!D322</f>
        <v>32</v>
      </c>
      <c r="E210" s="96" t="str">
        <f>Originals!E322</f>
        <v>N/A</v>
      </c>
      <c r="F210" s="96" t="str">
        <f>Originals!F322</f>
        <v>Development</v>
      </c>
      <c r="G210" s="96" t="str">
        <f>Originals!G322</f>
        <v>OpenG.org</v>
      </c>
      <c r="H210" s="96" t="str">
        <f>Originals!H322</f>
        <v>OpenG Boolean Library 4.0.0.7</v>
      </c>
      <c r="I210" s="96" t="str">
        <f>Originals!I322</f>
        <v>VIPM Community</v>
      </c>
    </row>
    <row r="211" spans="1:9" ht="15" x14ac:dyDescent="0.25">
      <c r="A211" s="96" t="str">
        <f>Originals!A323</f>
        <v>4-Vinnie</v>
      </c>
      <c r="B211" s="96" t="str">
        <f>Originals!B323</f>
        <v>OpenG Builder</v>
      </c>
      <c r="C211" s="96" t="str">
        <f>Originals!C323</f>
        <v>3.0.1-2</v>
      </c>
      <c r="D211" s="96" t="str">
        <f>Originals!D323</f>
        <v>32</v>
      </c>
      <c r="E211" s="96" t="str">
        <f>Originals!E323</f>
        <v>N/A</v>
      </c>
      <c r="F211" s="96" t="str">
        <f>Originals!F323</f>
        <v>Development</v>
      </c>
      <c r="G211" s="96" t="str">
        <f>Originals!G323</f>
        <v>OpenG.org</v>
      </c>
      <c r="H211" s="96" t="str">
        <f>Originals!H323</f>
        <v>OpenG Builder 3.0.1-2</v>
      </c>
      <c r="I211" s="96" t="str">
        <f>Originals!I323</f>
        <v>VIPM Community</v>
      </c>
    </row>
    <row r="212" spans="1:9" ht="15" x14ac:dyDescent="0.25">
      <c r="A212" s="96" t="str">
        <f>Originals!A324</f>
        <v>4-Vinnie</v>
      </c>
      <c r="B212" s="96" t="str">
        <f>Originals!B324</f>
        <v>OpenG Buttons Library</v>
      </c>
      <c r="C212" s="96" t="str">
        <f>Originals!C324</f>
        <v>4.0.0.7</v>
      </c>
      <c r="D212" s="96" t="str">
        <f>Originals!D324</f>
        <v>32</v>
      </c>
      <c r="E212" s="96" t="str">
        <f>Originals!E324</f>
        <v>N/A</v>
      </c>
      <c r="F212" s="96" t="str">
        <f>Originals!F324</f>
        <v>Development</v>
      </c>
      <c r="G212" s="96" t="str">
        <f>Originals!G324</f>
        <v>OpenG.org</v>
      </c>
      <c r="H212" s="96" t="str">
        <f>Originals!H324</f>
        <v>OpenG Buttons Library 4.0.0.7</v>
      </c>
      <c r="I212" s="96" t="str">
        <f>Originals!I324</f>
        <v>VIPM Community</v>
      </c>
    </row>
    <row r="213" spans="1:9" ht="15" x14ac:dyDescent="0.25">
      <c r="A213" s="96" t="str">
        <f>Originals!A325</f>
        <v>4-Vinnie</v>
      </c>
      <c r="B213" s="96" t="str">
        <f>Originals!B325</f>
        <v>OpenG Compare VI To Disk Tool</v>
      </c>
      <c r="C213" s="96" t="str">
        <f>Originals!C325</f>
        <v>4.0.0.9</v>
      </c>
      <c r="D213" s="96" t="str">
        <f>Originals!D325</f>
        <v>32</v>
      </c>
      <c r="E213" s="96" t="str">
        <f>Originals!E325</f>
        <v>N/A</v>
      </c>
      <c r="F213" s="96" t="str">
        <f>Originals!F325</f>
        <v>Development</v>
      </c>
      <c r="G213" s="96" t="str">
        <f>Originals!G325</f>
        <v>OpenG.org</v>
      </c>
      <c r="H213" s="96" t="str">
        <f>Originals!H325</f>
        <v>OpenG Compare VI To Disk Tool 4.0.0.9</v>
      </c>
      <c r="I213" s="96" t="str">
        <f>Originals!I325</f>
        <v>VIPM Community</v>
      </c>
    </row>
    <row r="214" spans="1:9" ht="15" x14ac:dyDescent="0.25">
      <c r="A214" s="96" t="str">
        <f>Originals!A326</f>
        <v>4-Vinnie</v>
      </c>
      <c r="B214" s="96" t="str">
        <f>Originals!B326</f>
        <v>OpenG Comparison Library</v>
      </c>
      <c r="C214" s="96" t="str">
        <f>Originals!C326</f>
        <v>4.0.0.3</v>
      </c>
      <c r="D214" s="96" t="str">
        <f>Originals!D326</f>
        <v>32</v>
      </c>
      <c r="E214" s="96" t="str">
        <f>Originals!E326</f>
        <v>N/A</v>
      </c>
      <c r="F214" s="96" t="str">
        <f>Originals!F326</f>
        <v>Development</v>
      </c>
      <c r="G214" s="96" t="str">
        <f>Originals!G326</f>
        <v>OpenG.org</v>
      </c>
      <c r="H214" s="96" t="str">
        <f>Originals!H326</f>
        <v>OpenG Comparison Library 4.0.0.3</v>
      </c>
      <c r="I214" s="96" t="str">
        <f>Originals!I326</f>
        <v>VIPM Community</v>
      </c>
    </row>
    <row r="215" spans="1:9" ht="15" x14ac:dyDescent="0.25">
      <c r="A215" s="96" t="str">
        <f>Originals!A327</f>
        <v>4-Vinnie</v>
      </c>
      <c r="B215" s="96" t="str">
        <f>Originals!B327</f>
        <v>OpenG Dictionary Library</v>
      </c>
      <c r="C215" s="96" t="str">
        <f>Originals!C327</f>
        <v>4.0.0.4</v>
      </c>
      <c r="D215" s="96" t="str">
        <f>Originals!D327</f>
        <v>32</v>
      </c>
      <c r="E215" s="96" t="str">
        <f>Originals!E327</f>
        <v>N/A</v>
      </c>
      <c r="F215" s="96" t="str">
        <f>Originals!F327</f>
        <v>Development</v>
      </c>
      <c r="G215" s="96" t="str">
        <f>Originals!G327</f>
        <v>OpenG.org</v>
      </c>
      <c r="H215" s="96" t="str">
        <f>Originals!H327</f>
        <v>OpenG Dictionary Library 4.0.0.4</v>
      </c>
      <c r="I215" s="96" t="str">
        <f>Originals!I327</f>
        <v>VIPM Community</v>
      </c>
    </row>
    <row r="216" spans="1:9" ht="15" x14ac:dyDescent="0.25">
      <c r="A216" s="96" t="str">
        <f>Originals!A328</f>
        <v>4-Vinnie</v>
      </c>
      <c r="B216" s="96" t="str">
        <f>Originals!B328</f>
        <v>OpenG Error Library</v>
      </c>
      <c r="C216" s="96" t="str">
        <f>Originals!C328</f>
        <v>4.2.0.23</v>
      </c>
      <c r="D216" s="96" t="str">
        <f>Originals!D328</f>
        <v>32</v>
      </c>
      <c r="E216" s="96" t="str">
        <f>Originals!E328</f>
        <v>N/A</v>
      </c>
      <c r="F216" s="96" t="str">
        <f>Originals!F328</f>
        <v>Development</v>
      </c>
      <c r="G216" s="96" t="str">
        <f>Originals!G328</f>
        <v>OpenG.org</v>
      </c>
      <c r="H216" s="96" t="str">
        <f>Originals!H328</f>
        <v>OpenG Error Library 4.2.0.23</v>
      </c>
      <c r="I216" s="96" t="str">
        <f>Originals!I328</f>
        <v>VIPM Community</v>
      </c>
    </row>
    <row r="217" spans="1:9" ht="15" x14ac:dyDescent="0.25">
      <c r="A217" s="96" t="str">
        <f>Originals!A329</f>
        <v>4-Vinnie</v>
      </c>
      <c r="B217" s="96" t="str">
        <f>Originals!B329</f>
        <v>OpenG File Library</v>
      </c>
      <c r="C217" s="96" t="str">
        <f>Originals!C329</f>
        <v>4.0.1.22</v>
      </c>
      <c r="D217" s="96" t="str">
        <f>Originals!D329</f>
        <v>32</v>
      </c>
      <c r="E217" s="96" t="str">
        <f>Originals!E329</f>
        <v>N/A</v>
      </c>
      <c r="F217" s="96" t="str">
        <f>Originals!F329</f>
        <v>Development</v>
      </c>
      <c r="G217" s="96" t="str">
        <f>Originals!G329</f>
        <v>OpenG.org</v>
      </c>
      <c r="H217" s="96" t="str">
        <f>Originals!H329</f>
        <v>OpenG File Library 4.0.1.22</v>
      </c>
      <c r="I217" s="96" t="str">
        <f>Originals!I329</f>
        <v>VIPM Community</v>
      </c>
    </row>
    <row r="218" spans="1:9" ht="15" x14ac:dyDescent="0.25">
      <c r="A218" s="96" t="str">
        <f>Originals!A330</f>
        <v>4-Vinnie</v>
      </c>
      <c r="B218" s="96" t="str">
        <f>Originals!B330</f>
        <v>OpenG LabPython Library</v>
      </c>
      <c r="C218" s="96" t="str">
        <f>Originals!C330</f>
        <v>4.0.0.4</v>
      </c>
      <c r="D218" s="96" t="str">
        <f>Originals!D330</f>
        <v>32</v>
      </c>
      <c r="E218" s="96" t="str">
        <f>Originals!E330</f>
        <v>N/A</v>
      </c>
      <c r="F218" s="96" t="str">
        <f>Originals!F330</f>
        <v>Development</v>
      </c>
      <c r="G218" s="96" t="str">
        <f>Originals!G330</f>
        <v>OpenG_org</v>
      </c>
      <c r="H218" s="96" t="str">
        <f>Originals!H330</f>
        <v>OpenG LabPython Library 4.0.0.4</v>
      </c>
      <c r="I218" s="96" t="str">
        <f>Originals!I330</f>
        <v>VIPM Community</v>
      </c>
    </row>
    <row r="219" spans="1:9" ht="15" x14ac:dyDescent="0.25">
      <c r="A219" s="96" t="str">
        <f>Originals!A331</f>
        <v>4-Vinnie</v>
      </c>
      <c r="B219" s="96" t="str">
        <f>Originals!B331</f>
        <v>OpenG LabVIEW Data Library</v>
      </c>
      <c r="C219" s="96" t="str">
        <f>Originals!C331</f>
        <v>4.2.0.21</v>
      </c>
      <c r="D219" s="96" t="str">
        <f>Originals!D331</f>
        <v>32</v>
      </c>
      <c r="E219" s="96" t="str">
        <f>Originals!E331</f>
        <v>N/A</v>
      </c>
      <c r="F219" s="96" t="str">
        <f>Originals!F331</f>
        <v>Development</v>
      </c>
      <c r="G219" s="96" t="str">
        <f>Originals!G331</f>
        <v>Openg.org</v>
      </c>
      <c r="H219" s="96" t="str">
        <f>Originals!H331</f>
        <v>OpenG LabVIEW Data Library 4.2.0.21</v>
      </c>
      <c r="I219" s="96" t="str">
        <f>Originals!I331</f>
        <v>VIPM Community</v>
      </c>
    </row>
    <row r="220" spans="1:9" ht="15" x14ac:dyDescent="0.25">
      <c r="A220" s="96" t="str">
        <f>Originals!A332</f>
        <v>4-Vinnie</v>
      </c>
      <c r="B220" s="96" t="str">
        <f>Originals!B332</f>
        <v>OpenG LabVIEW ZIP Library</v>
      </c>
      <c r="C220" s="96" t="str">
        <f>Originals!C332</f>
        <v>4.0.0-2</v>
      </c>
      <c r="D220" s="96" t="str">
        <f>Originals!D332</f>
        <v>32</v>
      </c>
      <c r="E220" s="96" t="str">
        <f>Originals!E332</f>
        <v>N/A</v>
      </c>
      <c r="F220" s="96" t="str">
        <f>Originals!F332</f>
        <v>Development</v>
      </c>
      <c r="G220" s="96" t="str">
        <f>Originals!G332</f>
        <v>OpenG.org</v>
      </c>
      <c r="H220" s="96" t="str">
        <f>Originals!H332</f>
        <v>OpenG LabVIEW ZIP Library 4.0.0-2</v>
      </c>
      <c r="I220" s="96" t="str">
        <f>Originals!I332</f>
        <v>VIPM Community</v>
      </c>
    </row>
    <row r="221" spans="1:9" ht="15" x14ac:dyDescent="0.25">
      <c r="A221" s="96" t="str">
        <f>Originals!A333</f>
        <v>4-Vinnie</v>
      </c>
      <c r="B221" s="96" t="str">
        <f>Originals!B333</f>
        <v>OpenG Large File Library</v>
      </c>
      <c r="C221" s="96" t="str">
        <f>Originals!C333</f>
        <v>4.0.0.3</v>
      </c>
      <c r="D221" s="96" t="str">
        <f>Originals!D333</f>
        <v>32</v>
      </c>
      <c r="E221" s="96" t="str">
        <f>Originals!E333</f>
        <v>N/A</v>
      </c>
      <c r="F221" s="96" t="str">
        <f>Originals!F333</f>
        <v>Development</v>
      </c>
      <c r="G221" s="96" t="str">
        <f>Originals!G333</f>
        <v>OpenG.org</v>
      </c>
      <c r="H221" s="96" t="str">
        <f>Originals!H333</f>
        <v>OpenG Large File Library 4.0.0.3</v>
      </c>
      <c r="I221" s="96" t="str">
        <f>Originals!I333</f>
        <v>VIPM Community</v>
      </c>
    </row>
    <row r="222" spans="1:9" ht="15" x14ac:dyDescent="0.25">
      <c r="A222" s="96" t="str">
        <f>Originals!A334</f>
        <v>4-Vinnie</v>
      </c>
      <c r="B222" s="96" t="str">
        <f>Originals!B334</f>
        <v>OpenG Locate File In Project Tool</v>
      </c>
      <c r="C222" s="96" t="str">
        <f>Originals!C334</f>
        <v>4.0.0.7</v>
      </c>
      <c r="D222" s="96" t="str">
        <f>Originals!D334</f>
        <v>32</v>
      </c>
      <c r="E222" s="96" t="str">
        <f>Originals!E334</f>
        <v>N/A</v>
      </c>
      <c r="F222" s="96" t="str">
        <f>Originals!F334</f>
        <v>Development</v>
      </c>
      <c r="G222" s="96" t="str">
        <f>Originals!G334</f>
        <v>OpenG.org</v>
      </c>
      <c r="H222" s="96" t="str">
        <f>Originals!H334</f>
        <v>OpenG Locate File In Project Tool 4.0.0.7</v>
      </c>
      <c r="I222" s="96" t="str">
        <f>Originals!I334</f>
        <v>VIPM Community</v>
      </c>
    </row>
    <row r="223" spans="1:9" ht="15" x14ac:dyDescent="0.25">
      <c r="A223" s="96" t="str">
        <f>Originals!A335</f>
        <v>4-Vinnie</v>
      </c>
      <c r="B223" s="96" t="str">
        <f>Originals!B335</f>
        <v>OpenG MD5 Digest Library</v>
      </c>
      <c r="C223" s="96" t="str">
        <f>Originals!C335</f>
        <v>4.1.1.10</v>
      </c>
      <c r="D223" s="96" t="str">
        <f>Originals!D335</f>
        <v>32</v>
      </c>
      <c r="E223" s="96" t="str">
        <f>Originals!E335</f>
        <v>N/A</v>
      </c>
      <c r="F223" s="96" t="str">
        <f>Originals!F335</f>
        <v>Development</v>
      </c>
      <c r="G223" s="96" t="str">
        <f>Originals!G335</f>
        <v>OpenG.org</v>
      </c>
      <c r="H223" s="96" t="str">
        <f>Originals!H335</f>
        <v>OpenG MD5 Digest Library 4.1.1.10</v>
      </c>
      <c r="I223" s="96" t="str">
        <f>Originals!I335</f>
        <v>VIPM Community</v>
      </c>
    </row>
    <row r="224" spans="1:9" ht="15" x14ac:dyDescent="0.25">
      <c r="A224" s="96" t="str">
        <f>Originals!A336</f>
        <v>4-Vinnie</v>
      </c>
      <c r="B224" s="96" t="str">
        <f>Originals!B336</f>
        <v>OpenG Message Queue Library</v>
      </c>
      <c r="C224" s="96" t="str">
        <f>Originals!C336</f>
        <v>4.0.0.15</v>
      </c>
      <c r="D224" s="96" t="str">
        <f>Originals!D336</f>
        <v>32</v>
      </c>
      <c r="E224" s="96" t="str">
        <f>Originals!E336</f>
        <v>N/A</v>
      </c>
      <c r="F224" s="96" t="str">
        <f>Originals!F336</f>
        <v>Development</v>
      </c>
      <c r="G224" s="96" t="str">
        <f>Originals!G336</f>
        <v>OpenG.org</v>
      </c>
      <c r="H224" s="96" t="str">
        <f>Originals!H336</f>
        <v>OpenG Message Queue Library 4.0.0.15</v>
      </c>
      <c r="I224" s="96" t="str">
        <f>Originals!I336</f>
        <v>VIPM Community</v>
      </c>
    </row>
    <row r="225" spans="1:9" ht="15" x14ac:dyDescent="0.25">
      <c r="A225" s="96" t="str">
        <f>Originals!A337</f>
        <v>4-Vinnie</v>
      </c>
      <c r="B225" s="96" t="str">
        <f>Originals!B337</f>
        <v>OpenG Numeric Library</v>
      </c>
      <c r="C225" s="96" t="str">
        <f>Originals!C337</f>
        <v>4.1.0.8</v>
      </c>
      <c r="D225" s="96" t="str">
        <f>Originals!D337</f>
        <v>32</v>
      </c>
      <c r="E225" s="96" t="str">
        <f>Originals!E337</f>
        <v>N/A</v>
      </c>
      <c r="F225" s="96" t="str">
        <f>Originals!F337</f>
        <v>Development</v>
      </c>
      <c r="G225" s="96" t="str">
        <f>Originals!G337</f>
        <v>OpenG.org</v>
      </c>
      <c r="H225" s="96" t="str">
        <f>Originals!H337</f>
        <v>OpenG Numeric Library 4.1.0.8</v>
      </c>
      <c r="I225" s="96" t="str">
        <f>Originals!I337</f>
        <v>VIPM Community</v>
      </c>
    </row>
    <row r="226" spans="1:9" ht="15" x14ac:dyDescent="0.25">
      <c r="A226" s="96" t="str">
        <f>Originals!A338</f>
        <v>4-Vinnie</v>
      </c>
      <c r="B226" s="96" t="str">
        <f>Originals!B338</f>
        <v>OpenG Picture Library</v>
      </c>
      <c r="C226" s="96" t="str">
        <f>Originals!C338</f>
        <v>4.0.0.13</v>
      </c>
      <c r="D226" s="96" t="str">
        <f>Originals!D338</f>
        <v>32</v>
      </c>
      <c r="E226" s="96" t="str">
        <f>Originals!E338</f>
        <v>N/A</v>
      </c>
      <c r="F226" s="96" t="str">
        <f>Originals!F338</f>
        <v>Development</v>
      </c>
      <c r="G226" s="96" t="str">
        <f>Originals!G338</f>
        <v>OpenG.org</v>
      </c>
      <c r="H226" s="96" t="str">
        <f>Originals!H338</f>
        <v>OpenG Picture Library 4.0.0.13</v>
      </c>
      <c r="I226" s="96" t="str">
        <f>Originals!I338</f>
        <v>VIPM Community</v>
      </c>
    </row>
    <row r="227" spans="1:9" ht="15" x14ac:dyDescent="0.25">
      <c r="A227" s="96" t="str">
        <f>Originals!A339</f>
        <v>4-Vinnie</v>
      </c>
      <c r="B227" s="96" t="str">
        <f>Originals!B339</f>
        <v>OpenG Port IO</v>
      </c>
      <c r="C227" s="96" t="str">
        <f>Originals!C339</f>
        <v>4.0.0-2</v>
      </c>
      <c r="D227" s="96" t="str">
        <f>Originals!D339</f>
        <v>32</v>
      </c>
      <c r="E227" s="96" t="str">
        <f>Originals!E339</f>
        <v>N/A</v>
      </c>
      <c r="F227" s="96" t="str">
        <f>Originals!F339</f>
        <v>Development</v>
      </c>
      <c r="G227" s="96" t="str">
        <f>Originals!G339</f>
        <v>OpenG.org</v>
      </c>
      <c r="H227" s="96" t="str">
        <f>Originals!H339</f>
        <v>OpenG Port IO 4.0.0-2</v>
      </c>
      <c r="I227" s="96" t="str">
        <f>Originals!I339</f>
        <v>VIPM Community</v>
      </c>
    </row>
    <row r="228" spans="1:9" ht="15" x14ac:dyDescent="0.25">
      <c r="A228" s="96" t="str">
        <f>Originals!A340</f>
        <v>4-Vinnie</v>
      </c>
      <c r="B228" s="96" t="str">
        <f>Originals!B340</f>
        <v>OpenG Rename Folder of VIs Tool</v>
      </c>
      <c r="C228" s="96" t="str">
        <f>Originals!C340</f>
        <v>4.0.0.15</v>
      </c>
      <c r="D228" s="96" t="str">
        <f>Originals!D340</f>
        <v>32</v>
      </c>
      <c r="E228" s="96" t="str">
        <f>Originals!E340</f>
        <v>N/A</v>
      </c>
      <c r="F228" s="96" t="str">
        <f>Originals!F340</f>
        <v>Development</v>
      </c>
      <c r="G228" s="96" t="str">
        <f>Originals!G340</f>
        <v>OpenG.org</v>
      </c>
      <c r="H228" s="96" t="str">
        <f>Originals!H340</f>
        <v>OpenG Rename Folder of VIs Tool 4.0.0.15</v>
      </c>
      <c r="I228" s="96" t="str">
        <f>Originals!I340</f>
        <v>VIPM Community</v>
      </c>
    </row>
    <row r="229" spans="1:9" ht="15" x14ac:dyDescent="0.25">
      <c r="A229" s="96" t="str">
        <f>Originals!A341</f>
        <v>4-Vinnie</v>
      </c>
      <c r="B229" s="96" t="str">
        <f>Originals!B341</f>
        <v>OpenG String Library</v>
      </c>
      <c r="C229" s="96" t="str">
        <f>Originals!C341</f>
        <v>4.1.0.12</v>
      </c>
      <c r="D229" s="96" t="str">
        <f>Originals!D341</f>
        <v>32</v>
      </c>
      <c r="E229" s="96" t="str">
        <f>Originals!E341</f>
        <v>N/A</v>
      </c>
      <c r="F229" s="96" t="str">
        <f>Originals!F341</f>
        <v>Development</v>
      </c>
      <c r="G229" s="96" t="str">
        <f>Originals!G341</f>
        <v>OpenG.org</v>
      </c>
      <c r="H229" s="96" t="str">
        <f>Originals!H341</f>
        <v>OpenG String Library 4.1.0.12</v>
      </c>
      <c r="I229" s="96" t="str">
        <f>Originals!I341</f>
        <v>VIPM Community</v>
      </c>
    </row>
    <row r="230" spans="1:9" ht="15" x14ac:dyDescent="0.25">
      <c r="A230" s="96" t="str">
        <f>Originals!A342</f>
        <v>4-Vinnie</v>
      </c>
      <c r="B230" s="96" t="str">
        <f>Originals!B342</f>
        <v>OpenG Time Library</v>
      </c>
      <c r="C230" s="96" t="str">
        <f>Originals!C342</f>
        <v>4.0.1.3</v>
      </c>
      <c r="D230" s="96" t="str">
        <f>Originals!D342</f>
        <v>32</v>
      </c>
      <c r="E230" s="96" t="str">
        <f>Originals!E342</f>
        <v>N/A</v>
      </c>
      <c r="F230" s="96" t="str">
        <f>Originals!F342</f>
        <v>Development</v>
      </c>
      <c r="G230" s="96" t="str">
        <f>Originals!G342</f>
        <v>OpenG.org</v>
      </c>
      <c r="H230" s="96" t="str">
        <f>Originals!H342</f>
        <v>OpenG Time Library 4.0.1.3</v>
      </c>
      <c r="I230" s="96" t="str">
        <f>Originals!I342</f>
        <v>VIPM Community</v>
      </c>
    </row>
    <row r="231" spans="1:9" ht="15" x14ac:dyDescent="0.25">
      <c r="A231" s="96" t="str">
        <f>Originals!A343</f>
        <v>4-Vinnie</v>
      </c>
      <c r="B231" s="96" t="str">
        <f>Originals!B343</f>
        <v>OpenG Toolkit</v>
      </c>
      <c r="C231" s="96" t="str">
        <f>Originals!C343</f>
        <v>4.0.1.9</v>
      </c>
      <c r="D231" s="96" t="str">
        <f>Originals!D343</f>
        <v>32</v>
      </c>
      <c r="E231" s="96" t="str">
        <f>Originals!E343</f>
        <v>N/A</v>
      </c>
      <c r="F231" s="96" t="str">
        <f>Originals!F343</f>
        <v>Development</v>
      </c>
      <c r="G231" s="96" t="str">
        <f>Originals!G343</f>
        <v>OpenG.org</v>
      </c>
      <c r="H231" s="96" t="str">
        <f>Originals!H343</f>
        <v>OpenG Toolkit 4.0.1.9</v>
      </c>
      <c r="I231" s="96" t="str">
        <f>Originals!I343</f>
        <v>VIPM Community</v>
      </c>
    </row>
    <row r="232" spans="1:9" ht="15" x14ac:dyDescent="0.25">
      <c r="A232" s="96" t="str">
        <f>Originals!A344</f>
        <v>4-Vinnie</v>
      </c>
      <c r="B232" s="96" t="str">
        <f>Originals!B344</f>
        <v>OpenG Variant Configuration File Library</v>
      </c>
      <c r="C232" s="96" t="str">
        <f>Originals!C344</f>
        <v>4.0.0.5</v>
      </c>
      <c r="D232" s="96" t="str">
        <f>Originals!D344</f>
        <v>32</v>
      </c>
      <c r="E232" s="96" t="str">
        <f>Originals!E344</f>
        <v>N/A</v>
      </c>
      <c r="F232" s="96" t="str">
        <f>Originals!F344</f>
        <v>Development</v>
      </c>
      <c r="G232" s="96" t="str">
        <f>Originals!G344</f>
        <v>OpenG.org</v>
      </c>
      <c r="H232" s="96" t="str">
        <f>Originals!H344</f>
        <v>OpenG Variant Configuration File Library 4.0.0.5</v>
      </c>
      <c r="I232" s="96" t="str">
        <f>Originals!I344</f>
        <v>VIPM Community</v>
      </c>
    </row>
    <row r="233" spans="1:9" ht="15" x14ac:dyDescent="0.25">
      <c r="A233" s="96" t="str">
        <f>Originals!A345</f>
        <v>4-Vinnie</v>
      </c>
      <c r="B233" s="96" t="str">
        <f>Originals!B345</f>
        <v>OpenGDS</v>
      </c>
      <c r="C233" s="96" t="str">
        <f>Originals!C345</f>
        <v>1.1.17</v>
      </c>
      <c r="D233" s="96" t="str">
        <f>Originals!D345</f>
        <v>32</v>
      </c>
      <c r="E233" s="96" t="str">
        <f>Originals!E345</f>
        <v>N/A</v>
      </c>
      <c r="F233" s="96" t="str">
        <f>Originals!F345</f>
        <v>Development</v>
      </c>
      <c r="G233" s="96" t="str">
        <f>Originals!G345</f>
        <v>OpenGDS</v>
      </c>
      <c r="H233" s="96" t="str">
        <f>Originals!H345</f>
        <v>OpenGDS 1.1.17</v>
      </c>
      <c r="I233" s="96" t="str">
        <f>Originals!I345</f>
        <v>VIPM Community</v>
      </c>
    </row>
    <row r="234" spans="1:9" ht="15" x14ac:dyDescent="0.25">
      <c r="A234" s="96" t="str">
        <f>Scott!A187</f>
        <v>3-Scott</v>
      </c>
      <c r="B234" s="96" t="str">
        <f>Scott!B187</f>
        <v>PID Toolkit</v>
      </c>
      <c r="C234" s="96" t="str">
        <f>Scott!C187</f>
        <v>2.1.0</v>
      </c>
      <c r="D234" s="96">
        <f>Scott!D187</f>
        <v>32</v>
      </c>
      <c r="E234" s="96">
        <f>Scott!E187</f>
        <v>2015</v>
      </c>
      <c r="F234" s="96" t="str">
        <f>Scott!F187</f>
        <v>Development</v>
      </c>
      <c r="G234" s="96" t="str">
        <f>Scott!G187</f>
        <v>NI</v>
      </c>
      <c r="H234" s="96" t="str">
        <f>Scott!H187</f>
        <v>PID Toolkit 2.1.0</v>
      </c>
      <c r="I234" s="96" t="str">
        <f>Scott!I187</f>
        <v>NI Developer Suite 2015 DS2 Install</v>
      </c>
    </row>
    <row r="235" spans="1:9" ht="15" x14ac:dyDescent="0.25">
      <c r="A235" s="96" t="str">
        <f>Scott!A188</f>
        <v>3-Scott</v>
      </c>
      <c r="B235" s="96" t="str">
        <f>Scott!B188</f>
        <v>Profiler Toolkit</v>
      </c>
      <c r="C235" s="96" t="str">
        <f>Scott!C188</f>
        <v>1.0.0</v>
      </c>
      <c r="D235" s="96">
        <f>Scott!D188</f>
        <v>32</v>
      </c>
      <c r="E235" s="96">
        <f>Scott!E188</f>
        <v>2015</v>
      </c>
      <c r="F235" s="96" t="str">
        <f>Scott!F188</f>
        <v>Development</v>
      </c>
      <c r="G235" s="96" t="str">
        <f>Scott!G188</f>
        <v>NI</v>
      </c>
      <c r="H235" s="96" t="str">
        <f>Scott!H188</f>
        <v>Profiler Toolkit 1.0.0</v>
      </c>
      <c r="I235" s="96" t="str">
        <f>Scott!I188</f>
        <v>NI Developer Suite 2015 DS2 Install</v>
      </c>
    </row>
    <row r="236" spans="1:9" ht="15" x14ac:dyDescent="0.25">
      <c r="A236" s="96" t="str">
        <f>Originals!A77</f>
        <v>1-Corey</v>
      </c>
      <c r="B236" s="96" t="str">
        <f>Originals!B77</f>
        <v>Real-Time</v>
      </c>
      <c r="C236" s="96" t="str">
        <f>Originals!C77</f>
        <v>15.0.1</v>
      </c>
      <c r="D236" s="96" t="str">
        <f>Originals!D77</f>
        <v>32</v>
      </c>
      <c r="E236" s="96" t="str">
        <f>Originals!E77</f>
        <v>2015</v>
      </c>
      <c r="F236" s="96" t="str">
        <f>Originals!F77</f>
        <v>Development</v>
      </c>
      <c r="G236" s="96" t="str">
        <f>Originals!G77</f>
        <v>NI</v>
      </c>
      <c r="H236" s="96" t="str">
        <f>Originals!H77</f>
        <v>Real-Time 15.0.1</v>
      </c>
      <c r="I236" s="96" t="str">
        <f>Originals!I77</f>
        <v>2015 SP1 Update Service</v>
      </c>
    </row>
    <row r="237" spans="1:9" ht="15" x14ac:dyDescent="0.25">
      <c r="A237" s="96" t="str">
        <f>Scott!A189</f>
        <v>3-Scott</v>
      </c>
      <c r="B237" s="96" t="str">
        <f>Scott!B189</f>
        <v>Real-Time</v>
      </c>
      <c r="C237" s="96" t="str">
        <f>Scott!C189</f>
        <v>15.0.0</v>
      </c>
      <c r="D237" s="96">
        <f>Scott!D189</f>
        <v>32</v>
      </c>
      <c r="E237" s="96">
        <f>Scott!E189</f>
        <v>2015</v>
      </c>
      <c r="F237" s="96" t="str">
        <f>Scott!F189</f>
        <v>Development</v>
      </c>
      <c r="G237" s="96" t="str">
        <f>Scott!G189</f>
        <v>NI</v>
      </c>
      <c r="H237" s="96" t="str">
        <f>Scott!H189</f>
        <v>Real-Time 15.0.0</v>
      </c>
      <c r="I237" s="96" t="str">
        <f>Scott!I189</f>
        <v>NI Developer Suite 2015 DS2 Install</v>
      </c>
    </row>
    <row r="238" spans="1:9" ht="15" x14ac:dyDescent="0.25">
      <c r="A238" s="96" t="str">
        <f>Scott!A191</f>
        <v>3-Scott</v>
      </c>
      <c r="B238" s="96" t="str">
        <f>Scott!B191</f>
        <v>Real-Time Trace Viewer - CVI Support</v>
      </c>
      <c r="C238" s="96" t="str">
        <f>Scott!C191</f>
        <v>15.0.0</v>
      </c>
      <c r="D238" s="96">
        <f>Scott!D191</f>
        <v>32</v>
      </c>
      <c r="E238" s="96">
        <f>Scott!E191</f>
        <v>2015</v>
      </c>
      <c r="F238" s="96" t="str">
        <f>Scott!F191</f>
        <v>Development</v>
      </c>
      <c r="G238" s="96" t="str">
        <f>Scott!G191</f>
        <v>NI</v>
      </c>
      <c r="H238" s="96" t="str">
        <f>Scott!H191</f>
        <v>Real-Time Trace Viewer - CVI Support 15.0.0</v>
      </c>
      <c r="I238" s="96" t="str">
        <f>Scott!I191</f>
        <v>NI Developer Suite 2015 DS2 Install</v>
      </c>
    </row>
    <row r="239" spans="1:9" ht="15" x14ac:dyDescent="0.25">
      <c r="A239" s="96" t="str">
        <f>Originals!A78</f>
        <v>1-Corey</v>
      </c>
      <c r="B239" s="96" t="str">
        <f>Originals!B78</f>
        <v>Real-Time Trace Viewer - LabVIEW 2015 Support</v>
      </c>
      <c r="C239" s="96" t="str">
        <f>Originals!C78</f>
        <v>15.0.1</v>
      </c>
      <c r="D239" s="96" t="str">
        <f>Originals!D78</f>
        <v>32</v>
      </c>
      <c r="E239" s="96" t="str">
        <f>Originals!E78</f>
        <v>2015</v>
      </c>
      <c r="F239" s="96" t="str">
        <f>Originals!F78</f>
        <v>Development</v>
      </c>
      <c r="G239" s="96" t="str">
        <f>Originals!G78</f>
        <v>NI</v>
      </c>
      <c r="H239" s="96" t="str">
        <f>Originals!H78</f>
        <v>Real-Time Trace Viewer - LabVIEW 2015 Support 15.0.1</v>
      </c>
      <c r="I239" s="96" t="str">
        <f>Originals!I78</f>
        <v>2015 SP1 Update Service</v>
      </c>
    </row>
    <row r="240" spans="1:9" ht="15" x14ac:dyDescent="0.25">
      <c r="A240" s="96" t="str">
        <f>Originals!A79</f>
        <v>1-Corey</v>
      </c>
      <c r="B240" s="96" t="str">
        <f>Originals!B79</f>
        <v>Report Generation Toolkit For Microsoft Office</v>
      </c>
      <c r="C240" s="96" t="str">
        <f>Originals!C79</f>
        <v>15.0.0</v>
      </c>
      <c r="D240" s="96" t="str">
        <f>Originals!D79</f>
        <v>32</v>
      </c>
      <c r="E240" s="96" t="str">
        <f>Originals!E79</f>
        <v>2015</v>
      </c>
      <c r="F240" s="96" t="str">
        <f>Originals!F79</f>
        <v>Development</v>
      </c>
      <c r="G240" s="96" t="str">
        <f>Originals!G79</f>
        <v>NI</v>
      </c>
      <c r="H240" s="96" t="str">
        <f>Originals!H79</f>
        <v>Report Generation Toolkit For Microsoft Office 15.0.0</v>
      </c>
      <c r="I240" s="96" t="str">
        <f>Originals!I79</f>
        <v>NI Developer Suite 2015 DS2 Install</v>
      </c>
    </row>
    <row r="241" spans="1:9" ht="15" x14ac:dyDescent="0.25">
      <c r="A241" s="96" t="str">
        <f>Scott!A194</f>
        <v>3-Scott</v>
      </c>
      <c r="B241" s="96" t="str">
        <f>Scott!B194</f>
        <v>Signal Processing Toolkit</v>
      </c>
      <c r="C241" s="96" t="str">
        <f>Scott!C194</f>
        <v>7.0.2</v>
      </c>
      <c r="D241" s="96">
        <f>Scott!D194</f>
        <v>32</v>
      </c>
      <c r="E241" s="96">
        <f>Scott!E194</f>
        <v>2015</v>
      </c>
      <c r="F241" s="96" t="str">
        <f>Scott!F194</f>
        <v>Development</v>
      </c>
      <c r="G241" s="96" t="str">
        <f>Scott!G194</f>
        <v>NI</v>
      </c>
      <c r="H241" s="96" t="str">
        <f>Scott!H194</f>
        <v>Signal Processing Toolkit 7.0.2</v>
      </c>
      <c r="I241" s="96" t="str">
        <f>Scott!I194</f>
        <v>NI Developer Suite 2015 DS2 Install</v>
      </c>
    </row>
    <row r="242" spans="1:9" ht="15" x14ac:dyDescent="0.25">
      <c r="A242" s="96" t="str">
        <f>Scott!A195</f>
        <v>3-Scott</v>
      </c>
      <c r="B242" s="96" t="str">
        <f>Scott!B195</f>
        <v>SQL Toolkit</v>
      </c>
      <c r="C242" s="96" t="str">
        <f>Scott!C195</f>
        <v>2.3.0</v>
      </c>
      <c r="D242" s="96">
        <f>Scott!D195</f>
        <v>32</v>
      </c>
      <c r="E242" s="96">
        <f>Scott!E195</f>
        <v>2015</v>
      </c>
      <c r="F242" s="96" t="str">
        <f>Scott!F195</f>
        <v>Development</v>
      </c>
      <c r="G242" s="96" t="str">
        <f>Scott!G195</f>
        <v>NI</v>
      </c>
      <c r="H242" s="96" t="str">
        <f>Scott!H195</f>
        <v>SQL Toolkit 2.3.0</v>
      </c>
      <c r="I242" s="96" t="str">
        <f>Scott!I195</f>
        <v>NI Developer Suite 2015 DS2 Install</v>
      </c>
    </row>
    <row r="243" spans="1:9" ht="15" x14ac:dyDescent="0.25">
      <c r="A243" s="96" t="str">
        <f>Originals!A80</f>
        <v>1-Corey</v>
      </c>
      <c r="B243" s="96" t="str">
        <f>Originals!B80</f>
        <v>Statechart Module</v>
      </c>
      <c r="C243" s="96" t="str">
        <f>Originals!C80</f>
        <v>15.0</v>
      </c>
      <c r="D243" s="96" t="str">
        <f>Originals!D80</f>
        <v>32</v>
      </c>
      <c r="E243" s="96" t="str">
        <f>Originals!E80</f>
        <v>2015</v>
      </c>
      <c r="F243" s="96" t="str">
        <f>Originals!F80</f>
        <v>Development</v>
      </c>
      <c r="G243" s="96" t="str">
        <f>Originals!G80</f>
        <v>NI</v>
      </c>
      <c r="H243" s="96" t="str">
        <f>Originals!H80</f>
        <v>Statechart Module 15.0</v>
      </c>
      <c r="I243" s="96" t="str">
        <f>Originals!I80</f>
        <v>NI Developer Suite 2015 DS2 Install</v>
      </c>
    </row>
    <row r="244" spans="1:9" ht="15" x14ac:dyDescent="0.25">
      <c r="A244" s="96" t="str">
        <f>Scott!A196</f>
        <v>3-Scott</v>
      </c>
      <c r="B244" s="96" t="str">
        <f>Scott!B196</f>
        <v>Statechart Module</v>
      </c>
      <c r="C244" s="96" t="str">
        <f>Scott!C196</f>
        <v>15.0.0</v>
      </c>
      <c r="D244" s="96">
        <f>Scott!D196</f>
        <v>32</v>
      </c>
      <c r="E244" s="96">
        <f>Scott!E196</f>
        <v>2015</v>
      </c>
      <c r="F244" s="96" t="str">
        <f>Scott!F196</f>
        <v>Development</v>
      </c>
      <c r="G244" s="96" t="str">
        <f>Scott!G196</f>
        <v>NI</v>
      </c>
      <c r="H244" s="96" t="str">
        <f>Scott!H196</f>
        <v>Statechart Module 15.0.0</v>
      </c>
      <c r="I244" s="96" t="str">
        <f>Scott!I196</f>
        <v>NI Developer Suite 2015 DS2 Install</v>
      </c>
    </row>
    <row r="245" spans="1:9" ht="15" x14ac:dyDescent="0.25">
      <c r="A245" s="96" t="str">
        <f>Originals!A353</f>
        <v>4-Vinnie</v>
      </c>
      <c r="B245" s="96" t="str">
        <f>Originals!B353</f>
        <v>Structure Error Handler</v>
      </c>
      <c r="C245" s="96" t="str">
        <f>Originals!C353</f>
        <v>2.1.10.1</v>
      </c>
      <c r="D245" s="96" t="str">
        <f>Originals!D353</f>
        <v>32</v>
      </c>
      <c r="E245" s="96" t="str">
        <f>Originals!E353</f>
        <v>N/A</v>
      </c>
      <c r="F245" s="96" t="str">
        <f>Originals!F353</f>
        <v>Development</v>
      </c>
      <c r="G245" s="96" t="str">
        <f>Originals!G353</f>
        <v>NI</v>
      </c>
      <c r="H245" s="96" t="str">
        <f>Originals!H353</f>
        <v>Structure Error Handler 2.1.10.1</v>
      </c>
      <c r="I245" s="96" t="str">
        <f>Originals!I353</f>
        <v>VIPM Community</v>
      </c>
    </row>
    <row r="246" spans="1:9" ht="15" x14ac:dyDescent="0.25">
      <c r="A246" s="96" t="str">
        <f>Originals!A355</f>
        <v>4-Vinnie</v>
      </c>
      <c r="B246" s="96" t="str">
        <f>Originals!B355</f>
        <v>UI Tools</v>
      </c>
      <c r="C246" s="96" t="str">
        <f>Originals!C355</f>
        <v>1.4.1.74</v>
      </c>
      <c r="D246" s="96" t="str">
        <f>Originals!D355</f>
        <v>32</v>
      </c>
      <c r="E246" s="96" t="str">
        <f>Originals!E355</f>
        <v>N/A</v>
      </c>
      <c r="F246" s="96" t="str">
        <f>Originals!F355</f>
        <v>Development</v>
      </c>
      <c r="G246" s="96" t="str">
        <f>Originals!G355</f>
        <v>LAVA</v>
      </c>
      <c r="H246" s="96" t="str">
        <f>Originals!H355</f>
        <v>UI Tools 1.4.1.74</v>
      </c>
      <c r="I246" s="96" t="str">
        <f>Originals!I355</f>
        <v>VIPM Community</v>
      </c>
    </row>
    <row r="247" spans="1:9" ht="15" x14ac:dyDescent="0.25">
      <c r="A247" s="96" t="str">
        <f>Originals!A81</f>
        <v>1-Corey</v>
      </c>
      <c r="B247" s="96" t="str">
        <f>Originals!B81</f>
        <v>Unit Test Framework Toolkit</v>
      </c>
      <c r="C247" s="96" t="str">
        <f>Originals!C81</f>
        <v>15.0.0</v>
      </c>
      <c r="D247" s="96" t="str">
        <f>Originals!D81</f>
        <v>32</v>
      </c>
      <c r="E247" s="96" t="str">
        <f>Originals!E81</f>
        <v>2015</v>
      </c>
      <c r="F247" s="96" t="str">
        <f>Originals!F81</f>
        <v>Development</v>
      </c>
      <c r="G247" s="96" t="str">
        <f>Originals!G81</f>
        <v>NI</v>
      </c>
      <c r="H247" s="96" t="str">
        <f>Originals!H81</f>
        <v>Unit Test Framework Toolkit 15.0.0</v>
      </c>
      <c r="I247" s="96" t="str">
        <f>Originals!I81</f>
        <v>NI Developer Suite 2015 DS2 Install</v>
      </c>
    </row>
    <row r="248" spans="1:9" ht="15" x14ac:dyDescent="0.25">
      <c r="A248" s="96" t="str">
        <f>Scott!A199</f>
        <v>3-Scott</v>
      </c>
      <c r="B248" s="96" t="str">
        <f>Scott!B199</f>
        <v>USB3 Vision Driver</v>
      </c>
      <c r="C248" s="96" t="str">
        <f>Scott!C199</f>
        <v>19.0.0.49152</v>
      </c>
      <c r="D248" s="96" t="str">
        <f>Scott!D199</f>
        <v>32</v>
      </c>
      <c r="E248" s="96" t="str">
        <f>Scott!E199</f>
        <v>2019</v>
      </c>
      <c r="F248" s="96" t="str">
        <f>Scott!F199</f>
        <v>Development</v>
      </c>
      <c r="G248" s="96" t="str">
        <f>Scott!G199</f>
        <v>NI</v>
      </c>
      <c r="H248" s="96" t="str">
        <f>Scott!H199</f>
        <v>USB3 Vision Driver 19.0.0.49152</v>
      </c>
      <c r="I248" s="96" t="str">
        <f>Scott!I199</f>
        <v>LabVIEW 2019</v>
      </c>
    </row>
    <row r="249" spans="1:9" ht="15" x14ac:dyDescent="0.25">
      <c r="A249" s="96" t="str">
        <f>Originals!A356</f>
        <v>4-Vinnie</v>
      </c>
      <c r="B249" s="96" t="str">
        <f>Originals!B356</f>
        <v>USB3 Vision Driver</v>
      </c>
      <c r="C249" s="96" t="str">
        <f>Originals!C356</f>
        <v>18.5.0.49152</v>
      </c>
      <c r="D249" s="96" t="str">
        <f>Originals!D356</f>
        <v>32</v>
      </c>
      <c r="E249" s="96" t="str">
        <f>Originals!E356</f>
        <v>2018</v>
      </c>
      <c r="F249" s="96" t="str">
        <f>Originals!F356</f>
        <v>Development</v>
      </c>
      <c r="G249" s="96" t="str">
        <f>Originals!G356</f>
        <v>NI</v>
      </c>
      <c r="H249" s="96" t="str">
        <f>Originals!H356</f>
        <v>USB3 Vision Driver 18.5.0.49152</v>
      </c>
      <c r="I249" s="96">
        <f>Originals!I356</f>
        <v>0</v>
      </c>
    </row>
    <row r="250" spans="1:9" ht="15" x14ac:dyDescent="0.25">
      <c r="A250" s="96" t="str">
        <f>Originals!A82</f>
        <v>1-Corey</v>
      </c>
      <c r="B250" s="96" t="str">
        <f>Originals!B82</f>
        <v>VI Analyzer Toolkit</v>
      </c>
      <c r="C250" s="96" t="str">
        <f>Originals!C82</f>
        <v>15.0.0</v>
      </c>
      <c r="D250" s="96" t="str">
        <f>Originals!D82</f>
        <v>32</v>
      </c>
      <c r="E250" s="96" t="str">
        <f>Originals!E82</f>
        <v>2015</v>
      </c>
      <c r="F250" s="96" t="str">
        <f>Originals!F82</f>
        <v>Development</v>
      </c>
      <c r="G250" s="96" t="str">
        <f>Originals!G82</f>
        <v>NI</v>
      </c>
      <c r="H250" s="96" t="str">
        <f>Originals!H82</f>
        <v>VI Analyzer Toolkit 15.0.0</v>
      </c>
      <c r="I250" s="96" t="str">
        <f>Originals!I82</f>
        <v>NI Developer Suite 2015 DS2 Install</v>
      </c>
    </row>
    <row r="251" spans="1:9" ht="15" x14ac:dyDescent="0.25">
      <c r="A251" s="96" t="str">
        <f>Originals!A360</f>
        <v>4-Vinnie</v>
      </c>
      <c r="B251" s="96" t="str">
        <f>Originals!B360</f>
        <v>Vision Assistant</v>
      </c>
      <c r="C251" s="96" t="str">
        <f>Originals!C360</f>
        <v>18.5.0</v>
      </c>
      <c r="D251" s="96" t="str">
        <f>Originals!D360</f>
        <v>32</v>
      </c>
      <c r="E251" s="96" t="str">
        <f>Originals!E360</f>
        <v>2018</v>
      </c>
      <c r="F251" s="96" t="str">
        <f>Originals!F360</f>
        <v>Development</v>
      </c>
      <c r="G251" s="96" t="str">
        <f>Originals!G360</f>
        <v>NI</v>
      </c>
      <c r="H251" s="96" t="str">
        <f>Originals!H360</f>
        <v>Vision Assistant 18.5.0</v>
      </c>
      <c r="I251" s="96">
        <f>Originals!I360</f>
        <v>0</v>
      </c>
    </row>
    <row r="252" spans="1:9" ht="15" x14ac:dyDescent="0.25">
      <c r="A252" s="96" t="str">
        <f>Scott!A201</f>
        <v>3-Scott</v>
      </c>
      <c r="B252" s="96" t="str">
        <f>Scott!B201</f>
        <v>Vision Common Resources</v>
      </c>
      <c r="C252" s="96" t="str">
        <f>Scott!C201</f>
        <v>19.0.0</v>
      </c>
      <c r="D252" s="96" t="str">
        <f>Scott!D201</f>
        <v>32</v>
      </c>
      <c r="E252" s="96" t="str">
        <f>Scott!E201</f>
        <v>2019</v>
      </c>
      <c r="F252" s="96" t="str">
        <f>Scott!F201</f>
        <v>Development</v>
      </c>
      <c r="G252" s="96" t="str">
        <f>Scott!G201</f>
        <v>NI</v>
      </c>
      <c r="H252" s="96" t="str">
        <f>Scott!H201</f>
        <v>Vision Common Resources 19.0.0</v>
      </c>
      <c r="I252" s="96" t="str">
        <f>Scott!I201</f>
        <v>LabVIEW 2019</v>
      </c>
    </row>
    <row r="253" spans="1:9" ht="15" x14ac:dyDescent="0.25">
      <c r="A253" s="96" t="str">
        <f>Originals!A362</f>
        <v>4-Vinnie</v>
      </c>
      <c r="B253" s="96" t="str">
        <f>Originals!B362</f>
        <v>Vision Common Resources</v>
      </c>
      <c r="C253" s="96" t="str">
        <f>Originals!C362</f>
        <v>19.5.0</v>
      </c>
      <c r="D253" s="96" t="str">
        <f>Originals!D362</f>
        <v>32</v>
      </c>
      <c r="E253" s="96" t="str">
        <f>Originals!E362</f>
        <v>2019</v>
      </c>
      <c r="F253" s="96" t="str">
        <f>Originals!F362</f>
        <v>Development</v>
      </c>
      <c r="G253" s="96" t="str">
        <f>Originals!G362</f>
        <v>NI</v>
      </c>
      <c r="H253" s="96" t="str">
        <f>Originals!H362</f>
        <v>Vision Common Resources 19.5.0</v>
      </c>
      <c r="I253" s="96">
        <f>Originals!I362</f>
        <v>0</v>
      </c>
    </row>
    <row r="254" spans="1:9" ht="15" x14ac:dyDescent="0.25">
      <c r="A254" s="96" t="str">
        <f>Scott!A202</f>
        <v>3-Scott</v>
      </c>
      <c r="B254" s="96" t="str">
        <f>Scott!B202</f>
        <v>Vision Development Module</v>
      </c>
      <c r="C254" s="96" t="str">
        <f>Scott!C202</f>
        <v>19.0.0</v>
      </c>
      <c r="D254" s="96" t="str">
        <f>Scott!D202</f>
        <v>32</v>
      </c>
      <c r="E254" s="96" t="str">
        <f>Scott!E202</f>
        <v>2019</v>
      </c>
      <c r="F254" s="96" t="str">
        <f>Scott!F202</f>
        <v>Development</v>
      </c>
      <c r="G254" s="96" t="str">
        <f>Scott!G202</f>
        <v>NI</v>
      </c>
      <c r="H254" s="96" t="str">
        <f>Scott!H202</f>
        <v>Vision Development Module 19.0.0</v>
      </c>
      <c r="I254" s="96" t="str">
        <f>Scott!I202</f>
        <v>LabVIEW 2019</v>
      </c>
    </row>
    <row r="255" spans="1:9" ht="15" x14ac:dyDescent="0.25">
      <c r="A255" s="96" t="str">
        <f>Originals!A363</f>
        <v>4-Vinnie</v>
      </c>
      <c r="B255" s="96" t="str">
        <f>Originals!B363</f>
        <v>Vision Development Module</v>
      </c>
      <c r="C255" s="96" t="str">
        <f>Originals!C363</f>
        <v>18.5.0</v>
      </c>
      <c r="D255" s="96" t="str">
        <f>Originals!D363</f>
        <v>32</v>
      </c>
      <c r="E255" s="96" t="str">
        <f>Originals!E363</f>
        <v>2018</v>
      </c>
      <c r="F255" s="96" t="str">
        <f>Originals!F363</f>
        <v>Development</v>
      </c>
      <c r="G255" s="96" t="str">
        <f>Originals!G363</f>
        <v>NI</v>
      </c>
      <c r="H255" s="96" t="str">
        <f>Originals!H363</f>
        <v>Vision Development Module 18.5.0</v>
      </c>
      <c r="I255" s="96">
        <f>Originals!I363</f>
        <v>0</v>
      </c>
    </row>
    <row r="256" spans="1:9" ht="15" x14ac:dyDescent="0.25">
      <c r="A256" s="96" t="str">
        <f>Originals!A364</f>
        <v>4-Vinnie</v>
      </c>
      <c r="B256" s="96" t="str">
        <f>Originals!B364</f>
        <v>Vision Development Module</v>
      </c>
      <c r="C256" s="96" t="str">
        <f>Originals!C364</f>
        <v>19.5.0</v>
      </c>
      <c r="D256" s="96" t="str">
        <f>Originals!D364</f>
        <v>32</v>
      </c>
      <c r="E256" s="96" t="str">
        <f>Originals!E364</f>
        <v>2019</v>
      </c>
      <c r="F256" s="96" t="str">
        <f>Originals!F364</f>
        <v>Development</v>
      </c>
      <c r="G256" s="96" t="str">
        <f>Originals!G364</f>
        <v>NI</v>
      </c>
      <c r="H256" s="96" t="str">
        <f>Originals!H364</f>
        <v>Vision Development Module 19.5.0</v>
      </c>
      <c r="I256" s="96">
        <f>Originals!I364</f>
        <v>0</v>
      </c>
    </row>
    <row r="257" spans="1:9" ht="15" x14ac:dyDescent="0.25">
      <c r="A257" s="96" t="str">
        <f>Originals!A365</f>
        <v>4-Vinnie</v>
      </c>
      <c r="B257" s="96" t="str">
        <f>Originals!B365</f>
        <v>Vision Development Module Development Support</v>
      </c>
      <c r="C257" s="96" t="str">
        <f>Originals!C365</f>
        <v>18.5.0 SP1</v>
      </c>
      <c r="D257" s="96" t="str">
        <f>Originals!D365</f>
        <v>32</v>
      </c>
      <c r="E257" s="96" t="str">
        <f>Originals!E365</f>
        <v>2018</v>
      </c>
      <c r="F257" s="96" t="str">
        <f>Originals!F365</f>
        <v>Development</v>
      </c>
      <c r="G257" s="96" t="str">
        <f>Originals!G365</f>
        <v>NI</v>
      </c>
      <c r="H257" s="96" t="str">
        <f>Originals!H365</f>
        <v>Vision Development Module Development Support 18.5.0 SP1</v>
      </c>
      <c r="I257" s="96">
        <f>Originals!I365</f>
        <v>0</v>
      </c>
    </row>
    <row r="258" spans="1:9" ht="15" hidden="1" x14ac:dyDescent="0.25">
      <c r="A258" s="96"/>
      <c r="B258" s="96"/>
      <c r="C258" s="96"/>
      <c r="D258" s="96"/>
      <c r="E258" s="96"/>
      <c r="F258" s="96"/>
      <c r="G258" s="96"/>
      <c r="H258" s="96"/>
      <c r="I258" s="96"/>
    </row>
    <row r="259" spans="1:9" ht="15" hidden="1" x14ac:dyDescent="0.25">
      <c r="A259" s="96"/>
      <c r="B259" s="96"/>
      <c r="C259" s="96"/>
      <c r="D259" s="96"/>
      <c r="E259" s="96"/>
      <c r="F259" s="96"/>
      <c r="G259" s="96"/>
      <c r="H259" s="96"/>
      <c r="I259" s="96"/>
    </row>
    <row r="260" spans="1:9" ht="15" hidden="1" x14ac:dyDescent="0.25">
      <c r="A260" s="96"/>
      <c r="B260" s="96"/>
      <c r="C260" s="96"/>
      <c r="D260" s="96"/>
      <c r="E260" s="96"/>
      <c r="F260" s="96"/>
      <c r="G260" s="96"/>
      <c r="H260" s="96"/>
      <c r="I260" s="96"/>
    </row>
    <row r="261" spans="1:9" ht="15" hidden="1" x14ac:dyDescent="0.25">
      <c r="A261" s="96"/>
      <c r="B261" s="96"/>
      <c r="C261" s="96"/>
      <c r="D261" s="96"/>
      <c r="E261" s="96"/>
      <c r="F261" s="96"/>
      <c r="G261" s="96"/>
      <c r="H261" s="96"/>
      <c r="I261" s="96"/>
    </row>
    <row r="262" spans="1:9" ht="15" hidden="1" x14ac:dyDescent="0.25">
      <c r="A262" s="96"/>
      <c r="B262" s="96"/>
      <c r="C262" s="96"/>
      <c r="D262" s="96"/>
      <c r="E262" s="96"/>
      <c r="F262" s="96"/>
      <c r="G262" s="96"/>
      <c r="H262" s="96"/>
      <c r="I262" s="96"/>
    </row>
    <row r="263" spans="1:9" ht="15" hidden="1" x14ac:dyDescent="0.25">
      <c r="A263" s="96"/>
      <c r="B263" s="96"/>
      <c r="C263" s="96"/>
      <c r="D263" s="96"/>
      <c r="E263" s="96"/>
      <c r="F263" s="96"/>
      <c r="G263" s="96"/>
      <c r="H263" s="96"/>
      <c r="I263" s="96"/>
    </row>
    <row r="264" spans="1:9" ht="15" hidden="1" x14ac:dyDescent="0.25">
      <c r="A264" s="96"/>
      <c r="B264" s="96"/>
      <c r="C264" s="96"/>
      <c r="D264" s="96"/>
      <c r="E264" s="96"/>
      <c r="F264" s="96"/>
      <c r="G264" s="96"/>
      <c r="H264" s="96"/>
      <c r="I264" s="96"/>
    </row>
    <row r="265" spans="1:9" ht="15" hidden="1" x14ac:dyDescent="0.25">
      <c r="A265" s="96"/>
      <c r="B265" s="96"/>
      <c r="C265" s="96"/>
      <c r="D265" s="96"/>
      <c r="E265" s="96"/>
      <c r="F265" s="96"/>
      <c r="G265" s="96"/>
      <c r="H265" s="96"/>
      <c r="I265" s="96"/>
    </row>
    <row r="266" spans="1:9" ht="15" hidden="1" x14ac:dyDescent="0.25">
      <c r="A266" s="96"/>
      <c r="B266" s="96"/>
      <c r="C266" s="96"/>
      <c r="D266" s="96"/>
      <c r="E266" s="96"/>
      <c r="F266" s="96"/>
      <c r="G266" s="96"/>
      <c r="H266" s="96"/>
      <c r="I266" s="96"/>
    </row>
    <row r="267" spans="1:9" ht="15" hidden="1" x14ac:dyDescent="0.25">
      <c r="A267" s="96"/>
      <c r="B267" s="96"/>
      <c r="C267" s="96"/>
      <c r="D267" s="96"/>
      <c r="E267" s="96"/>
      <c r="F267" s="96"/>
      <c r="G267" s="96"/>
      <c r="H267" s="96"/>
      <c r="I267" s="96"/>
    </row>
    <row r="268" spans="1:9" ht="15" hidden="1" x14ac:dyDescent="0.25">
      <c r="A268" s="96"/>
      <c r="B268" s="96"/>
      <c r="C268" s="96"/>
      <c r="D268" s="96"/>
      <c r="E268" s="96"/>
      <c r="F268" s="96"/>
      <c r="G268" s="96"/>
      <c r="H268" s="96"/>
      <c r="I268" s="96"/>
    </row>
    <row r="269" spans="1:9" ht="15" hidden="1" x14ac:dyDescent="0.25">
      <c r="A269" s="96"/>
      <c r="B269" s="96"/>
      <c r="C269" s="96"/>
      <c r="D269" s="96"/>
      <c r="E269" s="96"/>
      <c r="F269" s="96"/>
      <c r="G269" s="96"/>
      <c r="H269" s="96"/>
      <c r="I269" s="96"/>
    </row>
    <row r="270" spans="1:9" ht="15" hidden="1" x14ac:dyDescent="0.25">
      <c r="A270" s="96"/>
      <c r="B270" s="96"/>
      <c r="C270" s="96"/>
      <c r="D270" s="96"/>
      <c r="E270" s="96"/>
      <c r="F270" s="96"/>
      <c r="G270" s="96"/>
      <c r="H270" s="96"/>
      <c r="I270" s="96"/>
    </row>
    <row r="271" spans="1:9" ht="15" hidden="1" x14ac:dyDescent="0.25">
      <c r="A271" s="96"/>
      <c r="B271" s="96"/>
      <c r="C271" s="96"/>
      <c r="D271" s="96"/>
      <c r="E271" s="96"/>
      <c r="F271" s="96"/>
      <c r="G271" s="96"/>
      <c r="H271" s="96"/>
      <c r="I271" s="96"/>
    </row>
    <row r="272" spans="1:9" ht="15" hidden="1" x14ac:dyDescent="0.25">
      <c r="A272" s="96"/>
      <c r="B272" s="96"/>
      <c r="C272" s="96"/>
      <c r="D272" s="96"/>
      <c r="E272" s="96"/>
      <c r="F272" s="96"/>
      <c r="G272" s="96"/>
      <c r="H272" s="96"/>
      <c r="I272" s="96"/>
    </row>
    <row r="273" spans="1:9" ht="15" hidden="1" x14ac:dyDescent="0.25">
      <c r="A273" s="96"/>
      <c r="B273" s="96"/>
      <c r="C273" s="96"/>
      <c r="D273" s="96"/>
      <c r="E273" s="96"/>
      <c r="F273" s="96"/>
      <c r="G273" s="96"/>
      <c r="H273" s="96"/>
      <c r="I273" s="96"/>
    </row>
    <row r="274" spans="1:9" ht="15" hidden="1" x14ac:dyDescent="0.25">
      <c r="A274" s="96"/>
      <c r="B274" s="96"/>
      <c r="C274" s="96"/>
      <c r="D274" s="96"/>
      <c r="E274" s="96"/>
      <c r="F274" s="96"/>
      <c r="G274" s="96"/>
      <c r="H274" s="96"/>
      <c r="I274" s="96"/>
    </row>
    <row r="275" spans="1:9" ht="15" hidden="1" x14ac:dyDescent="0.25">
      <c r="A275" s="96"/>
      <c r="B275" s="96"/>
      <c r="C275" s="96"/>
      <c r="D275" s="96"/>
      <c r="E275" s="96"/>
      <c r="F275" s="96"/>
      <c r="G275" s="96"/>
      <c r="H275" s="96"/>
      <c r="I275" s="96"/>
    </row>
    <row r="276" spans="1:9" ht="15" hidden="1" x14ac:dyDescent="0.25">
      <c r="A276" s="96"/>
      <c r="B276" s="96"/>
      <c r="C276" s="96"/>
      <c r="D276" s="96"/>
      <c r="E276" s="96"/>
      <c r="F276" s="96"/>
      <c r="G276" s="96"/>
      <c r="H276" s="96"/>
      <c r="I276" s="96"/>
    </row>
    <row r="277" spans="1:9" ht="15" hidden="1" x14ac:dyDescent="0.25">
      <c r="A277" s="96"/>
      <c r="B277" s="96"/>
      <c r="C277" s="96"/>
      <c r="D277" s="96"/>
      <c r="E277" s="96"/>
      <c r="F277" s="96"/>
      <c r="G277" s="96"/>
      <c r="H277" s="96"/>
      <c r="I277" s="96"/>
    </row>
    <row r="278" spans="1:9" ht="15" hidden="1" x14ac:dyDescent="0.25">
      <c r="A278" s="96"/>
      <c r="B278" s="96"/>
      <c r="C278" s="96"/>
      <c r="D278" s="96"/>
      <c r="E278" s="96"/>
      <c r="F278" s="96"/>
      <c r="G278" s="96"/>
      <c r="H278" s="96"/>
      <c r="I278" s="96"/>
    </row>
    <row r="279" spans="1:9" ht="15" hidden="1" x14ac:dyDescent="0.25">
      <c r="A279" s="96"/>
      <c r="B279" s="96"/>
      <c r="C279" s="96"/>
      <c r="D279" s="96"/>
      <c r="E279" s="96"/>
      <c r="F279" s="96"/>
      <c r="G279" s="96"/>
      <c r="H279" s="96"/>
      <c r="I279" s="96"/>
    </row>
    <row r="280" spans="1:9" ht="15" hidden="1" x14ac:dyDescent="0.25">
      <c r="A280" s="96"/>
      <c r="B280" s="96"/>
      <c r="C280" s="96"/>
      <c r="D280" s="96"/>
      <c r="E280" s="96"/>
      <c r="F280" s="96"/>
      <c r="G280" s="96"/>
      <c r="H280" s="96"/>
      <c r="I280" s="96"/>
    </row>
    <row r="281" spans="1:9" ht="15" hidden="1" x14ac:dyDescent="0.25">
      <c r="A281" s="96"/>
      <c r="B281" s="96"/>
      <c r="C281" s="96"/>
      <c r="D281" s="96"/>
      <c r="E281" s="96"/>
      <c r="F281" s="96"/>
      <c r="G281" s="96"/>
      <c r="H281" s="96"/>
      <c r="I281" s="96"/>
    </row>
    <row r="282" spans="1:9" ht="15" hidden="1" x14ac:dyDescent="0.25">
      <c r="A282" s="96"/>
      <c r="B282" s="96"/>
      <c r="C282" s="96"/>
      <c r="D282" s="96"/>
      <c r="E282" s="96"/>
      <c r="F282" s="96"/>
      <c r="G282" s="96"/>
      <c r="H282" s="96"/>
      <c r="I282" s="96"/>
    </row>
    <row r="283" spans="1:9" ht="15" hidden="1" x14ac:dyDescent="0.25">
      <c r="A283" s="96"/>
      <c r="B283" s="96"/>
      <c r="C283" s="96"/>
      <c r="D283" s="96"/>
      <c r="E283" s="96"/>
      <c r="F283" s="96"/>
      <c r="G283" s="96"/>
      <c r="H283" s="96"/>
      <c r="I283" s="96"/>
    </row>
    <row r="284" spans="1:9" ht="15" hidden="1" x14ac:dyDescent="0.25">
      <c r="A284" s="96"/>
      <c r="B284" s="96"/>
      <c r="C284" s="96"/>
      <c r="D284" s="96"/>
      <c r="E284" s="96"/>
      <c r="F284" s="96"/>
      <c r="G284" s="96"/>
      <c r="H284" s="96"/>
      <c r="I284" s="96"/>
    </row>
    <row r="285" spans="1:9" ht="15" hidden="1" x14ac:dyDescent="0.25">
      <c r="A285" s="96"/>
      <c r="B285" s="96"/>
      <c r="C285" s="96"/>
      <c r="D285" s="96"/>
      <c r="E285" s="96"/>
      <c r="F285" s="96"/>
      <c r="G285" s="96"/>
      <c r="H285" s="96"/>
      <c r="I285" s="96"/>
    </row>
    <row r="286" spans="1:9" ht="15" hidden="1" x14ac:dyDescent="0.25">
      <c r="A286" s="96"/>
      <c r="B286" s="96"/>
      <c r="C286" s="96"/>
      <c r="D286" s="96"/>
      <c r="E286" s="96"/>
      <c r="F286" s="96"/>
      <c r="G286" s="96"/>
      <c r="H286" s="96"/>
      <c r="I286" s="96"/>
    </row>
    <row r="287" spans="1:9" ht="15" hidden="1" x14ac:dyDescent="0.25">
      <c r="A287" s="96"/>
      <c r="B287" s="96"/>
      <c r="C287" s="96"/>
      <c r="D287" s="96"/>
      <c r="E287" s="96"/>
      <c r="F287" s="96"/>
      <c r="G287" s="96"/>
      <c r="H287" s="96"/>
      <c r="I287" s="96"/>
    </row>
    <row r="288" spans="1:9" ht="15" hidden="1" x14ac:dyDescent="0.25">
      <c r="A288" s="96"/>
      <c r="B288" s="96"/>
      <c r="C288" s="96"/>
      <c r="D288" s="96"/>
      <c r="E288" s="96"/>
      <c r="F288" s="96"/>
      <c r="G288" s="96"/>
      <c r="H288" s="96"/>
      <c r="I288" s="96"/>
    </row>
    <row r="289" spans="1:9" ht="15" hidden="1" x14ac:dyDescent="0.25">
      <c r="A289" s="96"/>
      <c r="B289" s="96"/>
      <c r="C289" s="96"/>
      <c r="D289" s="96"/>
      <c r="E289" s="96"/>
      <c r="F289" s="96"/>
      <c r="G289" s="96"/>
      <c r="H289" s="96"/>
      <c r="I289" s="96"/>
    </row>
    <row r="290" spans="1:9" ht="15" hidden="1" x14ac:dyDescent="0.25">
      <c r="A290" s="96"/>
      <c r="B290" s="96"/>
      <c r="C290" s="96"/>
      <c r="D290" s="96"/>
      <c r="E290" s="96"/>
      <c r="F290" s="96"/>
      <c r="G290" s="96"/>
      <c r="H290" s="96"/>
      <c r="I290" s="96"/>
    </row>
    <row r="291" spans="1:9" ht="15" hidden="1" x14ac:dyDescent="0.25">
      <c r="A291" s="96"/>
      <c r="B291" s="96"/>
      <c r="C291" s="96"/>
      <c r="D291" s="96"/>
      <c r="E291" s="96"/>
      <c r="F291" s="96"/>
      <c r="G291" s="96"/>
      <c r="H291" s="96"/>
      <c r="I291" s="96"/>
    </row>
    <row r="292" spans="1:9" ht="15" hidden="1" x14ac:dyDescent="0.25">
      <c r="A292" s="96"/>
      <c r="B292" s="96"/>
      <c r="C292" s="96"/>
      <c r="D292" s="96"/>
      <c r="E292" s="96"/>
      <c r="F292" s="96"/>
      <c r="G292" s="96"/>
      <c r="H292" s="96"/>
      <c r="I292" s="96"/>
    </row>
    <row r="293" spans="1:9" ht="15" hidden="1" x14ac:dyDescent="0.25">
      <c r="A293" s="96"/>
      <c r="B293" s="96"/>
      <c r="C293" s="96"/>
      <c r="D293" s="96"/>
      <c r="E293" s="96"/>
      <c r="F293" s="96"/>
      <c r="G293" s="96"/>
      <c r="H293" s="96"/>
      <c r="I293" s="96"/>
    </row>
    <row r="294" spans="1:9" ht="15" hidden="1" x14ac:dyDescent="0.25">
      <c r="A294" s="96"/>
      <c r="B294" s="96"/>
      <c r="C294" s="96"/>
      <c r="D294" s="96"/>
      <c r="E294" s="96"/>
      <c r="F294" s="96"/>
      <c r="G294" s="96"/>
      <c r="H294" s="96"/>
      <c r="I294" s="96"/>
    </row>
    <row r="295" spans="1:9" ht="15" hidden="1" x14ac:dyDescent="0.25">
      <c r="A295" s="96"/>
      <c r="B295" s="96"/>
      <c r="C295" s="96"/>
      <c r="D295" s="96"/>
      <c r="E295" s="96"/>
      <c r="F295" s="96"/>
      <c r="G295" s="96"/>
      <c r="H295" s="96"/>
      <c r="I295" s="96"/>
    </row>
    <row r="296" spans="1:9" ht="15" hidden="1" x14ac:dyDescent="0.25">
      <c r="A296" s="96"/>
      <c r="B296" s="96"/>
      <c r="C296" s="96"/>
      <c r="D296" s="96"/>
      <c r="E296" s="96"/>
      <c r="F296" s="96"/>
      <c r="G296" s="96"/>
      <c r="H296" s="96"/>
      <c r="I296" s="96"/>
    </row>
    <row r="297" spans="1:9" ht="15" hidden="1" x14ac:dyDescent="0.25">
      <c r="A297" s="96"/>
      <c r="B297" s="96"/>
      <c r="C297" s="96"/>
      <c r="D297" s="96"/>
      <c r="E297" s="96"/>
      <c r="F297" s="96"/>
      <c r="G297" s="96"/>
      <c r="H297" s="96"/>
      <c r="I297" s="96"/>
    </row>
    <row r="298" spans="1:9" ht="15" hidden="1" x14ac:dyDescent="0.25">
      <c r="A298" s="96"/>
      <c r="B298" s="96"/>
      <c r="C298" s="96"/>
      <c r="D298" s="96"/>
      <c r="E298" s="96"/>
      <c r="F298" s="96"/>
      <c r="G298" s="96"/>
      <c r="H298" s="96"/>
      <c r="I298" s="96"/>
    </row>
    <row r="299" spans="1:9" ht="15" hidden="1" x14ac:dyDescent="0.25">
      <c r="A299" s="96"/>
      <c r="B299" s="96"/>
      <c r="C299" s="96"/>
      <c r="D299" s="96"/>
      <c r="E299" s="96"/>
      <c r="F299" s="96"/>
      <c r="G299" s="96"/>
      <c r="H299" s="96"/>
      <c r="I299" s="96"/>
    </row>
    <row r="300" spans="1:9" ht="15" hidden="1" x14ac:dyDescent="0.25">
      <c r="A300" s="96"/>
      <c r="B300" s="96"/>
      <c r="C300" s="96"/>
      <c r="D300" s="96"/>
      <c r="E300" s="96"/>
      <c r="F300" s="96"/>
      <c r="G300" s="96"/>
      <c r="H300" s="96"/>
      <c r="I300" s="96"/>
    </row>
    <row r="301" spans="1:9" ht="15" hidden="1" x14ac:dyDescent="0.25">
      <c r="A301" s="96"/>
      <c r="B301" s="96"/>
      <c r="C301" s="96"/>
      <c r="D301" s="96"/>
      <c r="E301" s="96"/>
      <c r="F301" s="96"/>
      <c r="G301" s="96"/>
      <c r="H301" s="96"/>
      <c r="I301" s="96"/>
    </row>
    <row r="302" spans="1:9" ht="15" hidden="1" x14ac:dyDescent="0.25">
      <c r="A302" s="96"/>
      <c r="B302" s="96"/>
      <c r="C302" s="96"/>
      <c r="D302" s="96"/>
      <c r="E302" s="96"/>
      <c r="F302" s="96"/>
      <c r="G302" s="96"/>
      <c r="H302" s="96"/>
      <c r="I302" s="96"/>
    </row>
    <row r="303" spans="1:9" ht="15" hidden="1" x14ac:dyDescent="0.25">
      <c r="A303" s="96"/>
      <c r="B303" s="96"/>
      <c r="C303" s="96"/>
      <c r="D303" s="96"/>
      <c r="E303" s="96"/>
      <c r="F303" s="96"/>
      <c r="G303" s="96"/>
      <c r="H303" s="96"/>
      <c r="I303" s="96"/>
    </row>
    <row r="304" spans="1:9" ht="15" hidden="1" x14ac:dyDescent="0.25">
      <c r="A304" s="96"/>
      <c r="B304" s="96"/>
      <c r="C304" s="96"/>
      <c r="D304" s="96"/>
      <c r="E304" s="96"/>
      <c r="F304" s="96"/>
      <c r="G304" s="96"/>
      <c r="H304" s="96"/>
      <c r="I304" s="96"/>
    </row>
    <row r="305" spans="1:9" ht="15" hidden="1" x14ac:dyDescent="0.25">
      <c r="A305" s="96"/>
      <c r="B305" s="96"/>
      <c r="C305" s="96"/>
      <c r="D305" s="96"/>
      <c r="E305" s="96"/>
      <c r="F305" s="96"/>
      <c r="G305" s="96"/>
      <c r="H305" s="96"/>
      <c r="I305" s="96"/>
    </row>
    <row r="306" spans="1:9" ht="15" hidden="1" x14ac:dyDescent="0.25">
      <c r="A306" s="96"/>
      <c r="B306" s="96"/>
      <c r="C306" s="96"/>
      <c r="D306" s="96"/>
      <c r="E306" s="96"/>
      <c r="F306" s="96"/>
      <c r="G306" s="96"/>
      <c r="H306" s="96"/>
      <c r="I306" s="96"/>
    </row>
    <row r="307" spans="1:9" ht="15" hidden="1" x14ac:dyDescent="0.25">
      <c r="A307" s="96"/>
      <c r="B307" s="96"/>
      <c r="C307" s="96"/>
      <c r="D307" s="96"/>
      <c r="E307" s="96"/>
      <c r="F307" s="96"/>
      <c r="G307" s="96"/>
      <c r="H307" s="96"/>
      <c r="I307" s="96"/>
    </row>
    <row r="308" spans="1:9" ht="15" hidden="1" x14ac:dyDescent="0.25">
      <c r="A308" s="96"/>
      <c r="B308" s="96"/>
      <c r="C308" s="96"/>
      <c r="D308" s="96"/>
      <c r="E308" s="96"/>
      <c r="F308" s="96"/>
      <c r="G308" s="96"/>
      <c r="H308" s="96"/>
      <c r="I308" s="96"/>
    </row>
    <row r="309" spans="1:9" ht="15" hidden="1" x14ac:dyDescent="0.25">
      <c r="A309" s="96"/>
      <c r="B309" s="96"/>
      <c r="C309" s="96"/>
      <c r="D309" s="96"/>
      <c r="E309" s="96"/>
      <c r="F309" s="96"/>
      <c r="G309" s="96"/>
      <c r="H309" s="96"/>
      <c r="I309" s="96"/>
    </row>
    <row r="310" spans="1:9" ht="15" hidden="1" x14ac:dyDescent="0.25">
      <c r="A310" s="96"/>
      <c r="B310" s="96"/>
      <c r="C310" s="96"/>
      <c r="D310" s="96"/>
      <c r="E310" s="96"/>
      <c r="F310" s="96"/>
      <c r="G310" s="96"/>
      <c r="H310" s="96"/>
      <c r="I310" s="96"/>
    </row>
    <row r="311" spans="1:9" ht="15" hidden="1" x14ac:dyDescent="0.25">
      <c r="A311" s="96"/>
      <c r="B311" s="96"/>
      <c r="C311" s="96"/>
      <c r="D311" s="96"/>
      <c r="E311" s="96"/>
      <c r="F311" s="96"/>
      <c r="G311" s="96"/>
      <c r="H311" s="96"/>
      <c r="I311" s="96"/>
    </row>
    <row r="312" spans="1:9" ht="15" hidden="1" x14ac:dyDescent="0.25">
      <c r="A312" s="96"/>
      <c r="B312" s="96"/>
      <c r="C312" s="96"/>
      <c r="D312" s="96"/>
      <c r="E312" s="96"/>
      <c r="F312" s="96"/>
      <c r="G312" s="96"/>
      <c r="H312" s="96"/>
      <c r="I312" s="96"/>
    </row>
    <row r="313" spans="1:9" ht="15" hidden="1" x14ac:dyDescent="0.25">
      <c r="A313" s="96"/>
      <c r="B313" s="96"/>
      <c r="C313" s="96"/>
      <c r="D313" s="96"/>
      <c r="E313" s="96"/>
      <c r="F313" s="96"/>
      <c r="G313" s="96"/>
      <c r="H313" s="96"/>
      <c r="I313" s="96"/>
    </row>
    <row r="314" spans="1:9" ht="15" hidden="1" x14ac:dyDescent="0.25">
      <c r="A314" s="96"/>
      <c r="B314" s="96"/>
      <c r="C314" s="96"/>
      <c r="D314" s="96"/>
      <c r="E314" s="96"/>
      <c r="F314" s="96"/>
      <c r="G314" s="96"/>
      <c r="H314" s="96"/>
      <c r="I314" s="96"/>
    </row>
    <row r="315" spans="1:9" ht="15" hidden="1" x14ac:dyDescent="0.25">
      <c r="A315" s="96"/>
      <c r="B315" s="96"/>
      <c r="C315" s="96"/>
      <c r="D315" s="96"/>
      <c r="E315" s="96"/>
      <c r="F315" s="96"/>
      <c r="G315" s="96"/>
      <c r="H315" s="96"/>
      <c r="I315" s="96"/>
    </row>
    <row r="316" spans="1:9" ht="15" hidden="1" x14ac:dyDescent="0.25">
      <c r="A316" s="96"/>
      <c r="B316" s="96"/>
      <c r="C316" s="96"/>
      <c r="D316" s="96"/>
      <c r="E316" s="96"/>
      <c r="F316" s="96"/>
      <c r="G316" s="96"/>
      <c r="H316" s="96"/>
      <c r="I316" s="96"/>
    </row>
    <row r="317" spans="1:9" ht="15" hidden="1" x14ac:dyDescent="0.25">
      <c r="A317" s="96"/>
      <c r="B317" s="96"/>
      <c r="C317" s="96"/>
      <c r="D317" s="96"/>
      <c r="E317" s="96"/>
      <c r="F317" s="96"/>
      <c r="G317" s="96"/>
      <c r="H317" s="96"/>
      <c r="I317" s="96"/>
    </row>
    <row r="318" spans="1:9" ht="15" hidden="1" x14ac:dyDescent="0.25">
      <c r="A318" s="96"/>
      <c r="B318" s="96"/>
      <c r="C318" s="96"/>
      <c r="D318" s="96"/>
      <c r="E318" s="96"/>
      <c r="F318" s="96"/>
      <c r="G318" s="96"/>
      <c r="H318" s="96"/>
      <c r="I318" s="96"/>
    </row>
    <row r="319" spans="1:9" ht="15" hidden="1" x14ac:dyDescent="0.25">
      <c r="A319" s="96"/>
      <c r="B319" s="96"/>
      <c r="C319" s="96"/>
      <c r="D319" s="96"/>
      <c r="E319" s="96"/>
      <c r="F319" s="96"/>
      <c r="G319" s="96"/>
      <c r="H319" s="96"/>
      <c r="I319" s="96"/>
    </row>
    <row r="320" spans="1:9" ht="15" hidden="1" x14ac:dyDescent="0.25">
      <c r="A320" s="96"/>
      <c r="B320" s="96"/>
      <c r="C320" s="96"/>
      <c r="D320" s="96"/>
      <c r="E320" s="96"/>
      <c r="F320" s="96"/>
      <c r="G320" s="96"/>
      <c r="H320" s="96"/>
      <c r="I320" s="96"/>
    </row>
    <row r="321" spans="1:10" ht="15" hidden="1" x14ac:dyDescent="0.25">
      <c r="A321" s="96"/>
      <c r="B321" s="96"/>
      <c r="C321" s="96"/>
      <c r="D321" s="96"/>
      <c r="E321" s="96"/>
      <c r="F321" s="96"/>
      <c r="G321" s="96"/>
      <c r="H321" s="96"/>
      <c r="I321" s="96"/>
    </row>
    <row r="322" spans="1:10" ht="15" hidden="1" x14ac:dyDescent="0.25">
      <c r="A322" s="96"/>
      <c r="B322" s="96"/>
      <c r="C322" s="96"/>
      <c r="D322" s="96"/>
      <c r="E322" s="96"/>
      <c r="F322" s="96"/>
      <c r="G322" s="96"/>
      <c r="H322" s="96"/>
      <c r="I322" s="96"/>
    </row>
    <row r="323" spans="1:10" ht="15" hidden="1" x14ac:dyDescent="0.25">
      <c r="A323" s="96"/>
      <c r="B323" s="96"/>
      <c r="C323" s="96"/>
      <c r="D323" s="96"/>
      <c r="E323" s="96"/>
      <c r="F323" s="96"/>
      <c r="G323" s="96"/>
      <c r="H323" s="96"/>
      <c r="I323" s="96"/>
    </row>
    <row r="324" spans="1:10" ht="15" hidden="1" x14ac:dyDescent="0.25">
      <c r="A324" s="96"/>
      <c r="B324" s="96"/>
      <c r="C324" s="96"/>
      <c r="D324" s="96"/>
      <c r="E324" s="96"/>
      <c r="F324" s="96"/>
      <c r="G324" s="96"/>
      <c r="H324" s="96"/>
      <c r="I324" s="96"/>
    </row>
    <row r="325" spans="1:10" ht="15" hidden="1" x14ac:dyDescent="0.25">
      <c r="A325" s="96"/>
      <c r="B325" s="96"/>
      <c r="C325" s="96"/>
      <c r="D325" s="96"/>
      <c r="E325" s="96"/>
      <c r="F325" s="96"/>
      <c r="G325" s="96"/>
      <c r="H325" s="96"/>
      <c r="I325" s="96"/>
    </row>
    <row r="326" spans="1:10" ht="15" hidden="1" x14ac:dyDescent="0.25">
      <c r="A326" s="96"/>
      <c r="B326" s="96"/>
      <c r="C326" s="96"/>
      <c r="D326" s="96"/>
      <c r="E326" s="96"/>
      <c r="F326" s="96"/>
      <c r="G326" s="96"/>
      <c r="H326" s="96"/>
      <c r="I326" s="96"/>
    </row>
    <row r="327" spans="1:10" ht="15" hidden="1" x14ac:dyDescent="0.25">
      <c r="A327" s="96"/>
      <c r="B327" s="96"/>
      <c r="C327" s="96"/>
      <c r="D327" s="96"/>
      <c r="E327" s="96"/>
      <c r="F327" s="96"/>
      <c r="G327" s="96"/>
      <c r="H327" s="96"/>
      <c r="I327" s="96"/>
    </row>
    <row r="328" spans="1:10" ht="15" hidden="1" x14ac:dyDescent="0.25">
      <c r="A328" s="96"/>
      <c r="B328" s="96"/>
      <c r="C328" s="96"/>
      <c r="D328" s="96"/>
      <c r="E328" s="96"/>
      <c r="F328" s="96"/>
      <c r="G328" s="96"/>
      <c r="H328" s="96"/>
      <c r="I328" s="96"/>
    </row>
    <row r="329" spans="1:10" ht="15" hidden="1" x14ac:dyDescent="0.25">
      <c r="A329" s="96"/>
      <c r="B329" s="96"/>
      <c r="C329" s="96"/>
      <c r="D329" s="96"/>
      <c r="E329" s="96"/>
      <c r="F329" s="96"/>
      <c r="G329" s="96"/>
      <c r="H329" s="96"/>
      <c r="I329" s="96"/>
    </row>
    <row r="330" spans="1:10" ht="15" hidden="1" x14ac:dyDescent="0.25">
      <c r="A330" s="96"/>
      <c r="B330" s="96"/>
      <c r="C330" s="96"/>
      <c r="D330" s="96"/>
      <c r="E330" s="96"/>
      <c r="F330" s="96"/>
      <c r="G330" s="96"/>
      <c r="H330" s="96"/>
      <c r="I330" s="96"/>
    </row>
    <row r="331" spans="1:10" ht="15" hidden="1" x14ac:dyDescent="0.25">
      <c r="A331" s="96"/>
      <c r="B331" s="96"/>
      <c r="C331" s="96"/>
      <c r="D331" s="96"/>
      <c r="E331" s="96"/>
      <c r="F331" s="96"/>
      <c r="G331" s="96"/>
      <c r="H331" s="96"/>
      <c r="I331" s="96"/>
    </row>
    <row r="332" spans="1:10" ht="15" hidden="1" x14ac:dyDescent="0.25">
      <c r="A332" s="96"/>
      <c r="B332" s="96"/>
      <c r="C332" s="96"/>
      <c r="D332" s="96"/>
      <c r="E332" s="96"/>
      <c r="F332" s="96"/>
      <c r="G332" s="96"/>
      <c r="H332" s="96"/>
      <c r="I332" s="96"/>
    </row>
    <row r="333" spans="1:10" ht="15" hidden="1" x14ac:dyDescent="0.25">
      <c r="A333" s="96"/>
      <c r="B333" s="96"/>
      <c r="C333" s="96"/>
      <c r="D333" s="96"/>
      <c r="E333" s="96"/>
      <c r="F333" s="96"/>
      <c r="G333" s="96"/>
      <c r="H333" s="96"/>
      <c r="I333" s="96"/>
    </row>
    <row r="334" spans="1:10" ht="15" hidden="1" x14ac:dyDescent="0.25">
      <c r="A334" s="96"/>
      <c r="B334" s="96"/>
      <c r="C334" s="96"/>
      <c r="D334" s="96"/>
      <c r="E334" s="96"/>
      <c r="F334" s="96"/>
      <c r="G334" s="96"/>
      <c r="H334" s="96"/>
      <c r="I334" s="96"/>
    </row>
    <row r="335" spans="1:10" ht="15" hidden="1" x14ac:dyDescent="0.25">
      <c r="A335" s="96"/>
      <c r="B335" s="96"/>
      <c r="C335" s="96"/>
      <c r="D335" s="96"/>
      <c r="E335" s="96"/>
      <c r="F335" s="96"/>
      <c r="G335" s="96"/>
      <c r="H335" s="96"/>
      <c r="I335" s="96"/>
    </row>
    <row r="336" spans="1:10" ht="15" hidden="1" x14ac:dyDescent="0.25">
      <c r="A336" s="96"/>
      <c r="B336" s="96"/>
      <c r="C336" s="96"/>
      <c r="D336" s="96"/>
      <c r="E336" s="96"/>
      <c r="F336" s="96"/>
      <c r="G336" s="96"/>
      <c r="H336" s="96"/>
      <c r="I336" s="96"/>
      <c r="J336" s="96">
        <f>Scott!J4</f>
        <v>0</v>
      </c>
    </row>
    <row r="337" spans="1:9" ht="15" hidden="1" x14ac:dyDescent="0.25">
      <c r="A337" s="96"/>
      <c r="B337" s="96"/>
      <c r="C337" s="96"/>
      <c r="D337" s="96"/>
      <c r="E337" s="96"/>
      <c r="F337" s="96"/>
      <c r="G337" s="96"/>
      <c r="H337" s="96"/>
      <c r="I337" s="96"/>
    </row>
    <row r="338" spans="1:9" ht="15" hidden="1" x14ac:dyDescent="0.25">
      <c r="A338" s="96"/>
      <c r="B338" s="96"/>
      <c r="C338" s="96"/>
      <c r="D338" s="96"/>
      <c r="E338" s="96"/>
      <c r="F338" s="96"/>
      <c r="G338" s="96"/>
      <c r="H338" s="96"/>
      <c r="I338" s="96"/>
    </row>
    <row r="339" spans="1:9" ht="15" hidden="1" x14ac:dyDescent="0.25">
      <c r="A339" s="96"/>
      <c r="B339" s="96"/>
      <c r="C339" s="96"/>
      <c r="D339" s="96"/>
      <c r="E339" s="96"/>
      <c r="F339" s="96"/>
      <c r="G339" s="96"/>
      <c r="H339" s="96"/>
      <c r="I339" s="96"/>
    </row>
    <row r="340" spans="1:9" ht="15" hidden="1" x14ac:dyDescent="0.25">
      <c r="A340" s="96"/>
      <c r="B340" s="96"/>
      <c r="C340" s="96"/>
      <c r="D340" s="96"/>
      <c r="E340" s="96"/>
      <c r="F340" s="96"/>
      <c r="G340" s="96"/>
      <c r="H340" s="96"/>
      <c r="I340" s="96"/>
    </row>
    <row r="341" spans="1:9" ht="15" hidden="1" x14ac:dyDescent="0.25">
      <c r="A341" s="96"/>
      <c r="B341" s="96"/>
      <c r="C341" s="96"/>
      <c r="D341" s="96"/>
      <c r="E341" s="96"/>
      <c r="F341" s="96"/>
      <c r="G341" s="96"/>
      <c r="H341" s="96"/>
      <c r="I341" s="96"/>
    </row>
    <row r="342" spans="1:9" ht="15" hidden="1" x14ac:dyDescent="0.25">
      <c r="A342" s="96"/>
      <c r="B342" s="96"/>
      <c r="C342" s="96"/>
      <c r="D342" s="96"/>
      <c r="E342" s="96"/>
      <c r="F342" s="96"/>
      <c r="G342" s="96"/>
      <c r="H342" s="96"/>
      <c r="I342" s="96"/>
    </row>
    <row r="343" spans="1:9" ht="15" hidden="1" x14ac:dyDescent="0.25">
      <c r="A343" s="96"/>
      <c r="B343" s="96"/>
      <c r="C343" s="96"/>
      <c r="D343" s="96"/>
      <c r="E343" s="96"/>
      <c r="F343" s="96"/>
      <c r="G343" s="96"/>
      <c r="H343" s="96"/>
      <c r="I343" s="96"/>
    </row>
    <row r="344" spans="1:9" ht="15" hidden="1" x14ac:dyDescent="0.25">
      <c r="A344" s="96"/>
      <c r="B344" s="96"/>
      <c r="C344" s="96"/>
      <c r="D344" s="96"/>
      <c r="E344" s="96"/>
      <c r="F344" s="96"/>
      <c r="G344" s="96"/>
      <c r="H344" s="96"/>
      <c r="I344" s="96"/>
    </row>
    <row r="345" spans="1:9" ht="15" hidden="1" x14ac:dyDescent="0.25">
      <c r="A345" s="96"/>
      <c r="B345" s="96"/>
      <c r="C345" s="96"/>
      <c r="D345" s="96"/>
      <c r="E345" s="96"/>
      <c r="F345" s="96"/>
      <c r="G345" s="96"/>
      <c r="H345" s="96"/>
      <c r="I345" s="96"/>
    </row>
    <row r="346" spans="1:9" ht="15" hidden="1" x14ac:dyDescent="0.25">
      <c r="A346" s="96"/>
      <c r="B346" s="96"/>
      <c r="C346" s="96"/>
      <c r="D346" s="96"/>
      <c r="E346" s="96"/>
      <c r="F346" s="96"/>
      <c r="G346" s="96"/>
      <c r="H346" s="96"/>
      <c r="I346" s="96"/>
    </row>
    <row r="347" spans="1:9" ht="15" hidden="1" x14ac:dyDescent="0.25">
      <c r="A347" s="96"/>
      <c r="B347" s="96"/>
      <c r="C347" s="96"/>
      <c r="D347" s="96"/>
      <c r="E347" s="96"/>
      <c r="F347" s="96"/>
      <c r="G347" s="96"/>
      <c r="H347" s="96"/>
      <c r="I347" s="96"/>
    </row>
    <row r="348" spans="1:9" ht="15" hidden="1" x14ac:dyDescent="0.25">
      <c r="A348" s="96"/>
      <c r="B348" s="96"/>
      <c r="C348" s="96"/>
      <c r="D348" s="96"/>
      <c r="E348" s="96"/>
      <c r="F348" s="96"/>
      <c r="G348" s="96"/>
      <c r="H348" s="96"/>
      <c r="I348" s="96"/>
    </row>
    <row r="349" spans="1:9" ht="15" hidden="1" x14ac:dyDescent="0.25">
      <c r="A349" s="96"/>
      <c r="B349" s="96"/>
      <c r="C349" s="96"/>
      <c r="D349" s="96"/>
      <c r="E349" s="96"/>
      <c r="F349" s="96"/>
      <c r="G349" s="96"/>
      <c r="H349" s="96"/>
      <c r="I349" s="96"/>
    </row>
    <row r="350" spans="1:9" ht="15" hidden="1" x14ac:dyDescent="0.25">
      <c r="A350" s="96"/>
      <c r="B350" s="96"/>
      <c r="C350" s="96"/>
      <c r="D350" s="96"/>
      <c r="E350" s="96"/>
      <c r="F350" s="96"/>
      <c r="G350" s="96"/>
      <c r="H350" s="96"/>
      <c r="I350" s="96"/>
    </row>
    <row r="351" spans="1:9" ht="15" hidden="1" x14ac:dyDescent="0.25">
      <c r="A351" s="96"/>
      <c r="B351" s="96"/>
      <c r="C351" s="96"/>
      <c r="D351" s="96"/>
      <c r="E351" s="96"/>
      <c r="F351" s="96"/>
      <c r="G351" s="96"/>
      <c r="H351" s="96"/>
      <c r="I351" s="96"/>
    </row>
    <row r="352" spans="1:9" ht="15" hidden="1" x14ac:dyDescent="0.25">
      <c r="A352" s="96"/>
      <c r="B352" s="96"/>
      <c r="C352" s="96"/>
      <c r="D352" s="96"/>
      <c r="E352" s="96"/>
      <c r="F352" s="96"/>
      <c r="G352" s="96"/>
      <c r="H352" s="96"/>
      <c r="I352" s="96"/>
    </row>
    <row r="353" spans="1:9" ht="15" hidden="1" x14ac:dyDescent="0.25">
      <c r="A353" s="96"/>
      <c r="B353" s="96"/>
      <c r="C353" s="96"/>
      <c r="D353" s="96"/>
      <c r="E353" s="96"/>
      <c r="F353" s="96"/>
      <c r="G353" s="96"/>
      <c r="H353" s="96"/>
      <c r="I353" s="96"/>
    </row>
    <row r="354" spans="1:9" ht="15" hidden="1" x14ac:dyDescent="0.25">
      <c r="A354" s="96"/>
      <c r="B354" s="96"/>
      <c r="C354" s="96"/>
      <c r="D354" s="96"/>
      <c r="E354" s="96"/>
      <c r="F354" s="96"/>
      <c r="G354" s="96"/>
      <c r="H354" s="96"/>
      <c r="I354" s="96"/>
    </row>
    <row r="355" spans="1:9" ht="15" hidden="1" x14ac:dyDescent="0.25">
      <c r="A355" s="96"/>
      <c r="B355" s="96"/>
      <c r="C355" s="96"/>
      <c r="D355" s="96"/>
      <c r="E355" s="96"/>
      <c r="F355" s="96"/>
      <c r="G355" s="96"/>
      <c r="H355" s="96"/>
      <c r="I355" s="96"/>
    </row>
    <row r="356" spans="1:9" ht="15" hidden="1" x14ac:dyDescent="0.25">
      <c r="A356" s="96"/>
      <c r="B356" s="96"/>
      <c r="C356" s="96"/>
      <c r="D356" s="96"/>
      <c r="E356" s="96"/>
      <c r="F356" s="96"/>
      <c r="G356" s="96"/>
      <c r="H356" s="96"/>
      <c r="I356" s="96"/>
    </row>
    <row r="357" spans="1:9" ht="15" hidden="1" x14ac:dyDescent="0.25">
      <c r="A357" s="96"/>
      <c r="B357" s="96"/>
      <c r="C357" s="96"/>
      <c r="D357" s="96"/>
      <c r="E357" s="96"/>
      <c r="F357" s="96"/>
      <c r="G357" s="96"/>
      <c r="H357" s="96"/>
      <c r="I357" s="96"/>
    </row>
    <row r="358" spans="1:9" ht="15" hidden="1" x14ac:dyDescent="0.25">
      <c r="A358" s="96"/>
      <c r="B358" s="96"/>
      <c r="C358" s="96"/>
      <c r="D358" s="96"/>
      <c r="E358" s="96"/>
      <c r="F358" s="96"/>
      <c r="G358" s="96"/>
      <c r="H358" s="96"/>
      <c r="I358" s="96"/>
    </row>
    <row r="359" spans="1:9" ht="15" hidden="1" x14ac:dyDescent="0.25">
      <c r="A359" s="96"/>
      <c r="B359" s="96"/>
      <c r="C359" s="96"/>
      <c r="D359" s="96"/>
      <c r="E359" s="96"/>
      <c r="F359" s="96"/>
      <c r="G359" s="96"/>
      <c r="H359" s="96"/>
      <c r="I359" s="96"/>
    </row>
    <row r="360" spans="1:9" ht="15" hidden="1" x14ac:dyDescent="0.25">
      <c r="A360" s="96"/>
      <c r="B360" s="96"/>
      <c r="C360" s="96"/>
      <c r="D360" s="96"/>
      <c r="E360" s="96"/>
      <c r="F360" s="96"/>
      <c r="G360" s="96"/>
      <c r="H360" s="96"/>
      <c r="I360" s="96"/>
    </row>
    <row r="361" spans="1:9" ht="15" hidden="1" x14ac:dyDescent="0.25">
      <c r="A361" s="96"/>
      <c r="B361" s="96"/>
      <c r="C361" s="96"/>
      <c r="D361" s="96"/>
      <c r="E361" s="96"/>
      <c r="F361" s="96"/>
      <c r="G361" s="96"/>
      <c r="H361" s="96"/>
      <c r="I361" s="96"/>
    </row>
    <row r="362" spans="1:9" ht="15" hidden="1" x14ac:dyDescent="0.25">
      <c r="A362" s="96"/>
      <c r="B362" s="96"/>
      <c r="C362" s="96"/>
      <c r="D362" s="96"/>
      <c r="E362" s="96"/>
      <c r="F362" s="96"/>
      <c r="G362" s="96"/>
      <c r="H362" s="96"/>
      <c r="I362" s="96"/>
    </row>
    <row r="363" spans="1:9" ht="15" hidden="1" x14ac:dyDescent="0.25">
      <c r="A363" s="96"/>
      <c r="B363" s="96"/>
      <c r="C363" s="96"/>
      <c r="D363" s="96"/>
      <c r="E363" s="96"/>
      <c r="F363" s="96"/>
      <c r="G363" s="96"/>
      <c r="H363" s="96"/>
      <c r="I363" s="96"/>
    </row>
    <row r="364" spans="1:9" ht="15" hidden="1" x14ac:dyDescent="0.25">
      <c r="A364" s="96"/>
      <c r="B364" s="96"/>
      <c r="C364" s="96"/>
      <c r="D364" s="96"/>
      <c r="E364" s="96"/>
      <c r="F364" s="96"/>
      <c r="G364" s="96"/>
      <c r="H364" s="96"/>
      <c r="I364" s="96"/>
    </row>
    <row r="365" spans="1:9" ht="15" hidden="1" x14ac:dyDescent="0.25">
      <c r="A365" s="96"/>
      <c r="B365" s="96"/>
      <c r="C365" s="96"/>
      <c r="D365" s="96"/>
      <c r="E365" s="96"/>
      <c r="F365" s="96"/>
      <c r="G365" s="96"/>
      <c r="H365" s="96"/>
      <c r="I365" s="96"/>
    </row>
    <row r="366" spans="1:9" ht="15" hidden="1" x14ac:dyDescent="0.25">
      <c r="A366" s="96"/>
      <c r="B366" s="96"/>
      <c r="C366" s="96"/>
      <c r="D366" s="96"/>
      <c r="E366" s="96"/>
      <c r="F366" s="96"/>
      <c r="G366" s="96"/>
      <c r="H366" s="96"/>
      <c r="I366" s="96"/>
    </row>
    <row r="367" spans="1:9" ht="15" hidden="1" x14ac:dyDescent="0.25">
      <c r="A367" s="96"/>
      <c r="B367" s="96"/>
      <c r="C367" s="96"/>
      <c r="D367" s="96"/>
      <c r="E367" s="96"/>
      <c r="F367" s="96"/>
      <c r="G367" s="96"/>
      <c r="H367" s="96"/>
      <c r="I367" s="96"/>
    </row>
    <row r="368" spans="1:9" ht="15" hidden="1" x14ac:dyDescent="0.25">
      <c r="A368" s="96"/>
      <c r="B368" s="96"/>
      <c r="C368" s="96"/>
      <c r="D368" s="96"/>
      <c r="E368" s="96"/>
      <c r="F368" s="96"/>
      <c r="G368" s="96"/>
      <c r="H368" s="96"/>
      <c r="I368" s="96"/>
    </row>
    <row r="369" spans="1:9" ht="15" hidden="1" x14ac:dyDescent="0.25">
      <c r="A369" s="96"/>
      <c r="B369" s="96"/>
      <c r="C369" s="96"/>
      <c r="D369" s="96"/>
      <c r="E369" s="96"/>
      <c r="F369" s="96"/>
      <c r="G369" s="96"/>
      <c r="H369" s="96"/>
      <c r="I369" s="96"/>
    </row>
    <row r="370" spans="1:9" ht="15" hidden="1" x14ac:dyDescent="0.25">
      <c r="A370" s="96"/>
      <c r="B370" s="96"/>
      <c r="C370" s="96"/>
      <c r="D370" s="96"/>
      <c r="E370" s="96"/>
      <c r="F370" s="96"/>
      <c r="G370" s="96"/>
      <c r="H370" s="96"/>
      <c r="I370" s="96"/>
    </row>
    <row r="371" spans="1:9" ht="15" hidden="1" x14ac:dyDescent="0.25">
      <c r="A371" s="96"/>
      <c r="B371" s="96"/>
      <c r="C371" s="96"/>
      <c r="D371" s="96"/>
      <c r="E371" s="96"/>
      <c r="F371" s="96"/>
      <c r="G371" s="96"/>
      <c r="H371" s="96"/>
      <c r="I371" s="96"/>
    </row>
    <row r="372" spans="1:9" ht="15" hidden="1" x14ac:dyDescent="0.25">
      <c r="A372" s="96"/>
      <c r="B372" s="96"/>
      <c r="C372" s="96"/>
      <c r="D372" s="96"/>
      <c r="E372" s="96"/>
      <c r="F372" s="96"/>
      <c r="G372" s="96"/>
      <c r="H372" s="96"/>
      <c r="I372" s="96"/>
    </row>
    <row r="373" spans="1:9" ht="15" hidden="1" x14ac:dyDescent="0.25">
      <c r="A373" s="96"/>
      <c r="B373" s="96"/>
      <c r="C373" s="96"/>
      <c r="D373" s="96"/>
      <c r="E373" s="96"/>
      <c r="F373" s="96"/>
      <c r="G373" s="96"/>
      <c r="H373" s="96"/>
      <c r="I373" s="96"/>
    </row>
    <row r="374" spans="1:9" ht="15" hidden="1" x14ac:dyDescent="0.25">
      <c r="A374" s="96"/>
      <c r="B374" s="96"/>
      <c r="C374" s="96"/>
      <c r="D374" s="96"/>
      <c r="E374" s="96"/>
      <c r="F374" s="96"/>
      <c r="G374" s="96"/>
      <c r="H374" s="96"/>
      <c r="I374" s="96"/>
    </row>
    <row r="375" spans="1:9" ht="15" hidden="1" x14ac:dyDescent="0.25">
      <c r="A375" s="96"/>
      <c r="B375" s="96"/>
      <c r="C375" s="96"/>
      <c r="D375" s="96"/>
      <c r="E375" s="96"/>
      <c r="F375" s="96"/>
      <c r="G375" s="96"/>
      <c r="H375" s="96"/>
      <c r="I375" s="96"/>
    </row>
    <row r="376" spans="1:9" ht="15" hidden="1" x14ac:dyDescent="0.25">
      <c r="A376" s="96"/>
      <c r="B376" s="96"/>
      <c r="C376" s="96"/>
      <c r="D376" s="96"/>
      <c r="E376" s="96"/>
      <c r="F376" s="96"/>
      <c r="G376" s="96"/>
      <c r="H376" s="96"/>
      <c r="I376" s="96"/>
    </row>
    <row r="377" spans="1:9" ht="15" hidden="1" x14ac:dyDescent="0.25">
      <c r="A377" s="96"/>
      <c r="B377" s="96"/>
      <c r="C377" s="96"/>
      <c r="D377" s="96"/>
      <c r="E377" s="96"/>
      <c r="F377" s="96"/>
      <c r="G377" s="96"/>
      <c r="H377" s="96"/>
      <c r="I377" s="96"/>
    </row>
    <row r="378" spans="1:9" ht="15" hidden="1" x14ac:dyDescent="0.25">
      <c r="A378" s="96"/>
      <c r="B378" s="96"/>
      <c r="C378" s="96"/>
      <c r="D378" s="96"/>
      <c r="E378" s="96"/>
      <c r="F378" s="96"/>
      <c r="G378" s="96"/>
      <c r="H378" s="96"/>
      <c r="I378" s="96"/>
    </row>
    <row r="379" spans="1:9" ht="15" hidden="1" x14ac:dyDescent="0.25">
      <c r="A379" s="96"/>
      <c r="B379" s="96"/>
      <c r="C379" s="96"/>
      <c r="D379" s="96"/>
      <c r="E379" s="96"/>
      <c r="F379" s="96"/>
      <c r="G379" s="96"/>
      <c r="H379" s="96"/>
      <c r="I379" s="96"/>
    </row>
    <row r="380" spans="1:9" ht="15" hidden="1" x14ac:dyDescent="0.25">
      <c r="A380" s="96"/>
      <c r="B380" s="96"/>
      <c r="C380" s="96"/>
      <c r="D380" s="96"/>
      <c r="E380" s="96"/>
      <c r="F380" s="96"/>
      <c r="G380" s="96"/>
      <c r="H380" s="96"/>
      <c r="I380" s="96"/>
    </row>
    <row r="381" spans="1:9" ht="15" hidden="1" x14ac:dyDescent="0.25">
      <c r="A381" s="96"/>
      <c r="B381" s="96"/>
      <c r="C381" s="96"/>
      <c r="D381" s="96"/>
      <c r="E381" s="96"/>
      <c r="F381" s="96"/>
      <c r="G381" s="96"/>
      <c r="H381" s="96"/>
      <c r="I381" s="96"/>
    </row>
    <row r="382" spans="1:9" ht="15" hidden="1" x14ac:dyDescent="0.25">
      <c r="A382" s="96"/>
      <c r="B382" s="96"/>
      <c r="C382" s="96"/>
      <c r="D382" s="96"/>
      <c r="E382" s="96"/>
      <c r="F382" s="96"/>
      <c r="G382" s="96"/>
      <c r="H382" s="96"/>
      <c r="I382" s="96"/>
    </row>
    <row r="383" spans="1:9" ht="15" hidden="1" x14ac:dyDescent="0.25">
      <c r="A383" s="96"/>
      <c r="B383" s="96"/>
      <c r="C383" s="96"/>
      <c r="D383" s="96"/>
      <c r="E383" s="96"/>
      <c r="F383" s="96"/>
      <c r="G383" s="96"/>
      <c r="H383" s="96"/>
      <c r="I383" s="96"/>
    </row>
    <row r="384" spans="1:9" ht="15" hidden="1" x14ac:dyDescent="0.25">
      <c r="A384" s="96"/>
      <c r="B384" s="96"/>
      <c r="C384" s="96"/>
      <c r="D384" s="96"/>
      <c r="E384" s="96"/>
      <c r="F384" s="96"/>
      <c r="G384" s="96"/>
      <c r="H384" s="96"/>
      <c r="I384" s="96"/>
    </row>
    <row r="385" spans="1:9" ht="15" hidden="1" x14ac:dyDescent="0.25">
      <c r="A385" s="96"/>
      <c r="B385" s="96"/>
      <c r="C385" s="96"/>
      <c r="D385" s="96"/>
      <c r="E385" s="96"/>
      <c r="F385" s="96"/>
      <c r="G385" s="96"/>
      <c r="H385" s="96"/>
      <c r="I385" s="96"/>
    </row>
    <row r="386" spans="1:9" ht="15" hidden="1" x14ac:dyDescent="0.25">
      <c r="A386" s="96"/>
      <c r="B386" s="96"/>
      <c r="C386" s="96"/>
      <c r="D386" s="96"/>
      <c r="E386" s="96"/>
      <c r="F386" s="96"/>
      <c r="G386" s="96"/>
      <c r="H386" s="96"/>
      <c r="I386" s="96"/>
    </row>
    <row r="387" spans="1:9" ht="15" hidden="1" x14ac:dyDescent="0.25">
      <c r="A387" s="96"/>
      <c r="B387" s="96"/>
      <c r="C387" s="96"/>
      <c r="D387" s="96"/>
      <c r="E387" s="96"/>
      <c r="F387" s="96"/>
      <c r="G387" s="96"/>
      <c r="H387" s="96"/>
      <c r="I387" s="96"/>
    </row>
    <row r="388" spans="1:9" ht="15" hidden="1" x14ac:dyDescent="0.25">
      <c r="A388" s="96"/>
      <c r="B388" s="96"/>
      <c r="C388" s="96"/>
      <c r="D388" s="96"/>
      <c r="E388" s="96"/>
      <c r="F388" s="96"/>
      <c r="G388" s="96"/>
      <c r="H388" s="96"/>
      <c r="I388" s="96"/>
    </row>
    <row r="389" spans="1:9" ht="15" hidden="1" x14ac:dyDescent="0.25">
      <c r="A389" s="96"/>
      <c r="B389" s="96"/>
      <c r="C389" s="96"/>
      <c r="D389" s="96"/>
      <c r="E389" s="96"/>
      <c r="F389" s="96"/>
      <c r="G389" s="96"/>
      <c r="H389" s="96"/>
      <c r="I389" s="96"/>
    </row>
    <row r="390" spans="1:9" ht="15" hidden="1" x14ac:dyDescent="0.25">
      <c r="A390" s="96"/>
      <c r="B390" s="96"/>
      <c r="C390" s="96"/>
      <c r="D390" s="96"/>
      <c r="E390" s="96"/>
      <c r="F390" s="96"/>
      <c r="G390" s="96"/>
      <c r="H390" s="96"/>
      <c r="I390" s="96"/>
    </row>
    <row r="391" spans="1:9" ht="15" hidden="1" x14ac:dyDescent="0.25">
      <c r="A391" s="96"/>
      <c r="B391" s="96"/>
      <c r="C391" s="96"/>
      <c r="D391" s="96"/>
      <c r="E391" s="96"/>
      <c r="F391" s="96"/>
      <c r="G391" s="96"/>
      <c r="H391" s="96"/>
      <c r="I391" s="96"/>
    </row>
    <row r="392" spans="1:9" ht="15" hidden="1" x14ac:dyDescent="0.25">
      <c r="A392" s="96"/>
      <c r="B392" s="96"/>
      <c r="C392" s="96"/>
      <c r="D392" s="96"/>
      <c r="E392" s="96"/>
      <c r="F392" s="96"/>
      <c r="G392" s="96"/>
      <c r="H392" s="96"/>
      <c r="I392" s="96"/>
    </row>
    <row r="393" spans="1:9" ht="15" hidden="1" x14ac:dyDescent="0.25">
      <c r="A393" s="96"/>
      <c r="B393" s="96"/>
      <c r="C393" s="96"/>
      <c r="D393" s="96"/>
      <c r="E393" s="96"/>
      <c r="F393" s="96"/>
      <c r="G393" s="96"/>
      <c r="H393" s="96"/>
      <c r="I393" s="96"/>
    </row>
    <row r="394" spans="1:9" ht="15" hidden="1" x14ac:dyDescent="0.25">
      <c r="A394" s="96"/>
      <c r="B394" s="96"/>
      <c r="C394" s="96"/>
      <c r="D394" s="96"/>
      <c r="E394" s="96"/>
      <c r="F394" s="96"/>
      <c r="G394" s="96"/>
      <c r="H394" s="96"/>
      <c r="I394" s="96"/>
    </row>
    <row r="395" spans="1:9" ht="15" hidden="1" x14ac:dyDescent="0.25">
      <c r="A395" s="96"/>
      <c r="B395" s="96"/>
      <c r="C395" s="96"/>
      <c r="D395" s="96"/>
      <c r="E395" s="96"/>
      <c r="F395" s="96"/>
      <c r="G395" s="96"/>
      <c r="H395" s="96"/>
      <c r="I395" s="96"/>
    </row>
    <row r="396" spans="1:9" ht="15" hidden="1" x14ac:dyDescent="0.25">
      <c r="A396" s="96"/>
      <c r="B396" s="96"/>
      <c r="C396" s="96"/>
      <c r="D396" s="96"/>
      <c r="E396" s="96"/>
      <c r="F396" s="96"/>
      <c r="G396" s="96"/>
      <c r="H396" s="96"/>
      <c r="I396" s="96"/>
    </row>
    <row r="397" spans="1:9" ht="15" hidden="1" x14ac:dyDescent="0.25">
      <c r="A397" s="96"/>
      <c r="B397" s="96"/>
      <c r="C397" s="96"/>
      <c r="D397" s="96"/>
      <c r="E397" s="96"/>
      <c r="F397" s="96"/>
      <c r="G397" s="96"/>
      <c r="H397" s="96"/>
      <c r="I397" s="96"/>
    </row>
    <row r="398" spans="1:9" ht="15" hidden="1" x14ac:dyDescent="0.25">
      <c r="A398" s="96"/>
      <c r="B398" s="96"/>
      <c r="C398" s="96"/>
      <c r="D398" s="96"/>
      <c r="E398" s="96"/>
      <c r="F398" s="96"/>
      <c r="G398" s="96"/>
      <c r="H398" s="96"/>
      <c r="I398" s="96"/>
    </row>
    <row r="399" spans="1:9" ht="15" hidden="1" x14ac:dyDescent="0.25">
      <c r="A399" s="96"/>
      <c r="B399" s="96"/>
      <c r="C399" s="96"/>
      <c r="D399" s="96"/>
      <c r="E399" s="96"/>
      <c r="F399" s="96"/>
      <c r="G399" s="96"/>
      <c r="H399" s="96"/>
      <c r="I399" s="96"/>
    </row>
    <row r="400" spans="1:9" ht="15" hidden="1" x14ac:dyDescent="0.25">
      <c r="A400" s="96"/>
      <c r="B400" s="96"/>
      <c r="C400" s="96"/>
      <c r="D400" s="96"/>
      <c r="E400" s="96"/>
      <c r="F400" s="96"/>
      <c r="G400" s="96"/>
      <c r="H400" s="96"/>
      <c r="I400" s="96"/>
    </row>
    <row r="401" spans="1:9" ht="15" hidden="1" x14ac:dyDescent="0.25">
      <c r="A401" s="96"/>
      <c r="B401" s="96"/>
      <c r="C401" s="96"/>
      <c r="D401" s="96"/>
      <c r="E401" s="96"/>
      <c r="F401" s="96"/>
      <c r="G401" s="96"/>
      <c r="H401" s="96"/>
      <c r="I401" s="96"/>
    </row>
    <row r="402" spans="1:9" ht="15" hidden="1" x14ac:dyDescent="0.25">
      <c r="A402" s="96"/>
      <c r="B402" s="96"/>
      <c r="C402" s="96"/>
      <c r="D402" s="96"/>
      <c r="E402" s="96"/>
      <c r="F402" s="96"/>
      <c r="G402" s="96"/>
      <c r="H402" s="96"/>
      <c r="I402" s="96"/>
    </row>
    <row r="403" spans="1:9" ht="15" hidden="1" x14ac:dyDescent="0.25">
      <c r="A403" s="96"/>
      <c r="B403" s="96"/>
      <c r="C403" s="96"/>
      <c r="D403" s="96"/>
      <c r="E403" s="96"/>
      <c r="F403" s="96"/>
      <c r="G403" s="96"/>
      <c r="H403" s="96"/>
      <c r="I403" s="96"/>
    </row>
    <row r="404" spans="1:9" ht="15" hidden="1" x14ac:dyDescent="0.25">
      <c r="A404" s="96"/>
      <c r="B404" s="96"/>
      <c r="C404" s="96"/>
      <c r="D404" s="96"/>
      <c r="E404" s="96"/>
      <c r="F404" s="96"/>
      <c r="G404" s="96"/>
      <c r="H404" s="96"/>
      <c r="I404" s="96"/>
    </row>
    <row r="405" spans="1:9" ht="15" hidden="1" x14ac:dyDescent="0.25">
      <c r="A405" s="96"/>
      <c r="B405" s="96"/>
      <c r="C405" s="96"/>
      <c r="D405" s="96"/>
      <c r="E405" s="96"/>
      <c r="F405" s="96"/>
      <c r="G405" s="96"/>
      <c r="H405" s="96"/>
      <c r="I405" s="96"/>
    </row>
    <row r="406" spans="1:9" ht="15" hidden="1" x14ac:dyDescent="0.25">
      <c r="A406" s="96"/>
      <c r="B406" s="96"/>
      <c r="C406" s="96"/>
      <c r="D406" s="96"/>
      <c r="E406" s="96"/>
      <c r="F406" s="96"/>
      <c r="G406" s="96"/>
      <c r="H406" s="96"/>
      <c r="I406" s="96"/>
    </row>
    <row r="407" spans="1:9" ht="15" hidden="1" x14ac:dyDescent="0.25">
      <c r="A407" s="96"/>
      <c r="B407" s="96"/>
      <c r="C407" s="96"/>
      <c r="D407" s="96"/>
      <c r="E407" s="96"/>
      <c r="F407" s="96"/>
      <c r="G407" s="96"/>
      <c r="H407" s="96"/>
      <c r="I407" s="96"/>
    </row>
    <row r="408" spans="1:9" ht="15" hidden="1" x14ac:dyDescent="0.25">
      <c r="A408" s="96"/>
      <c r="B408" s="96"/>
      <c r="C408" s="96"/>
      <c r="D408" s="96"/>
      <c r="E408" s="96"/>
      <c r="F408" s="96"/>
      <c r="G408" s="96"/>
      <c r="H408" s="96"/>
      <c r="I408" s="96"/>
    </row>
    <row r="409" spans="1:9" ht="15" hidden="1" x14ac:dyDescent="0.25">
      <c r="A409" s="96"/>
      <c r="B409" s="96"/>
      <c r="C409" s="96"/>
      <c r="D409" s="96"/>
      <c r="E409" s="96"/>
      <c r="F409" s="96"/>
      <c r="G409" s="96"/>
      <c r="H409" s="96"/>
      <c r="I409" s="96"/>
    </row>
    <row r="410" spans="1:9" ht="15" hidden="1" x14ac:dyDescent="0.25">
      <c r="A410" s="96"/>
      <c r="B410" s="96"/>
      <c r="C410" s="96"/>
      <c r="D410" s="96"/>
      <c r="E410" s="96"/>
      <c r="F410" s="96"/>
      <c r="G410" s="96"/>
      <c r="H410" s="96"/>
      <c r="I410" s="96"/>
    </row>
    <row r="411" spans="1:9" ht="15" hidden="1" x14ac:dyDescent="0.25">
      <c r="A411" s="96"/>
      <c r="B411" s="96"/>
      <c r="C411" s="96"/>
      <c r="D411" s="96"/>
      <c r="E411" s="96"/>
      <c r="F411" s="96"/>
      <c r="G411" s="96"/>
      <c r="H411" s="96"/>
      <c r="I411" s="96"/>
    </row>
    <row r="412" spans="1:9" ht="15" hidden="1" x14ac:dyDescent="0.25">
      <c r="A412" s="96"/>
      <c r="B412" s="96"/>
      <c r="C412" s="96"/>
      <c r="D412" s="96"/>
      <c r="E412" s="96"/>
      <c r="F412" s="96"/>
      <c r="G412" s="96"/>
      <c r="H412" s="96"/>
      <c r="I412" s="96"/>
    </row>
    <row r="413" spans="1:9" ht="15" hidden="1" x14ac:dyDescent="0.25">
      <c r="A413" s="96"/>
      <c r="B413" s="96"/>
      <c r="C413" s="96"/>
      <c r="D413" s="96"/>
      <c r="E413" s="96"/>
      <c r="F413" s="96"/>
      <c r="G413" s="96"/>
      <c r="H413" s="96"/>
      <c r="I413" s="96"/>
    </row>
    <row r="414" spans="1:9" ht="15" hidden="1" x14ac:dyDescent="0.25">
      <c r="A414" s="96"/>
      <c r="B414" s="96"/>
      <c r="C414" s="96"/>
      <c r="D414" s="96"/>
      <c r="E414" s="96"/>
      <c r="F414" s="96"/>
      <c r="G414" s="96"/>
      <c r="H414" s="96"/>
      <c r="I414" s="96"/>
    </row>
    <row r="415" spans="1:9" ht="15" hidden="1" x14ac:dyDescent="0.25">
      <c r="A415" s="96"/>
      <c r="B415" s="96"/>
      <c r="C415" s="96"/>
      <c r="D415" s="96"/>
      <c r="E415" s="96"/>
      <c r="F415" s="96"/>
      <c r="G415" s="96"/>
      <c r="H415" s="96"/>
      <c r="I415" s="96"/>
    </row>
    <row r="416" spans="1:9" ht="15" hidden="1" x14ac:dyDescent="0.25">
      <c r="A416" s="96"/>
      <c r="B416" s="96"/>
      <c r="C416" s="96"/>
      <c r="D416" s="96"/>
      <c r="E416" s="96"/>
      <c r="F416" s="96"/>
      <c r="G416" s="96"/>
      <c r="H416" s="96"/>
      <c r="I416" s="96"/>
    </row>
    <row r="417" spans="1:9" ht="15" hidden="1" x14ac:dyDescent="0.25">
      <c r="A417" s="96"/>
      <c r="B417" s="96"/>
      <c r="C417" s="96"/>
      <c r="D417" s="96"/>
      <c r="E417" s="96"/>
      <c r="F417" s="96"/>
      <c r="G417" s="96"/>
      <c r="H417" s="96"/>
      <c r="I417" s="96"/>
    </row>
    <row r="418" spans="1:9" ht="15" hidden="1" x14ac:dyDescent="0.25">
      <c r="A418" s="96"/>
      <c r="B418" s="96"/>
      <c r="C418" s="96"/>
      <c r="D418" s="96"/>
      <c r="E418" s="96"/>
      <c r="F418" s="96"/>
      <c r="G418" s="96"/>
      <c r="H418" s="96"/>
      <c r="I418" s="96"/>
    </row>
    <row r="419" spans="1:9" ht="15" hidden="1" x14ac:dyDescent="0.25">
      <c r="A419" s="96"/>
      <c r="B419" s="96"/>
      <c r="C419" s="96"/>
      <c r="D419" s="96"/>
      <c r="E419" s="96"/>
      <c r="F419" s="96"/>
      <c r="G419" s="96"/>
      <c r="H419" s="96"/>
      <c r="I419" s="96"/>
    </row>
    <row r="420" spans="1:9" ht="15" hidden="1" x14ac:dyDescent="0.25">
      <c r="A420" s="96"/>
      <c r="B420" s="96"/>
      <c r="C420" s="96"/>
      <c r="D420" s="96"/>
      <c r="E420" s="96"/>
      <c r="F420" s="96"/>
      <c r="G420" s="96"/>
      <c r="H420" s="96"/>
      <c r="I420" s="96"/>
    </row>
    <row r="421" spans="1:9" ht="15" hidden="1" x14ac:dyDescent="0.25">
      <c r="A421" s="96"/>
      <c r="B421" s="96"/>
      <c r="C421" s="96"/>
      <c r="D421" s="96"/>
      <c r="E421" s="96"/>
      <c r="F421" s="96"/>
      <c r="G421" s="96"/>
      <c r="H421" s="96"/>
      <c r="I421" s="96"/>
    </row>
    <row r="422" spans="1:9" ht="15" hidden="1" x14ac:dyDescent="0.25">
      <c r="A422" s="96"/>
      <c r="B422" s="96"/>
      <c r="C422" s="96"/>
      <c r="D422" s="96"/>
      <c r="E422" s="96"/>
      <c r="F422" s="96"/>
      <c r="G422" s="96"/>
      <c r="H422" s="96"/>
      <c r="I422" s="96"/>
    </row>
    <row r="423" spans="1:9" ht="15" hidden="1" x14ac:dyDescent="0.25">
      <c r="A423" s="96"/>
      <c r="B423" s="96"/>
      <c r="C423" s="96"/>
      <c r="D423" s="96"/>
      <c r="E423" s="96"/>
      <c r="F423" s="96"/>
      <c r="G423" s="96"/>
      <c r="H423" s="96"/>
      <c r="I423" s="96"/>
    </row>
    <row r="424" spans="1:9" ht="15" hidden="1" x14ac:dyDescent="0.25">
      <c r="A424" s="96"/>
      <c r="B424" s="96"/>
      <c r="C424" s="96"/>
      <c r="D424" s="96"/>
      <c r="E424" s="96"/>
      <c r="F424" s="96"/>
      <c r="G424" s="96"/>
      <c r="H424" s="96"/>
      <c r="I424" s="96"/>
    </row>
    <row r="425" spans="1:9" ht="15" hidden="1" x14ac:dyDescent="0.25">
      <c r="A425" s="96"/>
      <c r="B425" s="96"/>
      <c r="C425" s="96"/>
      <c r="D425" s="96"/>
      <c r="E425" s="96"/>
      <c r="F425" s="96"/>
      <c r="G425" s="96"/>
      <c r="H425" s="96"/>
      <c r="I425" s="96"/>
    </row>
    <row r="426" spans="1:9" ht="15" hidden="1" x14ac:dyDescent="0.25">
      <c r="A426" s="96"/>
      <c r="B426" s="96"/>
      <c r="C426" s="96"/>
      <c r="D426" s="96"/>
      <c r="E426" s="96"/>
      <c r="F426" s="96"/>
      <c r="G426" s="96"/>
      <c r="H426" s="96"/>
      <c r="I426" s="96"/>
    </row>
    <row r="427" spans="1:9" ht="15" hidden="1" x14ac:dyDescent="0.25">
      <c r="A427" s="96"/>
      <c r="B427" s="96"/>
      <c r="C427" s="96"/>
      <c r="D427" s="96"/>
      <c r="E427" s="96"/>
      <c r="F427" s="96"/>
      <c r="G427" s="96"/>
      <c r="H427" s="96"/>
      <c r="I427" s="96"/>
    </row>
    <row r="428" spans="1:9" ht="15" hidden="1" x14ac:dyDescent="0.25">
      <c r="A428" s="96"/>
      <c r="B428" s="96"/>
      <c r="C428" s="96"/>
      <c r="D428" s="96"/>
      <c r="E428" s="96"/>
      <c r="F428" s="96"/>
      <c r="G428" s="96"/>
      <c r="H428" s="96"/>
      <c r="I428" s="96"/>
    </row>
    <row r="429" spans="1:9" ht="15" hidden="1" x14ac:dyDescent="0.25">
      <c r="A429" s="96"/>
      <c r="B429" s="96"/>
      <c r="C429" s="96"/>
      <c r="D429" s="96"/>
      <c r="E429" s="96"/>
      <c r="F429" s="96"/>
      <c r="G429" s="96"/>
      <c r="H429" s="96"/>
      <c r="I429" s="96"/>
    </row>
    <row r="430" spans="1:9" ht="15" hidden="1" x14ac:dyDescent="0.25">
      <c r="A430" s="96"/>
      <c r="B430" s="96"/>
      <c r="C430" s="96"/>
      <c r="D430" s="96"/>
      <c r="E430" s="96"/>
      <c r="F430" s="96"/>
      <c r="G430" s="96"/>
      <c r="H430" s="96"/>
      <c r="I430" s="96"/>
    </row>
    <row r="431" spans="1:9" ht="15" hidden="1" x14ac:dyDescent="0.25">
      <c r="A431" s="96"/>
      <c r="B431" s="96"/>
      <c r="C431" s="96"/>
      <c r="D431" s="96"/>
      <c r="E431" s="96"/>
      <c r="F431" s="96"/>
      <c r="G431" s="96"/>
      <c r="H431" s="96"/>
      <c r="I431" s="96"/>
    </row>
    <row r="432" spans="1:9" ht="15" hidden="1" x14ac:dyDescent="0.25">
      <c r="A432" s="96"/>
      <c r="B432" s="96"/>
      <c r="C432" s="96"/>
      <c r="D432" s="96"/>
      <c r="E432" s="96"/>
      <c r="F432" s="96"/>
      <c r="G432" s="96"/>
      <c r="H432" s="96"/>
      <c r="I432" s="96"/>
    </row>
    <row r="433" spans="1:9" ht="15" hidden="1" x14ac:dyDescent="0.25">
      <c r="A433" s="96"/>
      <c r="B433" s="96"/>
      <c r="C433" s="96"/>
      <c r="D433" s="96"/>
      <c r="E433" s="96"/>
      <c r="F433" s="96"/>
      <c r="G433" s="96"/>
      <c r="H433" s="96"/>
      <c r="I433" s="96"/>
    </row>
    <row r="434" spans="1:9" ht="15" hidden="1" x14ac:dyDescent="0.25">
      <c r="A434" s="96"/>
      <c r="B434" s="96"/>
      <c r="C434" s="96"/>
      <c r="D434" s="96"/>
      <c r="E434" s="96"/>
      <c r="F434" s="96"/>
      <c r="G434" s="96"/>
      <c r="H434" s="96"/>
      <c r="I434" s="96"/>
    </row>
    <row r="435" spans="1:9" ht="15" hidden="1" x14ac:dyDescent="0.25">
      <c r="A435" s="96"/>
      <c r="B435" s="96"/>
      <c r="C435" s="96"/>
      <c r="D435" s="96"/>
      <c r="E435" s="96"/>
      <c r="F435" s="96"/>
      <c r="G435" s="96"/>
      <c r="H435" s="96"/>
      <c r="I435" s="96"/>
    </row>
    <row r="436" spans="1:9" ht="15" hidden="1" x14ac:dyDescent="0.25">
      <c r="A436" s="96"/>
      <c r="B436" s="96"/>
      <c r="C436" s="96"/>
      <c r="D436" s="96"/>
      <c r="E436" s="96"/>
      <c r="F436" s="96"/>
      <c r="G436" s="96"/>
      <c r="H436" s="96"/>
      <c r="I436" s="96"/>
    </row>
    <row r="437" spans="1:9" ht="15" hidden="1" x14ac:dyDescent="0.25">
      <c r="A437" s="96"/>
      <c r="B437" s="96"/>
      <c r="C437" s="96"/>
      <c r="D437" s="96"/>
      <c r="E437" s="96"/>
      <c r="F437" s="96"/>
      <c r="G437" s="96"/>
      <c r="H437" s="96"/>
      <c r="I437" s="96"/>
    </row>
    <row r="438" spans="1:9" ht="15" hidden="1" x14ac:dyDescent="0.25">
      <c r="A438" s="96"/>
      <c r="B438" s="96"/>
      <c r="C438" s="96"/>
      <c r="D438" s="96"/>
      <c r="E438" s="96"/>
      <c r="F438" s="96"/>
      <c r="G438" s="96"/>
      <c r="H438" s="96"/>
      <c r="I438" s="96"/>
    </row>
    <row r="439" spans="1:9" ht="15" hidden="1" x14ac:dyDescent="0.25">
      <c r="A439" s="96"/>
      <c r="B439" s="96"/>
      <c r="C439" s="96"/>
      <c r="D439" s="96"/>
      <c r="E439" s="96"/>
      <c r="F439" s="96"/>
      <c r="G439" s="96"/>
      <c r="H439" s="96"/>
      <c r="I439" s="96"/>
    </row>
    <row r="440" spans="1:9" ht="15" hidden="1" x14ac:dyDescent="0.25">
      <c r="A440" s="96"/>
      <c r="B440" s="96"/>
      <c r="C440" s="96"/>
      <c r="D440" s="96"/>
      <c r="E440" s="96"/>
      <c r="F440" s="96"/>
      <c r="G440" s="96"/>
      <c r="H440" s="96"/>
      <c r="I440" s="96"/>
    </row>
    <row r="441" spans="1:9" ht="15" hidden="1" x14ac:dyDescent="0.25">
      <c r="A441" s="96"/>
      <c r="B441" s="96"/>
      <c r="C441" s="96"/>
      <c r="D441" s="96"/>
      <c r="E441" s="96"/>
      <c r="F441" s="96"/>
      <c r="G441" s="96"/>
      <c r="H441" s="96"/>
      <c r="I441" s="96"/>
    </row>
    <row r="442" spans="1:9" ht="15" hidden="1" x14ac:dyDescent="0.25">
      <c r="A442" s="96"/>
      <c r="B442" s="96"/>
      <c r="C442" s="96"/>
      <c r="D442" s="96"/>
      <c r="E442" s="96"/>
      <c r="F442" s="96"/>
      <c r="G442" s="96"/>
      <c r="H442" s="96"/>
      <c r="I442" s="96"/>
    </row>
    <row r="443" spans="1:9" ht="15" hidden="1" x14ac:dyDescent="0.25">
      <c r="A443" s="96"/>
      <c r="B443" s="96"/>
      <c r="C443" s="96"/>
      <c r="D443" s="96"/>
      <c r="E443" s="96"/>
      <c r="F443" s="96"/>
      <c r="G443" s="96"/>
      <c r="H443" s="96"/>
      <c r="I443" s="96"/>
    </row>
    <row r="444" spans="1:9" ht="15" hidden="1" x14ac:dyDescent="0.25">
      <c r="A444" s="96"/>
      <c r="B444" s="96"/>
      <c r="C444" s="96"/>
      <c r="D444" s="96"/>
      <c r="E444" s="96"/>
      <c r="F444" s="96"/>
      <c r="G444" s="96"/>
      <c r="H444" s="96"/>
      <c r="I444" s="96"/>
    </row>
    <row r="445" spans="1:9" ht="15" hidden="1" x14ac:dyDescent="0.25">
      <c r="A445" s="96"/>
      <c r="B445" s="96"/>
      <c r="C445" s="96"/>
      <c r="D445" s="96"/>
      <c r="E445" s="96"/>
      <c r="F445" s="96"/>
      <c r="G445" s="96"/>
      <c r="H445" s="96"/>
      <c r="I445" s="96"/>
    </row>
    <row r="446" spans="1:9" ht="15" hidden="1" x14ac:dyDescent="0.25">
      <c r="A446" s="96"/>
      <c r="B446" s="96"/>
      <c r="C446" s="96"/>
      <c r="D446" s="96"/>
      <c r="E446" s="96"/>
      <c r="F446" s="96"/>
      <c r="G446" s="96"/>
      <c r="H446" s="96"/>
      <c r="I446" s="96"/>
    </row>
    <row r="447" spans="1:9" ht="15" hidden="1" x14ac:dyDescent="0.25">
      <c r="A447" s="96"/>
      <c r="B447" s="96"/>
      <c r="C447" s="96"/>
      <c r="D447" s="96"/>
      <c r="E447" s="96"/>
      <c r="F447" s="96"/>
      <c r="G447" s="96"/>
      <c r="H447" s="96"/>
      <c r="I447" s="96"/>
    </row>
    <row r="448" spans="1:9" ht="15" hidden="1" x14ac:dyDescent="0.25">
      <c r="A448" s="96"/>
      <c r="B448" s="96"/>
      <c r="C448" s="96"/>
      <c r="D448" s="96"/>
      <c r="E448" s="96"/>
      <c r="F448" s="96"/>
      <c r="G448" s="96"/>
      <c r="H448" s="96"/>
      <c r="I448" s="96"/>
    </row>
    <row r="449" spans="1:9" ht="15" hidden="1" x14ac:dyDescent="0.25">
      <c r="A449" s="96"/>
      <c r="B449" s="96"/>
      <c r="C449" s="96"/>
      <c r="D449" s="96"/>
      <c r="E449" s="96"/>
      <c r="F449" s="96"/>
      <c r="G449" s="96"/>
      <c r="H449" s="96"/>
      <c r="I449" s="96"/>
    </row>
    <row r="450" spans="1:9" ht="15" hidden="1" x14ac:dyDescent="0.25">
      <c r="A450" s="96"/>
      <c r="B450" s="96"/>
      <c r="C450" s="96"/>
      <c r="D450" s="96"/>
      <c r="E450" s="96"/>
      <c r="F450" s="96"/>
      <c r="G450" s="96"/>
      <c r="H450" s="96"/>
      <c r="I450" s="96"/>
    </row>
    <row r="451" spans="1:9" ht="15" hidden="1" x14ac:dyDescent="0.25">
      <c r="A451" s="96"/>
      <c r="B451" s="96"/>
      <c r="C451" s="96"/>
      <c r="D451" s="96"/>
      <c r="E451" s="96"/>
      <c r="F451" s="96"/>
      <c r="G451" s="96"/>
      <c r="H451" s="96"/>
      <c r="I451" s="96"/>
    </row>
    <row r="452" spans="1:9" ht="15" hidden="1" x14ac:dyDescent="0.25">
      <c r="A452" s="96"/>
      <c r="B452" s="96"/>
      <c r="C452" s="96"/>
      <c r="D452" s="96"/>
      <c r="E452" s="96"/>
      <c r="F452" s="96"/>
      <c r="G452" s="96"/>
      <c r="H452" s="96"/>
      <c r="I452" s="96"/>
    </row>
    <row r="453" spans="1:9" ht="15" hidden="1" x14ac:dyDescent="0.25">
      <c r="A453" s="96"/>
      <c r="B453" s="96"/>
      <c r="C453" s="96"/>
      <c r="D453" s="96"/>
      <c r="E453" s="96"/>
      <c r="F453" s="96"/>
      <c r="G453" s="96"/>
      <c r="H453" s="96"/>
      <c r="I453" s="96"/>
    </row>
    <row r="454" spans="1:9" ht="15" hidden="1" x14ac:dyDescent="0.25">
      <c r="A454" s="96"/>
      <c r="B454" s="96"/>
      <c r="C454" s="96"/>
      <c r="D454" s="96"/>
      <c r="E454" s="96"/>
      <c r="F454" s="96"/>
      <c r="G454" s="96"/>
      <c r="H454" s="96"/>
      <c r="I454" s="96"/>
    </row>
    <row r="455" spans="1:9" ht="15" hidden="1" x14ac:dyDescent="0.25">
      <c r="A455" s="96"/>
      <c r="B455" s="96"/>
      <c r="C455" s="96"/>
      <c r="D455" s="96"/>
      <c r="E455" s="96"/>
      <c r="F455" s="96"/>
      <c r="G455" s="96"/>
      <c r="H455" s="96"/>
      <c r="I455" s="96"/>
    </row>
    <row r="456" spans="1:9" ht="15" hidden="1" x14ac:dyDescent="0.25">
      <c r="A456" s="96"/>
      <c r="B456" s="96"/>
      <c r="C456" s="96"/>
      <c r="D456" s="96"/>
      <c r="E456" s="96"/>
      <c r="F456" s="96"/>
      <c r="G456" s="96"/>
      <c r="H456" s="96"/>
      <c r="I456" s="96"/>
    </row>
    <row r="457" spans="1:9" ht="15" hidden="1" x14ac:dyDescent="0.25">
      <c r="A457" s="96"/>
      <c r="B457" s="96"/>
      <c r="C457" s="96"/>
      <c r="D457" s="96"/>
      <c r="E457" s="96"/>
      <c r="F457" s="96"/>
      <c r="G457" s="96"/>
      <c r="H457" s="96"/>
      <c r="I457" s="96"/>
    </row>
    <row r="458" spans="1:9" ht="15" hidden="1" x14ac:dyDescent="0.25">
      <c r="A458" s="96"/>
      <c r="B458" s="96"/>
      <c r="C458" s="96"/>
      <c r="D458" s="96"/>
      <c r="E458" s="96"/>
      <c r="F458" s="96"/>
      <c r="G458" s="96"/>
      <c r="H458" s="96"/>
      <c r="I458" s="96"/>
    </row>
    <row r="459" spans="1:9" ht="15" hidden="1" x14ac:dyDescent="0.25">
      <c r="A459" s="96"/>
      <c r="B459" s="96"/>
      <c r="C459" s="96"/>
      <c r="D459" s="96"/>
      <c r="E459" s="96"/>
      <c r="F459" s="96"/>
      <c r="G459" s="96"/>
      <c r="H459" s="96"/>
      <c r="I459" s="96"/>
    </row>
    <row r="460" spans="1:9" ht="15" hidden="1" x14ac:dyDescent="0.25">
      <c r="A460" s="96"/>
      <c r="B460" s="96"/>
      <c r="C460" s="96"/>
      <c r="D460" s="96"/>
      <c r="E460" s="96"/>
      <c r="F460" s="96"/>
      <c r="G460" s="96"/>
      <c r="H460" s="96"/>
      <c r="I460" s="96"/>
    </row>
    <row r="461" spans="1:9" ht="15" hidden="1" x14ac:dyDescent="0.25">
      <c r="A461" s="96"/>
      <c r="B461" s="96"/>
      <c r="C461" s="96"/>
      <c r="D461" s="96"/>
      <c r="E461" s="96"/>
      <c r="F461" s="96"/>
      <c r="G461" s="96"/>
      <c r="H461" s="96"/>
      <c r="I461" s="96"/>
    </row>
    <row r="462" spans="1:9" ht="15" hidden="1" x14ac:dyDescent="0.25">
      <c r="A462" s="96"/>
      <c r="B462" s="96"/>
      <c r="C462" s="96"/>
      <c r="D462" s="96"/>
      <c r="E462" s="96"/>
      <c r="F462" s="96"/>
      <c r="G462" s="96"/>
      <c r="H462" s="96"/>
      <c r="I462" s="96"/>
    </row>
    <row r="463" spans="1:9" ht="15" hidden="1" x14ac:dyDescent="0.25">
      <c r="A463" s="96"/>
      <c r="B463" s="96"/>
      <c r="C463" s="96"/>
      <c r="D463" s="96"/>
      <c r="E463" s="96"/>
      <c r="F463" s="96"/>
      <c r="G463" s="96"/>
      <c r="H463" s="96"/>
      <c r="I463" s="96"/>
    </row>
    <row r="464" spans="1:9" ht="15" hidden="1" x14ac:dyDescent="0.25">
      <c r="A464" s="96"/>
      <c r="B464" s="96"/>
      <c r="C464" s="96"/>
      <c r="D464" s="96"/>
      <c r="E464" s="96"/>
      <c r="F464" s="96"/>
      <c r="G464" s="96"/>
      <c r="H464" s="96"/>
      <c r="I464" s="96"/>
    </row>
    <row r="465" spans="1:9" ht="15" hidden="1" x14ac:dyDescent="0.25">
      <c r="A465" s="96"/>
      <c r="B465" s="96"/>
      <c r="C465" s="96"/>
      <c r="D465" s="96"/>
      <c r="E465" s="96"/>
      <c r="F465" s="96"/>
      <c r="G465" s="96"/>
      <c r="H465" s="96"/>
      <c r="I465" s="96"/>
    </row>
    <row r="466" spans="1:9" ht="15" hidden="1" x14ac:dyDescent="0.25">
      <c r="A466" s="96"/>
      <c r="B466" s="96"/>
      <c r="C466" s="96"/>
      <c r="D466" s="96"/>
      <c r="E466" s="96"/>
      <c r="F466" s="96"/>
      <c r="G466" s="96"/>
      <c r="H466" s="96"/>
      <c r="I466" s="96"/>
    </row>
    <row r="467" spans="1:9" ht="15" hidden="1" x14ac:dyDescent="0.25">
      <c r="A467" s="96"/>
      <c r="B467" s="96"/>
      <c r="C467" s="96"/>
      <c r="D467" s="96"/>
      <c r="E467" s="96"/>
      <c r="F467" s="96"/>
      <c r="G467" s="96"/>
      <c r="H467" s="96"/>
      <c r="I467" s="96"/>
    </row>
    <row r="468" spans="1:9" ht="15" hidden="1" x14ac:dyDescent="0.25">
      <c r="A468" s="96"/>
      <c r="B468" s="96"/>
      <c r="C468" s="96"/>
      <c r="D468" s="96"/>
      <c r="E468" s="96"/>
      <c r="F468" s="96"/>
      <c r="G468" s="96"/>
      <c r="H468" s="96"/>
      <c r="I468" s="96"/>
    </row>
    <row r="469" spans="1:9" ht="15" hidden="1" x14ac:dyDescent="0.25">
      <c r="A469" s="96"/>
      <c r="B469" s="96"/>
      <c r="C469" s="96"/>
      <c r="D469" s="96"/>
      <c r="E469" s="96"/>
      <c r="F469" s="96"/>
      <c r="G469" s="96"/>
      <c r="H469" s="96"/>
      <c r="I469" s="96"/>
    </row>
    <row r="470" spans="1:9" ht="15" hidden="1" x14ac:dyDescent="0.25">
      <c r="A470" s="96"/>
      <c r="B470" s="96"/>
      <c r="C470" s="96"/>
      <c r="D470" s="96"/>
      <c r="E470" s="96"/>
      <c r="F470" s="96"/>
      <c r="G470" s="96"/>
      <c r="H470" s="96"/>
      <c r="I470" s="96"/>
    </row>
    <row r="471" spans="1:9" ht="15" hidden="1" x14ac:dyDescent="0.25">
      <c r="A471" s="96"/>
      <c r="B471" s="96"/>
      <c r="C471" s="96"/>
      <c r="D471" s="96"/>
      <c r="E471" s="96"/>
      <c r="F471" s="96"/>
      <c r="G471" s="96"/>
      <c r="H471" s="96"/>
      <c r="I471" s="96"/>
    </row>
    <row r="472" spans="1:9" ht="15" hidden="1" x14ac:dyDescent="0.25">
      <c r="A472" s="96"/>
      <c r="B472" s="96"/>
      <c r="C472" s="96"/>
      <c r="D472" s="96"/>
      <c r="E472" s="96"/>
      <c r="F472" s="96"/>
      <c r="G472" s="96"/>
      <c r="H472" s="96"/>
      <c r="I472" s="96"/>
    </row>
    <row r="473" spans="1:9" ht="15" hidden="1" x14ac:dyDescent="0.25">
      <c r="A473" s="96"/>
      <c r="B473" s="96"/>
      <c r="C473" s="96"/>
      <c r="D473" s="96"/>
      <c r="E473" s="96"/>
      <c r="F473" s="96"/>
      <c r="G473" s="96"/>
      <c r="H473" s="96"/>
      <c r="I473" s="96"/>
    </row>
    <row r="474" spans="1:9" ht="15" hidden="1" x14ac:dyDescent="0.25">
      <c r="A474" s="96"/>
      <c r="B474" s="96"/>
      <c r="C474" s="96"/>
      <c r="D474" s="96"/>
      <c r="E474" s="96"/>
      <c r="F474" s="96"/>
      <c r="G474" s="96"/>
      <c r="H474" s="96"/>
      <c r="I474" s="96"/>
    </row>
    <row r="475" spans="1:9" ht="15" hidden="1" x14ac:dyDescent="0.25">
      <c r="A475" s="96"/>
      <c r="B475" s="96"/>
      <c r="C475" s="96"/>
      <c r="D475" s="96"/>
      <c r="E475" s="96"/>
      <c r="F475" s="96"/>
      <c r="G475" s="96"/>
      <c r="H475" s="96"/>
      <c r="I475" s="96"/>
    </row>
    <row r="476" spans="1:9" ht="15" hidden="1" x14ac:dyDescent="0.25">
      <c r="A476" s="96"/>
      <c r="B476" s="96"/>
      <c r="C476" s="96"/>
      <c r="D476" s="96"/>
      <c r="E476" s="96"/>
      <c r="F476" s="96"/>
      <c r="G476" s="96"/>
      <c r="H476" s="96"/>
      <c r="I476" s="96"/>
    </row>
    <row r="477" spans="1:9" ht="15" hidden="1" x14ac:dyDescent="0.25">
      <c r="A477" s="96"/>
      <c r="B477" s="96"/>
      <c r="C477" s="96"/>
      <c r="D477" s="96"/>
      <c r="E477" s="96"/>
      <c r="F477" s="96"/>
      <c r="G477" s="96"/>
      <c r="H477" s="96"/>
      <c r="I477" s="96"/>
    </row>
    <row r="478" spans="1:9" ht="15" hidden="1" x14ac:dyDescent="0.25">
      <c r="A478" s="96"/>
      <c r="B478" s="96"/>
      <c r="C478" s="96"/>
      <c r="D478" s="96"/>
      <c r="E478" s="96"/>
      <c r="F478" s="96"/>
      <c r="G478" s="96"/>
      <c r="H478" s="96"/>
      <c r="I478" s="96"/>
    </row>
    <row r="479" spans="1:9" ht="15" hidden="1" x14ac:dyDescent="0.25">
      <c r="A479" s="96"/>
      <c r="B479" s="96"/>
      <c r="C479" s="96"/>
      <c r="D479" s="96"/>
      <c r="E479" s="96"/>
      <c r="F479" s="96"/>
      <c r="G479" s="96"/>
      <c r="H479" s="96"/>
      <c r="I479" s="96"/>
    </row>
    <row r="480" spans="1:9" ht="15" hidden="1" x14ac:dyDescent="0.25">
      <c r="A480" s="96"/>
      <c r="B480" s="96"/>
      <c r="C480" s="96"/>
      <c r="D480" s="96"/>
      <c r="E480" s="96"/>
      <c r="F480" s="96"/>
      <c r="G480" s="96"/>
      <c r="H480" s="96"/>
      <c r="I480" s="96"/>
    </row>
    <row r="481" spans="1:9" ht="15" hidden="1" x14ac:dyDescent="0.25">
      <c r="A481" s="96"/>
      <c r="B481" s="96"/>
      <c r="C481" s="96"/>
      <c r="D481" s="96"/>
      <c r="E481" s="96"/>
      <c r="F481" s="96"/>
      <c r="G481" s="96"/>
      <c r="H481" s="96"/>
      <c r="I481" s="96"/>
    </row>
    <row r="482" spans="1:9" ht="15" hidden="1" x14ac:dyDescent="0.25">
      <c r="A482" s="96"/>
      <c r="B482" s="96"/>
      <c r="C482" s="96"/>
      <c r="D482" s="96"/>
      <c r="E482" s="96"/>
      <c r="F482" s="96"/>
      <c r="G482" s="96"/>
      <c r="H482" s="96"/>
      <c r="I482" s="96"/>
    </row>
    <row r="483" spans="1:9" ht="15" hidden="1" x14ac:dyDescent="0.25">
      <c r="A483" s="96"/>
      <c r="B483" s="96"/>
      <c r="C483" s="96"/>
      <c r="D483" s="96"/>
      <c r="E483" s="96"/>
      <c r="F483" s="96"/>
      <c r="G483" s="96"/>
      <c r="H483" s="96"/>
      <c r="I483" s="96"/>
    </row>
    <row r="484" spans="1:9" ht="15" hidden="1" x14ac:dyDescent="0.25">
      <c r="A484" s="96"/>
      <c r="B484" s="96"/>
      <c r="C484" s="96"/>
      <c r="D484" s="96"/>
      <c r="E484" s="96"/>
      <c r="F484" s="96"/>
      <c r="G484" s="96"/>
      <c r="H484" s="96"/>
      <c r="I484" s="96"/>
    </row>
    <row r="485" spans="1:9" ht="15" hidden="1" x14ac:dyDescent="0.25">
      <c r="A485" s="96"/>
      <c r="B485" s="96"/>
      <c r="C485" s="96"/>
      <c r="D485" s="96"/>
      <c r="E485" s="96"/>
      <c r="F485" s="96"/>
      <c r="G485" s="96"/>
      <c r="H485" s="96"/>
      <c r="I485" s="96"/>
    </row>
    <row r="486" spans="1:9" ht="15" hidden="1" x14ac:dyDescent="0.25">
      <c r="A486" s="96"/>
      <c r="B486" s="96"/>
      <c r="C486" s="96"/>
      <c r="D486" s="96"/>
      <c r="E486" s="96"/>
      <c r="F486" s="96"/>
      <c r="G486" s="96"/>
      <c r="H486" s="96"/>
      <c r="I486" s="96"/>
    </row>
    <row r="487" spans="1:9" ht="15" hidden="1" x14ac:dyDescent="0.25">
      <c r="A487" s="96"/>
      <c r="B487" s="96"/>
      <c r="C487" s="96"/>
      <c r="D487" s="96"/>
      <c r="E487" s="96"/>
      <c r="F487" s="96"/>
      <c r="G487" s="96"/>
      <c r="H487" s="96"/>
      <c r="I487" s="96"/>
    </row>
    <row r="488" spans="1:9" ht="15" hidden="1" x14ac:dyDescent="0.25">
      <c r="A488" s="96"/>
      <c r="B488" s="96"/>
      <c r="C488" s="96"/>
      <c r="D488" s="96"/>
      <c r="E488" s="96"/>
      <c r="F488" s="96"/>
      <c r="G488" s="96"/>
      <c r="H488" s="96"/>
      <c r="I488" s="96"/>
    </row>
    <row r="489" spans="1:9" ht="15" hidden="1" x14ac:dyDescent="0.25">
      <c r="A489" s="96"/>
      <c r="B489" s="96"/>
      <c r="C489" s="96"/>
      <c r="D489" s="96"/>
      <c r="E489" s="96"/>
      <c r="F489" s="96"/>
      <c r="G489" s="96"/>
      <c r="H489" s="96"/>
      <c r="I489" s="96"/>
    </row>
    <row r="490" spans="1:9" ht="15" hidden="1" x14ac:dyDescent="0.25">
      <c r="A490" s="96"/>
      <c r="B490" s="96"/>
      <c r="C490" s="96"/>
      <c r="D490" s="96"/>
      <c r="E490" s="96"/>
      <c r="F490" s="96"/>
      <c r="G490" s="96"/>
      <c r="H490" s="96"/>
      <c r="I490" s="96"/>
    </row>
    <row r="491" spans="1:9" ht="15" hidden="1" x14ac:dyDescent="0.25">
      <c r="A491" s="96"/>
      <c r="B491" s="96"/>
      <c r="C491" s="96"/>
      <c r="D491" s="96"/>
      <c r="E491" s="96"/>
      <c r="F491" s="96"/>
      <c r="G491" s="96"/>
      <c r="H491" s="96"/>
      <c r="I491" s="96"/>
    </row>
    <row r="492" spans="1:9" ht="15" hidden="1" x14ac:dyDescent="0.25">
      <c r="A492" s="96"/>
      <c r="B492" s="96"/>
      <c r="C492" s="96"/>
      <c r="D492" s="96"/>
      <c r="E492" s="96"/>
      <c r="F492" s="96"/>
      <c r="G492" s="96"/>
      <c r="H492" s="96"/>
      <c r="I492" s="96"/>
    </row>
    <row r="493" spans="1:9" ht="15" hidden="1" x14ac:dyDescent="0.25">
      <c r="A493" s="96"/>
      <c r="B493" s="96"/>
      <c r="C493" s="96"/>
      <c r="D493" s="96"/>
      <c r="E493" s="96"/>
      <c r="F493" s="96"/>
      <c r="G493" s="96"/>
      <c r="H493" s="96"/>
      <c r="I493" s="96"/>
    </row>
    <row r="494" spans="1:9" ht="15" hidden="1" x14ac:dyDescent="0.25">
      <c r="A494" s="96"/>
      <c r="B494" s="96"/>
      <c r="C494" s="96"/>
      <c r="D494" s="96"/>
      <c r="E494" s="96"/>
      <c r="F494" s="96"/>
      <c r="G494" s="96"/>
      <c r="H494" s="96"/>
      <c r="I494" s="96"/>
    </row>
    <row r="495" spans="1:9" ht="15" hidden="1" x14ac:dyDescent="0.25">
      <c r="A495" s="96"/>
      <c r="B495" s="96"/>
      <c r="C495" s="96"/>
      <c r="D495" s="96"/>
      <c r="E495" s="96"/>
      <c r="F495" s="96"/>
      <c r="G495" s="96"/>
      <c r="H495" s="96"/>
      <c r="I495" s="96"/>
    </row>
    <row r="496" spans="1:9" ht="15" hidden="1" x14ac:dyDescent="0.25">
      <c r="A496" s="96"/>
      <c r="B496" s="96"/>
      <c r="C496" s="96"/>
      <c r="D496" s="96"/>
      <c r="E496" s="96"/>
      <c r="F496" s="96"/>
      <c r="G496" s="96"/>
      <c r="H496" s="96"/>
      <c r="I496" s="96"/>
    </row>
    <row r="497" spans="1:9" ht="15" hidden="1" x14ac:dyDescent="0.25">
      <c r="A497" s="96"/>
      <c r="B497" s="96"/>
      <c r="C497" s="96"/>
      <c r="D497" s="96"/>
      <c r="E497" s="96"/>
      <c r="F497" s="96"/>
      <c r="G497" s="96"/>
      <c r="H497" s="96"/>
      <c r="I497" s="96"/>
    </row>
    <row r="498" spans="1:9" ht="15" hidden="1" x14ac:dyDescent="0.25">
      <c r="A498" s="96"/>
      <c r="B498" s="96"/>
      <c r="C498" s="96"/>
      <c r="D498" s="96"/>
      <c r="E498" s="96"/>
      <c r="F498" s="96"/>
      <c r="G498" s="96"/>
      <c r="H498" s="96"/>
      <c r="I498" s="96"/>
    </row>
    <row r="499" spans="1:9" ht="15" hidden="1" x14ac:dyDescent="0.25">
      <c r="A499" s="96"/>
      <c r="B499" s="96"/>
      <c r="C499" s="96"/>
      <c r="D499" s="96"/>
      <c r="E499" s="96"/>
      <c r="F499" s="96"/>
      <c r="G499" s="96"/>
      <c r="H499" s="96"/>
      <c r="I499" s="96"/>
    </row>
    <row r="500" spans="1:9" ht="15" hidden="1" x14ac:dyDescent="0.25">
      <c r="A500" s="96"/>
      <c r="B500" s="96"/>
      <c r="C500" s="96"/>
      <c r="D500" s="96"/>
      <c r="E500" s="96"/>
      <c r="F500" s="96"/>
      <c r="G500" s="96"/>
      <c r="H500" s="96"/>
      <c r="I500" s="96"/>
    </row>
    <row r="501" spans="1:9" ht="15" hidden="1" x14ac:dyDescent="0.25">
      <c r="A501" s="96"/>
      <c r="B501" s="96"/>
      <c r="C501" s="96"/>
      <c r="D501" s="96"/>
      <c r="E501" s="96"/>
      <c r="F501" s="96"/>
      <c r="G501" s="96"/>
      <c r="H501" s="96"/>
      <c r="I501" s="96"/>
    </row>
    <row r="502" spans="1:9" ht="15" hidden="1" x14ac:dyDescent="0.25">
      <c r="A502" s="96"/>
      <c r="B502" s="96"/>
      <c r="C502" s="96"/>
      <c r="D502" s="96"/>
      <c r="E502" s="96"/>
      <c r="F502" s="96"/>
      <c r="G502" s="96"/>
      <c r="H502" s="96"/>
      <c r="I502" s="96"/>
    </row>
    <row r="503" spans="1:9" ht="15" hidden="1" x14ac:dyDescent="0.25">
      <c r="A503" s="96"/>
      <c r="B503" s="96"/>
      <c r="C503" s="96"/>
      <c r="D503" s="96"/>
      <c r="E503" s="96"/>
      <c r="F503" s="96"/>
      <c r="G503" s="96"/>
      <c r="H503" s="96"/>
      <c r="I503" s="96"/>
    </row>
    <row r="504" spans="1:9" ht="15" hidden="1" x14ac:dyDescent="0.25">
      <c r="A504" s="96"/>
      <c r="B504" s="96"/>
      <c r="C504" s="96"/>
      <c r="D504" s="96"/>
      <c r="E504" s="96"/>
      <c r="F504" s="96"/>
      <c r="G504" s="96"/>
      <c r="H504" s="96"/>
      <c r="I504" s="96"/>
    </row>
    <row r="505" spans="1:9" ht="15" hidden="1" x14ac:dyDescent="0.25">
      <c r="A505" s="96"/>
      <c r="B505" s="96"/>
      <c r="C505" s="96"/>
      <c r="D505" s="96"/>
      <c r="E505" s="96"/>
      <c r="F505" s="96"/>
      <c r="G505" s="96"/>
      <c r="H505" s="96"/>
      <c r="I505" s="96"/>
    </row>
    <row r="506" spans="1:9" ht="15" hidden="1" x14ac:dyDescent="0.25">
      <c r="A506" s="96"/>
      <c r="B506" s="96"/>
      <c r="C506" s="96"/>
      <c r="D506" s="96"/>
      <c r="E506" s="96"/>
      <c r="F506" s="96"/>
      <c r="G506" s="96"/>
      <c r="H506" s="96"/>
      <c r="I506" s="96"/>
    </row>
    <row r="507" spans="1:9" ht="15" hidden="1" x14ac:dyDescent="0.25">
      <c r="A507" s="96"/>
      <c r="B507" s="96"/>
      <c r="C507" s="96"/>
      <c r="D507" s="96"/>
      <c r="E507" s="96"/>
      <c r="F507" s="96"/>
      <c r="G507" s="96"/>
      <c r="H507" s="96"/>
      <c r="I507" s="96"/>
    </row>
    <row r="508" spans="1:9" ht="15" hidden="1" x14ac:dyDescent="0.25">
      <c r="A508" s="96"/>
      <c r="B508" s="96"/>
      <c r="C508" s="96"/>
      <c r="D508" s="96"/>
      <c r="E508" s="96"/>
      <c r="F508" s="96"/>
      <c r="G508" s="96"/>
      <c r="H508" s="96"/>
      <c r="I508" s="96"/>
    </row>
    <row r="509" spans="1:9" ht="15" hidden="1" x14ac:dyDescent="0.25">
      <c r="A509" s="96"/>
      <c r="B509" s="96"/>
      <c r="C509" s="96"/>
      <c r="D509" s="96"/>
      <c r="E509" s="96"/>
      <c r="F509" s="96"/>
      <c r="G509" s="96"/>
      <c r="H509" s="96"/>
      <c r="I509" s="96"/>
    </row>
    <row r="510" spans="1:9" ht="15" hidden="1" x14ac:dyDescent="0.25">
      <c r="A510" s="96"/>
      <c r="B510" s="96"/>
      <c r="C510" s="96"/>
      <c r="D510" s="96"/>
      <c r="E510" s="96"/>
      <c r="F510" s="96"/>
      <c r="G510" s="96"/>
      <c r="H510" s="96"/>
      <c r="I510" s="96"/>
    </row>
    <row r="511" spans="1:9" ht="15" hidden="1" x14ac:dyDescent="0.25">
      <c r="A511" s="96"/>
      <c r="B511" s="96"/>
      <c r="C511" s="96"/>
      <c r="D511" s="96"/>
      <c r="E511" s="96"/>
      <c r="F511" s="96"/>
      <c r="G511" s="96"/>
      <c r="H511" s="96"/>
      <c r="I511" s="96"/>
    </row>
    <row r="512" spans="1:9" ht="15" hidden="1" x14ac:dyDescent="0.25">
      <c r="A512" s="96"/>
      <c r="B512" s="96"/>
      <c r="C512" s="96"/>
      <c r="D512" s="96"/>
      <c r="E512" s="96"/>
      <c r="F512" s="96"/>
      <c r="G512" s="96"/>
      <c r="H512" s="96"/>
      <c r="I512" s="96"/>
    </row>
    <row r="513" spans="1:9" ht="15" hidden="1" x14ac:dyDescent="0.25">
      <c r="A513" s="96"/>
      <c r="B513" s="96"/>
      <c r="C513" s="96"/>
      <c r="D513" s="96"/>
      <c r="E513" s="96"/>
      <c r="F513" s="96"/>
      <c r="G513" s="96"/>
      <c r="H513" s="96"/>
      <c r="I513" s="96"/>
    </row>
    <row r="514" spans="1:9" ht="15" hidden="1" x14ac:dyDescent="0.25">
      <c r="A514" s="96"/>
      <c r="B514" s="96"/>
      <c r="C514" s="96"/>
      <c r="D514" s="96"/>
      <c r="E514" s="96"/>
      <c r="F514" s="96"/>
      <c r="G514" s="96"/>
      <c r="H514" s="96"/>
      <c r="I514" s="96"/>
    </row>
    <row r="515" spans="1:9" ht="15" hidden="1" x14ac:dyDescent="0.25">
      <c r="A515" s="96"/>
      <c r="B515" s="96"/>
      <c r="C515" s="96"/>
      <c r="D515" s="96"/>
      <c r="E515" s="96"/>
      <c r="F515" s="96"/>
      <c r="G515" s="96"/>
      <c r="H515" s="96"/>
      <c r="I515" s="96"/>
    </row>
    <row r="516" spans="1:9" ht="15" hidden="1" x14ac:dyDescent="0.25">
      <c r="A516" s="96"/>
      <c r="B516" s="96"/>
      <c r="C516" s="96"/>
      <c r="D516" s="96"/>
      <c r="E516" s="96"/>
      <c r="F516" s="96"/>
      <c r="G516" s="96"/>
      <c r="H516" s="96"/>
      <c r="I516" s="96"/>
    </row>
    <row r="517" spans="1:9" ht="15" hidden="1" x14ac:dyDescent="0.25">
      <c r="A517" s="96"/>
      <c r="B517" s="96"/>
      <c r="C517" s="96"/>
      <c r="D517" s="96"/>
      <c r="E517" s="96"/>
      <c r="F517" s="96"/>
      <c r="G517" s="96"/>
      <c r="H517" s="96"/>
      <c r="I517" s="96"/>
    </row>
    <row r="518" spans="1:9" ht="15" hidden="1" x14ac:dyDescent="0.25">
      <c r="A518" s="96"/>
      <c r="B518" s="96"/>
      <c r="C518" s="96"/>
      <c r="D518" s="96"/>
      <c r="E518" s="96"/>
      <c r="F518" s="96"/>
      <c r="G518" s="96"/>
      <c r="H518" s="96"/>
      <c r="I518" s="96"/>
    </row>
    <row r="519" spans="1:9" ht="15" hidden="1" x14ac:dyDescent="0.25">
      <c r="A519" s="96"/>
      <c r="B519" s="96"/>
      <c r="C519" s="96"/>
      <c r="D519" s="96"/>
      <c r="E519" s="96"/>
      <c r="F519" s="96"/>
      <c r="G519" s="96"/>
      <c r="H519" s="96"/>
      <c r="I519" s="96"/>
    </row>
    <row r="520" spans="1:9" ht="15" hidden="1" x14ac:dyDescent="0.25">
      <c r="A520" s="96"/>
      <c r="B520" s="96"/>
      <c r="C520" s="96"/>
      <c r="D520" s="96"/>
      <c r="E520" s="96"/>
      <c r="F520" s="96"/>
      <c r="G520" s="96"/>
      <c r="H520" s="96"/>
      <c r="I520" s="96"/>
    </row>
    <row r="521" spans="1:9" ht="15" hidden="1" x14ac:dyDescent="0.25">
      <c r="A521" s="96"/>
      <c r="B521" s="96"/>
      <c r="C521" s="96"/>
      <c r="D521" s="96"/>
      <c r="E521" s="96"/>
      <c r="F521" s="96"/>
      <c r="G521" s="96"/>
      <c r="H521" s="96"/>
      <c r="I521" s="96"/>
    </row>
    <row r="522" spans="1:9" ht="15" hidden="1" x14ac:dyDescent="0.25">
      <c r="A522" s="96"/>
      <c r="B522" s="96"/>
      <c r="C522" s="96"/>
      <c r="D522" s="96"/>
      <c r="E522" s="96"/>
      <c r="F522" s="96"/>
      <c r="G522" s="96"/>
      <c r="H522" s="96"/>
      <c r="I522" s="96"/>
    </row>
    <row r="523" spans="1:9" ht="15" hidden="1" x14ac:dyDescent="0.25">
      <c r="A523" s="96"/>
      <c r="B523" s="96"/>
      <c r="C523" s="96"/>
      <c r="D523" s="96"/>
      <c r="E523" s="96"/>
      <c r="F523" s="96"/>
      <c r="G523" s="96"/>
      <c r="H523" s="96"/>
      <c r="I523" s="96"/>
    </row>
    <row r="524" spans="1:9" ht="15" hidden="1" x14ac:dyDescent="0.25">
      <c r="A524" s="96"/>
      <c r="B524" s="96"/>
      <c r="C524" s="96"/>
      <c r="D524" s="96"/>
      <c r="E524" s="96"/>
      <c r="F524" s="96"/>
      <c r="G524" s="96"/>
      <c r="H524" s="96"/>
      <c r="I524" s="96"/>
    </row>
    <row r="525" spans="1:9" ht="15" hidden="1" x14ac:dyDescent="0.25">
      <c r="A525" s="96"/>
      <c r="B525" s="96"/>
      <c r="C525" s="96"/>
      <c r="D525" s="96"/>
      <c r="E525" s="96"/>
      <c r="F525" s="96"/>
      <c r="G525" s="96"/>
      <c r="H525" s="96"/>
      <c r="I525" s="96"/>
    </row>
    <row r="526" spans="1:9" ht="15" hidden="1" x14ac:dyDescent="0.25">
      <c r="A526" s="96"/>
      <c r="B526" s="96"/>
      <c r="C526" s="96"/>
      <c r="D526" s="96"/>
      <c r="E526" s="96"/>
      <c r="F526" s="96"/>
      <c r="G526" s="96"/>
      <c r="H526" s="96"/>
      <c r="I526" s="96"/>
    </row>
    <row r="527" spans="1:9" ht="15" hidden="1" x14ac:dyDescent="0.25">
      <c r="A527" s="96"/>
      <c r="B527" s="96"/>
      <c r="C527" s="96"/>
      <c r="D527" s="96"/>
      <c r="E527" s="96"/>
      <c r="F527" s="96"/>
      <c r="G527" s="96"/>
      <c r="H527" s="96"/>
      <c r="I527" s="96"/>
    </row>
    <row r="528" spans="1:9" ht="15" hidden="1" x14ac:dyDescent="0.25">
      <c r="A528" s="96"/>
      <c r="B528" s="96"/>
      <c r="C528" s="96"/>
      <c r="D528" s="96"/>
      <c r="E528" s="96"/>
      <c r="F528" s="96"/>
      <c r="G528" s="96"/>
      <c r="H528" s="96"/>
      <c r="I528" s="96"/>
    </row>
    <row r="529" spans="1:9" ht="15" hidden="1" x14ac:dyDescent="0.25">
      <c r="A529" s="96"/>
      <c r="B529" s="96"/>
      <c r="C529" s="96"/>
      <c r="D529" s="96"/>
      <c r="E529" s="96"/>
      <c r="F529" s="96"/>
      <c r="G529" s="96"/>
      <c r="H529" s="96"/>
      <c r="I529" s="96"/>
    </row>
    <row r="530" spans="1:9" ht="15" hidden="1" x14ac:dyDescent="0.25">
      <c r="A530" s="96"/>
      <c r="B530" s="96"/>
      <c r="C530" s="96"/>
      <c r="D530" s="96"/>
      <c r="E530" s="96"/>
      <c r="F530" s="96"/>
      <c r="G530" s="96"/>
      <c r="H530" s="96"/>
      <c r="I530" s="96"/>
    </row>
    <row r="531" spans="1:9" ht="15" hidden="1" x14ac:dyDescent="0.25">
      <c r="A531" s="96"/>
      <c r="B531" s="96"/>
      <c r="C531" s="96"/>
      <c r="D531" s="96"/>
      <c r="E531" s="96"/>
      <c r="F531" s="96"/>
      <c r="G531" s="96"/>
      <c r="H531" s="96"/>
      <c r="I531" s="96"/>
    </row>
    <row r="532" spans="1:9" ht="15" hidden="1" x14ac:dyDescent="0.25">
      <c r="A532" s="96"/>
      <c r="B532" s="96"/>
      <c r="C532" s="96"/>
      <c r="D532" s="96"/>
      <c r="E532" s="96"/>
      <c r="F532" s="96"/>
      <c r="G532" s="96"/>
      <c r="H532" s="96"/>
      <c r="I532" s="96"/>
    </row>
    <row r="533" spans="1:9" ht="15" hidden="1" x14ac:dyDescent="0.25">
      <c r="A533" s="96"/>
      <c r="B533" s="96"/>
      <c r="C533" s="96"/>
      <c r="D533" s="96"/>
      <c r="E533" s="96"/>
      <c r="F533" s="96"/>
      <c r="G533" s="96"/>
      <c r="H533" s="96"/>
      <c r="I533" s="96"/>
    </row>
    <row r="534" spans="1:9" ht="15" hidden="1" x14ac:dyDescent="0.25">
      <c r="A534" s="96"/>
      <c r="B534" s="96"/>
      <c r="C534" s="96"/>
      <c r="D534" s="96"/>
      <c r="E534" s="96"/>
      <c r="F534" s="96"/>
      <c r="G534" s="96"/>
      <c r="H534" s="96"/>
      <c r="I534" s="96"/>
    </row>
    <row r="535" spans="1:9" ht="15" hidden="1" x14ac:dyDescent="0.25">
      <c r="A535" s="96"/>
      <c r="B535" s="96"/>
      <c r="C535" s="96"/>
      <c r="D535" s="96"/>
      <c r="E535" s="96"/>
      <c r="F535" s="96"/>
      <c r="G535" s="96"/>
      <c r="H535" s="96"/>
      <c r="I535" s="96"/>
    </row>
    <row r="536" spans="1:9" ht="15" hidden="1" x14ac:dyDescent="0.25">
      <c r="A536" s="96"/>
      <c r="B536" s="96"/>
      <c r="C536" s="96"/>
      <c r="D536" s="96"/>
      <c r="E536" s="96"/>
      <c r="F536" s="96"/>
      <c r="G536" s="96"/>
      <c r="H536" s="96"/>
      <c r="I536" s="96"/>
    </row>
    <row r="537" spans="1:9" ht="15" hidden="1" x14ac:dyDescent="0.25">
      <c r="A537" s="96"/>
      <c r="B537" s="96"/>
      <c r="C537" s="96"/>
      <c r="D537" s="96"/>
      <c r="E537" s="96"/>
      <c r="F537" s="96"/>
      <c r="G537" s="96"/>
      <c r="H537" s="96"/>
      <c r="I537" s="96"/>
    </row>
    <row r="538" spans="1:9" ht="15" hidden="1" x14ac:dyDescent="0.25">
      <c r="A538" s="96"/>
      <c r="B538" s="96"/>
      <c r="C538" s="96"/>
      <c r="D538" s="96"/>
      <c r="E538" s="96"/>
      <c r="F538" s="96"/>
      <c r="G538" s="96"/>
      <c r="H538" s="96"/>
      <c r="I538" s="96"/>
    </row>
    <row r="539" spans="1:9" ht="15" hidden="1" x14ac:dyDescent="0.25">
      <c r="A539" s="96"/>
      <c r="B539" s="96"/>
      <c r="C539" s="96"/>
      <c r="D539" s="96"/>
      <c r="E539" s="96"/>
      <c r="F539" s="96"/>
      <c r="G539" s="96"/>
      <c r="H539" s="96"/>
      <c r="I539" s="96"/>
    </row>
    <row r="540" spans="1:9" ht="15" hidden="1" x14ac:dyDescent="0.25">
      <c r="A540" s="96"/>
      <c r="B540" s="96"/>
      <c r="C540" s="96"/>
      <c r="D540" s="96"/>
      <c r="E540" s="96"/>
      <c r="F540" s="96"/>
      <c r="G540" s="96"/>
      <c r="H540" s="96"/>
      <c r="I540" s="96"/>
    </row>
    <row r="541" spans="1:9" ht="15" hidden="1" x14ac:dyDescent="0.25">
      <c r="A541" s="96">
        <f>Scott!A209</f>
        <v>0</v>
      </c>
      <c r="B541" s="96">
        <f>Scott!B209</f>
        <v>0</v>
      </c>
      <c r="C541" s="96">
        <f>Scott!C209</f>
        <v>0</v>
      </c>
      <c r="D541" s="96">
        <f>Scott!D209</f>
        <v>0</v>
      </c>
      <c r="E541" s="96">
        <f>Scott!E209</f>
        <v>0</v>
      </c>
      <c r="F541" s="96">
        <f>Scott!F209</f>
        <v>0</v>
      </c>
      <c r="G541" s="96">
        <f>Scott!G209</f>
        <v>0</v>
      </c>
      <c r="H541" s="96">
        <f>Scott!H209</f>
        <v>0</v>
      </c>
      <c r="I541" s="96">
        <f>Scott!I209</f>
        <v>0</v>
      </c>
    </row>
    <row r="542" spans="1:9" ht="15" hidden="1" x14ac:dyDescent="0.25">
      <c r="A542" s="96">
        <f>Scott!A210</f>
        <v>0</v>
      </c>
      <c r="B542" s="96">
        <f>Scott!B210</f>
        <v>0</v>
      </c>
      <c r="C542" s="96">
        <f>Scott!C210</f>
        <v>0</v>
      </c>
      <c r="D542" s="96">
        <f>Scott!D210</f>
        <v>0</v>
      </c>
      <c r="E542" s="96">
        <f>Scott!E210</f>
        <v>0</v>
      </c>
      <c r="F542" s="96">
        <f>Scott!F210</f>
        <v>0</v>
      </c>
      <c r="G542" s="96">
        <f>Scott!G210</f>
        <v>0</v>
      </c>
      <c r="H542" s="96">
        <f>Scott!H210</f>
        <v>0</v>
      </c>
      <c r="I542" s="96">
        <f>Scott!I210</f>
        <v>0</v>
      </c>
    </row>
    <row r="543" spans="1:9" ht="15" hidden="1" x14ac:dyDescent="0.25">
      <c r="A543" s="96">
        <f>Scott!A211</f>
        <v>0</v>
      </c>
      <c r="B543" s="96">
        <f>Scott!B211</f>
        <v>0</v>
      </c>
      <c r="C543" s="96">
        <f>Scott!C211</f>
        <v>0</v>
      </c>
      <c r="D543" s="96">
        <f>Scott!D211</f>
        <v>0</v>
      </c>
      <c r="E543" s="96">
        <f>Scott!E211</f>
        <v>0</v>
      </c>
      <c r="F543" s="96">
        <f>Scott!F211</f>
        <v>0</v>
      </c>
      <c r="G543" s="96">
        <f>Scott!G211</f>
        <v>0</v>
      </c>
      <c r="H543" s="96">
        <f>Scott!H211</f>
        <v>0</v>
      </c>
      <c r="I543" s="96">
        <f>Scott!I211</f>
        <v>0</v>
      </c>
    </row>
    <row r="544" spans="1:9" ht="15" hidden="1" x14ac:dyDescent="0.25">
      <c r="A544" s="96">
        <f>Scott!A212</f>
        <v>0</v>
      </c>
      <c r="B544" s="96">
        <f>Scott!B212</f>
        <v>0</v>
      </c>
      <c r="C544" s="96">
        <f>Scott!C212</f>
        <v>0</v>
      </c>
      <c r="D544" s="96">
        <f>Scott!D212</f>
        <v>0</v>
      </c>
      <c r="E544" s="96">
        <f>Scott!E212</f>
        <v>0</v>
      </c>
      <c r="F544" s="96">
        <f>Scott!F212</f>
        <v>0</v>
      </c>
      <c r="G544" s="96">
        <f>Scott!G212</f>
        <v>0</v>
      </c>
      <c r="H544" s="96">
        <f>Scott!H212</f>
        <v>0</v>
      </c>
      <c r="I544" s="96">
        <f>Scott!I212</f>
        <v>0</v>
      </c>
    </row>
    <row r="545" spans="1:9" ht="15" hidden="1" x14ac:dyDescent="0.25">
      <c r="A545" s="96">
        <f>Scott!A213</f>
        <v>0</v>
      </c>
      <c r="B545" s="96">
        <f>Scott!B213</f>
        <v>0</v>
      </c>
      <c r="C545" s="96">
        <f>Scott!C213</f>
        <v>0</v>
      </c>
      <c r="D545" s="96">
        <f>Scott!D213</f>
        <v>0</v>
      </c>
      <c r="E545" s="96">
        <f>Scott!E213</f>
        <v>0</v>
      </c>
      <c r="F545" s="96">
        <f>Scott!F213</f>
        <v>0</v>
      </c>
      <c r="G545" s="96">
        <f>Scott!G213</f>
        <v>0</v>
      </c>
      <c r="H545" s="96">
        <f>Scott!H213</f>
        <v>0</v>
      </c>
      <c r="I545" s="96">
        <f>Scott!I213</f>
        <v>0</v>
      </c>
    </row>
  </sheetData>
  <autoFilter ref="A3:I545" xr:uid="{F7F44E2F-0633-42B7-8978-CE6606F45AA2}">
    <filterColumn colId="5">
      <customFilters>
        <customFilter operator="notEqual" val=" "/>
      </customFilters>
    </filterColumn>
    <sortState xmlns:xlrd2="http://schemas.microsoft.com/office/spreadsheetml/2017/richdata2" ref="A5:I257">
      <sortCondition ref="B3:B545"/>
    </sortState>
  </autoFilter>
  <mergeCells count="1">
    <mergeCell ref="A1:I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CE54-98D6-4475-AD15-D3EE4F674097}">
  <sheetPr codeName="Sheet6"/>
  <dimension ref="A1:H291"/>
  <sheetViews>
    <sheetView showZeros="0" workbookViewId="0">
      <pane ySplit="3" topLeftCell="A4" activePane="bottomLeft" state="frozen"/>
      <selection pane="bottomLeft" activeCell="C21" sqref="C21"/>
    </sheetView>
  </sheetViews>
  <sheetFormatPr defaultRowHeight="13.5" x14ac:dyDescent="0.25"/>
  <cols>
    <col min="1" max="1" width="44.140625" style="74" bestFit="1" customWidth="1"/>
    <col min="2" max="2" width="12.28515625" style="74" bestFit="1" customWidth="1"/>
    <col min="3" max="3" width="9" style="74" bestFit="1" customWidth="1"/>
    <col min="4" max="4" width="11.140625" style="74" bestFit="1" customWidth="1"/>
    <col min="5" max="5" width="21.28515625" style="74" bestFit="1" customWidth="1"/>
    <col min="6" max="6" width="10" style="74" bestFit="1" customWidth="1"/>
    <col min="7" max="7" width="51" style="74" bestFit="1" customWidth="1"/>
    <col min="8" max="8" width="42.85546875" style="74" bestFit="1" customWidth="1"/>
    <col min="9" max="16384" width="9.140625" style="74"/>
  </cols>
  <sheetData>
    <row r="1" spans="1:8" x14ac:dyDescent="0.25">
      <c r="A1" s="98"/>
      <c r="B1" s="98"/>
      <c r="C1" s="98"/>
      <c r="D1" s="98"/>
      <c r="E1" s="98"/>
      <c r="F1" s="98"/>
      <c r="G1" s="98"/>
      <c r="H1" s="103"/>
    </row>
    <row r="2" spans="1:8" ht="14.25" thickBot="1" x14ac:dyDescent="0.3">
      <c r="A2" s="104"/>
      <c r="B2" s="104"/>
      <c r="C2" s="104"/>
      <c r="D2" s="104"/>
      <c r="E2" s="104"/>
      <c r="F2" s="104"/>
      <c r="G2" s="104"/>
      <c r="H2" s="105"/>
    </row>
    <row r="3" spans="1:8" x14ac:dyDescent="0.25">
      <c r="A3" s="58" t="s">
        <v>99</v>
      </c>
      <c r="B3" s="58" t="s">
        <v>3</v>
      </c>
      <c r="C3" s="58" t="s">
        <v>4</v>
      </c>
      <c r="D3" s="58" t="s">
        <v>5</v>
      </c>
      <c r="E3" s="58" t="s">
        <v>100</v>
      </c>
      <c r="F3" s="58" t="s">
        <v>6</v>
      </c>
      <c r="G3" s="59" t="s">
        <v>101</v>
      </c>
      <c r="H3" s="60" t="s">
        <v>7</v>
      </c>
    </row>
    <row r="4" spans="1:8" x14ac:dyDescent="0.25">
      <c r="A4" s="74" t="str">
        <f>'Cmb Dev'!B4</f>
        <v>Advanced Signal Processing Toolkit</v>
      </c>
      <c r="B4" s="74" t="str">
        <f>'Cmb Dev'!C4</f>
        <v>15.0.0</v>
      </c>
      <c r="C4" s="74" t="str">
        <f>'Cmb Dev'!D4</f>
        <v>32</v>
      </c>
      <c r="D4" s="74" t="str">
        <f>'Cmb Dev'!E4</f>
        <v>2015</v>
      </c>
      <c r="E4" s="74" t="str">
        <f>'Cmb Dev'!F4</f>
        <v>Development</v>
      </c>
      <c r="F4" s="74" t="str">
        <f>'Cmb Dev'!G4</f>
        <v>NI</v>
      </c>
      <c r="G4" s="74" t="str">
        <f>'Cmb Dev'!H4</f>
        <v>Advanced Signal Processing Toolkit 15.0.0</v>
      </c>
      <c r="H4" s="74" t="str">
        <f>'Cmb Dev'!I4</f>
        <v>NI Developer Suite 2015 DS2 Install</v>
      </c>
    </row>
    <row r="5" spans="1:8" x14ac:dyDescent="0.25">
      <c r="A5" s="74" t="str">
        <f>'Cmb Dev'!B5</f>
        <v>C Series Module Support</v>
      </c>
      <c r="B5" s="74" t="str">
        <f>'Cmb Dev'!C5</f>
        <v>15.0.0</v>
      </c>
      <c r="C5" s="74" t="str">
        <f>'Cmb Dev'!D5</f>
        <v>32</v>
      </c>
      <c r="D5" s="74" t="str">
        <f>'Cmb Dev'!E5</f>
        <v>2015</v>
      </c>
      <c r="E5" s="74" t="str">
        <f>'Cmb Dev'!F5</f>
        <v>Development</v>
      </c>
      <c r="F5" s="74" t="str">
        <f>'Cmb Dev'!G5</f>
        <v>NI</v>
      </c>
      <c r="G5" s="74" t="str">
        <f>'Cmb Dev'!H5</f>
        <v>C Series Module Support 15.0.0</v>
      </c>
      <c r="H5" s="74" t="str">
        <f>'Cmb Dev'!I5</f>
        <v>NI Developer Suite 2015 DS2 Install</v>
      </c>
    </row>
    <row r="6" spans="1:8" x14ac:dyDescent="0.25">
      <c r="A6" s="74" t="str">
        <f>'Cmb Dev'!B6</f>
        <v>C Series Module Support</v>
      </c>
      <c r="B6" s="74" t="str">
        <f>'Cmb Dev'!C6</f>
        <v>18.1.0</v>
      </c>
      <c r="C6" s="74" t="str">
        <f>'Cmb Dev'!D6</f>
        <v>32</v>
      </c>
      <c r="D6" s="74" t="str">
        <f>'Cmb Dev'!E6</f>
        <v>2018</v>
      </c>
      <c r="E6" s="74" t="str">
        <f>'Cmb Dev'!F6</f>
        <v>Development</v>
      </c>
      <c r="F6" s="74" t="str">
        <f>'Cmb Dev'!G6</f>
        <v>NI</v>
      </c>
      <c r="G6" s="74" t="str">
        <f>'Cmb Dev'!H6</f>
        <v>C Series Module Support 18.1.0</v>
      </c>
      <c r="H6" s="74" t="str">
        <f>'Cmb Dev'!I6</f>
        <v>CompactRIO 18.1.0</v>
      </c>
    </row>
    <row r="7" spans="1:8" x14ac:dyDescent="0.25">
      <c r="A7" s="74" t="str">
        <f>'Cmb Dev'!B7</f>
        <v>C Series Module Support</v>
      </c>
      <c r="B7" s="74" t="str">
        <f>'Cmb Dev'!C7</f>
        <v>15.5.0</v>
      </c>
      <c r="C7" s="74" t="str">
        <f>'Cmb Dev'!D7</f>
        <v>32</v>
      </c>
      <c r="D7" s="74">
        <f>'Cmb Dev'!E7</f>
        <v>2015</v>
      </c>
      <c r="E7" s="74" t="str">
        <f>'Cmb Dev'!F7</f>
        <v>Development</v>
      </c>
      <c r="F7" s="74" t="str">
        <f>'Cmb Dev'!G7</f>
        <v>NI</v>
      </c>
      <c r="G7" s="74" t="str">
        <f>'Cmb Dev'!H7</f>
        <v>C Series Module Support 15.5.0</v>
      </c>
      <c r="H7" s="74">
        <f>'Cmb Dev'!I7</f>
        <v>0</v>
      </c>
    </row>
    <row r="8" spans="1:8" x14ac:dyDescent="0.25">
      <c r="A8" s="74" t="str">
        <f>'Cmb Dev'!B8</f>
        <v>Caraya Unit Test Framework</v>
      </c>
      <c r="B8" s="74" t="str">
        <f>'Cmb Dev'!C8</f>
        <v>0.6.3.54</v>
      </c>
      <c r="C8" s="74" t="str">
        <f>'Cmb Dev'!D8</f>
        <v>32</v>
      </c>
      <c r="D8" s="74" t="str">
        <f>'Cmb Dev'!E8</f>
        <v>N/A</v>
      </c>
      <c r="E8" s="74" t="str">
        <f>'Cmb Dev'!F8</f>
        <v>Development</v>
      </c>
      <c r="F8" s="74" t="str">
        <f>'Cmb Dev'!G8</f>
        <v>JKI</v>
      </c>
      <c r="G8" s="74" t="str">
        <f>'Cmb Dev'!H8</f>
        <v>Caraya Unit Test Framework 0.6.3.54</v>
      </c>
      <c r="H8" s="74" t="str">
        <f>'Cmb Dev'!I8</f>
        <v>VIPM Community</v>
      </c>
    </row>
    <row r="9" spans="1:8" x14ac:dyDescent="0.25">
      <c r="A9" s="74" t="str">
        <f>'Cmb Dev'!B9</f>
        <v>CompactRIO</v>
      </c>
      <c r="B9" s="74" t="str">
        <f>'Cmb Dev'!C9</f>
        <v>15.0.0</v>
      </c>
      <c r="C9" s="74" t="str">
        <f>'Cmb Dev'!D9</f>
        <v>32</v>
      </c>
      <c r="D9" s="74" t="str">
        <f>'Cmb Dev'!E9</f>
        <v>2015</v>
      </c>
      <c r="E9" s="74" t="str">
        <f>'Cmb Dev'!F9</f>
        <v>Development</v>
      </c>
      <c r="F9" s="74" t="str">
        <f>'Cmb Dev'!G9</f>
        <v>NI</v>
      </c>
      <c r="G9" s="74" t="str">
        <f>'Cmb Dev'!H9</f>
        <v>CompactRIO 15.0.0</v>
      </c>
      <c r="H9" s="74" t="str">
        <f>'Cmb Dev'!I9</f>
        <v>NI Developer Suite 2015 DS2 Install</v>
      </c>
    </row>
    <row r="10" spans="1:8" x14ac:dyDescent="0.25">
      <c r="A10" s="74" t="str">
        <f>'Cmb Dev'!B10</f>
        <v>CompactRIO</v>
      </c>
      <c r="B10" s="74" t="str">
        <f>'Cmb Dev'!C10</f>
        <v>15.5.0</v>
      </c>
      <c r="C10" s="74" t="str">
        <f>'Cmb Dev'!D10</f>
        <v>32</v>
      </c>
      <c r="D10" s="74">
        <f>'Cmb Dev'!E10</f>
        <v>2015</v>
      </c>
      <c r="E10" s="74" t="str">
        <f>'Cmb Dev'!F10</f>
        <v>Development</v>
      </c>
      <c r="F10" s="74" t="str">
        <f>'Cmb Dev'!G10</f>
        <v>NI</v>
      </c>
      <c r="G10" s="74" t="str">
        <f>'Cmb Dev'!H10</f>
        <v>CompactRIO 15.5.0</v>
      </c>
      <c r="H10" s="74">
        <f>'Cmb Dev'!I10</f>
        <v>0</v>
      </c>
    </row>
    <row r="11" spans="1:8" x14ac:dyDescent="0.25">
      <c r="A11" s="74" t="str">
        <f>'Cmb Dev'!B11</f>
        <v>CompactRIO</v>
      </c>
      <c r="B11" s="74" t="str">
        <f>'Cmb Dev'!C11</f>
        <v>18.1.0</v>
      </c>
      <c r="C11" s="74" t="str">
        <f>'Cmb Dev'!D11</f>
        <v>32</v>
      </c>
      <c r="D11" s="74" t="str">
        <f>'Cmb Dev'!E11</f>
        <v>2018</v>
      </c>
      <c r="E11" s="74" t="str">
        <f>'Cmb Dev'!F11</f>
        <v>Development</v>
      </c>
      <c r="F11" s="74" t="str">
        <f>'Cmb Dev'!G11</f>
        <v>NI</v>
      </c>
      <c r="G11" s="74" t="str">
        <f>'Cmb Dev'!H11</f>
        <v>CompactRIO 18.1.0</v>
      </c>
      <c r="H11" s="74" t="str">
        <f>'Cmb Dev'!I11</f>
        <v>CompactRIO 18.1.0</v>
      </c>
    </row>
    <row r="12" spans="1:8" x14ac:dyDescent="0.25">
      <c r="A12" s="74" t="str">
        <f>'Cmb Run'!B4</f>
        <v>CVI</v>
      </c>
      <c r="B12" s="74" t="str">
        <f>'Cmb Run'!C4</f>
        <v>15.0.0.408</v>
      </c>
      <c r="C12" s="74" t="str">
        <f>'Cmb Run'!D4</f>
        <v>32</v>
      </c>
      <c r="D12" s="74" t="str">
        <f>'Cmb Run'!E4</f>
        <v>2015</v>
      </c>
      <c r="E12" s="74" t="str">
        <f>'Cmb Run'!F4</f>
        <v>Runtime</v>
      </c>
      <c r="F12" s="74" t="str">
        <f>'Cmb Run'!G4</f>
        <v>NI</v>
      </c>
      <c r="G12" s="74" t="str">
        <f>'Cmb Run'!H4</f>
        <v>CVI 15.0.0.408</v>
      </c>
      <c r="H12" s="74" t="str">
        <f>'Cmb Run'!I4</f>
        <v>LabVIEW 2015 SP1</v>
      </c>
    </row>
    <row r="13" spans="1:8" x14ac:dyDescent="0.25">
      <c r="A13" s="74" t="str">
        <f>'Cmb Dev'!B12</f>
        <v>CVI</v>
      </c>
      <c r="B13" s="74" t="str">
        <f>'Cmb Dev'!C12</f>
        <v>15.0.0</v>
      </c>
      <c r="C13" s="74">
        <f>'Cmb Dev'!D12</f>
        <v>32</v>
      </c>
      <c r="D13" s="74">
        <f>'Cmb Dev'!E12</f>
        <v>2015</v>
      </c>
      <c r="E13" s="74" t="str">
        <f>'Cmb Dev'!F12</f>
        <v>Development</v>
      </c>
      <c r="F13" s="74" t="str">
        <f>'Cmb Dev'!G12</f>
        <v>NI</v>
      </c>
      <c r="G13" s="74" t="str">
        <f>'Cmb Dev'!H12</f>
        <v>CVI 15.0.0</v>
      </c>
      <c r="H13" s="74" t="str">
        <f>'Cmb Dev'!I12</f>
        <v>NI Developer Suite 2015 DS2 Install</v>
      </c>
    </row>
    <row r="14" spans="1:8" x14ac:dyDescent="0.25">
      <c r="A14" s="74" t="str">
        <f>'Cmb Run'!B5</f>
        <v>CVI</v>
      </c>
      <c r="B14" s="74" t="str">
        <f>'Cmb Run'!C5</f>
        <v>19.0.0.49154</v>
      </c>
      <c r="C14" s="74" t="str">
        <f>'Cmb Run'!D5</f>
        <v>32</v>
      </c>
      <c r="D14" s="74" t="str">
        <f>'Cmb Run'!E5</f>
        <v>2019</v>
      </c>
      <c r="E14" s="74" t="str">
        <f>'Cmb Run'!F5</f>
        <v>Runtime</v>
      </c>
      <c r="F14" s="74" t="str">
        <f>'Cmb Run'!G5</f>
        <v>NI</v>
      </c>
      <c r="G14" s="74" t="str">
        <f>'Cmb Run'!H5</f>
        <v>CVI 19.0.0.49154</v>
      </c>
      <c r="H14" s="74">
        <f>'Cmb Run'!I5</f>
        <v>0</v>
      </c>
    </row>
    <row r="15" spans="1:8" x14ac:dyDescent="0.25">
      <c r="A15" s="74" t="str">
        <f>'Cmb Dev'!B13</f>
        <v>CVI AddOns</v>
      </c>
      <c r="B15" s="74">
        <f>'Cmb Dev'!C13</f>
        <v>0</v>
      </c>
      <c r="C15" s="74">
        <f>'Cmb Dev'!D13</f>
        <v>32</v>
      </c>
      <c r="D15" s="74">
        <f>'Cmb Dev'!E13</f>
        <v>2015</v>
      </c>
      <c r="E15" s="74" t="str">
        <f>'Cmb Dev'!F13</f>
        <v>Development</v>
      </c>
      <c r="F15" s="74" t="str">
        <f>'Cmb Dev'!G13</f>
        <v>NI</v>
      </c>
      <c r="G15" s="74" t="str">
        <f>'Cmb Dev'!H13</f>
        <v xml:space="preserve">CVI AddOns </v>
      </c>
      <c r="H15" s="74" t="str">
        <f>'Cmb Dev'!I13</f>
        <v>NI Developer Suite 2015 DS2 Install</v>
      </c>
    </row>
    <row r="16" spans="1:8" x14ac:dyDescent="0.25">
      <c r="A16" s="74" t="str">
        <f>'Cmb Dev'!B14</f>
        <v>Database Connectivity Toolkit</v>
      </c>
      <c r="B16" s="74" t="str">
        <f>'Cmb Dev'!C14</f>
        <v>15.0.0</v>
      </c>
      <c r="C16" s="74" t="str">
        <f>'Cmb Dev'!D14</f>
        <v>32</v>
      </c>
      <c r="D16" s="74" t="str">
        <f>'Cmb Dev'!E14</f>
        <v>2015</v>
      </c>
      <c r="E16" s="74" t="str">
        <f>'Cmb Dev'!F14</f>
        <v>Development</v>
      </c>
      <c r="F16" s="74" t="str">
        <f>'Cmb Dev'!G14</f>
        <v>NI</v>
      </c>
      <c r="G16" s="74" t="str">
        <f>'Cmb Dev'!H14</f>
        <v>Database Connectivity Toolkit 15.0.0</v>
      </c>
      <c r="H16" s="74" t="str">
        <f>'Cmb Dev'!I14</f>
        <v>NI Developer Suite 2015 DS2 Install</v>
      </c>
    </row>
    <row r="17" spans="1:8" x14ac:dyDescent="0.25">
      <c r="A17" s="74" t="str">
        <f>'Cmb Dev'!B15</f>
        <v>DataFinder Toolkit</v>
      </c>
      <c r="B17" s="74" t="str">
        <f>'Cmb Dev'!C15</f>
        <v>15.0.06020</v>
      </c>
      <c r="C17" s="74" t="str">
        <f>'Cmb Dev'!D15</f>
        <v>32</v>
      </c>
      <c r="D17" s="74" t="str">
        <f>'Cmb Dev'!E15</f>
        <v>2015</v>
      </c>
      <c r="E17" s="74" t="str">
        <f>'Cmb Dev'!F15</f>
        <v>Development</v>
      </c>
      <c r="F17" s="74" t="str">
        <f>'Cmb Dev'!G15</f>
        <v>NI</v>
      </c>
      <c r="G17" s="74" t="str">
        <f>'Cmb Dev'!H15</f>
        <v>DataFinder Toolkit 15.0.06020</v>
      </c>
      <c r="H17" s="74" t="str">
        <f>'Cmb Dev'!I15</f>
        <v>NI Developer Suite 2015 DS2 Install</v>
      </c>
    </row>
    <row r="18" spans="1:8" x14ac:dyDescent="0.25">
      <c r="A18" s="74" t="str">
        <f>'Cmb Dev'!B16</f>
        <v>Delacor QMH</v>
      </c>
      <c r="B18" s="74" t="str">
        <f>'Cmb Dev'!C16</f>
        <v>4.0.0.28</v>
      </c>
      <c r="C18" s="74" t="str">
        <f>'Cmb Dev'!D16</f>
        <v>32</v>
      </c>
      <c r="D18" s="74" t="str">
        <f>'Cmb Dev'!E16</f>
        <v>N/A</v>
      </c>
      <c r="E18" s="74" t="str">
        <f>'Cmb Dev'!F16</f>
        <v>Development</v>
      </c>
      <c r="F18" s="74" t="str">
        <f>'Cmb Dev'!G16</f>
        <v>DQMH Consortium</v>
      </c>
      <c r="G18" s="74" t="str">
        <f>'Cmb Dev'!H16</f>
        <v>Delacor QMH 4.0.0.28</v>
      </c>
      <c r="H18" s="74" t="str">
        <f>'Cmb Dev'!I16</f>
        <v>VIPM Community</v>
      </c>
    </row>
    <row r="19" spans="1:8" x14ac:dyDescent="0.25">
      <c r="A19" s="74" t="str">
        <f>'Cmb Dev'!B17</f>
        <v>Delacor QMH Event Scripter</v>
      </c>
      <c r="B19" s="74" t="str">
        <f>'Cmb Dev'!C17</f>
        <v>4.0.0.68</v>
      </c>
      <c r="C19" s="74" t="str">
        <f>'Cmb Dev'!D17</f>
        <v>32</v>
      </c>
      <c r="D19" s="74" t="str">
        <f>'Cmb Dev'!E17</f>
        <v>N/A</v>
      </c>
      <c r="E19" s="74" t="str">
        <f>'Cmb Dev'!F17</f>
        <v>Development</v>
      </c>
      <c r="F19" s="74" t="str">
        <f>'Cmb Dev'!G17</f>
        <v>DQMH Consortium</v>
      </c>
      <c r="G19" s="74" t="str">
        <f>'Cmb Dev'!H17</f>
        <v>Delacor QMH Event Scripter 4.0.0.68</v>
      </c>
      <c r="H19" s="74" t="str">
        <f>'Cmb Dev'!I17</f>
        <v>VIPM Community</v>
      </c>
    </row>
    <row r="20" spans="1:8" x14ac:dyDescent="0.25">
      <c r="A20" s="74" t="str">
        <f>'Cmb Dev'!B18</f>
        <v>Delacor QMH Palette</v>
      </c>
      <c r="B20" s="74" t="str">
        <f>'Cmb Dev'!C18</f>
        <v>3.0.0.1</v>
      </c>
      <c r="C20" s="74" t="str">
        <f>'Cmb Dev'!D18</f>
        <v>32</v>
      </c>
      <c r="D20" s="74" t="str">
        <f>'Cmb Dev'!E18</f>
        <v>N/A</v>
      </c>
      <c r="E20" s="74" t="str">
        <f>'Cmb Dev'!F18</f>
        <v>Development</v>
      </c>
      <c r="F20" s="74" t="str">
        <f>'Cmb Dev'!G18</f>
        <v>DQMH Consortium</v>
      </c>
      <c r="G20" s="74" t="str">
        <f>'Cmb Dev'!H18</f>
        <v>Delacor QMH Palette 3.0.0.1</v>
      </c>
      <c r="H20" s="74" t="str">
        <f>'Cmb Dev'!I18</f>
        <v>VIPM Community</v>
      </c>
    </row>
    <row r="21" spans="1:8" x14ac:dyDescent="0.25">
      <c r="A21" s="74" t="str">
        <f>'Cmb Dev'!B19</f>
        <v>Delacor QMH Project Template</v>
      </c>
      <c r="B21" s="74" t="str">
        <f>'Cmb Dev'!C19</f>
        <v>4.0.0.47</v>
      </c>
      <c r="C21" s="74" t="str">
        <f>'Cmb Dev'!D19</f>
        <v>32</v>
      </c>
      <c r="D21" s="74" t="str">
        <f>'Cmb Dev'!E19</f>
        <v>N/A</v>
      </c>
      <c r="E21" s="74" t="str">
        <f>'Cmb Dev'!F19</f>
        <v>Development</v>
      </c>
      <c r="F21" s="74" t="str">
        <f>'Cmb Dev'!G19</f>
        <v>DQMH Consortium</v>
      </c>
      <c r="G21" s="74" t="str">
        <f>'Cmb Dev'!H19</f>
        <v>Delacor QMH Project Template 4.0.0.47</v>
      </c>
      <c r="H21" s="74" t="str">
        <f>'Cmb Dev'!I19</f>
        <v>VIPM Community</v>
      </c>
    </row>
    <row r="22" spans="1:8" x14ac:dyDescent="0.25">
      <c r="A22" s="74" t="str">
        <f>'Cmb Dev'!B20</f>
        <v>Delacor QMH Thermal Chamber Examples</v>
      </c>
      <c r="B22" s="74" t="str">
        <f>'Cmb Dev'!C20</f>
        <v>4.0.0.21</v>
      </c>
      <c r="C22" s="74" t="str">
        <f>'Cmb Dev'!D20</f>
        <v>32</v>
      </c>
      <c r="D22" s="74" t="str">
        <f>'Cmb Dev'!E20</f>
        <v>N/A</v>
      </c>
      <c r="E22" s="74" t="str">
        <f>'Cmb Dev'!F20</f>
        <v>Development</v>
      </c>
      <c r="F22" s="74" t="str">
        <f>'Cmb Dev'!G20</f>
        <v>DQMH Consortium</v>
      </c>
      <c r="G22" s="74" t="str">
        <f>'Cmb Dev'!H20</f>
        <v>Delacor QMH Thermal Chamber Examples 4.0.0.21</v>
      </c>
      <c r="H22" s="74" t="str">
        <f>'Cmb Dev'!I20</f>
        <v>VIPM Community</v>
      </c>
    </row>
    <row r="23" spans="1:8" x14ac:dyDescent="0.25">
      <c r="A23" s="74" t="str">
        <f>'Cmb Dev'!B21</f>
        <v>Digital Filter Design Toolkit</v>
      </c>
      <c r="B23" s="74" t="str">
        <f>'Cmb Dev'!C21</f>
        <v>15.0.0</v>
      </c>
      <c r="C23" s="74" t="str">
        <f>'Cmb Dev'!D21</f>
        <v>32</v>
      </c>
      <c r="D23" s="74" t="str">
        <f>'Cmb Dev'!E21</f>
        <v>2015</v>
      </c>
      <c r="E23" s="74" t="str">
        <f>'Cmb Dev'!F21</f>
        <v>Development</v>
      </c>
      <c r="F23" s="74" t="str">
        <f>'Cmb Dev'!G21</f>
        <v>NI</v>
      </c>
      <c r="G23" s="74" t="str">
        <f>'Cmb Dev'!H21</f>
        <v>Digital Filter Design Toolkit 15.0.0</v>
      </c>
      <c r="H23" s="74" t="str">
        <f>'Cmb Dev'!I21</f>
        <v>NI Developer Suite 2015 DS2 Install</v>
      </c>
    </row>
    <row r="24" spans="1:8" x14ac:dyDescent="0.25">
      <c r="A24" s="74" t="str">
        <f>'Cmb Dev'!B22</f>
        <v>DMC UX Toolkit</v>
      </c>
      <c r="B24" s="74" t="str">
        <f>'Cmb Dev'!C22</f>
        <v>1.0.0.2</v>
      </c>
      <c r="C24" s="74" t="str">
        <f>'Cmb Dev'!D22</f>
        <v>32</v>
      </c>
      <c r="D24" s="74" t="str">
        <f>'Cmb Dev'!E22</f>
        <v>N/A</v>
      </c>
      <c r="E24" s="74" t="str">
        <f>'Cmb Dev'!F22</f>
        <v>Development</v>
      </c>
      <c r="F24" s="74" t="str">
        <f>'Cmb Dev'!G22</f>
        <v>DMC</v>
      </c>
      <c r="G24" s="74" t="str">
        <f>'Cmb Dev'!H22</f>
        <v>DMC UX Toolkit 1.0.0.2</v>
      </c>
      <c r="H24" s="74" t="str">
        <f>'Cmb Dev'!I22</f>
        <v>VIPM Community</v>
      </c>
    </row>
    <row r="25" spans="1:8" x14ac:dyDescent="0.25">
      <c r="A25" s="74" t="str">
        <f>'Cmb Dev'!B23</f>
        <v>FieldPoint</v>
      </c>
      <c r="B25" s="74">
        <f>'Cmb Dev'!C23</f>
        <v>15</v>
      </c>
      <c r="C25" s="74" t="str">
        <f>'Cmb Dev'!D23</f>
        <v>32</v>
      </c>
      <c r="D25" s="74" t="str">
        <f>'Cmb Dev'!E23</f>
        <v>2015</v>
      </c>
      <c r="E25" s="74" t="str">
        <f>'Cmb Dev'!F23</f>
        <v>Development</v>
      </c>
      <c r="F25" s="74" t="str">
        <f>'Cmb Dev'!G23</f>
        <v>NI</v>
      </c>
      <c r="G25" s="74" t="str">
        <f>'Cmb Dev'!H23</f>
        <v>FieldPoint 15</v>
      </c>
      <c r="H25" s="74">
        <f>'Cmb Dev'!I23</f>
        <v>0</v>
      </c>
    </row>
    <row r="26" spans="1:8" x14ac:dyDescent="0.25">
      <c r="A26" s="74" t="str">
        <f>'Cmb Dev'!B24</f>
        <v>FlexRIO</v>
      </c>
      <c r="B26" s="74" t="str">
        <f>'Cmb Dev'!C24</f>
        <v xml:space="preserve">15.0.0f0 </v>
      </c>
      <c r="C26" s="74" t="str">
        <f>'Cmb Dev'!D24</f>
        <v>32</v>
      </c>
      <c r="D26" s="74" t="str">
        <f>'Cmb Dev'!E24</f>
        <v>2015</v>
      </c>
      <c r="E26" s="74" t="str">
        <f>'Cmb Dev'!F24</f>
        <v>Development</v>
      </c>
      <c r="F26" s="74" t="str">
        <f>'Cmb Dev'!G24</f>
        <v>NI</v>
      </c>
      <c r="G26" s="74" t="str">
        <f>'Cmb Dev'!H24</f>
        <v xml:space="preserve">FlexRIO 15.0.0f0 </v>
      </c>
      <c r="H26" s="74" t="str">
        <f>'Cmb Dev'!I24</f>
        <v>NI Developer Suite 2015 DS2 Install</v>
      </c>
    </row>
    <row r="27" spans="1:8" x14ac:dyDescent="0.25">
      <c r="A27" s="74" t="str">
        <f>'Cmb Dev'!B25</f>
        <v>FlexRIO</v>
      </c>
      <c r="B27" s="74" t="str">
        <f>'Cmb Dev'!C25</f>
        <v>15.0.0f0</v>
      </c>
      <c r="C27" s="74" t="str">
        <f>'Cmb Dev'!D25</f>
        <v>32</v>
      </c>
      <c r="D27" s="74" t="str">
        <f>'Cmb Dev'!E25</f>
        <v>2015</v>
      </c>
      <c r="E27" s="74" t="str">
        <f>'Cmb Dev'!F25</f>
        <v>Development</v>
      </c>
      <c r="F27" s="74" t="str">
        <f>'Cmb Dev'!G25</f>
        <v>NI</v>
      </c>
      <c r="G27" s="74" t="str">
        <f>'Cmb Dev'!H25</f>
        <v>FlexRIO 15.0.0f0</v>
      </c>
      <c r="H27" s="74" t="str">
        <f>'Cmb Dev'!I25</f>
        <v>NI Developer Suite 2015 DS2 Install</v>
      </c>
    </row>
    <row r="28" spans="1:8" x14ac:dyDescent="0.25">
      <c r="A28" s="74" t="str">
        <f>'Cmb Dev'!B26</f>
        <v>FlexRIO</v>
      </c>
      <c r="B28" s="74" t="str">
        <f>'Cmb Dev'!C26</f>
        <v>15.5.0f0</v>
      </c>
      <c r="C28" s="74" t="str">
        <f>'Cmb Dev'!D26</f>
        <v>32</v>
      </c>
      <c r="D28" s="74">
        <f>'Cmb Dev'!E26</f>
        <v>2015</v>
      </c>
      <c r="E28" s="74" t="str">
        <f>'Cmb Dev'!F26</f>
        <v>Development</v>
      </c>
      <c r="F28" s="74" t="str">
        <f>'Cmb Dev'!G26</f>
        <v>NI</v>
      </c>
      <c r="G28" s="74" t="str">
        <f>'Cmb Dev'!H26</f>
        <v>FlexRIO 15.5.0f0</v>
      </c>
      <c r="H28" s="74">
        <f>'Cmb Dev'!I26</f>
        <v>0</v>
      </c>
    </row>
    <row r="29" spans="1:8" x14ac:dyDescent="0.25">
      <c r="A29" s="74" t="str">
        <f>'Cmb Dev'!B27</f>
        <v>FPGA</v>
      </c>
      <c r="B29" s="74" t="str">
        <f>'Cmb Dev'!C27</f>
        <v>15.0.1</v>
      </c>
      <c r="C29" s="74" t="str">
        <f>'Cmb Dev'!D27</f>
        <v>32</v>
      </c>
      <c r="D29" s="74">
        <f>'Cmb Dev'!E27</f>
        <v>2015</v>
      </c>
      <c r="E29" s="74" t="str">
        <f>'Cmb Dev'!F27</f>
        <v>Development</v>
      </c>
      <c r="F29" s="74" t="str">
        <f>'Cmb Dev'!G27</f>
        <v>NI</v>
      </c>
      <c r="G29" s="74" t="str">
        <f>'Cmb Dev'!H27</f>
        <v>FPGA 15.0.1</v>
      </c>
      <c r="H29" s="74">
        <f>'Cmb Dev'!I27</f>
        <v>0</v>
      </c>
    </row>
    <row r="30" spans="1:8" x14ac:dyDescent="0.25">
      <c r="A30" s="74" t="str">
        <f>'Cmb Dev'!B28</f>
        <v>GigE Vision Driver</v>
      </c>
      <c r="B30" s="74" t="str">
        <f>'Cmb Dev'!C28</f>
        <v>1.9.3.49152</v>
      </c>
      <c r="C30" s="74" t="str">
        <f>'Cmb Dev'!D28</f>
        <v>32</v>
      </c>
      <c r="D30" s="74" t="str">
        <f>'Cmb Dev'!E28</f>
        <v>2019</v>
      </c>
      <c r="E30" s="74" t="str">
        <f>'Cmb Dev'!F28</f>
        <v>Development</v>
      </c>
      <c r="F30" s="74" t="str">
        <f>'Cmb Dev'!G28</f>
        <v>NI</v>
      </c>
      <c r="G30" s="74" t="str">
        <f>'Cmb Dev'!H28</f>
        <v>GigE Vision Driver 2019 1.9.3.49152</v>
      </c>
      <c r="H30" s="74" t="str">
        <f>'Cmb Dev'!I28</f>
        <v>LabVIEW 2019</v>
      </c>
    </row>
    <row r="31" spans="1:8" x14ac:dyDescent="0.25">
      <c r="A31" s="74" t="str">
        <f>'Cmb Dev'!B29</f>
        <v>GPower All Toolsets</v>
      </c>
      <c r="B31" s="74" t="str">
        <f>'Cmb Dev'!C29</f>
        <v>2017.0.0.11</v>
      </c>
      <c r="C31" s="74" t="str">
        <f>'Cmb Dev'!D29</f>
        <v>32</v>
      </c>
      <c r="D31" s="74" t="str">
        <f>'Cmb Dev'!E29</f>
        <v>N/A</v>
      </c>
      <c r="E31" s="74" t="str">
        <f>'Cmb Dev'!F29</f>
        <v>Development</v>
      </c>
      <c r="F31" s="74" t="str">
        <f>'Cmb Dev'!G29</f>
        <v>GPower</v>
      </c>
      <c r="G31" s="74" t="str">
        <f>'Cmb Dev'!H29</f>
        <v>GPower All Toolsets 2017.0.0.11</v>
      </c>
      <c r="H31" s="74" t="str">
        <f>'Cmb Dev'!I29</f>
        <v>VIPM Community</v>
      </c>
    </row>
    <row r="32" spans="1:8" x14ac:dyDescent="0.25">
      <c r="A32" s="74" t="str">
        <f>'Cmb Dev'!B30</f>
        <v>GPower Array</v>
      </c>
      <c r="B32" s="74" t="str">
        <f>'Cmb Dev'!C30</f>
        <v>2016.2.0.27</v>
      </c>
      <c r="C32" s="74" t="str">
        <f>'Cmb Dev'!D30</f>
        <v>32</v>
      </c>
      <c r="D32" s="74" t="str">
        <f>'Cmb Dev'!E30</f>
        <v>N/A</v>
      </c>
      <c r="E32" s="74" t="str">
        <f>'Cmb Dev'!F30</f>
        <v>Development</v>
      </c>
      <c r="F32" s="74" t="str">
        <f>'Cmb Dev'!G30</f>
        <v>GPower</v>
      </c>
      <c r="G32" s="74" t="str">
        <f>'Cmb Dev'!H30</f>
        <v>GPower Array 2016.2.0.27</v>
      </c>
      <c r="H32" s="74" t="str">
        <f>'Cmb Dev'!I30</f>
        <v>VIPM Community</v>
      </c>
    </row>
    <row r="33" spans="1:8" x14ac:dyDescent="0.25">
      <c r="A33" s="74" t="str">
        <f>'Cmb Dev'!B31</f>
        <v>Gpower Array Library</v>
      </c>
      <c r="B33" s="74" t="str">
        <f>'Cmb Dev'!C31</f>
        <v>2016.2.0.27</v>
      </c>
      <c r="C33" s="74" t="str">
        <f>'Cmb Dev'!D31</f>
        <v>32</v>
      </c>
      <c r="D33" s="74" t="str">
        <f>'Cmb Dev'!E31</f>
        <v>2016</v>
      </c>
      <c r="E33" s="74" t="str">
        <f>'Cmb Dev'!F31</f>
        <v>Development</v>
      </c>
      <c r="F33" s="74" t="str">
        <f>'Cmb Dev'!G31</f>
        <v>Gpower</v>
      </c>
      <c r="G33" s="74" t="str">
        <f>'Cmb Dev'!H31</f>
        <v>Gpower Array Library 2016.2.0.27</v>
      </c>
      <c r="H33" s="74" t="str">
        <f>'Cmb Dev'!I31</f>
        <v>VIPM Community</v>
      </c>
    </row>
    <row r="34" spans="1:8" x14ac:dyDescent="0.25">
      <c r="A34" s="74" t="str">
        <f>'Cmb Dev'!B32</f>
        <v>GPower Comparison</v>
      </c>
      <c r="B34" s="74" t="str">
        <f>'Cmb Dev'!C32</f>
        <v>2016.0.0.4</v>
      </c>
      <c r="C34" s="74" t="str">
        <f>'Cmb Dev'!D32</f>
        <v>32</v>
      </c>
      <c r="D34" s="74" t="str">
        <f>'Cmb Dev'!E32</f>
        <v>N/A</v>
      </c>
      <c r="E34" s="74" t="str">
        <f>'Cmb Dev'!F32</f>
        <v>Development</v>
      </c>
      <c r="F34" s="74" t="str">
        <f>'Cmb Dev'!G32</f>
        <v>GPower</v>
      </c>
      <c r="G34" s="74" t="str">
        <f>'Cmb Dev'!H32</f>
        <v>GPower Comparison 2016.0.0.4</v>
      </c>
      <c r="H34" s="74" t="str">
        <f>'Cmb Dev'!I32</f>
        <v>VIPM Community</v>
      </c>
    </row>
    <row r="35" spans="1:8" x14ac:dyDescent="0.25">
      <c r="A35" s="74" t="str">
        <f>'Cmb Dev'!B33</f>
        <v>GPower Error &amp; Warning</v>
      </c>
      <c r="B35" s="74" t="str">
        <f>'Cmb Dev'!C33</f>
        <v>2014.0.0.38</v>
      </c>
      <c r="C35" s="74" t="str">
        <f>'Cmb Dev'!D33</f>
        <v>32</v>
      </c>
      <c r="D35" s="74" t="str">
        <f>'Cmb Dev'!E33</f>
        <v>N/A</v>
      </c>
      <c r="E35" s="74" t="str">
        <f>'Cmb Dev'!F33</f>
        <v>Development</v>
      </c>
      <c r="F35" s="74" t="str">
        <f>'Cmb Dev'!G33</f>
        <v>GPower</v>
      </c>
      <c r="G35" s="74" t="str">
        <f>'Cmb Dev'!H33</f>
        <v>GPower Error &amp; Warning 2014.0.0.38</v>
      </c>
      <c r="H35" s="74" t="str">
        <f>'Cmb Dev'!I33</f>
        <v>VIPM Community</v>
      </c>
    </row>
    <row r="36" spans="1:8" x14ac:dyDescent="0.25">
      <c r="A36" s="74" t="str">
        <f>'Cmb Dev'!B34</f>
        <v>GPower Events</v>
      </c>
      <c r="B36" s="74" t="str">
        <f>'Cmb Dev'!C34</f>
        <v>2012.0.0.7</v>
      </c>
      <c r="C36" s="74" t="str">
        <f>'Cmb Dev'!D34</f>
        <v>32</v>
      </c>
      <c r="D36" s="74" t="str">
        <f>'Cmb Dev'!E34</f>
        <v>N/A</v>
      </c>
      <c r="E36" s="74" t="str">
        <f>'Cmb Dev'!F34</f>
        <v>Development</v>
      </c>
      <c r="F36" s="74" t="str">
        <f>'Cmb Dev'!G34</f>
        <v>GPower</v>
      </c>
      <c r="G36" s="74" t="str">
        <f>'Cmb Dev'!H34</f>
        <v>GPower Events 2012.0.0.7</v>
      </c>
      <c r="H36" s="74" t="str">
        <f>'Cmb Dev'!I34</f>
        <v>VIPM Community</v>
      </c>
    </row>
    <row r="37" spans="1:8" x14ac:dyDescent="0.25">
      <c r="A37" s="74" t="str">
        <f>'Cmb Dev'!B35</f>
        <v>GPower Math</v>
      </c>
      <c r="B37" s="74" t="str">
        <f>'Cmb Dev'!C35</f>
        <v>2012.1.0.6</v>
      </c>
      <c r="C37" s="74" t="str">
        <f>'Cmb Dev'!D35</f>
        <v>32</v>
      </c>
      <c r="D37" s="74" t="str">
        <f>'Cmb Dev'!E35</f>
        <v>N/A</v>
      </c>
      <c r="E37" s="74" t="str">
        <f>'Cmb Dev'!F35</f>
        <v>Development</v>
      </c>
      <c r="F37" s="74" t="str">
        <f>'Cmb Dev'!G35</f>
        <v>GPower</v>
      </c>
      <c r="G37" s="74" t="str">
        <f>'Cmb Dev'!H35</f>
        <v>GPower Math 2012.1.0.6</v>
      </c>
      <c r="H37" s="74" t="str">
        <f>'Cmb Dev'!I35</f>
        <v>VIPM Community</v>
      </c>
    </row>
    <row r="38" spans="1:8" x14ac:dyDescent="0.25">
      <c r="A38" s="74" t="str">
        <f>'Cmb Dev'!B36</f>
        <v>GPower Numeric</v>
      </c>
      <c r="B38" s="74" t="str">
        <f>'Cmb Dev'!C36</f>
        <v>2016.2.0.14</v>
      </c>
      <c r="C38" s="74" t="str">
        <f>'Cmb Dev'!D36</f>
        <v>32</v>
      </c>
      <c r="D38" s="74" t="str">
        <f>'Cmb Dev'!E36</f>
        <v>N/A</v>
      </c>
      <c r="E38" s="74" t="str">
        <f>'Cmb Dev'!F36</f>
        <v>Development</v>
      </c>
      <c r="F38" s="74" t="str">
        <f>'Cmb Dev'!G36</f>
        <v>GPower</v>
      </c>
      <c r="G38" s="74" t="str">
        <f>'Cmb Dev'!H36</f>
        <v>GPower Numeric 2016.2.0.14</v>
      </c>
      <c r="H38" s="74" t="str">
        <f>'Cmb Dev'!I36</f>
        <v>VIPM Community</v>
      </c>
    </row>
    <row r="39" spans="1:8" x14ac:dyDescent="0.25">
      <c r="A39" s="74" t="str">
        <f>'Cmb Dev'!B37</f>
        <v>GPower Overflow</v>
      </c>
      <c r="B39" s="74" t="str">
        <f>'Cmb Dev'!C37</f>
        <v>2014.0.0.4</v>
      </c>
      <c r="C39" s="74" t="str">
        <f>'Cmb Dev'!D37</f>
        <v>32</v>
      </c>
      <c r="D39" s="74" t="str">
        <f>'Cmb Dev'!E37</f>
        <v>N/A</v>
      </c>
      <c r="E39" s="74" t="str">
        <f>'Cmb Dev'!F37</f>
        <v>Development</v>
      </c>
      <c r="F39" s="74" t="str">
        <f>'Cmb Dev'!G37</f>
        <v>GPower</v>
      </c>
      <c r="G39" s="74" t="str">
        <f>'Cmb Dev'!H37</f>
        <v>GPower Overflow 2014.0.0.4</v>
      </c>
      <c r="H39" s="74" t="str">
        <f>'Cmb Dev'!I37</f>
        <v>VIPM Community</v>
      </c>
    </row>
    <row r="40" spans="1:8" x14ac:dyDescent="0.25">
      <c r="A40" s="74" t="str">
        <f>'Cmb Dev'!B38</f>
        <v>GPower String</v>
      </c>
      <c r="B40" s="74" t="str">
        <f>'Cmb Dev'!C38</f>
        <v>2016.1.0.11</v>
      </c>
      <c r="C40" s="74" t="str">
        <f>'Cmb Dev'!D38</f>
        <v>32</v>
      </c>
      <c r="D40" s="74" t="str">
        <f>'Cmb Dev'!E38</f>
        <v>N/A</v>
      </c>
      <c r="E40" s="74" t="str">
        <f>'Cmb Dev'!F38</f>
        <v>Development</v>
      </c>
      <c r="F40" s="74" t="str">
        <f>'Cmb Dev'!G38</f>
        <v>GPower</v>
      </c>
      <c r="G40" s="74" t="str">
        <f>'Cmb Dev'!H38</f>
        <v>GPower String 2016.1.0.11</v>
      </c>
      <c r="H40" s="74" t="str">
        <f>'Cmb Dev'!I38</f>
        <v>VIPM Community</v>
      </c>
    </row>
    <row r="41" spans="1:8" x14ac:dyDescent="0.25">
      <c r="A41" s="74" t="str">
        <f>'Cmb Dev'!B39</f>
        <v>GPower Timing</v>
      </c>
      <c r="B41" s="74" t="str">
        <f>'Cmb Dev'!C39</f>
        <v>2017.0.0.26</v>
      </c>
      <c r="C41" s="74" t="str">
        <f>'Cmb Dev'!D39</f>
        <v>32</v>
      </c>
      <c r="D41" s="74" t="str">
        <f>'Cmb Dev'!E39</f>
        <v>N/A</v>
      </c>
      <c r="E41" s="74" t="str">
        <f>'Cmb Dev'!F39</f>
        <v>Development</v>
      </c>
      <c r="F41" s="74" t="str">
        <f>'Cmb Dev'!G39</f>
        <v>GPower</v>
      </c>
      <c r="G41" s="74" t="str">
        <f>'Cmb Dev'!H39</f>
        <v>GPower Timing 2017.0.0.26</v>
      </c>
      <c r="H41" s="74" t="str">
        <f>'Cmb Dev'!I39</f>
        <v>VIPM Community</v>
      </c>
    </row>
    <row r="42" spans="1:8" x14ac:dyDescent="0.25">
      <c r="A42" s="74" t="str">
        <f>'Cmb Dev'!B40</f>
        <v>GPower VI Launcher</v>
      </c>
      <c r="B42" s="74" t="str">
        <f>'Cmb Dev'!C40</f>
        <v>2012.2.0.26</v>
      </c>
      <c r="C42" s="74" t="str">
        <f>'Cmb Dev'!D40</f>
        <v>32</v>
      </c>
      <c r="D42" s="74" t="str">
        <f>'Cmb Dev'!E40</f>
        <v>N/A</v>
      </c>
      <c r="E42" s="74" t="str">
        <f>'Cmb Dev'!F40</f>
        <v>Development</v>
      </c>
      <c r="F42" s="74" t="str">
        <f>'Cmb Dev'!G40</f>
        <v>GPower</v>
      </c>
      <c r="G42" s="74" t="str">
        <f>'Cmb Dev'!H40</f>
        <v>GPower VI Launcher 2012.2.0.26</v>
      </c>
      <c r="H42" s="74" t="str">
        <f>'Cmb Dev'!I40</f>
        <v>VIPM Community</v>
      </c>
    </row>
    <row r="43" spans="1:8" x14ac:dyDescent="0.25">
      <c r="A43" s="74" t="str">
        <f>'Cmb Dev'!B41</f>
        <v>GPower VI Register</v>
      </c>
      <c r="B43" s="74" t="str">
        <f>'Cmb Dev'!C41</f>
        <v>2016.0.0.31</v>
      </c>
      <c r="C43" s="74" t="str">
        <f>'Cmb Dev'!D41</f>
        <v>32</v>
      </c>
      <c r="D43" s="74" t="str">
        <f>'Cmb Dev'!E41</f>
        <v>N/A</v>
      </c>
      <c r="E43" s="74" t="str">
        <f>'Cmb Dev'!F41</f>
        <v>Development</v>
      </c>
      <c r="F43" s="74" t="str">
        <f>'Cmb Dev'!G41</f>
        <v>GPower</v>
      </c>
      <c r="G43" s="74" t="str">
        <f>'Cmb Dev'!H41</f>
        <v>GPower VI Register 2016.0.0.31</v>
      </c>
      <c r="H43" s="74" t="str">
        <f>'Cmb Dev'!I41</f>
        <v>VIPM Community</v>
      </c>
    </row>
    <row r="44" spans="1:8" x14ac:dyDescent="0.25">
      <c r="A44" s="74" t="str">
        <f>'Cmb Dev'!B42</f>
        <v>Image Processing and Machine Vision</v>
      </c>
      <c r="B44" s="74" t="str">
        <f>'Cmb Dev'!C42</f>
        <v>19.5.0.49152</v>
      </c>
      <c r="C44" s="74" t="str">
        <f>'Cmb Dev'!D42</f>
        <v>32</v>
      </c>
      <c r="D44" s="74" t="str">
        <f>'Cmb Dev'!E42</f>
        <v>2019</v>
      </c>
      <c r="E44" s="74" t="str">
        <f>'Cmb Dev'!F42</f>
        <v>Development</v>
      </c>
      <c r="F44" s="74" t="str">
        <f>'Cmb Dev'!G42</f>
        <v>NI</v>
      </c>
      <c r="G44" s="74" t="str">
        <f>'Cmb Dev'!H42</f>
        <v>Image Processing and Machine Vision 19.5.0.49152</v>
      </c>
      <c r="H44" s="74" t="str">
        <f>'Cmb Dev'!I42</f>
        <v>LabVIEW 2019</v>
      </c>
    </row>
    <row r="45" spans="1:8" x14ac:dyDescent="0.25">
      <c r="A45" s="74" t="str">
        <f>'Cmb Dev'!B43</f>
        <v>Image Services</v>
      </c>
      <c r="B45" s="74" t="str">
        <f>'Cmb Dev'!C43</f>
        <v>19.5.0.49152</v>
      </c>
      <c r="C45" s="74" t="str">
        <f>'Cmb Dev'!D43</f>
        <v>32</v>
      </c>
      <c r="D45" s="74" t="str">
        <f>'Cmb Dev'!E43</f>
        <v>2019</v>
      </c>
      <c r="E45" s="74" t="str">
        <f>'Cmb Dev'!F43</f>
        <v>Development</v>
      </c>
      <c r="F45" s="74" t="str">
        <f>'Cmb Dev'!G43</f>
        <v>NI</v>
      </c>
      <c r="G45" s="74" t="str">
        <f>'Cmb Dev'!H43</f>
        <v>Image Services 19.5.0.49152</v>
      </c>
      <c r="H45" s="74" t="str">
        <f>'Cmb Dev'!I43</f>
        <v>LabVIEW 2019</v>
      </c>
    </row>
    <row r="46" spans="1:8" x14ac:dyDescent="0.25">
      <c r="A46" s="74" t="str">
        <f>'Cmb Dev'!B44</f>
        <v>IVI Compliance Package</v>
      </c>
      <c r="B46" s="74" t="str">
        <f>'Cmb Dev'!C44</f>
        <v>15.0</v>
      </c>
      <c r="C46" s="74" t="str">
        <f>'Cmb Dev'!D44</f>
        <v>32</v>
      </c>
      <c r="D46" s="74" t="str">
        <f>'Cmb Dev'!E44</f>
        <v>2015</v>
      </c>
      <c r="E46" s="74" t="str">
        <f>'Cmb Dev'!F44</f>
        <v>Development</v>
      </c>
      <c r="F46" s="74" t="str">
        <f>'Cmb Dev'!G44</f>
        <v>NI</v>
      </c>
      <c r="G46" s="74" t="str">
        <f>'Cmb Dev'!H44</f>
        <v>IVI Compliance Package 15.0</v>
      </c>
      <c r="H46" s="74" t="str">
        <f>'Cmb Dev'!I44</f>
        <v>NI Developer Suite 2015 DS2 Install</v>
      </c>
    </row>
    <row r="47" spans="1:8" x14ac:dyDescent="0.25">
      <c r="A47" s="74" t="str">
        <f>'Cmb Dev'!B45</f>
        <v>IVI Driver Toolset</v>
      </c>
      <c r="B47" s="74">
        <f>'Cmb Dev'!C45</f>
        <v>1.5</v>
      </c>
      <c r="C47" s="74" t="str">
        <f>'Cmb Dev'!D45</f>
        <v>32</v>
      </c>
      <c r="D47" s="74" t="str">
        <f>'Cmb Dev'!E45</f>
        <v>N/A</v>
      </c>
      <c r="E47" s="74" t="str">
        <f>'Cmb Dev'!F45</f>
        <v>Development</v>
      </c>
      <c r="F47" s="74" t="str">
        <f>'Cmb Dev'!G45</f>
        <v>NI</v>
      </c>
      <c r="G47" s="74" t="str">
        <f>'Cmb Dev'!H45</f>
        <v>IVI Driver Toolset 1.5</v>
      </c>
      <c r="H47" s="74">
        <f>'Cmb Dev'!I45</f>
        <v>0</v>
      </c>
    </row>
    <row r="48" spans="1:8" x14ac:dyDescent="0.25">
      <c r="A48" s="74" t="str">
        <f>'Cmb Dev'!B46</f>
        <v>IVI Engine</v>
      </c>
      <c r="B48" s="74" t="str">
        <f>'Cmb Dev'!C46</f>
        <v>15.0.0.f0</v>
      </c>
      <c r="C48" s="74" t="str">
        <f>'Cmb Dev'!D46</f>
        <v>32</v>
      </c>
      <c r="D48" s="74">
        <f>'Cmb Dev'!E46</f>
        <v>2015</v>
      </c>
      <c r="E48" s="74" t="str">
        <f>'Cmb Dev'!F46</f>
        <v>Development</v>
      </c>
      <c r="F48" s="74" t="str">
        <f>'Cmb Dev'!G46</f>
        <v>NI</v>
      </c>
      <c r="G48" s="74" t="str">
        <f>'Cmb Dev'!H46</f>
        <v>IVI Engine 15.0.0.f0</v>
      </c>
      <c r="H48" s="74">
        <f>'Cmb Dev'!I46</f>
        <v>0</v>
      </c>
    </row>
    <row r="49" spans="1:8" x14ac:dyDescent="0.25">
      <c r="A49" s="74" t="str">
        <f>'Cmb Dev'!B47</f>
        <v>JKI State Machine</v>
      </c>
      <c r="B49" s="74" t="str">
        <f>'Cmb Dev'!C47</f>
        <v>3.0.0.8</v>
      </c>
      <c r="C49" s="74" t="str">
        <f>'Cmb Dev'!D47</f>
        <v>32</v>
      </c>
      <c r="D49" s="74" t="str">
        <f>'Cmb Dev'!E47</f>
        <v>N/A</v>
      </c>
      <c r="E49" s="74" t="str">
        <f>'Cmb Dev'!F47</f>
        <v>Development</v>
      </c>
      <c r="F49" s="74" t="str">
        <f>'Cmb Dev'!G47</f>
        <v>JKI</v>
      </c>
      <c r="G49" s="74" t="str">
        <f>'Cmb Dev'!H47</f>
        <v>JKI State Machine 3.0.0.8</v>
      </c>
      <c r="H49" s="74" t="str">
        <f>'Cmb Dev'!I47</f>
        <v>VIPM Community</v>
      </c>
    </row>
    <row r="50" spans="1:8" x14ac:dyDescent="0.25">
      <c r="A50" s="74" t="str">
        <f>'Cmb Dev'!B48</f>
        <v>JKI State Machine Editor</v>
      </c>
      <c r="B50" s="74" t="str">
        <f>'Cmb Dev'!C48</f>
        <v>2013.6.3.239</v>
      </c>
      <c r="C50" s="74" t="str">
        <f>'Cmb Dev'!D48</f>
        <v>32</v>
      </c>
      <c r="D50" s="74" t="str">
        <f>'Cmb Dev'!E48</f>
        <v>N/A</v>
      </c>
      <c r="E50" s="74" t="str">
        <f>'Cmb Dev'!F48</f>
        <v>Development</v>
      </c>
      <c r="F50" s="74" t="str">
        <f>'Cmb Dev'!G48</f>
        <v>JKI</v>
      </c>
      <c r="G50" s="74" t="str">
        <f>'Cmb Dev'!H48</f>
        <v>JKI State Machine Editor 2013.6.3.239</v>
      </c>
      <c r="H50" s="74" t="str">
        <f>'Cmb Dev'!I48</f>
        <v>VIPM Community</v>
      </c>
    </row>
    <row r="51" spans="1:8" x14ac:dyDescent="0.25">
      <c r="A51" s="74" t="str">
        <f>'Cmb Dev'!B49</f>
        <v>JKI State Machine Objects (SMO)</v>
      </c>
      <c r="B51" s="74" t="str">
        <f>'Cmb Dev'!C49</f>
        <v>1.3.0.56</v>
      </c>
      <c r="C51" s="74" t="str">
        <f>'Cmb Dev'!D49</f>
        <v>32</v>
      </c>
      <c r="D51" s="74" t="str">
        <f>'Cmb Dev'!E49</f>
        <v>N/A</v>
      </c>
      <c r="E51" s="74" t="str">
        <f>'Cmb Dev'!F49</f>
        <v>Development</v>
      </c>
      <c r="F51" s="74" t="str">
        <f>'Cmb Dev'!G49</f>
        <v>JKI</v>
      </c>
      <c r="G51" s="74" t="str">
        <f>'Cmb Dev'!H49</f>
        <v>JKI State Machine Objects (SMO) 1.3.0.56</v>
      </c>
      <c r="H51" s="74" t="str">
        <f>'Cmb Dev'!I49</f>
        <v>VIPM Community</v>
      </c>
    </row>
    <row r="52" spans="1:8" x14ac:dyDescent="0.25">
      <c r="A52" s="74" t="str">
        <f>'Cmb Dev'!B50</f>
        <v>JKI VIPM</v>
      </c>
      <c r="B52" s="74">
        <f>'Cmb Dev'!C50</f>
        <v>0</v>
      </c>
      <c r="C52" s="74">
        <f>'Cmb Dev'!D50</f>
        <v>0</v>
      </c>
      <c r="D52" s="74" t="str">
        <f>'Cmb Dev'!E50</f>
        <v>N/A</v>
      </c>
      <c r="E52" s="74" t="str">
        <f>'Cmb Dev'!F50</f>
        <v>Development</v>
      </c>
      <c r="F52" s="74" t="str">
        <f>'Cmb Dev'!G50</f>
        <v>NI</v>
      </c>
      <c r="G52" s="74" t="str">
        <f>'Cmb Dev'!H50</f>
        <v xml:space="preserve">JKI VIPM </v>
      </c>
      <c r="H52" s="74" t="str">
        <f>'Cmb Dev'!I50</f>
        <v>vipm-22.0.2371-windows-setup</v>
      </c>
    </row>
    <row r="53" spans="1:8" x14ac:dyDescent="0.25">
      <c r="A53" s="74" t="str">
        <f>'Cmb Dev'!B51</f>
        <v>jki_rsc_toolkits_palette</v>
      </c>
      <c r="B53" s="74" t="str">
        <f>'Cmb Dev'!C51</f>
        <v>1.1-1</v>
      </c>
      <c r="C53" s="74" t="str">
        <f>'Cmb Dev'!D51</f>
        <v>32</v>
      </c>
      <c r="D53" s="74" t="str">
        <f>'Cmb Dev'!E51</f>
        <v>N/A</v>
      </c>
      <c r="E53" s="74" t="str">
        <f>'Cmb Dev'!F51</f>
        <v>Development</v>
      </c>
      <c r="F53" s="74" t="str">
        <f>'Cmb Dev'!G51</f>
        <v>JKI Software</v>
      </c>
      <c r="G53" s="74" t="str">
        <f>'Cmb Dev'!H51</f>
        <v>jki_rsc_toolkits_palette 1.1-1</v>
      </c>
      <c r="H53" s="74" t="str">
        <f>'Cmb Dev'!I51</f>
        <v>VIPM Community</v>
      </c>
    </row>
    <row r="54" spans="1:8" x14ac:dyDescent="0.25">
      <c r="A54" s="74" t="str">
        <f>'Cmb Run'!B6</f>
        <v>LabVIEW</v>
      </c>
      <c r="B54" s="74" t="str">
        <f>'Cmb Run'!C6</f>
        <v>15.0.1</v>
      </c>
      <c r="C54" s="74" t="str">
        <f>'Cmb Run'!D6</f>
        <v>32</v>
      </c>
      <c r="D54" s="74" t="str">
        <f>'Cmb Run'!E6</f>
        <v>2015 SP1</v>
      </c>
      <c r="E54" s="74" t="str">
        <f>'Cmb Run'!F6</f>
        <v>Runtime</v>
      </c>
      <c r="F54" s="74" t="str">
        <f>'Cmb Run'!G6</f>
        <v>NI</v>
      </c>
      <c r="G54" s="74" t="str">
        <f>'Cmb Run'!H6</f>
        <v>LabVIEW 2015 SP1 15.0.1</v>
      </c>
      <c r="H54" s="74" t="str">
        <f>'Cmb Run'!I6</f>
        <v>LabVIEW 2015 SP1</v>
      </c>
    </row>
    <row r="55" spans="1:8" x14ac:dyDescent="0.25">
      <c r="A55" s="74" t="str">
        <f>'Cmb Run'!B7</f>
        <v>LabVIEW</v>
      </c>
      <c r="B55" s="74" t="str">
        <f>'Cmb Run'!C7</f>
        <v>12.0.1</v>
      </c>
      <c r="C55" s="74" t="str">
        <f>'Cmb Run'!D7</f>
        <v>32</v>
      </c>
      <c r="D55" s="74" t="str">
        <f>'Cmb Run'!E7</f>
        <v>2012 SP1 f9</v>
      </c>
      <c r="E55" s="74" t="str">
        <f>'Cmb Run'!F7</f>
        <v>Runtime</v>
      </c>
      <c r="F55" s="74" t="str">
        <f>'Cmb Run'!G7</f>
        <v>NI</v>
      </c>
      <c r="G55" s="74" t="str">
        <f>'Cmb Run'!H7</f>
        <v>LabVIEW 2012 SP1 f9 12.0.1</v>
      </c>
      <c r="H55" s="74" t="str">
        <f>'Cmb Run'!I7</f>
        <v>NI Developer Suite 2015 DS2 Install</v>
      </c>
    </row>
    <row r="56" spans="1:8" x14ac:dyDescent="0.25">
      <c r="A56" s="74" t="str">
        <f>'Cmb Run'!B8</f>
        <v>LabVIEW</v>
      </c>
      <c r="B56" s="74" t="str">
        <f>'Cmb Run'!C8</f>
        <v>13.0.1</v>
      </c>
      <c r="C56" s="74" t="str">
        <f>'Cmb Run'!D8</f>
        <v>32</v>
      </c>
      <c r="D56" s="74" t="str">
        <f>'Cmb Run'!E8</f>
        <v>2013 SP1 f6</v>
      </c>
      <c r="E56" s="74" t="str">
        <f>'Cmb Run'!F8</f>
        <v>Runtime</v>
      </c>
      <c r="F56" s="74" t="str">
        <f>'Cmb Run'!G8</f>
        <v>NI</v>
      </c>
      <c r="G56" s="74" t="str">
        <f>'Cmb Run'!H8</f>
        <v>LabVIEW 2013 SP1 f6 13.0.1</v>
      </c>
      <c r="H56" s="74" t="str">
        <f>'Cmb Run'!I8</f>
        <v>NI Developer Suite 2015 DS2 Install</v>
      </c>
    </row>
    <row r="57" spans="1:8" x14ac:dyDescent="0.25">
      <c r="A57" s="74" t="str">
        <f>'Cmb Run'!B9</f>
        <v>LabVIEW</v>
      </c>
      <c r="B57" s="74" t="str">
        <f>'Cmb Run'!C9</f>
        <v>14.0.1</v>
      </c>
      <c r="C57" s="74" t="str">
        <f>'Cmb Run'!D9</f>
        <v>32</v>
      </c>
      <c r="D57" s="74" t="str">
        <f>'Cmb Run'!E9</f>
        <v>2014 SP1 f11</v>
      </c>
      <c r="E57" s="74" t="str">
        <f>'Cmb Run'!F9</f>
        <v>Runtime</v>
      </c>
      <c r="F57" s="74" t="str">
        <f>'Cmb Run'!G9</f>
        <v>NI</v>
      </c>
      <c r="G57" s="74" t="str">
        <f>'Cmb Run'!H9</f>
        <v>LabVIEW 2014 SP1 f11 14.0.1</v>
      </c>
      <c r="H57" s="74" t="str">
        <f>'Cmb Run'!I9</f>
        <v>2015 SP1 Update Service</v>
      </c>
    </row>
    <row r="58" spans="1:8" x14ac:dyDescent="0.25">
      <c r="A58" s="74" t="str">
        <f>'Cmb Run'!B10</f>
        <v>LabVIEW</v>
      </c>
      <c r="B58" s="74" t="str">
        <f>'Cmb Run'!C10</f>
        <v>19.0.1</v>
      </c>
      <c r="C58" s="74" t="str">
        <f>'Cmb Run'!D10</f>
        <v>32</v>
      </c>
      <c r="D58" s="74" t="str">
        <f>'Cmb Run'!E10</f>
        <v>2019 SP1 f3</v>
      </c>
      <c r="E58" s="74" t="str">
        <f>'Cmb Run'!F10</f>
        <v>Runtime</v>
      </c>
      <c r="F58" s="74" t="str">
        <f>'Cmb Run'!G10</f>
        <v>NI</v>
      </c>
      <c r="G58" s="74" t="str">
        <f>'Cmb Run'!H10</f>
        <v>LabVIEW 2019 SP1 f3 19.0.1</v>
      </c>
      <c r="H58" s="74">
        <f>'Cmb Run'!I10</f>
        <v>0</v>
      </c>
    </row>
    <row r="59" spans="1:8" x14ac:dyDescent="0.25">
      <c r="A59" s="74" t="str">
        <f>'Cmb Dev'!B52</f>
        <v>LabVIEW</v>
      </c>
      <c r="B59" s="74" t="str">
        <f>'Cmb Dev'!C52</f>
        <v>15.0.1</v>
      </c>
      <c r="C59" s="74" t="str">
        <f>'Cmb Dev'!D52</f>
        <v>32</v>
      </c>
      <c r="D59" s="74" t="str">
        <f>'Cmb Dev'!E52</f>
        <v>2015 SP1 f10</v>
      </c>
      <c r="E59" s="74" t="str">
        <f>'Cmb Dev'!F52</f>
        <v>Development</v>
      </c>
      <c r="F59" s="74" t="str">
        <f>'Cmb Dev'!G52</f>
        <v>NI</v>
      </c>
      <c r="G59" s="74" t="str">
        <f>'Cmb Dev'!H52</f>
        <v>LabVIEW 2015 SP1 f10 15.0.1</v>
      </c>
      <c r="H59" s="74" t="str">
        <f>'Cmb Dev'!I52</f>
        <v>2015 SP1 Update Service</v>
      </c>
    </row>
    <row r="60" spans="1:8" x14ac:dyDescent="0.25">
      <c r="A60" s="74" t="str">
        <f>'Cmb Run'!B11</f>
        <v>LabVIEW</v>
      </c>
      <c r="B60" s="74" t="str">
        <f>'Cmb Run'!C11</f>
        <v>19.0.1</v>
      </c>
      <c r="C60" s="74" t="str">
        <f>'Cmb Run'!D11</f>
        <v>32</v>
      </c>
      <c r="D60" s="74" t="str">
        <f>'Cmb Run'!E11</f>
        <v>2019 SP1 f5</v>
      </c>
      <c r="E60" s="74" t="str">
        <f>'Cmb Run'!F11</f>
        <v>Runtime</v>
      </c>
      <c r="F60" s="74" t="str">
        <f>'Cmb Run'!G11</f>
        <v>NI</v>
      </c>
      <c r="G60" s="74" t="str">
        <f>'Cmb Run'!H11</f>
        <v>LabVIEW 2019 SP1 f5 19.0.1</v>
      </c>
      <c r="H60" s="74">
        <f>'Cmb Run'!I11</f>
        <v>0</v>
      </c>
    </row>
    <row r="61" spans="1:8" x14ac:dyDescent="0.25">
      <c r="A61" s="74" t="str">
        <f>'Cmb Run'!B12</f>
        <v>LabVIEW</v>
      </c>
      <c r="B61" s="74" t="str">
        <f>'Cmb Run'!C12</f>
        <v>19.0.0</v>
      </c>
      <c r="C61" s="74" t="str">
        <f>'Cmb Run'!D12</f>
        <v>32</v>
      </c>
      <c r="D61" s="74" t="str">
        <f>'Cmb Run'!E12</f>
        <v>2019</v>
      </c>
      <c r="E61" s="74" t="str">
        <f>'Cmb Run'!F12</f>
        <v>Runtime</v>
      </c>
      <c r="F61" s="74" t="str">
        <f>'Cmb Run'!G12</f>
        <v>NI</v>
      </c>
      <c r="G61" s="74" t="str">
        <f>'Cmb Run'!H12</f>
        <v>LabVIEW 2019 19.0.0</v>
      </c>
      <c r="H61" s="74" t="str">
        <f>'Cmb Run'!I12</f>
        <v>LabVIEW 2019</v>
      </c>
    </row>
    <row r="62" spans="1:8" x14ac:dyDescent="0.25">
      <c r="A62" s="74" t="str">
        <f>'Cmb Run'!B13</f>
        <v>LabVIEW</v>
      </c>
      <c r="B62" s="74" t="str">
        <f>'Cmb Run'!C13</f>
        <v>18.0.1</v>
      </c>
      <c r="C62" s="74" t="str">
        <f>'Cmb Run'!D13</f>
        <v>32</v>
      </c>
      <c r="D62" s="74" t="str">
        <f>'Cmb Run'!E13</f>
        <v>2018 SP1 f3</v>
      </c>
      <c r="E62" s="74" t="str">
        <f>'Cmb Run'!F13</f>
        <v>Runtime</v>
      </c>
      <c r="F62" s="74" t="str">
        <f>'Cmb Run'!G13</f>
        <v>NI</v>
      </c>
      <c r="G62" s="74" t="str">
        <f>'Cmb Run'!H13</f>
        <v>LabVIEW 2019 SP1 f3 18.0.1</v>
      </c>
      <c r="H62" s="74" t="str">
        <f>'Cmb Run'!I13</f>
        <v>LabVIEW 2019</v>
      </c>
    </row>
    <row r="63" spans="1:8" x14ac:dyDescent="0.25">
      <c r="A63" s="74" t="str">
        <f>'Cmb Run'!B14</f>
        <v>LabVIEW</v>
      </c>
      <c r="B63" s="74" t="str">
        <f>'Cmb Run'!C14</f>
        <v>15.0.0</v>
      </c>
      <c r="C63" s="74">
        <f>'Cmb Run'!D14</f>
        <v>64</v>
      </c>
      <c r="D63" s="74" t="str">
        <f>'Cmb Run'!E14</f>
        <v>2015 f2</v>
      </c>
      <c r="E63" s="74" t="str">
        <f>'Cmb Run'!F14</f>
        <v>Runtime</v>
      </c>
      <c r="F63" s="74" t="str">
        <f>'Cmb Run'!G14</f>
        <v>NI</v>
      </c>
      <c r="G63" s="74" t="str">
        <f>'Cmb Run'!H14</f>
        <v>LabVIEW 2015 f2 15.0.0</v>
      </c>
      <c r="H63" s="74" t="str">
        <f>'Cmb Run'!I14</f>
        <v>2015 SP1 Update Service</v>
      </c>
    </row>
    <row r="64" spans="1:8" x14ac:dyDescent="0.25">
      <c r="A64" s="74" t="str">
        <f>'Cmb Dev'!B53</f>
        <v>LabVIEW</v>
      </c>
      <c r="B64" s="74" t="str">
        <f>'Cmb Dev'!C53</f>
        <v>15.0.0</v>
      </c>
      <c r="C64" s="74">
        <f>'Cmb Dev'!D53</f>
        <v>64</v>
      </c>
      <c r="D64" s="74">
        <f>'Cmb Dev'!E53</f>
        <v>2015</v>
      </c>
      <c r="E64" s="74" t="str">
        <f>'Cmb Dev'!F53</f>
        <v>Development</v>
      </c>
      <c r="F64" s="74" t="str">
        <f>'Cmb Dev'!G53</f>
        <v>NI</v>
      </c>
      <c r="G64" s="74" t="str">
        <f>'Cmb Dev'!H53</f>
        <v>LabVIEW 2015 15.0.0</v>
      </c>
      <c r="H64" s="74" t="str">
        <f>'Cmb Dev'!I53</f>
        <v>NI Developer Suite 2015 DS2 Install</v>
      </c>
    </row>
    <row r="65" spans="1:8" x14ac:dyDescent="0.25">
      <c r="A65" s="74" t="str">
        <f>'Cmb Run'!B15</f>
        <v>LabVIEW</v>
      </c>
      <c r="B65" s="74" t="str">
        <f>'Cmb Run'!C15</f>
        <v>16.0.0</v>
      </c>
      <c r="C65" s="74" t="str">
        <f>'Cmb Run'!D15</f>
        <v>32</v>
      </c>
      <c r="D65" s="74" t="str">
        <f>'Cmb Run'!E15</f>
        <v>2016  f6</v>
      </c>
      <c r="E65" s="74" t="str">
        <f>'Cmb Run'!F15</f>
        <v>Runtime</v>
      </c>
      <c r="F65" s="74" t="str">
        <f>'Cmb Run'!G15</f>
        <v>NI</v>
      </c>
      <c r="G65" s="74" t="str">
        <f>'Cmb Run'!H15</f>
        <v>LabVIEW 2016  f6 16.0.0</v>
      </c>
      <c r="H65" s="74">
        <f>'Cmb Run'!I15</f>
        <v>0</v>
      </c>
    </row>
    <row r="66" spans="1:8" x14ac:dyDescent="0.25">
      <c r="A66" s="74" t="str">
        <f>'Cmb Run'!B16</f>
        <v>LabVIEW</v>
      </c>
      <c r="B66" s="74" t="str">
        <f>'Cmb Run'!C16</f>
        <v>17.0.1</v>
      </c>
      <c r="C66" s="74" t="str">
        <f>'Cmb Run'!D16</f>
        <v>32</v>
      </c>
      <c r="D66" s="74" t="str">
        <f>'Cmb Run'!E16</f>
        <v>2017 SP1 f3</v>
      </c>
      <c r="E66" s="74" t="str">
        <f>'Cmb Run'!F16</f>
        <v>Runtime</v>
      </c>
      <c r="F66" s="74" t="str">
        <f>'Cmb Run'!G16</f>
        <v>NI</v>
      </c>
      <c r="G66" s="74" t="str">
        <f>'Cmb Run'!H16</f>
        <v>LabVIEW 2017 SP1 f3 17.0.1</v>
      </c>
      <c r="H66" s="74">
        <f>'Cmb Run'!I16</f>
        <v>0</v>
      </c>
    </row>
    <row r="67" spans="1:8" x14ac:dyDescent="0.25">
      <c r="A67" s="74" t="str">
        <f>'Cmb Run'!B17</f>
        <v>LabVIEW</v>
      </c>
      <c r="B67" s="74" t="str">
        <f>'Cmb Run'!C17</f>
        <v>18.0.1</v>
      </c>
      <c r="C67" s="74" t="str">
        <f>'Cmb Run'!D17</f>
        <v>64</v>
      </c>
      <c r="D67" s="74" t="str">
        <f>'Cmb Run'!E17</f>
        <v>2018 SP1</v>
      </c>
      <c r="E67" s="74" t="str">
        <f>'Cmb Run'!F17</f>
        <v>Runtime</v>
      </c>
      <c r="F67" s="74" t="str">
        <f>'Cmb Run'!G17</f>
        <v>NI</v>
      </c>
      <c r="G67" s="74" t="str">
        <f>'Cmb Run'!H17</f>
        <v>LabVIEW 2018 SP1 18.0.1</v>
      </c>
      <c r="H67" s="74" t="str">
        <f>'Cmb Run'!I17</f>
        <v>LabVIEW 2019</v>
      </c>
    </row>
    <row r="68" spans="1:8" x14ac:dyDescent="0.25">
      <c r="A68" s="74" t="str">
        <f>'Cmb Run'!B18</f>
        <v>LabVIEW</v>
      </c>
      <c r="B68" s="74" t="str">
        <f>'Cmb Run'!C18</f>
        <v>19.0.1</v>
      </c>
      <c r="C68" s="74" t="str">
        <f>'Cmb Run'!D18</f>
        <v>32</v>
      </c>
      <c r="D68" s="74" t="str">
        <f>'Cmb Run'!E18</f>
        <v>2019 SP1 f1</v>
      </c>
      <c r="E68" s="74" t="str">
        <f>'Cmb Run'!F18</f>
        <v>Runtime</v>
      </c>
      <c r="F68" s="74" t="str">
        <f>'Cmb Run'!G18</f>
        <v>NI</v>
      </c>
      <c r="G68" s="74" t="str">
        <f>'Cmb Run'!H18</f>
        <v>LabVIEW 2019 SP1 f1 19.0.1</v>
      </c>
      <c r="H68" s="74">
        <f>'Cmb Run'!I18</f>
        <v>0</v>
      </c>
    </row>
    <row r="69" spans="1:8" x14ac:dyDescent="0.25">
      <c r="A69" s="74" t="str">
        <f>'Cmb Dev'!B54</f>
        <v>LabVIEW</v>
      </c>
      <c r="B69" s="74" t="str">
        <f>'Cmb Dev'!C54</f>
        <v>15</v>
      </c>
      <c r="C69" s="74" t="str">
        <f>'Cmb Dev'!D54</f>
        <v>32</v>
      </c>
      <c r="D69" s="74" t="str">
        <f>'Cmb Dev'!E54</f>
        <v>2015 SP1 f7</v>
      </c>
      <c r="E69" s="74" t="str">
        <f>'Cmb Dev'!F54</f>
        <v>Development</v>
      </c>
      <c r="F69" s="74" t="str">
        <f>'Cmb Dev'!G54</f>
        <v>NI</v>
      </c>
      <c r="G69" s="74" t="str">
        <f>'Cmb Dev'!H54</f>
        <v>LabVIEW 2015 SP1 f7 15</v>
      </c>
      <c r="H69" s="74">
        <f>'Cmb Dev'!I54</f>
        <v>0</v>
      </c>
    </row>
    <row r="70" spans="1:8" x14ac:dyDescent="0.25">
      <c r="A70" s="74" t="str">
        <f>'Cmb Dev'!B55</f>
        <v>LabVIEW</v>
      </c>
      <c r="B70" s="74" t="str">
        <f>'Cmb Dev'!C55</f>
        <v>15.0.1</v>
      </c>
      <c r="C70" s="74" t="str">
        <f>'Cmb Dev'!D55</f>
        <v>32</v>
      </c>
      <c r="D70" s="74" t="str">
        <f>'Cmb Dev'!E55</f>
        <v>2015</v>
      </c>
      <c r="E70" s="74" t="str">
        <f>'Cmb Dev'!F55</f>
        <v>Development</v>
      </c>
      <c r="F70" s="74" t="str">
        <f>'Cmb Dev'!G55</f>
        <v>NI</v>
      </c>
      <c r="G70" s="74" t="str">
        <f>'Cmb Dev'!H55</f>
        <v>LabVIEW 2015 15.0.1</v>
      </c>
      <c r="H70" s="74" t="str">
        <f>'Cmb Dev'!I55</f>
        <v>LabVIEW 2015 SP1</v>
      </c>
    </row>
    <row r="71" spans="1:8" x14ac:dyDescent="0.25">
      <c r="A71" s="74" t="str">
        <f>'Cmb Run'!B19</f>
        <v>LabVIEW</v>
      </c>
      <c r="B71" s="74" t="str">
        <f>'Cmb Run'!C19</f>
        <v>16.0.0</v>
      </c>
      <c r="C71" s="74" t="str">
        <f>'Cmb Run'!D19</f>
        <v>32</v>
      </c>
      <c r="D71" s="74" t="str">
        <f>'Cmb Run'!E19</f>
        <v>2016 f5</v>
      </c>
      <c r="E71" s="74" t="str">
        <f>'Cmb Run'!F19</f>
        <v>Runtime</v>
      </c>
      <c r="F71" s="74" t="str">
        <f>'Cmb Run'!G19</f>
        <v>NI</v>
      </c>
      <c r="G71" s="74" t="str">
        <f>'Cmb Run'!H19</f>
        <v>LabVIEW 2016 f5 16.0.0</v>
      </c>
      <c r="H71" s="74" t="str">
        <f>'Cmb Run'!I19</f>
        <v>CompactRIO 18.1.0</v>
      </c>
    </row>
    <row r="72" spans="1:8" x14ac:dyDescent="0.25">
      <c r="A72" s="74" t="str">
        <f>'Cmb Run'!B20</f>
        <v>LabVIEW</v>
      </c>
      <c r="B72" s="74" t="str">
        <f>'Cmb Run'!C20</f>
        <v>18.0.0</v>
      </c>
      <c r="C72" s="74" t="str">
        <f>'Cmb Run'!D20</f>
        <v>32</v>
      </c>
      <c r="D72" s="74" t="str">
        <f>'Cmb Run'!E20</f>
        <v>2018 f2</v>
      </c>
      <c r="E72" s="74" t="str">
        <f>'Cmb Run'!F20</f>
        <v>Runtime</v>
      </c>
      <c r="F72" s="74" t="str">
        <f>'Cmb Run'!G20</f>
        <v>NI</v>
      </c>
      <c r="G72" s="74" t="str">
        <f>'Cmb Run'!H20</f>
        <v>LabVIEW 2018 f2 18.0.0</v>
      </c>
      <c r="H72" s="74">
        <f>'Cmb Run'!I20</f>
        <v>0</v>
      </c>
    </row>
    <row r="73" spans="1:8" x14ac:dyDescent="0.25">
      <c r="A73" s="74" t="str">
        <f>'Cmb Dev'!B56</f>
        <v>LabVIEW Interface</v>
      </c>
      <c r="B73" s="74">
        <f>'Cmb Dev'!C56</f>
        <v>15</v>
      </c>
      <c r="C73" s="74">
        <f>'Cmb Dev'!D56</f>
        <v>32</v>
      </c>
      <c r="D73" s="74">
        <f>'Cmb Dev'!E56</f>
        <v>2015</v>
      </c>
      <c r="E73" s="74" t="str">
        <f>'Cmb Dev'!F56</f>
        <v>Development</v>
      </c>
      <c r="F73" s="74" t="str">
        <f>'Cmb Dev'!G56</f>
        <v>NI</v>
      </c>
      <c r="G73" s="74" t="str">
        <f>'Cmb Dev'!H56</f>
        <v>LabVIEW Interface 15</v>
      </c>
      <c r="H73" s="74" t="str">
        <f>'Cmb Dev'!I56</f>
        <v>NI FieldPoint 15.0</v>
      </c>
    </row>
    <row r="74" spans="1:8" x14ac:dyDescent="0.25">
      <c r="A74" s="74" t="str">
        <f>'Cmb Run'!B21</f>
        <v xml:space="preserve">LabWindows/CVI </v>
      </c>
      <c r="B74" s="74">
        <f>'Cmb Run'!C21</f>
        <v>0</v>
      </c>
      <c r="C74" s="74" t="str">
        <f>'Cmb Run'!D21</f>
        <v>32</v>
      </c>
      <c r="D74" s="74" t="str">
        <f>'Cmb Run'!E21</f>
        <v>2013 SP2</v>
      </c>
      <c r="E74" s="74" t="str">
        <f>'Cmb Run'!F21</f>
        <v>Runtime</v>
      </c>
      <c r="F74" s="74" t="str">
        <f>'Cmb Run'!G21</f>
        <v>NI</v>
      </c>
      <c r="G74" s="74" t="str">
        <f>'Cmb Run'!H21</f>
        <v xml:space="preserve">LabWindows/CVI  </v>
      </c>
      <c r="H74" s="74">
        <f>'Cmb Run'!I21</f>
        <v>0</v>
      </c>
    </row>
    <row r="75" spans="1:8" x14ac:dyDescent="0.25">
      <c r="A75" s="74" t="str">
        <f>'Cmb Dev'!B57</f>
        <v>LAVA Palette</v>
      </c>
      <c r="B75" s="74" t="str">
        <f>'Cmb Dev'!C57</f>
        <v>1.0.0.1</v>
      </c>
      <c r="C75" s="74" t="str">
        <f>'Cmb Dev'!D57</f>
        <v>32</v>
      </c>
      <c r="D75" s="74" t="str">
        <f>'Cmb Dev'!E57</f>
        <v>N/A</v>
      </c>
      <c r="E75" s="74" t="str">
        <f>'Cmb Dev'!F57</f>
        <v>Development</v>
      </c>
      <c r="F75" s="74" t="str">
        <f>'Cmb Dev'!G57</f>
        <v>LAVA</v>
      </c>
      <c r="G75" s="74" t="str">
        <f>'Cmb Dev'!H57</f>
        <v>LAVA Palette 1.0.0.1</v>
      </c>
      <c r="H75" s="74" t="str">
        <f>'Cmb Dev'!I57</f>
        <v>VIPM Community</v>
      </c>
    </row>
    <row r="76" spans="1:8" x14ac:dyDescent="0.25">
      <c r="A76" s="74" t="str">
        <f>'Cmb Dev'!B58</f>
        <v>MathScript RT Module</v>
      </c>
      <c r="B76" s="74" t="str">
        <f>'Cmb Dev'!C58</f>
        <v>15.0.0</v>
      </c>
      <c r="C76" s="74" t="str">
        <f>'Cmb Dev'!D58</f>
        <v>32</v>
      </c>
      <c r="D76" s="74" t="str">
        <f>'Cmb Dev'!E58</f>
        <v>2015</v>
      </c>
      <c r="E76" s="74" t="str">
        <f>'Cmb Dev'!F58</f>
        <v>Development</v>
      </c>
      <c r="F76" s="74" t="str">
        <f>'Cmb Dev'!G58</f>
        <v>NI</v>
      </c>
      <c r="G76" s="74" t="str">
        <f>'Cmb Dev'!H58</f>
        <v>MathScript RT Module 15.0.0</v>
      </c>
      <c r="H76" s="74" t="str">
        <f>'Cmb Dev'!I58</f>
        <v>NI Developer Suite 2015 DS2 Install</v>
      </c>
    </row>
    <row r="77" spans="1:8" x14ac:dyDescent="0.25">
      <c r="A77" s="74" t="str">
        <f>'Cmb Dev'!B59</f>
        <v>Measurement &amp; Automation Explorer</v>
      </c>
      <c r="B77" s="74" t="str">
        <f>'Cmb Dev'!C59</f>
        <v>15.3.0f0</v>
      </c>
      <c r="C77" s="74" t="str">
        <f>'Cmb Dev'!D59</f>
        <v>32</v>
      </c>
      <c r="D77" s="74" t="str">
        <f>'Cmb Dev'!E59</f>
        <v>2015</v>
      </c>
      <c r="E77" s="74" t="str">
        <f>'Cmb Dev'!F59</f>
        <v>Development</v>
      </c>
      <c r="F77" s="74" t="str">
        <f>'Cmb Dev'!G59</f>
        <v>NI</v>
      </c>
      <c r="G77" s="74" t="str">
        <f>'Cmb Dev'!H59</f>
        <v>Measurement &amp; Automation Explorer 15.3.0f0</v>
      </c>
      <c r="H77" s="74" t="str">
        <f>'Cmb Dev'!I59</f>
        <v>LabVIEW 2015 SP1</v>
      </c>
    </row>
    <row r="78" spans="1:8" x14ac:dyDescent="0.25">
      <c r="A78" s="74" t="str">
        <f>'Cmb Dev'!B60</f>
        <v>Measurement &amp; Automation Explorer</v>
      </c>
      <c r="B78" s="74" t="str">
        <f>'Cmb Dev'!C60</f>
        <v>18.0.0f0</v>
      </c>
      <c r="C78" s="74" t="str">
        <f>'Cmb Dev'!D60</f>
        <v>32</v>
      </c>
      <c r="D78" s="74" t="str">
        <f>'Cmb Dev'!E60</f>
        <v>2018</v>
      </c>
      <c r="E78" s="74" t="str">
        <f>'Cmb Dev'!F60</f>
        <v>Development</v>
      </c>
      <c r="F78" s="74" t="str">
        <f>'Cmb Dev'!G60</f>
        <v>NI</v>
      </c>
      <c r="G78" s="74" t="str">
        <f>'Cmb Dev'!H60</f>
        <v>Measurement &amp; Automation Explorer 18.0.0f0</v>
      </c>
      <c r="H78" s="74" t="str">
        <f>'Cmb Dev'!I60</f>
        <v>CompactRIO 18.1.0</v>
      </c>
    </row>
    <row r="79" spans="1:8" x14ac:dyDescent="0.25">
      <c r="A79" s="74" t="str">
        <f>'Cmb Dev'!B61</f>
        <v>Measurement &amp; Automation Explorer</v>
      </c>
      <c r="B79" s="74" t="str">
        <f>'Cmb Dev'!C61</f>
        <v>19.5.0f0</v>
      </c>
      <c r="C79" s="74" t="str">
        <f>'Cmb Dev'!D61</f>
        <v>32</v>
      </c>
      <c r="D79" s="74" t="str">
        <f>'Cmb Dev'!E61</f>
        <v>2019</v>
      </c>
      <c r="E79" s="74" t="str">
        <f>'Cmb Dev'!F61</f>
        <v>Development</v>
      </c>
      <c r="F79" s="74" t="str">
        <f>'Cmb Dev'!G61</f>
        <v>NI</v>
      </c>
      <c r="G79" s="74" t="str">
        <f>'Cmb Dev'!H61</f>
        <v>Measurement &amp; Automation Explorer 19.5.0f0</v>
      </c>
      <c r="H79" s="74">
        <f>'Cmb Dev'!I61</f>
        <v>0</v>
      </c>
    </row>
    <row r="80" spans="1:8" x14ac:dyDescent="0.25">
      <c r="A80" s="74" t="str">
        <f>'Cmb Dev'!B62</f>
        <v>Measurement &amp; Automation Explorer</v>
      </c>
      <c r="B80" s="74" t="str">
        <f>'Cmb Dev'!C62</f>
        <v>18.0</v>
      </c>
      <c r="C80" s="74" t="str">
        <f>'Cmb Dev'!D62</f>
        <v>32</v>
      </c>
      <c r="D80" s="74" t="str">
        <f>'Cmb Dev'!E62</f>
        <v>2018</v>
      </c>
      <c r="E80" s="74" t="str">
        <f>'Cmb Dev'!F62</f>
        <v>Development</v>
      </c>
      <c r="F80" s="74" t="str">
        <f>'Cmb Dev'!G62</f>
        <v>NI</v>
      </c>
      <c r="G80" s="74" t="str">
        <f>'Cmb Dev'!H62</f>
        <v>Measurement &amp; Automation Explorer 18.0</v>
      </c>
      <c r="H80" s="74" t="str">
        <f>'Cmb Dev'!I62</f>
        <v>CompactRIO 18.1.0</v>
      </c>
    </row>
    <row r="81" spans="1:8" x14ac:dyDescent="0.25">
      <c r="A81" s="74" t="str">
        <f>'Cmb Dev'!B63</f>
        <v>Measurement Studio</v>
      </c>
      <c r="B81" s="74">
        <f>'Cmb Dev'!C63</f>
        <v>0</v>
      </c>
      <c r="C81" s="74" t="str">
        <f>'Cmb Dev'!D63</f>
        <v>32</v>
      </c>
      <c r="D81" s="74" t="str">
        <f>'Cmb Dev'!E63</f>
        <v>2010</v>
      </c>
      <c r="E81" s="74" t="str">
        <f>'Cmb Dev'!F63</f>
        <v>Development</v>
      </c>
      <c r="F81" s="74" t="str">
        <f>'Cmb Dev'!G63</f>
        <v>NI</v>
      </c>
      <c r="G81" s="74" t="str">
        <f>'Cmb Dev'!H63</f>
        <v xml:space="preserve">Measurement Studio </v>
      </c>
      <c r="H81" s="74" t="str">
        <f>'Cmb Dev'!I63</f>
        <v>NI Developer Suite 2015 DS2 Install</v>
      </c>
    </row>
    <row r="82" spans="1:8" x14ac:dyDescent="0.25">
      <c r="A82" s="74" t="str">
        <f>'Cmb Dev'!B64</f>
        <v>Measurement Studio Common</v>
      </c>
      <c r="B82" s="74" t="str">
        <f>'Cmb Dev'!C64</f>
        <v>15.0.40.49154</v>
      </c>
      <c r="C82" s="74" t="str">
        <f>'Cmb Dev'!D64</f>
        <v>32</v>
      </c>
      <c r="D82" s="74" t="str">
        <f>'Cmb Dev'!E64</f>
        <v>2015</v>
      </c>
      <c r="E82" s="74" t="str">
        <f>'Cmb Dev'!F64</f>
        <v>Development</v>
      </c>
      <c r="F82" s="74" t="str">
        <f>'Cmb Dev'!G64</f>
        <v>NI</v>
      </c>
      <c r="G82" s="74" t="str">
        <f>'Cmb Dev'!H64</f>
        <v>Measurement Studio Common 15.0.40.49154</v>
      </c>
      <c r="H82" s="74" t="str">
        <f>'Cmb Dev'!I64</f>
        <v>NI Developer Suite 2015 DS2 Install</v>
      </c>
    </row>
    <row r="83" spans="1:8" x14ac:dyDescent="0.25">
      <c r="A83" s="74" t="str">
        <f>'Cmb Dev'!B65</f>
        <v>Measurement Studio Common</v>
      </c>
      <c r="B83" s="74" t="str">
        <f>'Cmb Dev'!C65</f>
        <v>15.1.40.49152</v>
      </c>
      <c r="C83" s="74" t="str">
        <f>'Cmb Dev'!D65</f>
        <v>32</v>
      </c>
      <c r="D83" s="74" t="str">
        <f>'Cmb Dev'!E65</f>
        <v>2015</v>
      </c>
      <c r="E83" s="74" t="str">
        <f>'Cmb Dev'!F65</f>
        <v>Development</v>
      </c>
      <c r="F83" s="74" t="str">
        <f>'Cmb Dev'!G65</f>
        <v>NI</v>
      </c>
      <c r="G83" s="74" t="str">
        <f>'Cmb Dev'!H65</f>
        <v>Measurement Studio Common 15.1.40.49152</v>
      </c>
      <c r="H83" s="74">
        <f>'Cmb Dev'!I65</f>
        <v>0</v>
      </c>
    </row>
    <row r="84" spans="1:8" x14ac:dyDescent="0.25">
      <c r="A84" s="74" t="str">
        <f>'Cmb Dev'!B66</f>
        <v>Measurement Studio Common</v>
      </c>
      <c r="B84" s="74" t="str">
        <f>'Cmb Dev'!C66</f>
        <v>12.0.20.258</v>
      </c>
      <c r="C84" s="74" t="str">
        <f>'Cmb Dev'!D66</f>
        <v>32</v>
      </c>
      <c r="D84" s="74" t="str">
        <f>'Cmb Dev'!E66</f>
        <v>2005</v>
      </c>
      <c r="E84" s="74" t="str">
        <f>'Cmb Dev'!F66</f>
        <v>Development</v>
      </c>
      <c r="F84" s="74" t="str">
        <f>'Cmb Dev'!G66</f>
        <v>NI</v>
      </c>
      <c r="G84" s="74" t="str">
        <f>'Cmb Dev'!H66</f>
        <v>Measurement Studio Common 12.0.20.258</v>
      </c>
      <c r="H84" s="74">
        <f>'Cmb Dev'!I66</f>
        <v>0</v>
      </c>
    </row>
    <row r="85" spans="1:8" x14ac:dyDescent="0.25">
      <c r="A85" s="74" t="str">
        <f>'Cmb Dev'!B67</f>
        <v>Measurement Studio Common</v>
      </c>
      <c r="B85" s="74" t="str">
        <f>'Cmb Dev'!C67</f>
        <v>13.5.35.173</v>
      </c>
      <c r="C85" s="74" t="str">
        <f>'Cmb Dev'!D67</f>
        <v>32</v>
      </c>
      <c r="D85" s="74" t="str">
        <f>'Cmb Dev'!E67</f>
        <v>2018</v>
      </c>
      <c r="E85" s="74" t="str">
        <f>'Cmb Dev'!F67</f>
        <v>Development</v>
      </c>
      <c r="F85" s="74" t="str">
        <f>'Cmb Dev'!G67</f>
        <v>NI</v>
      </c>
      <c r="G85" s="74" t="str">
        <f>'Cmb Dev'!H67</f>
        <v>Measurement Studio Common 13.5.35.173</v>
      </c>
      <c r="H85" s="74">
        <f>'Cmb Dev'!I67</f>
        <v>0</v>
      </c>
    </row>
    <row r="86" spans="1:8" x14ac:dyDescent="0.25">
      <c r="A86" s="74" t="str">
        <f>'Cmb Dev'!B68</f>
        <v>Measurement Studio DotNET</v>
      </c>
      <c r="B86" s="74">
        <f>'Cmb Dev'!C68</f>
        <v>0</v>
      </c>
      <c r="C86" s="74" t="str">
        <f>'Cmb Dev'!D68</f>
        <v>32</v>
      </c>
      <c r="D86" s="74" t="str">
        <f>'Cmb Dev'!E68</f>
        <v>2010</v>
      </c>
      <c r="E86" s="74" t="str">
        <f>'Cmb Dev'!F68</f>
        <v>Development</v>
      </c>
      <c r="F86" s="74" t="str">
        <f>'Cmb Dev'!G68</f>
        <v>NI</v>
      </c>
      <c r="G86" s="74" t="str">
        <f>'Cmb Dev'!H68</f>
        <v xml:space="preserve">Measurement Studio DotNET </v>
      </c>
      <c r="H86" s="74" t="str">
        <f>'Cmb Dev'!I68</f>
        <v>NI Developer Suite 2015 DS2 Install</v>
      </c>
    </row>
    <row r="87" spans="1:8" x14ac:dyDescent="0.25">
      <c r="A87" s="74" t="str">
        <f>'Cmb Dev'!B69</f>
        <v>Measurement Studio Vision</v>
      </c>
      <c r="B87" s="74">
        <f>'Cmb Dev'!C69</f>
        <v>0</v>
      </c>
      <c r="C87" s="74" t="str">
        <f>'Cmb Dev'!D69</f>
        <v>32</v>
      </c>
      <c r="D87" s="74" t="str">
        <f>'Cmb Dev'!E69</f>
        <v>2005</v>
      </c>
      <c r="E87" s="74" t="str">
        <f>'Cmb Dev'!F69</f>
        <v>Development</v>
      </c>
      <c r="F87" s="74" t="str">
        <f>'Cmb Dev'!G69</f>
        <v>NI</v>
      </c>
      <c r="G87" s="74" t="str">
        <f>'Cmb Dev'!H69</f>
        <v xml:space="preserve">Measurement Studio Vision </v>
      </c>
      <c r="H87" s="74">
        <f>'Cmb Dev'!I69</f>
        <v>0</v>
      </c>
    </row>
    <row r="88" spans="1:8" x14ac:dyDescent="0.25">
      <c r="A88" s="74" t="str">
        <f>'Cmb Dev'!B70</f>
        <v>MGI 1D Array</v>
      </c>
      <c r="B88" s="74" t="str">
        <f>'Cmb Dev'!C70</f>
        <v>1.0.2.3</v>
      </c>
      <c r="C88" s="74" t="str">
        <f>'Cmb Dev'!D70</f>
        <v>32</v>
      </c>
      <c r="D88" s="74" t="str">
        <f>'Cmb Dev'!E70</f>
        <v>N/A</v>
      </c>
      <c r="E88" s="74" t="str">
        <f>'Cmb Dev'!F70</f>
        <v>Development</v>
      </c>
      <c r="F88" s="74" t="str">
        <f>'Cmb Dev'!G70</f>
        <v>MGI</v>
      </c>
      <c r="G88" s="74" t="str">
        <f>'Cmb Dev'!H70</f>
        <v>MGI 1D Array 1.0.2.3</v>
      </c>
      <c r="H88" s="74" t="str">
        <f>'Cmb Dev'!I70</f>
        <v>VIPM Community</v>
      </c>
    </row>
    <row r="89" spans="1:8" x14ac:dyDescent="0.25">
      <c r="A89" s="74" t="str">
        <f>'Cmb Dev'!B71</f>
        <v>MGI 2D Array</v>
      </c>
      <c r="B89" s="74" t="str">
        <f>'Cmb Dev'!C71</f>
        <v>1.1.1.5</v>
      </c>
      <c r="C89" s="74" t="str">
        <f>'Cmb Dev'!D71</f>
        <v>32</v>
      </c>
      <c r="D89" s="74" t="str">
        <f>'Cmb Dev'!E71</f>
        <v>N/A</v>
      </c>
      <c r="E89" s="74" t="str">
        <f>'Cmb Dev'!F71</f>
        <v>Development</v>
      </c>
      <c r="F89" s="74" t="str">
        <f>'Cmb Dev'!G71</f>
        <v>MGI</v>
      </c>
      <c r="G89" s="74" t="str">
        <f>'Cmb Dev'!H71</f>
        <v>MGI 2D Array 1.1.1.5</v>
      </c>
      <c r="H89" s="74" t="str">
        <f>'Cmb Dev'!I71</f>
        <v>VIPM Community</v>
      </c>
    </row>
    <row r="90" spans="1:8" x14ac:dyDescent="0.25">
      <c r="A90" s="74" t="str">
        <f>'Cmb Dev'!B72</f>
        <v>MGI Actor Framework Message Maker</v>
      </c>
      <c r="B90" s="74" t="str">
        <f>'Cmb Dev'!C72</f>
        <v>1.0.1.6</v>
      </c>
      <c r="C90" s="74" t="str">
        <f>'Cmb Dev'!D72</f>
        <v>32</v>
      </c>
      <c r="D90" s="74" t="str">
        <f>'Cmb Dev'!E72</f>
        <v>N/A</v>
      </c>
      <c r="E90" s="74" t="str">
        <f>'Cmb Dev'!F72</f>
        <v>Development</v>
      </c>
      <c r="F90" s="74" t="str">
        <f>'Cmb Dev'!G72</f>
        <v>MGI</v>
      </c>
      <c r="G90" s="74" t="str">
        <f>'Cmb Dev'!H72</f>
        <v>MGI Actor Framework Message Maker 1.0.1.6</v>
      </c>
      <c r="H90" s="74" t="str">
        <f>'Cmb Dev'!I72</f>
        <v>VIPM Community</v>
      </c>
    </row>
    <row r="91" spans="1:8" x14ac:dyDescent="0.25">
      <c r="A91" s="74" t="str">
        <f>'Cmb Dev'!B73</f>
        <v>MGI Application Control</v>
      </c>
      <c r="B91" s="74" t="str">
        <f>'Cmb Dev'!C73</f>
        <v>1.1.1.10</v>
      </c>
      <c r="C91" s="74" t="str">
        <f>'Cmb Dev'!D73</f>
        <v>32</v>
      </c>
      <c r="D91" s="74" t="str">
        <f>'Cmb Dev'!E73</f>
        <v>N/A</v>
      </c>
      <c r="E91" s="74" t="str">
        <f>'Cmb Dev'!F73</f>
        <v>Development</v>
      </c>
      <c r="F91" s="74" t="str">
        <f>'Cmb Dev'!G73</f>
        <v>MGI</v>
      </c>
      <c r="G91" s="74" t="str">
        <f>'Cmb Dev'!H73</f>
        <v>MGI Application Control 1.1.1.10</v>
      </c>
      <c r="H91" s="74" t="str">
        <f>'Cmb Dev'!I73</f>
        <v>VIPM Community</v>
      </c>
    </row>
    <row r="92" spans="1:8" x14ac:dyDescent="0.25">
      <c r="A92" s="74" t="str">
        <f>'Cmb Dev'!B74</f>
        <v>MGI Bezier</v>
      </c>
      <c r="B92" s="74" t="str">
        <f>'Cmb Dev'!C74</f>
        <v>1.1.1.2</v>
      </c>
      <c r="C92" s="74" t="str">
        <f>'Cmb Dev'!D74</f>
        <v>32</v>
      </c>
      <c r="D92" s="74" t="str">
        <f>'Cmb Dev'!E74</f>
        <v>N/A</v>
      </c>
      <c r="E92" s="74" t="str">
        <f>'Cmb Dev'!F74</f>
        <v>Development</v>
      </c>
      <c r="F92" s="74" t="str">
        <f>'Cmb Dev'!G74</f>
        <v>MGI</v>
      </c>
      <c r="G92" s="74" t="str">
        <f>'Cmb Dev'!H74</f>
        <v>MGI Bezier 1.1.1.2</v>
      </c>
      <c r="H92" s="74" t="str">
        <f>'Cmb Dev'!I74</f>
        <v>VIPM Community</v>
      </c>
    </row>
    <row r="93" spans="1:8" x14ac:dyDescent="0.25">
      <c r="A93" s="74" t="str">
        <f>'Cmb Dev'!B75</f>
        <v>MGI Boolean</v>
      </c>
      <c r="B93" s="74" t="str">
        <f>'Cmb Dev'!C75</f>
        <v>1.0.1.3</v>
      </c>
      <c r="C93" s="74" t="str">
        <f>'Cmb Dev'!D75</f>
        <v>32</v>
      </c>
      <c r="D93" s="74" t="str">
        <f>'Cmb Dev'!E75</f>
        <v>N/A</v>
      </c>
      <c r="E93" s="74" t="str">
        <f>'Cmb Dev'!F75</f>
        <v>Development</v>
      </c>
      <c r="F93" s="74" t="str">
        <f>'Cmb Dev'!G75</f>
        <v>MGI</v>
      </c>
      <c r="G93" s="74" t="str">
        <f>'Cmb Dev'!H75</f>
        <v>MGI Boolean 1.0.1.3</v>
      </c>
      <c r="H93" s="74" t="str">
        <f>'Cmb Dev'!I75</f>
        <v>VIPM Community</v>
      </c>
    </row>
    <row r="94" spans="1:8" x14ac:dyDescent="0.25">
      <c r="A94" s="74" t="str">
        <f>'Cmb Dev'!B76</f>
        <v>MGI Class Method Browser</v>
      </c>
      <c r="B94" s="74" t="str">
        <f>'Cmb Dev'!C76</f>
        <v>1.0.0.20</v>
      </c>
      <c r="C94" s="74" t="str">
        <f>'Cmb Dev'!D76</f>
        <v>32</v>
      </c>
      <c r="D94" s="74" t="str">
        <f>'Cmb Dev'!E76</f>
        <v>N/A</v>
      </c>
      <c r="E94" s="74" t="str">
        <f>'Cmb Dev'!F76</f>
        <v>Development</v>
      </c>
      <c r="F94" s="74" t="str">
        <f>'Cmb Dev'!G76</f>
        <v>MGI</v>
      </c>
      <c r="G94" s="74" t="str">
        <f>'Cmb Dev'!H76</f>
        <v>MGI Class Method Browser 1.0.0.20</v>
      </c>
      <c r="H94" s="74" t="str">
        <f>'Cmb Dev'!I76</f>
        <v>VIPM Community</v>
      </c>
    </row>
    <row r="95" spans="1:8" x14ac:dyDescent="0.25">
      <c r="A95" s="74" t="str">
        <f>'Cmb Dev'!B77</f>
        <v>MGI Cluster</v>
      </c>
      <c r="B95" s="74" t="str">
        <f>'Cmb Dev'!C77</f>
        <v>1.1.0.1</v>
      </c>
      <c r="C95" s="74" t="str">
        <f>'Cmb Dev'!D77</f>
        <v>32</v>
      </c>
      <c r="D95" s="74" t="str">
        <f>'Cmb Dev'!E77</f>
        <v>N/A</v>
      </c>
      <c r="E95" s="74" t="str">
        <f>'Cmb Dev'!F77</f>
        <v>Development</v>
      </c>
      <c r="F95" s="74" t="str">
        <f>'Cmb Dev'!G77</f>
        <v>MGI</v>
      </c>
      <c r="G95" s="74" t="str">
        <f>'Cmb Dev'!H77</f>
        <v>MGI Cluster 1.1.0.1</v>
      </c>
      <c r="H95" s="74" t="str">
        <f>'Cmb Dev'!I77</f>
        <v>VIPM Community</v>
      </c>
    </row>
    <row r="96" spans="1:8" x14ac:dyDescent="0.25">
      <c r="A96" s="74" t="str">
        <f>'Cmb Dev'!B78</f>
        <v>MGI Coordinates</v>
      </c>
      <c r="B96" s="74" t="str">
        <f>'Cmb Dev'!C78</f>
        <v>1.1.1.2</v>
      </c>
      <c r="C96" s="74" t="str">
        <f>'Cmb Dev'!D78</f>
        <v>32</v>
      </c>
      <c r="D96" s="74" t="str">
        <f>'Cmb Dev'!E78</f>
        <v>N/A</v>
      </c>
      <c r="E96" s="74" t="str">
        <f>'Cmb Dev'!F78</f>
        <v>Development</v>
      </c>
      <c r="F96" s="74" t="str">
        <f>'Cmb Dev'!G78</f>
        <v>MGI</v>
      </c>
      <c r="G96" s="74" t="str">
        <f>'Cmb Dev'!H78</f>
        <v>MGI Coordinates 1.1.1.2</v>
      </c>
      <c r="H96" s="74" t="str">
        <f>'Cmb Dev'!I78</f>
        <v>VIPM Community</v>
      </c>
    </row>
    <row r="97" spans="1:8" x14ac:dyDescent="0.25">
      <c r="A97" s="74" t="str">
        <f>'Cmb Dev'!B79</f>
        <v>MGI Error Handling</v>
      </c>
      <c r="B97" s="74" t="str">
        <f>'Cmb Dev'!C79</f>
        <v>1.1.1.3</v>
      </c>
      <c r="C97" s="74" t="str">
        <f>'Cmb Dev'!D79</f>
        <v>32</v>
      </c>
      <c r="D97" s="74" t="str">
        <f>'Cmb Dev'!E79</f>
        <v>N/A</v>
      </c>
      <c r="E97" s="74" t="str">
        <f>'Cmb Dev'!F79</f>
        <v>Development</v>
      </c>
      <c r="F97" s="74" t="str">
        <f>'Cmb Dev'!G79</f>
        <v>MGI</v>
      </c>
      <c r="G97" s="74" t="str">
        <f>'Cmb Dev'!H79</f>
        <v>MGI Error Handling 1.1.1.3</v>
      </c>
      <c r="H97" s="74" t="str">
        <f>'Cmb Dev'!I79</f>
        <v>VIPM Community</v>
      </c>
    </row>
    <row r="98" spans="1:8" x14ac:dyDescent="0.25">
      <c r="A98" s="74" t="str">
        <f>'Cmb Dev'!B80</f>
        <v>MGI Error Reporter</v>
      </c>
      <c r="B98" s="74" t="str">
        <f>'Cmb Dev'!C80</f>
        <v>1.0.2.5</v>
      </c>
      <c r="C98" s="74" t="str">
        <f>'Cmb Dev'!D80</f>
        <v>32</v>
      </c>
      <c r="D98" s="74" t="str">
        <f>'Cmb Dev'!E80</f>
        <v>N/A</v>
      </c>
      <c r="E98" s="74" t="str">
        <f>'Cmb Dev'!F80</f>
        <v>Development</v>
      </c>
      <c r="F98" s="74" t="str">
        <f>'Cmb Dev'!G80</f>
        <v>MGI</v>
      </c>
      <c r="G98" s="74" t="str">
        <f>'Cmb Dev'!H80</f>
        <v>MGI Error Reporter 1.0.2.5</v>
      </c>
      <c r="H98" s="74" t="str">
        <f>'Cmb Dev'!I80</f>
        <v>VIPM Community</v>
      </c>
    </row>
    <row r="99" spans="1:8" x14ac:dyDescent="0.25">
      <c r="A99" s="74" t="str">
        <f>'Cmb Dev'!B81</f>
        <v>MGI File</v>
      </c>
      <c r="B99" s="74" t="str">
        <f>'Cmb Dev'!C81</f>
        <v>1.1.0.4</v>
      </c>
      <c r="C99" s="74" t="str">
        <f>'Cmb Dev'!D81</f>
        <v>32</v>
      </c>
      <c r="D99" s="74" t="str">
        <f>'Cmb Dev'!E81</f>
        <v>N/A</v>
      </c>
      <c r="E99" s="74" t="str">
        <f>'Cmb Dev'!F81</f>
        <v>Development</v>
      </c>
      <c r="F99" s="74" t="str">
        <f>'Cmb Dev'!G81</f>
        <v>MGI</v>
      </c>
      <c r="G99" s="74" t="str">
        <f>'Cmb Dev'!H81</f>
        <v>MGI File 1.1.0.4</v>
      </c>
      <c r="H99" s="74" t="str">
        <f>'Cmb Dev'!I81</f>
        <v>VIPM Community</v>
      </c>
    </row>
    <row r="100" spans="1:8" x14ac:dyDescent="0.25">
      <c r="A100" s="74" t="str">
        <f>'Cmb Dev'!B82</f>
        <v>MGI Graph</v>
      </c>
      <c r="B100" s="74" t="str">
        <f>'Cmb Dev'!C82</f>
        <v>1.0.2.6</v>
      </c>
      <c r="C100" s="74" t="str">
        <f>'Cmb Dev'!D82</f>
        <v>32</v>
      </c>
      <c r="D100" s="74" t="str">
        <f>'Cmb Dev'!E82</f>
        <v>N/A</v>
      </c>
      <c r="E100" s="74" t="str">
        <f>'Cmb Dev'!F82</f>
        <v>Development</v>
      </c>
      <c r="F100" s="74" t="str">
        <f>'Cmb Dev'!G82</f>
        <v>MGI</v>
      </c>
      <c r="G100" s="74" t="str">
        <f>'Cmb Dev'!H82</f>
        <v>MGI Graph 1.0.2.6</v>
      </c>
      <c r="H100" s="74" t="str">
        <f>'Cmb Dev'!I82</f>
        <v>VIPM Community</v>
      </c>
    </row>
    <row r="101" spans="1:8" x14ac:dyDescent="0.25">
      <c r="A101" s="74" t="str">
        <f>'Cmb Dev'!B83</f>
        <v>MGI Library</v>
      </c>
      <c r="B101" s="74" t="str">
        <f>'Cmb Dev'!C83</f>
        <v>1.2.0.4</v>
      </c>
      <c r="C101" s="74" t="str">
        <f>'Cmb Dev'!D83</f>
        <v>32</v>
      </c>
      <c r="D101" s="74" t="str">
        <f>'Cmb Dev'!E83</f>
        <v>N/A</v>
      </c>
      <c r="E101" s="74" t="str">
        <f>'Cmb Dev'!F83</f>
        <v>Development</v>
      </c>
      <c r="F101" s="74" t="str">
        <f>'Cmb Dev'!G83</f>
        <v>MGI</v>
      </c>
      <c r="G101" s="74" t="str">
        <f>'Cmb Dev'!H83</f>
        <v>MGI Library 1.2.0.4</v>
      </c>
      <c r="H101" s="74" t="str">
        <f>'Cmb Dev'!I83</f>
        <v>VIPM Community</v>
      </c>
    </row>
    <row r="102" spans="1:8" x14ac:dyDescent="0.25">
      <c r="A102" s="74" t="str">
        <f>'Cmb Dev'!B84</f>
        <v>MGI Matrix &amp; Vector</v>
      </c>
      <c r="B102" s="74" t="str">
        <f>'Cmb Dev'!C84</f>
        <v>1.1.0.1</v>
      </c>
      <c r="C102" s="74" t="str">
        <f>'Cmb Dev'!D84</f>
        <v>32</v>
      </c>
      <c r="D102" s="74" t="str">
        <f>'Cmb Dev'!E84</f>
        <v>N/A</v>
      </c>
      <c r="E102" s="74" t="str">
        <f>'Cmb Dev'!F84</f>
        <v>Development</v>
      </c>
      <c r="F102" s="74" t="str">
        <f>'Cmb Dev'!G84</f>
        <v>MGI</v>
      </c>
      <c r="G102" s="74" t="str">
        <f>'Cmb Dev'!H84</f>
        <v>MGI Matrix &amp; Vector 1.1.0.1</v>
      </c>
      <c r="H102" s="74" t="str">
        <f>'Cmb Dev'!I84</f>
        <v>VIPM Community</v>
      </c>
    </row>
    <row r="103" spans="1:8" x14ac:dyDescent="0.25">
      <c r="A103" s="74" t="str">
        <f>'Cmb Dev'!B85</f>
        <v>MGI Menu Building</v>
      </c>
      <c r="B103" s="74" t="str">
        <f>'Cmb Dev'!C85</f>
        <v>1.0.1.4</v>
      </c>
      <c r="C103" s="74" t="str">
        <f>'Cmb Dev'!D85</f>
        <v>32</v>
      </c>
      <c r="D103" s="74" t="str">
        <f>'Cmb Dev'!E85</f>
        <v>N/A</v>
      </c>
      <c r="E103" s="74" t="str">
        <f>'Cmb Dev'!F85</f>
        <v>Development</v>
      </c>
      <c r="F103" s="74" t="str">
        <f>'Cmb Dev'!G85</f>
        <v>MGI</v>
      </c>
      <c r="G103" s="74" t="str">
        <f>'Cmb Dev'!H85</f>
        <v>MGI Menu Building 1.0.1.4</v>
      </c>
      <c r="H103" s="74" t="str">
        <f>'Cmb Dev'!I85</f>
        <v>VIPM Community</v>
      </c>
    </row>
    <row r="104" spans="1:8" x14ac:dyDescent="0.25">
      <c r="A104" s="74" t="str">
        <f>'Cmb Dev'!B86</f>
        <v>MGI Monitored Actor</v>
      </c>
      <c r="B104" s="74" t="str">
        <f>'Cmb Dev'!C86</f>
        <v>2.0.0.23</v>
      </c>
      <c r="C104" s="74" t="str">
        <f>'Cmb Dev'!D86</f>
        <v>32</v>
      </c>
      <c r="D104" s="74" t="str">
        <f>'Cmb Dev'!E86</f>
        <v>N/A</v>
      </c>
      <c r="E104" s="74" t="str">
        <f>'Cmb Dev'!F86</f>
        <v>Development</v>
      </c>
      <c r="F104" s="74" t="str">
        <f>'Cmb Dev'!G86</f>
        <v>MGI</v>
      </c>
      <c r="G104" s="74" t="str">
        <f>'Cmb Dev'!H86</f>
        <v>MGI Monitored Actor 2.0.0.23</v>
      </c>
      <c r="H104" s="74" t="str">
        <f>'Cmb Dev'!I86</f>
        <v>VIPM Community</v>
      </c>
    </row>
    <row r="105" spans="1:8" x14ac:dyDescent="0.25">
      <c r="A105" s="74" t="str">
        <f>'Cmb Dev'!B87</f>
        <v>MGI Numeric</v>
      </c>
      <c r="B105" s="74" t="str">
        <f>'Cmb Dev'!C87</f>
        <v>1.1.0.2</v>
      </c>
      <c r="C105" s="74" t="str">
        <f>'Cmb Dev'!D87</f>
        <v>32</v>
      </c>
      <c r="D105" s="74" t="str">
        <f>'Cmb Dev'!E87</f>
        <v>N/A</v>
      </c>
      <c r="E105" s="74" t="str">
        <f>'Cmb Dev'!F87</f>
        <v>Development</v>
      </c>
      <c r="F105" s="74" t="str">
        <f>'Cmb Dev'!G87</f>
        <v>MGI</v>
      </c>
      <c r="G105" s="74" t="str">
        <f>'Cmb Dev'!H87</f>
        <v>MGI Numeric 1.1.0.2</v>
      </c>
      <c r="H105" s="74" t="str">
        <f>'Cmb Dev'!I87</f>
        <v>VIPM Community</v>
      </c>
    </row>
    <row r="106" spans="1:8" x14ac:dyDescent="0.25">
      <c r="A106" s="74" t="str">
        <f>'Cmb Dev'!B88</f>
        <v>MGI Panel Manager</v>
      </c>
      <c r="B106" s="74" t="str">
        <f>'Cmb Dev'!C88</f>
        <v>1.0.1.4</v>
      </c>
      <c r="C106" s="74" t="str">
        <f>'Cmb Dev'!D88</f>
        <v>32</v>
      </c>
      <c r="D106" s="74" t="str">
        <f>'Cmb Dev'!E88</f>
        <v>N/A</v>
      </c>
      <c r="E106" s="74" t="str">
        <f>'Cmb Dev'!F88</f>
        <v>Development</v>
      </c>
      <c r="F106" s="74" t="str">
        <f>'Cmb Dev'!G88</f>
        <v>MGI</v>
      </c>
      <c r="G106" s="74" t="str">
        <f>'Cmb Dev'!H88</f>
        <v>MGI Panel Manager 1.0.1.4</v>
      </c>
      <c r="H106" s="74" t="str">
        <f>'Cmb Dev'!I88</f>
        <v>VIPM Community</v>
      </c>
    </row>
    <row r="107" spans="1:8" x14ac:dyDescent="0.25">
      <c r="A107" s="74" t="str">
        <f>'Cmb Dev'!B89</f>
        <v>MGI Panel Manager - DQMH Panels</v>
      </c>
      <c r="B107" s="74" t="str">
        <f>'Cmb Dev'!C89</f>
        <v>1.0.1.6</v>
      </c>
      <c r="C107" s="74" t="str">
        <f>'Cmb Dev'!D89</f>
        <v>32</v>
      </c>
      <c r="D107" s="74" t="str">
        <f>'Cmb Dev'!E89</f>
        <v>N/A</v>
      </c>
      <c r="E107" s="74" t="str">
        <f>'Cmb Dev'!F89</f>
        <v>Development</v>
      </c>
      <c r="F107" s="74" t="str">
        <f>'Cmb Dev'!G89</f>
        <v>MGI</v>
      </c>
      <c r="G107" s="74" t="str">
        <f>'Cmb Dev'!H89</f>
        <v>MGI Panel Manager - DQMH Panels 1.0.1.6</v>
      </c>
      <c r="H107" s="74" t="str">
        <f>'Cmb Dev'!I89</f>
        <v>VIPM Community</v>
      </c>
    </row>
    <row r="108" spans="1:8" x14ac:dyDescent="0.25">
      <c r="A108" s="74" t="str">
        <f>'Cmb Dev'!B90</f>
        <v>MGI Picture &amp; Image</v>
      </c>
      <c r="B108" s="74" t="str">
        <f>'Cmb Dev'!C90</f>
        <v>1.0.2.1</v>
      </c>
      <c r="C108" s="74" t="str">
        <f>'Cmb Dev'!D90</f>
        <v>32</v>
      </c>
      <c r="D108" s="74" t="str">
        <f>'Cmb Dev'!E90</f>
        <v>N/A</v>
      </c>
      <c r="E108" s="74" t="str">
        <f>'Cmb Dev'!F90</f>
        <v>Development</v>
      </c>
      <c r="F108" s="74" t="str">
        <f>'Cmb Dev'!G90</f>
        <v>MGI</v>
      </c>
      <c r="G108" s="74" t="str">
        <f>'Cmb Dev'!H90</f>
        <v>MGI Picture &amp; Image 1.0.2.1</v>
      </c>
      <c r="H108" s="74" t="str">
        <f>'Cmb Dev'!I90</f>
        <v>VIPM Community</v>
      </c>
    </row>
    <row r="109" spans="1:8" x14ac:dyDescent="0.25">
      <c r="A109" s="74" t="str">
        <f>'Cmb Dev'!B91</f>
        <v>MGI Read/Write Anything</v>
      </c>
      <c r="B109" s="74" t="str">
        <f>'Cmb Dev'!C91</f>
        <v>2.1.4.4</v>
      </c>
      <c r="C109" s="74" t="str">
        <f>'Cmb Dev'!D91</f>
        <v>32</v>
      </c>
      <c r="D109" s="74" t="str">
        <f>'Cmb Dev'!E91</f>
        <v>N/A</v>
      </c>
      <c r="E109" s="74" t="str">
        <f>'Cmb Dev'!F91</f>
        <v>Development</v>
      </c>
      <c r="F109" s="74" t="str">
        <f>'Cmb Dev'!G91</f>
        <v>MGI</v>
      </c>
      <c r="G109" s="74" t="str">
        <f>'Cmb Dev'!H91</f>
        <v>MGI Read/Write Anything 2.1.4.4</v>
      </c>
      <c r="H109" s="74" t="str">
        <f>'Cmb Dev'!I91</f>
        <v>VIPM Community</v>
      </c>
    </row>
    <row r="110" spans="1:8" x14ac:dyDescent="0.25">
      <c r="A110" s="74" t="str">
        <f>'Cmb Dev'!B92</f>
        <v>MGI Robust XML</v>
      </c>
      <c r="B110" s="74" t="str">
        <f>'Cmb Dev'!C92</f>
        <v>1.0.3.4</v>
      </c>
      <c r="C110" s="74" t="str">
        <f>'Cmb Dev'!D92</f>
        <v>32</v>
      </c>
      <c r="D110" s="74" t="str">
        <f>'Cmb Dev'!E92</f>
        <v>N/A</v>
      </c>
      <c r="E110" s="74" t="str">
        <f>'Cmb Dev'!F92</f>
        <v>Development</v>
      </c>
      <c r="F110" s="74" t="str">
        <f>'Cmb Dev'!G92</f>
        <v>MGI</v>
      </c>
      <c r="G110" s="74" t="str">
        <f>'Cmb Dev'!H92</f>
        <v>MGI Robust XML 1.0.3.4</v>
      </c>
      <c r="H110" s="74" t="str">
        <f>'Cmb Dev'!I92</f>
        <v>VIPM Community</v>
      </c>
    </row>
    <row r="111" spans="1:8" x14ac:dyDescent="0.25">
      <c r="A111" s="74" t="str">
        <f>'Cmb Dev'!B93</f>
        <v>MGI Spline</v>
      </c>
      <c r="B111" s="74" t="str">
        <f>'Cmb Dev'!C93</f>
        <v>1.1.0.1</v>
      </c>
      <c r="C111" s="74" t="str">
        <f>'Cmb Dev'!D93</f>
        <v>32</v>
      </c>
      <c r="D111" s="74" t="str">
        <f>'Cmb Dev'!E93</f>
        <v>N/A</v>
      </c>
      <c r="E111" s="74" t="str">
        <f>'Cmb Dev'!F93</f>
        <v>Development</v>
      </c>
      <c r="F111" s="74" t="str">
        <f>'Cmb Dev'!G93</f>
        <v>MGI</v>
      </c>
      <c r="G111" s="74" t="str">
        <f>'Cmb Dev'!H93</f>
        <v>MGI Spline 1.1.0.1</v>
      </c>
      <c r="H111" s="74" t="str">
        <f>'Cmb Dev'!I93</f>
        <v>VIPM Community</v>
      </c>
    </row>
    <row r="112" spans="1:8" x14ac:dyDescent="0.25">
      <c r="A112" s="74" t="str">
        <f>'Cmb Dev'!B94</f>
        <v>MGI String</v>
      </c>
      <c r="B112" s="74" t="str">
        <f>'Cmb Dev'!C94</f>
        <v>1.1.1.5</v>
      </c>
      <c r="C112" s="74" t="str">
        <f>'Cmb Dev'!D94</f>
        <v>32</v>
      </c>
      <c r="D112" s="74" t="str">
        <f>'Cmb Dev'!E94</f>
        <v>N/A</v>
      </c>
      <c r="E112" s="74" t="str">
        <f>'Cmb Dev'!F94</f>
        <v>Development</v>
      </c>
      <c r="F112" s="74" t="str">
        <f>'Cmb Dev'!G94</f>
        <v>MGI</v>
      </c>
      <c r="G112" s="74" t="str">
        <f>'Cmb Dev'!H94</f>
        <v>MGI String 1.1.1.5</v>
      </c>
      <c r="H112" s="74" t="str">
        <f>'Cmb Dev'!I94</f>
        <v>VIPM Community</v>
      </c>
    </row>
    <row r="113" spans="1:8" x14ac:dyDescent="0.25">
      <c r="A113" s="74" t="str">
        <f>'Cmb Dev'!B95</f>
        <v>MGI Timing</v>
      </c>
      <c r="B113" s="74" t="str">
        <f>'Cmb Dev'!C95</f>
        <v>1.1.0.2</v>
      </c>
      <c r="C113" s="74" t="str">
        <f>'Cmb Dev'!D95</f>
        <v>32</v>
      </c>
      <c r="D113" s="74" t="str">
        <f>'Cmb Dev'!E95</f>
        <v>N/A</v>
      </c>
      <c r="E113" s="74" t="str">
        <f>'Cmb Dev'!F95</f>
        <v>Development</v>
      </c>
      <c r="F113" s="74" t="str">
        <f>'Cmb Dev'!G95</f>
        <v>MGI</v>
      </c>
      <c r="G113" s="74" t="str">
        <f>'Cmb Dev'!H95</f>
        <v>MGI Timing 1.1.0.2</v>
      </c>
      <c r="H113" s="74" t="str">
        <f>'Cmb Dev'!I95</f>
        <v>VIPM Community</v>
      </c>
    </row>
    <row r="114" spans="1:8" x14ac:dyDescent="0.25">
      <c r="A114" s="74" t="str">
        <f>'Cmb Dev'!B96</f>
        <v>MGI Tools</v>
      </c>
      <c r="B114" s="74" t="str">
        <f>'Cmb Dev'!C96</f>
        <v>1.0.0.4</v>
      </c>
      <c r="C114" s="74" t="str">
        <f>'Cmb Dev'!D96</f>
        <v>32</v>
      </c>
      <c r="D114" s="74" t="str">
        <f>'Cmb Dev'!E96</f>
        <v>N/A</v>
      </c>
      <c r="E114" s="74" t="str">
        <f>'Cmb Dev'!F96</f>
        <v>Development</v>
      </c>
      <c r="F114" s="74" t="str">
        <f>'Cmb Dev'!G96</f>
        <v>MGI</v>
      </c>
      <c r="G114" s="74" t="str">
        <f>'Cmb Dev'!H96</f>
        <v>MGI Tools 1.0.0.4</v>
      </c>
      <c r="H114" s="74" t="str">
        <f>'Cmb Dev'!I96</f>
        <v>VIPM Community</v>
      </c>
    </row>
    <row r="115" spans="1:8" x14ac:dyDescent="0.25">
      <c r="A115" s="74" t="str">
        <f>'Cmb Dev'!B97</f>
        <v>MGI Tree</v>
      </c>
      <c r="B115" s="74" t="str">
        <f>'Cmb Dev'!C97</f>
        <v>1.0.4.4</v>
      </c>
      <c r="C115" s="74" t="str">
        <f>'Cmb Dev'!D97</f>
        <v>32</v>
      </c>
      <c r="D115" s="74" t="str">
        <f>'Cmb Dev'!E97</f>
        <v>N/A</v>
      </c>
      <c r="E115" s="74" t="str">
        <f>'Cmb Dev'!F97</f>
        <v>Development</v>
      </c>
      <c r="F115" s="74" t="str">
        <f>'Cmb Dev'!G97</f>
        <v>MGI</v>
      </c>
      <c r="G115" s="74" t="str">
        <f>'Cmb Dev'!H97</f>
        <v>MGI Tree 1.0.4.4</v>
      </c>
      <c r="H115" s="74" t="str">
        <f>'Cmb Dev'!I97</f>
        <v>VIPM Community</v>
      </c>
    </row>
    <row r="116" spans="1:8" x14ac:dyDescent="0.25">
      <c r="A116" s="74" t="str">
        <f>'Cmb Dev'!B98</f>
        <v>MGI User Interface</v>
      </c>
      <c r="B116" s="74" t="str">
        <f>'Cmb Dev'!C98</f>
        <v>1.0.1.11</v>
      </c>
      <c r="C116" s="74" t="str">
        <f>'Cmb Dev'!D98</f>
        <v>32</v>
      </c>
      <c r="D116" s="74" t="str">
        <f>'Cmb Dev'!E98</f>
        <v>N/A</v>
      </c>
      <c r="E116" s="74" t="str">
        <f>'Cmb Dev'!F98</f>
        <v>Development</v>
      </c>
      <c r="F116" s="74" t="str">
        <f>'Cmb Dev'!G98</f>
        <v>MGI</v>
      </c>
      <c r="G116" s="74" t="str">
        <f>'Cmb Dev'!H98</f>
        <v>MGI User Interface 1.0.1.11</v>
      </c>
      <c r="H116" s="74" t="str">
        <f>'Cmb Dev'!I98</f>
        <v>VIPM Community</v>
      </c>
    </row>
    <row r="117" spans="1:8" x14ac:dyDescent="0.25">
      <c r="A117" s="74" t="str">
        <f>'Cmb Dev'!B99</f>
        <v>MGI WSA Framework</v>
      </c>
      <c r="B117" s="74" t="str">
        <f>'Cmb Dev'!C99</f>
        <v>1.0.0.27</v>
      </c>
      <c r="C117" s="74" t="str">
        <f>'Cmb Dev'!D99</f>
        <v>32</v>
      </c>
      <c r="D117" s="74" t="str">
        <f>'Cmb Dev'!E99</f>
        <v>N/A</v>
      </c>
      <c r="E117" s="74" t="str">
        <f>'Cmb Dev'!F99</f>
        <v>Development</v>
      </c>
      <c r="F117" s="74" t="str">
        <f>'Cmb Dev'!G99</f>
        <v>MGI</v>
      </c>
      <c r="G117" s="74" t="str">
        <f>'Cmb Dev'!H99</f>
        <v>MGI WSA Framework 1.0.0.27</v>
      </c>
      <c r="H117" s="74" t="str">
        <f>'Cmb Dev'!I99</f>
        <v>VIPM Community</v>
      </c>
    </row>
    <row r="118" spans="1:8" x14ac:dyDescent="0.25">
      <c r="A118" s="74" t="str">
        <f>'Cmb Dev'!B100</f>
        <v>NI 1588-2008 Network Management</v>
      </c>
      <c r="B118" s="74" t="str">
        <f>'Cmb Dev'!C100</f>
        <v>15.0.0f0</v>
      </c>
      <c r="C118" s="74" t="str">
        <f>'Cmb Dev'!D100</f>
        <v>32</v>
      </c>
      <c r="D118" s="74" t="str">
        <f>'Cmb Dev'!E100</f>
        <v>2015</v>
      </c>
      <c r="E118" s="74" t="str">
        <f>'Cmb Dev'!F100</f>
        <v>Development</v>
      </c>
      <c r="F118" s="74" t="str">
        <f>'Cmb Dev'!G100</f>
        <v>NI</v>
      </c>
      <c r="G118" s="74" t="str">
        <f>'Cmb Dev'!H100</f>
        <v>NI 1588-2008 Network Management 15.0.0f0</v>
      </c>
      <c r="H118" s="74" t="str">
        <f>'Cmb Dev'!I100</f>
        <v>NI Developer Suite 2015 DS2 Install</v>
      </c>
    </row>
    <row r="119" spans="1:8" x14ac:dyDescent="0.25">
      <c r="A119" s="74" t="str">
        <f>'Cmb Dev'!B101</f>
        <v>NI 1588-2008 Network Management 15.0.0</v>
      </c>
      <c r="B119" s="74" t="str">
        <f>'Cmb Dev'!C101</f>
        <v>15.0.0f0</v>
      </c>
      <c r="C119" s="74">
        <f>'Cmb Dev'!D101</f>
        <v>32</v>
      </c>
      <c r="D119" s="74">
        <f>'Cmb Dev'!E101</f>
        <v>2015</v>
      </c>
      <c r="E119" s="74" t="str">
        <f>'Cmb Dev'!F101</f>
        <v>Development</v>
      </c>
      <c r="F119" s="74" t="str">
        <f>'Cmb Dev'!G101</f>
        <v>NI</v>
      </c>
      <c r="G119" s="74" t="str">
        <f>'Cmb Dev'!H101</f>
        <v>NI 1588-2008 Network Management 15.0.0 15.0.0f0</v>
      </c>
      <c r="H119" s="74" t="str">
        <f>'Cmb Dev'!I101</f>
        <v>NI Developer Suite 2015 DS2 Install</v>
      </c>
    </row>
    <row r="120" spans="1:8" x14ac:dyDescent="0.25">
      <c r="A120" s="74" t="str">
        <f>'Cmb Dev'!B102</f>
        <v>NI Asynchronous Message Communication (AMC) Library</v>
      </c>
      <c r="B120" s="74" t="str">
        <f>'Cmb Dev'!C102</f>
        <v>3.3.1.22</v>
      </c>
      <c r="C120" s="74" t="str">
        <f>'Cmb Dev'!D102</f>
        <v>32</v>
      </c>
      <c r="D120" s="74" t="str">
        <f>'Cmb Dev'!E102</f>
        <v>N/A</v>
      </c>
      <c r="E120" s="74" t="str">
        <f>'Cmb Dev'!F102</f>
        <v>Development</v>
      </c>
      <c r="F120" s="74" t="str">
        <f>'Cmb Dev'!G102</f>
        <v>NI</v>
      </c>
      <c r="G120" s="74" t="str">
        <f>'Cmb Dev'!H102</f>
        <v>NI Asynchronous Message Communication (AMC) Library 3.3.1.22</v>
      </c>
      <c r="H120" s="74" t="str">
        <f>'Cmb Dev'!I102</f>
        <v>VIPM Community</v>
      </c>
    </row>
    <row r="121" spans="1:8" x14ac:dyDescent="0.25">
      <c r="A121" s="74" t="str">
        <f>'Cmb Dev'!B103</f>
        <v>NI CompactRIO Information (CRI) Library</v>
      </c>
      <c r="B121" s="74" t="str">
        <f>'Cmb Dev'!C103</f>
        <v>2015.0.0.1</v>
      </c>
      <c r="C121" s="74" t="str">
        <f>'Cmb Dev'!D103</f>
        <v>32</v>
      </c>
      <c r="D121" s="74" t="str">
        <f>'Cmb Dev'!E103</f>
        <v>2015</v>
      </c>
      <c r="E121" s="74" t="str">
        <f>'Cmb Dev'!F103</f>
        <v>Development</v>
      </c>
      <c r="F121" s="74" t="str">
        <f>'Cmb Dev'!G103</f>
        <v>NI</v>
      </c>
      <c r="G121" s="74" t="str">
        <f>'Cmb Dev'!H103</f>
        <v>NI CompactRIO Information (CRI) Library 2015.0.0.1</v>
      </c>
      <c r="H121" s="74" t="str">
        <f>'Cmb Dev'!I103</f>
        <v>VIPM Community</v>
      </c>
    </row>
    <row r="122" spans="1:8" x14ac:dyDescent="0.25">
      <c r="A122" s="74" t="str">
        <f>'Cmb Dev'!B104</f>
        <v>NI GXML</v>
      </c>
      <c r="B122" s="74" t="str">
        <f>'Cmb Dev'!C104</f>
        <v>1.4.2.8</v>
      </c>
      <c r="C122" s="74" t="str">
        <f>'Cmb Dev'!D104</f>
        <v>32</v>
      </c>
      <c r="D122" s="74" t="str">
        <f>'Cmb Dev'!E104</f>
        <v>N/A</v>
      </c>
      <c r="E122" s="74" t="str">
        <f>'Cmb Dev'!F104</f>
        <v>Development</v>
      </c>
      <c r="F122" s="74" t="str">
        <f>'Cmb Dev'!G104</f>
        <v>NI</v>
      </c>
      <c r="G122" s="74" t="str">
        <f>'Cmb Dev'!H104</f>
        <v>NI GXML 1.4.2.8</v>
      </c>
      <c r="H122" s="74" t="str">
        <f>'Cmb Dev'!I104</f>
        <v>VIPM Community</v>
      </c>
    </row>
    <row r="123" spans="1:8" x14ac:dyDescent="0.25">
      <c r="A123" s="74" t="str">
        <f>'Cmb Dev'!B105</f>
        <v>NI I/O Trace</v>
      </c>
      <c r="B123" s="74" t="str">
        <f>'Cmb Dev'!C105</f>
        <v>15.0.0f0</v>
      </c>
      <c r="C123" s="74" t="str">
        <f>'Cmb Dev'!D105</f>
        <v>32</v>
      </c>
      <c r="D123" s="74" t="str">
        <f>'Cmb Dev'!E105</f>
        <v>2015</v>
      </c>
      <c r="E123" s="74" t="str">
        <f>'Cmb Dev'!F105</f>
        <v>Development</v>
      </c>
      <c r="F123" s="74" t="str">
        <f>'Cmb Dev'!G105</f>
        <v>NI</v>
      </c>
      <c r="G123" s="74" t="str">
        <f>'Cmb Dev'!H105</f>
        <v>NI I/O Trace 15.0.0f0</v>
      </c>
      <c r="H123" s="74" t="str">
        <f>'Cmb Dev'!I105</f>
        <v>NI Developer Suite 2015 DS2 Install</v>
      </c>
    </row>
    <row r="124" spans="1:8" x14ac:dyDescent="0.25">
      <c r="A124" s="74" t="str">
        <f>'Cmb Dev'!B106</f>
        <v>NI I/O Trace</v>
      </c>
      <c r="B124" s="74" t="str">
        <f>'Cmb Dev'!C106</f>
        <v>19.0.0f0</v>
      </c>
      <c r="C124" s="74">
        <f>'Cmb Dev'!D106</f>
        <v>32</v>
      </c>
      <c r="D124" s="74">
        <f>'Cmb Dev'!E106</f>
        <v>2019</v>
      </c>
      <c r="E124" s="74" t="str">
        <f>'Cmb Dev'!F106</f>
        <v>Development</v>
      </c>
      <c r="F124" s="74" t="str">
        <f>'Cmb Dev'!G106</f>
        <v>NI</v>
      </c>
      <c r="G124" s="74" t="str">
        <f>'Cmb Dev'!H106</f>
        <v>NI I/O Trace 19.0.0f0</v>
      </c>
      <c r="H124" s="74" t="str">
        <f>'Cmb Dev'!I106</f>
        <v>NI Developer Suite 2015 DS2 Install</v>
      </c>
    </row>
    <row r="125" spans="1:8" x14ac:dyDescent="0.25">
      <c r="A125" s="74" t="str">
        <f>'Cmb Dev'!B107</f>
        <v>NI I/O Trace</v>
      </c>
      <c r="B125" s="74" t="str">
        <f>'Cmb Dev'!C107</f>
        <v>18.5.0f0</v>
      </c>
      <c r="C125" s="74" t="str">
        <f>'Cmb Dev'!D107</f>
        <v>32</v>
      </c>
      <c r="D125" s="74" t="str">
        <f>'Cmb Dev'!E107</f>
        <v>2018</v>
      </c>
      <c r="E125" s="74" t="str">
        <f>'Cmb Dev'!F107</f>
        <v>Development</v>
      </c>
      <c r="F125" s="74" t="str">
        <f>'Cmb Dev'!G107</f>
        <v>NI</v>
      </c>
      <c r="G125" s="74" t="str">
        <f>'Cmb Dev'!H107</f>
        <v>NI I/O Trace 18.5.0f0</v>
      </c>
      <c r="H125" s="74" t="str">
        <f>'Cmb Dev'!I107</f>
        <v>NI Developer Suite 2015 DS2 Install</v>
      </c>
    </row>
    <row r="126" spans="1:8" x14ac:dyDescent="0.25">
      <c r="A126" s="74" t="str">
        <f>'Cmb Dev'!B108</f>
        <v>NI I/O Trace</v>
      </c>
      <c r="B126" s="74" t="str">
        <f>'Cmb Dev'!C108</f>
        <v>18.1</v>
      </c>
      <c r="C126" s="74" t="str">
        <f>'Cmb Dev'!D108</f>
        <v>32</v>
      </c>
      <c r="D126" s="74" t="str">
        <f>'Cmb Dev'!E108</f>
        <v>2018</v>
      </c>
      <c r="E126" s="74" t="str">
        <f>'Cmb Dev'!F108</f>
        <v>Development</v>
      </c>
      <c r="F126" s="74" t="str">
        <f>'Cmb Dev'!G108</f>
        <v>NI</v>
      </c>
      <c r="G126" s="74" t="str">
        <f>'Cmb Dev'!H108</f>
        <v>NI I/O Trace 18.1</v>
      </c>
      <c r="H126" s="74">
        <f>'Cmb Dev'!I108</f>
        <v>0</v>
      </c>
    </row>
    <row r="127" spans="1:8" x14ac:dyDescent="0.25">
      <c r="A127" s="74" t="str">
        <f>'Cmb Dev'!B109</f>
        <v>NI Keyed Array Library</v>
      </c>
      <c r="B127" s="74" t="str">
        <f>'Cmb Dev'!C109</f>
        <v>2.0.0.11</v>
      </c>
      <c r="C127" s="74" t="str">
        <f>'Cmb Dev'!D109</f>
        <v>32</v>
      </c>
      <c r="D127" s="74" t="str">
        <f>'Cmb Dev'!E109</f>
        <v>N/A</v>
      </c>
      <c r="E127" s="74" t="str">
        <f>'Cmb Dev'!F109</f>
        <v>Development</v>
      </c>
      <c r="F127" s="74" t="str">
        <f>'Cmb Dev'!G109</f>
        <v>NI</v>
      </c>
      <c r="G127" s="74" t="str">
        <f>'Cmb Dev'!H109</f>
        <v>NI Keyed Array Library 2.0.0.11</v>
      </c>
      <c r="H127" s="74" t="str">
        <f>'Cmb Dev'!I109</f>
        <v>VIPM Community</v>
      </c>
    </row>
    <row r="128" spans="1:8" x14ac:dyDescent="0.25">
      <c r="A128" s="74" t="str">
        <f>'Cmb Dev'!B110</f>
        <v>NI Modbus Library</v>
      </c>
      <c r="B128" s="74" t="str">
        <f>'Cmb Dev'!C110</f>
        <v>1.2.1.42</v>
      </c>
      <c r="C128" s="74" t="str">
        <f>'Cmb Dev'!D110</f>
        <v>32</v>
      </c>
      <c r="D128" s="74" t="str">
        <f>'Cmb Dev'!E110</f>
        <v>N/A</v>
      </c>
      <c r="E128" s="74" t="str">
        <f>'Cmb Dev'!F110</f>
        <v>Development</v>
      </c>
      <c r="F128" s="74" t="str">
        <f>'Cmb Dev'!G110</f>
        <v>NI</v>
      </c>
      <c r="G128" s="74" t="str">
        <f>'Cmb Dev'!H110</f>
        <v>NI Modbus Library 1.2.1.42</v>
      </c>
      <c r="H128" s="74" t="str">
        <f>'Cmb Dev'!I110</f>
        <v>VIPM Community</v>
      </c>
    </row>
    <row r="129" spans="1:8" x14ac:dyDescent="0.25">
      <c r="A129" s="74" t="str">
        <f>'Cmb Run'!B22</f>
        <v>NI PXI Platform Services</v>
      </c>
      <c r="B129" s="74" t="str">
        <f>'Cmb Run'!C22</f>
        <v>19.5.0f0</v>
      </c>
      <c r="C129" s="74" t="str">
        <f>'Cmb Run'!D22</f>
        <v>32</v>
      </c>
      <c r="D129" s="74" t="str">
        <f>'Cmb Run'!E22</f>
        <v>2019</v>
      </c>
      <c r="E129" s="74" t="str">
        <f>'Cmb Run'!F22</f>
        <v>Runtime</v>
      </c>
      <c r="F129" s="74" t="str">
        <f>'Cmb Run'!G22</f>
        <v>NI</v>
      </c>
      <c r="G129" s="74" t="str">
        <f>'Cmb Run'!H22</f>
        <v>NI PXI Platform Services 19.5.0f0</v>
      </c>
      <c r="H129" s="74">
        <f>'Cmb Run'!I22</f>
        <v>0</v>
      </c>
    </row>
    <row r="130" spans="1:8" x14ac:dyDescent="0.25">
      <c r="A130" s="74" t="str">
        <f>'Cmb Run'!B23</f>
        <v>NI PXI Platform Services</v>
      </c>
      <c r="B130" s="74" t="str">
        <f>'Cmb Run'!C23</f>
        <v>15.0.0f1</v>
      </c>
      <c r="C130" s="74">
        <f>'Cmb Run'!D23</f>
        <v>32</v>
      </c>
      <c r="D130" s="74">
        <f>'Cmb Run'!E23</f>
        <v>2015</v>
      </c>
      <c r="E130" s="74" t="str">
        <f>'Cmb Run'!F23</f>
        <v>Runtime</v>
      </c>
      <c r="F130" s="74" t="str">
        <f>'Cmb Run'!G23</f>
        <v>NI</v>
      </c>
      <c r="G130" s="74" t="str">
        <f>'Cmb Run'!H23</f>
        <v>NI PXI Platform Services 15.0.0f1</v>
      </c>
      <c r="H130" s="74" t="str">
        <f>'Cmb Run'!I23</f>
        <v>NI Developer Suite 2015 DS2 Install</v>
      </c>
    </row>
    <row r="131" spans="1:8" x14ac:dyDescent="0.25">
      <c r="A131" s="74" t="str">
        <f>'Cmb Run'!B24</f>
        <v>NI PXI Platform Services</v>
      </c>
      <c r="B131" s="74" t="str">
        <f>'Cmb Run'!C24</f>
        <v>18.0</v>
      </c>
      <c r="C131" s="74" t="str">
        <f>'Cmb Run'!D24</f>
        <v>32</v>
      </c>
      <c r="D131" s="74" t="str">
        <f>'Cmb Run'!E24</f>
        <v>2018</v>
      </c>
      <c r="E131" s="74" t="str">
        <f>'Cmb Run'!F24</f>
        <v>Runtime</v>
      </c>
      <c r="F131" s="74" t="str">
        <f>'Cmb Run'!G24</f>
        <v>NI</v>
      </c>
      <c r="G131" s="74" t="str">
        <f>'Cmb Run'!H24</f>
        <v>NI PXI Platform Services 18.0</v>
      </c>
      <c r="H131" s="74" t="str">
        <f>'Cmb Run'!I24</f>
        <v>CompactRIO 18.1.0</v>
      </c>
    </row>
    <row r="132" spans="1:8" x14ac:dyDescent="0.25">
      <c r="A132" s="74" t="str">
        <f>'Cmb Dev'!B111</f>
        <v>NI PXI Platform Services Configuration</v>
      </c>
      <c r="B132" s="74" t="str">
        <f>'Cmb Dev'!C111</f>
        <v>15.0.0f1</v>
      </c>
      <c r="C132" s="74" t="str">
        <f>'Cmb Dev'!D111</f>
        <v>32</v>
      </c>
      <c r="D132" s="74" t="str">
        <f>'Cmb Dev'!E111</f>
        <v>2015</v>
      </c>
      <c r="E132" s="74" t="str">
        <f>'Cmb Dev'!F111</f>
        <v>Development</v>
      </c>
      <c r="F132" s="74" t="str">
        <f>'Cmb Dev'!G111</f>
        <v>NI</v>
      </c>
      <c r="G132" s="74" t="str">
        <f>'Cmb Dev'!H111</f>
        <v>NI PXI Platform Services Configuration 15.0.0f1</v>
      </c>
      <c r="H132" s="74" t="str">
        <f>'Cmb Dev'!I111</f>
        <v>NI Developer Suite 2015 DS2 Install</v>
      </c>
    </row>
    <row r="133" spans="1:8" x14ac:dyDescent="0.25">
      <c r="A133" s="74" t="str">
        <f>'Cmb Dev'!B112</f>
        <v>NI PXI Platform Services Configuration</v>
      </c>
      <c r="B133" s="74" t="str">
        <f>'Cmb Dev'!C112</f>
        <v>19.5.0f0</v>
      </c>
      <c r="C133" s="74" t="str">
        <f>'Cmb Dev'!D112</f>
        <v>32</v>
      </c>
      <c r="D133" s="74" t="str">
        <f>'Cmb Dev'!E112</f>
        <v>2019</v>
      </c>
      <c r="E133" s="74" t="str">
        <f>'Cmb Dev'!F112</f>
        <v>Development</v>
      </c>
      <c r="F133" s="74" t="str">
        <f>'Cmb Dev'!G112</f>
        <v>NI</v>
      </c>
      <c r="G133" s="74" t="str">
        <f>'Cmb Dev'!H112</f>
        <v>NI PXI Platform Services Configuration 19.5.0f0</v>
      </c>
      <c r="H133" s="74">
        <f>'Cmb Dev'!I112</f>
        <v>0</v>
      </c>
    </row>
    <row r="134" spans="1:8" x14ac:dyDescent="0.25">
      <c r="A134" s="74" t="str">
        <f>'Cmb Dev'!B113</f>
        <v>NI PXI Platform Services Configuration</v>
      </c>
      <c r="B134" s="74" t="str">
        <f>'Cmb Dev'!C113</f>
        <v>18.0.0f0</v>
      </c>
      <c r="C134" s="74" t="str">
        <f>'Cmb Dev'!D113</f>
        <v>32</v>
      </c>
      <c r="D134" s="74" t="str">
        <f>'Cmb Dev'!E113</f>
        <v>2018</v>
      </c>
      <c r="E134" s="74" t="str">
        <f>'Cmb Dev'!F113</f>
        <v>Development</v>
      </c>
      <c r="F134" s="74" t="str">
        <f>'Cmb Dev'!G113</f>
        <v>NI</v>
      </c>
      <c r="G134" s="74" t="str">
        <f>'Cmb Dev'!H113</f>
        <v>NI PXI Platform Services Configuration 18.0.0f0</v>
      </c>
      <c r="H134" s="74" t="str">
        <f>'Cmb Dev'!I113</f>
        <v>CompactRIO 18.1.0</v>
      </c>
    </row>
    <row r="135" spans="1:8" x14ac:dyDescent="0.25">
      <c r="A135" s="74" t="str">
        <f>'Cmb Dev'!B114</f>
        <v>NI PXI Platform Services Configuration</v>
      </c>
      <c r="B135" s="74" t="str">
        <f>'Cmb Dev'!C114</f>
        <v>18.5.0f2</v>
      </c>
      <c r="C135" s="74" t="str">
        <f>'Cmb Dev'!D114</f>
        <v>32</v>
      </c>
      <c r="D135" s="74" t="str">
        <f>'Cmb Dev'!E114</f>
        <v>2018</v>
      </c>
      <c r="E135" s="74" t="str">
        <f>'Cmb Dev'!F114</f>
        <v>Development</v>
      </c>
      <c r="F135" s="74" t="str">
        <f>'Cmb Dev'!G114</f>
        <v>NI</v>
      </c>
      <c r="G135" s="74" t="str">
        <f>'Cmb Dev'!H114</f>
        <v>NI PXI Platform Services Configuration 18.5.0f2</v>
      </c>
      <c r="H135" s="74">
        <f>'Cmb Dev'!I114</f>
        <v>0</v>
      </c>
    </row>
    <row r="136" spans="1:8" x14ac:dyDescent="0.25">
      <c r="A136" s="74" t="str">
        <f>'Cmb Dev'!B115</f>
        <v>NI PXI Platform Services Configuration</v>
      </c>
      <c r="B136" s="74" t="str">
        <f>'Cmb Dev'!C115</f>
        <v>18.0</v>
      </c>
      <c r="C136" s="74" t="str">
        <f>'Cmb Dev'!D115</f>
        <v>32</v>
      </c>
      <c r="D136" s="74" t="str">
        <f>'Cmb Dev'!E115</f>
        <v>2018</v>
      </c>
      <c r="E136" s="74" t="str">
        <f>'Cmb Dev'!F115</f>
        <v>Development</v>
      </c>
      <c r="F136" s="74" t="str">
        <f>'Cmb Dev'!G115</f>
        <v>NI</v>
      </c>
      <c r="G136" s="74" t="str">
        <f>'Cmb Dev'!H115</f>
        <v>NI PXI Platform Services Configuration 18.0</v>
      </c>
      <c r="H136" s="74" t="str">
        <f>'Cmb Dev'!I115</f>
        <v>CompactRIO 18.1.0</v>
      </c>
    </row>
    <row r="137" spans="1:8" x14ac:dyDescent="0.25">
      <c r="A137" s="74" t="str">
        <f>'Cmb Dev'!B116</f>
        <v>NI R Series Multifunction RIO</v>
      </c>
      <c r="B137" s="74" t="str">
        <f>'Cmb Dev'!C116</f>
        <v>15.0.0</v>
      </c>
      <c r="C137" s="74" t="str">
        <f>'Cmb Dev'!D116</f>
        <v>32</v>
      </c>
      <c r="D137" s="74" t="str">
        <f>'Cmb Dev'!E116</f>
        <v>2015</v>
      </c>
      <c r="E137" s="74" t="str">
        <f>'Cmb Dev'!F116</f>
        <v>Development</v>
      </c>
      <c r="F137" s="74" t="str">
        <f>'Cmb Dev'!G116</f>
        <v>NI</v>
      </c>
      <c r="G137" s="74" t="str">
        <f>'Cmb Dev'!H116</f>
        <v>NI R Series Multifunction RIO 15.0.0</v>
      </c>
      <c r="H137" s="74" t="str">
        <f>'Cmb Dev'!I116</f>
        <v>NI Developer Suite 2015 DS2 Install</v>
      </c>
    </row>
    <row r="138" spans="1:8" x14ac:dyDescent="0.25">
      <c r="A138" s="74" t="str">
        <f>'Cmb Dev'!B117</f>
        <v>NI R Series Multifunction RIO</v>
      </c>
      <c r="B138" s="74" t="str">
        <f>'Cmb Dev'!C117</f>
        <v>15.5.0</v>
      </c>
      <c r="C138" s="74" t="str">
        <f>'Cmb Dev'!D117</f>
        <v>32</v>
      </c>
      <c r="D138" s="74">
        <f>'Cmb Dev'!E117</f>
        <v>2015</v>
      </c>
      <c r="E138" s="74" t="str">
        <f>'Cmb Dev'!F117</f>
        <v>Development</v>
      </c>
      <c r="F138" s="74" t="str">
        <f>'Cmb Dev'!G117</f>
        <v>NI</v>
      </c>
      <c r="G138" s="74" t="str">
        <f>'Cmb Dev'!H117</f>
        <v>NI R Series Multifunction RIO 15.5.0</v>
      </c>
      <c r="H138" s="74">
        <f>'Cmb Dev'!I117</f>
        <v>0</v>
      </c>
    </row>
    <row r="139" spans="1:8" x14ac:dyDescent="0.25">
      <c r="A139" s="74" t="str">
        <f>'Cmb Dev'!B118</f>
        <v>NI Script Editor</v>
      </c>
      <c r="B139" s="74" t="str">
        <f>'Cmb Dev'!C118</f>
        <v>14.0</v>
      </c>
      <c r="C139" s="74" t="str">
        <f>'Cmb Dev'!D118</f>
        <v>32</v>
      </c>
      <c r="D139" s="74" t="str">
        <f>'Cmb Dev'!E118</f>
        <v>2014</v>
      </c>
      <c r="E139" s="74" t="str">
        <f>'Cmb Dev'!F118</f>
        <v>Development</v>
      </c>
      <c r="F139" s="74" t="str">
        <f>'Cmb Dev'!G118</f>
        <v>NI</v>
      </c>
      <c r="G139" s="74" t="str">
        <f>'Cmb Dev'!H118</f>
        <v>NI Script Editor 14.0</v>
      </c>
      <c r="H139" s="74" t="str">
        <f>'Cmb Dev'!I118</f>
        <v>NI Developer Suite 2015 DS2 Install</v>
      </c>
    </row>
    <row r="140" spans="1:8" x14ac:dyDescent="0.25">
      <c r="A140" s="74" t="str">
        <f>'Cmb Run'!B25</f>
        <v>NI Serial</v>
      </c>
      <c r="B140" s="74" t="str">
        <f>'Cmb Run'!C25</f>
        <v>17.5</v>
      </c>
      <c r="C140" s="74" t="str">
        <f>'Cmb Run'!D25</f>
        <v>32</v>
      </c>
      <c r="D140" s="74" t="str">
        <f>'Cmb Run'!E25</f>
        <v>2017</v>
      </c>
      <c r="E140" s="74" t="str">
        <f>'Cmb Run'!F25</f>
        <v>Runtime</v>
      </c>
      <c r="F140" s="74" t="str">
        <f>'Cmb Run'!G25</f>
        <v>NI</v>
      </c>
      <c r="G140" s="74" t="str">
        <f>'Cmb Run'!H25</f>
        <v>NI Serial 17.5</v>
      </c>
      <c r="H140" s="74">
        <f>'Cmb Run'!I25</f>
        <v>0</v>
      </c>
    </row>
    <row r="141" spans="1:8" x14ac:dyDescent="0.25">
      <c r="A141" s="74" t="str">
        <f>'Cmb Dev'!B119</f>
        <v>NI SignalExpress</v>
      </c>
      <c r="B141" s="74">
        <f>'Cmb Dev'!C119</f>
        <v>0</v>
      </c>
      <c r="C141" s="74" t="str">
        <f>'Cmb Dev'!D119</f>
        <v>32</v>
      </c>
      <c r="D141" s="74" t="str">
        <f>'Cmb Dev'!E119</f>
        <v>2015</v>
      </c>
      <c r="E141" s="74" t="str">
        <f>'Cmb Dev'!F119</f>
        <v>Development</v>
      </c>
      <c r="F141" s="74" t="str">
        <f>'Cmb Dev'!G119</f>
        <v>NI</v>
      </c>
      <c r="G141" s="74" t="str">
        <f>'Cmb Dev'!H119</f>
        <v xml:space="preserve">NI SignalExpress </v>
      </c>
      <c r="H141" s="74" t="str">
        <f>'Cmb Dev'!I119</f>
        <v>NI Developer Suite 2015 DS2 Install</v>
      </c>
    </row>
    <row r="142" spans="1:8" x14ac:dyDescent="0.25">
      <c r="A142" s="74" t="str">
        <f>'Cmb Dev'!B120</f>
        <v>NI SignalExpress</v>
      </c>
      <c r="B142" s="74" t="str">
        <f>'Cmb Dev'!C120</f>
        <v>15.0</v>
      </c>
      <c r="C142" s="74" t="str">
        <f>'Cmb Dev'!D120</f>
        <v>32</v>
      </c>
      <c r="D142" s="74" t="str">
        <f>'Cmb Dev'!E120</f>
        <v>2015</v>
      </c>
      <c r="E142" s="74" t="str">
        <f>'Cmb Dev'!F120</f>
        <v>Development</v>
      </c>
      <c r="F142" s="74" t="str">
        <f>'Cmb Dev'!G120</f>
        <v>NI</v>
      </c>
      <c r="G142" s="74" t="str">
        <f>'Cmb Dev'!H120</f>
        <v>NI SignalExpress 15.0</v>
      </c>
      <c r="H142" s="74" t="str">
        <f>'Cmb Dev'!I120</f>
        <v>NI Developer Suite 2015 DS2 Install</v>
      </c>
    </row>
    <row r="143" spans="1:8" x14ac:dyDescent="0.25">
      <c r="A143" s="74" t="str">
        <f>'Cmb Dev'!B121</f>
        <v>NI String Tools Library</v>
      </c>
      <c r="B143" s="74" t="str">
        <f>'Cmb Dev'!C121</f>
        <v>2.0.0.5</v>
      </c>
      <c r="C143" s="74" t="str">
        <f>'Cmb Dev'!D121</f>
        <v>32</v>
      </c>
      <c r="D143" s="74" t="str">
        <f>'Cmb Dev'!E121</f>
        <v>N/A</v>
      </c>
      <c r="E143" s="74" t="str">
        <f>'Cmb Dev'!F121</f>
        <v>Development</v>
      </c>
      <c r="F143" s="74" t="str">
        <f>'Cmb Dev'!G121</f>
        <v>NI</v>
      </c>
      <c r="G143" s="74" t="str">
        <f>'Cmb Dev'!H121</f>
        <v>NI String Tools Library 2.0.0.5</v>
      </c>
      <c r="H143" s="74" t="str">
        <f>'Cmb Dev'!I121</f>
        <v>VIPM Community</v>
      </c>
    </row>
    <row r="144" spans="1:8" x14ac:dyDescent="0.25">
      <c r="A144" s="74" t="str">
        <f>'Cmb Dev'!B122</f>
        <v>NI System Configuration</v>
      </c>
      <c r="B144" s="74" t="str">
        <f>'Cmb Dev'!C122</f>
        <v>19.5.0f0</v>
      </c>
      <c r="C144" s="74" t="str">
        <f>'Cmb Dev'!D122</f>
        <v>32</v>
      </c>
      <c r="D144" s="74" t="str">
        <f>'Cmb Dev'!E122</f>
        <v>2019</v>
      </c>
      <c r="E144" s="74" t="str">
        <f>'Cmb Dev'!F122</f>
        <v>Development</v>
      </c>
      <c r="F144" s="74" t="str">
        <f>'Cmb Dev'!G122</f>
        <v>NI</v>
      </c>
      <c r="G144" s="74" t="str">
        <f>'Cmb Dev'!H122</f>
        <v>NI System Configuration 19.5.0f0</v>
      </c>
      <c r="H144" s="74">
        <f>'Cmb Dev'!I122</f>
        <v>0</v>
      </c>
    </row>
    <row r="145" spans="1:8" x14ac:dyDescent="0.25">
      <c r="A145" s="74" t="str">
        <f>'Cmb Dev'!B123</f>
        <v>NI System Configuration</v>
      </c>
      <c r="B145" s="74" t="str">
        <f>'Cmb Dev'!C123</f>
        <v>19.0.0f0</v>
      </c>
      <c r="C145" s="74">
        <f>'Cmb Dev'!D123</f>
        <v>32</v>
      </c>
      <c r="D145" s="74">
        <f>'Cmb Dev'!E123</f>
        <v>2019</v>
      </c>
      <c r="E145" s="74" t="str">
        <f>'Cmb Dev'!F123</f>
        <v>Development</v>
      </c>
      <c r="F145" s="74" t="str">
        <f>'Cmb Dev'!G123</f>
        <v>NI</v>
      </c>
      <c r="G145" s="74" t="str">
        <f>'Cmb Dev'!H123</f>
        <v>NI System Configuration 19.0.0f0</v>
      </c>
      <c r="H145" s="74" t="str">
        <f>'Cmb Dev'!I123</f>
        <v>LabVIEW 2019</v>
      </c>
    </row>
    <row r="146" spans="1:8" x14ac:dyDescent="0.25">
      <c r="A146" s="74" t="str">
        <f>'Cmb Dev'!B124</f>
        <v>NI System Configuration</v>
      </c>
      <c r="B146" s="74" t="str">
        <f>'Cmb Dev'!C124</f>
        <v>18.1</v>
      </c>
      <c r="C146" s="74" t="str">
        <f>'Cmb Dev'!D124</f>
        <v>32</v>
      </c>
      <c r="D146" s="74" t="str">
        <f>'Cmb Dev'!E124</f>
        <v>2018</v>
      </c>
      <c r="E146" s="74" t="str">
        <f>'Cmb Dev'!F124</f>
        <v>Development</v>
      </c>
      <c r="F146" s="74" t="str">
        <f>'Cmb Dev'!G124</f>
        <v>NI</v>
      </c>
      <c r="G146" s="74" t="str">
        <f>'Cmb Dev'!H124</f>
        <v>NI System Configuration 18.1</v>
      </c>
      <c r="H146" s="74">
        <f>'Cmb Dev'!I124</f>
        <v>0</v>
      </c>
    </row>
    <row r="147" spans="1:8" x14ac:dyDescent="0.25">
      <c r="A147" s="74" t="str">
        <f>'Cmb Run'!B26</f>
        <v>NI-488.2</v>
      </c>
      <c r="B147" s="74" t="str">
        <f>'Cmb Run'!C26</f>
        <v>19.5.0</v>
      </c>
      <c r="C147" s="74" t="str">
        <f>'Cmb Run'!D26</f>
        <v>32</v>
      </c>
      <c r="D147" s="74" t="str">
        <f>'Cmb Run'!E26</f>
        <v>2019</v>
      </c>
      <c r="E147" s="74" t="str">
        <f>'Cmb Run'!F26</f>
        <v>Runtime</v>
      </c>
      <c r="F147" s="74" t="str">
        <f>'Cmb Run'!G26</f>
        <v>NI</v>
      </c>
      <c r="G147" s="74" t="str">
        <f>'Cmb Run'!H26</f>
        <v>NI-488.2 19.5.0</v>
      </c>
      <c r="H147" s="74">
        <f>'Cmb Run'!I26</f>
        <v>0</v>
      </c>
    </row>
    <row r="148" spans="1:8" x14ac:dyDescent="0.25">
      <c r="A148" s="74" t="str">
        <f>'Cmb Dev'!B125</f>
        <v>NI-488.2</v>
      </c>
      <c r="B148" s="74" t="str">
        <f>'Cmb Dev'!C125</f>
        <v>15.0.0</v>
      </c>
      <c r="C148" s="74" t="str">
        <f>'Cmb Dev'!D125</f>
        <v>32</v>
      </c>
      <c r="D148" s="74" t="str">
        <f>'Cmb Dev'!E125</f>
        <v>2015</v>
      </c>
      <c r="E148" s="74" t="str">
        <f>'Cmb Dev'!F125</f>
        <v>Development</v>
      </c>
      <c r="F148" s="74" t="str">
        <f>'Cmb Dev'!G125</f>
        <v>NI</v>
      </c>
      <c r="G148" s="74" t="str">
        <f>'Cmb Dev'!H125</f>
        <v>NI-488.2 15.0.0</v>
      </c>
      <c r="H148" s="74" t="str">
        <f>'Cmb Dev'!I125</f>
        <v>NI Developer Suite 2015 DS2 Install</v>
      </c>
    </row>
    <row r="149" spans="1:8" x14ac:dyDescent="0.25">
      <c r="A149" s="74" t="str">
        <f>'Cmb Run'!B27</f>
        <v>NI-488.2</v>
      </c>
      <c r="B149" s="74" t="str">
        <f>'Cmb Run'!C27</f>
        <v>19.0.0</v>
      </c>
      <c r="C149" s="74">
        <f>'Cmb Run'!D27</f>
        <v>32</v>
      </c>
      <c r="D149" s="74">
        <f>'Cmb Run'!E27</f>
        <v>2019</v>
      </c>
      <c r="E149" s="74" t="str">
        <f>'Cmb Run'!F27</f>
        <v>Runtime</v>
      </c>
      <c r="F149" s="74" t="str">
        <f>'Cmb Run'!G27</f>
        <v>NI</v>
      </c>
      <c r="G149" s="74" t="str">
        <f>'Cmb Run'!H27</f>
        <v>NI-488.2 19.0.0</v>
      </c>
      <c r="H149" s="74" t="str">
        <f>'Cmb Run'!I27</f>
        <v>LabVIEW 2019</v>
      </c>
    </row>
    <row r="150" spans="1:8" x14ac:dyDescent="0.25">
      <c r="A150" s="74" t="str">
        <f>'Cmb Dev'!B126</f>
        <v>NI-488.2</v>
      </c>
      <c r="B150" s="74" t="str">
        <f>'Cmb Dev'!C126</f>
        <v>15.5.0</v>
      </c>
      <c r="C150" s="74" t="str">
        <f>'Cmb Dev'!D126</f>
        <v>32</v>
      </c>
      <c r="D150" s="74" t="str">
        <f>'Cmb Dev'!E126</f>
        <v>2019</v>
      </c>
      <c r="E150" s="74" t="str">
        <f>'Cmb Dev'!F126</f>
        <v>Development</v>
      </c>
      <c r="F150" s="74" t="str">
        <f>'Cmb Dev'!G126</f>
        <v>NI</v>
      </c>
      <c r="G150" s="74" t="str">
        <f>'Cmb Dev'!H126</f>
        <v>NI-488.2 15.5.0</v>
      </c>
      <c r="H150" s="74">
        <f>'Cmb Dev'!I126</f>
        <v>0</v>
      </c>
    </row>
    <row r="151" spans="1:8" x14ac:dyDescent="0.25">
      <c r="A151" s="74" t="str">
        <f>'Cmb Run'!B28</f>
        <v>NI-488.2</v>
      </c>
      <c r="B151" s="74" t="str">
        <f>'Cmb Run'!C28</f>
        <v>15.5</v>
      </c>
      <c r="C151" s="74" t="str">
        <f>'Cmb Run'!D28</f>
        <v>32</v>
      </c>
      <c r="D151" s="74" t="str">
        <f>'Cmb Run'!E28</f>
        <v>2015</v>
      </c>
      <c r="E151" s="74" t="str">
        <f>'Cmb Run'!F28</f>
        <v>Runtime</v>
      </c>
      <c r="F151" s="74" t="str">
        <f>'Cmb Run'!G28</f>
        <v>NI</v>
      </c>
      <c r="G151" s="74" t="str">
        <f>'Cmb Run'!H28</f>
        <v>NI-488.2 15.5</v>
      </c>
      <c r="H151" s="74">
        <f>'Cmb Run'!I28</f>
        <v>0</v>
      </c>
    </row>
    <row r="152" spans="1:8" x14ac:dyDescent="0.25">
      <c r="A152" s="74" t="str">
        <f>'Cmb Dev'!B127</f>
        <v>NI-CAN</v>
      </c>
      <c r="B152" s="74" t="str">
        <f>'Cmb Dev'!C127</f>
        <v>15.0.0f0</v>
      </c>
      <c r="C152" s="74" t="str">
        <f>'Cmb Dev'!D127</f>
        <v>32</v>
      </c>
      <c r="D152" s="74">
        <f>'Cmb Dev'!E127</f>
        <v>2015</v>
      </c>
      <c r="E152" s="74" t="str">
        <f>'Cmb Dev'!F127</f>
        <v>Development</v>
      </c>
      <c r="F152" s="74" t="str">
        <f>'Cmb Dev'!G127</f>
        <v>NI</v>
      </c>
      <c r="G152" s="74" t="str">
        <f>'Cmb Dev'!H127</f>
        <v>NI-CAN 15.0.0f0</v>
      </c>
      <c r="H152" s="74">
        <f>'Cmb Dev'!I127</f>
        <v>0</v>
      </c>
    </row>
    <row r="153" spans="1:8" x14ac:dyDescent="0.25">
      <c r="A153" s="74" t="str">
        <f>'Cmb Dev'!B128</f>
        <v>NI-DAQmx ADE Support</v>
      </c>
      <c r="B153" s="74" t="str">
        <f>'Cmb Dev'!C128</f>
        <v>15.0.0</v>
      </c>
      <c r="C153" s="74" t="str">
        <f>'Cmb Dev'!D128</f>
        <v>32</v>
      </c>
      <c r="D153" s="74" t="str">
        <f>'Cmb Dev'!E128</f>
        <v>2015</v>
      </c>
      <c r="E153" s="74" t="str">
        <f>'Cmb Dev'!F128</f>
        <v>Development</v>
      </c>
      <c r="F153" s="74" t="str">
        <f>'Cmb Dev'!G128</f>
        <v>NI</v>
      </c>
      <c r="G153" s="74" t="str">
        <f>'Cmb Dev'!H128</f>
        <v>NI-DAQmx ADE Support 15.0.0</v>
      </c>
      <c r="H153" s="74" t="str">
        <f>'Cmb Dev'!I128</f>
        <v>NI Developer Suite 2015 DS2 Install</v>
      </c>
    </row>
    <row r="154" spans="1:8" x14ac:dyDescent="0.25">
      <c r="A154" s="74" t="str">
        <f>'Cmb Dev'!B129</f>
        <v>NI-DAQmx ADE Support</v>
      </c>
      <c r="B154" s="74" t="str">
        <f>'Cmb Dev'!C129</f>
        <v>18.1.0</v>
      </c>
      <c r="C154" s="74" t="str">
        <f>'Cmb Dev'!D129</f>
        <v>32</v>
      </c>
      <c r="D154" s="74" t="str">
        <f>'Cmb Dev'!E129</f>
        <v>2018</v>
      </c>
      <c r="E154" s="74" t="str">
        <f>'Cmb Dev'!F129</f>
        <v>Development</v>
      </c>
      <c r="F154" s="74" t="str">
        <f>'Cmb Dev'!G129</f>
        <v>NI</v>
      </c>
      <c r="G154" s="74" t="str">
        <f>'Cmb Dev'!H129</f>
        <v>NI-DAQmx ADE Support 18.1.0</v>
      </c>
      <c r="H154" s="74" t="str">
        <f>'Cmb Dev'!I129</f>
        <v>CompactRIO 18.1.0</v>
      </c>
    </row>
    <row r="155" spans="1:8" x14ac:dyDescent="0.25">
      <c r="A155" s="74" t="str">
        <f>'Cmb Dev'!B130</f>
        <v>NI-DAQmx ADE Support</v>
      </c>
      <c r="B155" s="74" t="str">
        <f>'Cmb Dev'!C130</f>
        <v>18.5.0</v>
      </c>
      <c r="C155" s="74" t="str">
        <f>'Cmb Dev'!D130</f>
        <v>32</v>
      </c>
      <c r="D155" s="74" t="str">
        <f>'Cmb Dev'!E130</f>
        <v>2018</v>
      </c>
      <c r="E155" s="74" t="str">
        <f>'Cmb Dev'!F130</f>
        <v>Development</v>
      </c>
      <c r="F155" s="74" t="str">
        <f>'Cmb Dev'!G130</f>
        <v>NI</v>
      </c>
      <c r="G155" s="74" t="str">
        <f>'Cmb Dev'!H130</f>
        <v>NI-DAQmx ADE Support 18.5.0</v>
      </c>
      <c r="H155" s="74">
        <f>'Cmb Dev'!I130</f>
        <v>0</v>
      </c>
    </row>
    <row r="156" spans="1:8" x14ac:dyDescent="0.25">
      <c r="A156" s="74" t="str">
        <f>'Cmb Dev'!B131</f>
        <v>NI-DAQmx ADE Support</v>
      </c>
      <c r="B156" s="74" t="str">
        <f>'Cmb Dev'!C131</f>
        <v>18.1</v>
      </c>
      <c r="C156" s="74" t="str">
        <f>'Cmb Dev'!D131</f>
        <v>32</v>
      </c>
      <c r="D156" s="74" t="str">
        <f>'Cmb Dev'!E131</f>
        <v>2018</v>
      </c>
      <c r="E156" s="74" t="str">
        <f>'Cmb Dev'!F131</f>
        <v>Development</v>
      </c>
      <c r="F156" s="74" t="str">
        <f>'Cmb Dev'!G131</f>
        <v>NI</v>
      </c>
      <c r="G156" s="74" t="str">
        <f>'Cmb Dev'!H131</f>
        <v>NI-DAQmx ADE Support 18.1</v>
      </c>
      <c r="H156" s="74" t="str">
        <f>'Cmb Dev'!I131</f>
        <v>CompactRIO 18.1.0</v>
      </c>
    </row>
    <row r="157" spans="1:8" x14ac:dyDescent="0.25">
      <c r="A157" s="74" t="str">
        <f>'Cmb Dev'!B132</f>
        <v>NI-DAQmx Device Driver</v>
      </c>
      <c r="B157" s="74" t="str">
        <f>'Cmb Dev'!C132</f>
        <v>15.0.0f2</v>
      </c>
      <c r="C157" s="74" t="str">
        <f>'Cmb Dev'!D132</f>
        <v>32</v>
      </c>
      <c r="D157" s="74" t="str">
        <f>'Cmb Dev'!E132</f>
        <v>2015</v>
      </c>
      <c r="E157" s="74" t="str">
        <f>'Cmb Dev'!F132</f>
        <v>Development</v>
      </c>
      <c r="F157" s="74" t="str">
        <f>'Cmb Dev'!G132</f>
        <v>NI</v>
      </c>
      <c r="G157" s="74" t="str">
        <f>'Cmb Dev'!H132</f>
        <v>NI-DAQmx Device Driver 15.0.0f2</v>
      </c>
      <c r="H157" s="74" t="str">
        <f>'Cmb Dev'!I132</f>
        <v>NI Developer Suite 2015 DS2 Install</v>
      </c>
    </row>
    <row r="158" spans="1:8" x14ac:dyDescent="0.25">
      <c r="A158" s="74" t="str">
        <f>'Cmb Dev'!B133</f>
        <v>NI-DAQmx Device Driver</v>
      </c>
      <c r="B158" s="74" t="str">
        <f>'Cmb Dev'!C133</f>
        <v>19.0.0.f1</v>
      </c>
      <c r="C158" s="74">
        <f>'Cmb Dev'!D133</f>
        <v>32</v>
      </c>
      <c r="D158" s="74">
        <f>'Cmb Dev'!E133</f>
        <v>2019</v>
      </c>
      <c r="E158" s="74" t="str">
        <f>'Cmb Dev'!F133</f>
        <v>Development</v>
      </c>
      <c r="F158" s="74" t="str">
        <f>'Cmb Dev'!G133</f>
        <v>NI</v>
      </c>
      <c r="G158" s="74" t="str">
        <f>'Cmb Dev'!H133</f>
        <v>NI-DAQmx Device Driver 19.0.0.f1</v>
      </c>
      <c r="H158" s="74" t="str">
        <f>'Cmb Dev'!I133</f>
        <v>LabVIEW 2019</v>
      </c>
    </row>
    <row r="159" spans="1:8" x14ac:dyDescent="0.25">
      <c r="A159" s="74" t="str">
        <f>'Cmb Dev'!B134</f>
        <v>NI-DAQmx Device Driver</v>
      </c>
      <c r="B159" s="74" t="str">
        <f>'Cmb Dev'!C134</f>
        <v>19.5.0f0</v>
      </c>
      <c r="C159" s="74" t="str">
        <f>'Cmb Dev'!D134</f>
        <v>32</v>
      </c>
      <c r="D159" s="74" t="str">
        <f>'Cmb Dev'!E134</f>
        <v>2019</v>
      </c>
      <c r="E159" s="74" t="str">
        <f>'Cmb Dev'!F134</f>
        <v>Development</v>
      </c>
      <c r="F159" s="74" t="str">
        <f>'Cmb Dev'!G134</f>
        <v>NI</v>
      </c>
      <c r="G159" s="74" t="str">
        <f>'Cmb Dev'!H134</f>
        <v>NI-DAQmx Device Driver 19.5.0f0</v>
      </c>
      <c r="H159" s="74">
        <f>'Cmb Dev'!I134</f>
        <v>0</v>
      </c>
    </row>
    <row r="160" spans="1:8" x14ac:dyDescent="0.25">
      <c r="A160" s="74" t="str">
        <f>'Cmb Dev'!B135</f>
        <v>NI-DAQmx Device Driver</v>
      </c>
      <c r="B160" s="74" t="str">
        <f>'Cmb Dev'!C135</f>
        <v>18.1</v>
      </c>
      <c r="C160" s="74" t="str">
        <f>'Cmb Dev'!D135</f>
        <v>32</v>
      </c>
      <c r="D160" s="74" t="str">
        <f>'Cmb Dev'!E135</f>
        <v>2018</v>
      </c>
      <c r="E160" s="74" t="str">
        <f>'Cmb Dev'!F135</f>
        <v>Development</v>
      </c>
      <c r="F160" s="74" t="str">
        <f>'Cmb Dev'!G135</f>
        <v>NI</v>
      </c>
      <c r="G160" s="74" t="str">
        <f>'Cmb Dev'!H135</f>
        <v>NI-DAQmx Device Driver 18.1</v>
      </c>
      <c r="H160" s="74" t="str">
        <f>'Cmb Dev'!I135</f>
        <v>CompactRIO 18.1.0</v>
      </c>
    </row>
    <row r="161" spans="1:8" x14ac:dyDescent="0.25">
      <c r="A161" s="74" t="str">
        <f>'Cmb Dev'!B136</f>
        <v>NI-DAQmx MAX Configuration</v>
      </c>
      <c r="B161" s="74" t="str">
        <f>'Cmb Dev'!C136</f>
        <v>15.0.0</v>
      </c>
      <c r="C161" s="74" t="str">
        <f>'Cmb Dev'!D136</f>
        <v>32</v>
      </c>
      <c r="D161" s="74" t="str">
        <f>'Cmb Dev'!E136</f>
        <v>2015</v>
      </c>
      <c r="E161" s="74" t="str">
        <f>'Cmb Dev'!F136</f>
        <v>Development</v>
      </c>
      <c r="F161" s="74" t="str">
        <f>'Cmb Dev'!G136</f>
        <v>NI</v>
      </c>
      <c r="G161" s="74" t="str">
        <f>'Cmb Dev'!H136</f>
        <v>NI-DAQmx MAX Configuration 15.0.0</v>
      </c>
      <c r="H161" s="74" t="str">
        <f>'Cmb Dev'!I136</f>
        <v>NI Developer Suite 2015 DS2 Install</v>
      </c>
    </row>
    <row r="162" spans="1:8" x14ac:dyDescent="0.25">
      <c r="A162" s="74" t="str">
        <f>'Cmb Dev'!B137</f>
        <v>NI-DAQmx MAX Configuration</v>
      </c>
      <c r="B162" s="74" t="str">
        <f>'Cmb Dev'!C137</f>
        <v>18.1.0</v>
      </c>
      <c r="C162" s="74" t="str">
        <f>'Cmb Dev'!D137</f>
        <v>32</v>
      </c>
      <c r="D162" s="74" t="str">
        <f>'Cmb Dev'!E137</f>
        <v>2018</v>
      </c>
      <c r="E162" s="74" t="str">
        <f>'Cmb Dev'!F137</f>
        <v>Development</v>
      </c>
      <c r="F162" s="74" t="str">
        <f>'Cmb Dev'!G137</f>
        <v>NI</v>
      </c>
      <c r="G162" s="74" t="str">
        <f>'Cmb Dev'!H137</f>
        <v>NI-DAQmx MAX Configuration 18.1.0</v>
      </c>
      <c r="H162" s="74" t="str">
        <f>'Cmb Dev'!I137</f>
        <v>CompactRIO 18.1.0</v>
      </c>
    </row>
    <row r="163" spans="1:8" x14ac:dyDescent="0.25">
      <c r="A163" s="74" t="str">
        <f>'Cmb Dev'!B138</f>
        <v>NI-DAQmx MAX Configuration</v>
      </c>
      <c r="B163" s="74" t="str">
        <f>'Cmb Dev'!C138</f>
        <v>18.5.0</v>
      </c>
      <c r="C163" s="74" t="str">
        <f>'Cmb Dev'!D138</f>
        <v>32</v>
      </c>
      <c r="D163" s="74" t="str">
        <f>'Cmb Dev'!E138</f>
        <v>2018</v>
      </c>
      <c r="E163" s="74" t="str">
        <f>'Cmb Dev'!F138</f>
        <v>Development</v>
      </c>
      <c r="F163" s="74" t="str">
        <f>'Cmb Dev'!G138</f>
        <v>NI</v>
      </c>
      <c r="G163" s="74" t="str">
        <f>'Cmb Dev'!H138</f>
        <v>NI-DAQmx MAX Configuration 18.5.0</v>
      </c>
      <c r="H163" s="74">
        <f>'Cmb Dev'!I138</f>
        <v>0</v>
      </c>
    </row>
    <row r="164" spans="1:8" x14ac:dyDescent="0.25">
      <c r="A164" s="74" t="str">
        <f>'Cmb Dev'!B139</f>
        <v>NI-DAQmx MAX Configuration</v>
      </c>
      <c r="B164" s="74" t="str">
        <f>'Cmb Dev'!C139</f>
        <v>18.1</v>
      </c>
      <c r="C164" s="74" t="str">
        <f>'Cmb Dev'!D139</f>
        <v>32</v>
      </c>
      <c r="D164" s="74" t="str">
        <f>'Cmb Dev'!E139</f>
        <v>2018</v>
      </c>
      <c r="E164" s="74" t="str">
        <f>'Cmb Dev'!F139</f>
        <v>Development</v>
      </c>
      <c r="F164" s="74" t="str">
        <f>'Cmb Dev'!G139</f>
        <v>NI</v>
      </c>
      <c r="G164" s="74" t="str">
        <f>'Cmb Dev'!H139</f>
        <v>NI-DAQmx MAX Configuration 18.1</v>
      </c>
      <c r="H164" s="74" t="str">
        <f>'Cmb Dev'!I139</f>
        <v>CompactRIO 18.1.0</v>
      </c>
    </row>
    <row r="165" spans="1:8" x14ac:dyDescent="0.25">
      <c r="A165" s="74" t="str">
        <f>'Cmb Dev'!B140</f>
        <v>NI-DCPower</v>
      </c>
      <c r="B165" s="74" t="str">
        <f>'Cmb Dev'!C140</f>
        <v>15.0</v>
      </c>
      <c r="C165" s="74" t="str">
        <f>'Cmb Dev'!D140</f>
        <v>32</v>
      </c>
      <c r="D165" s="74" t="str">
        <f>'Cmb Dev'!E140</f>
        <v>2015</v>
      </c>
      <c r="E165" s="74" t="str">
        <f>'Cmb Dev'!F140</f>
        <v>Development</v>
      </c>
      <c r="F165" s="74" t="str">
        <f>'Cmb Dev'!G140</f>
        <v>NI</v>
      </c>
      <c r="G165" s="74" t="str">
        <f>'Cmb Dev'!H140</f>
        <v>NI-DCPower 15.0</v>
      </c>
      <c r="H165" s="74" t="str">
        <f>'Cmb Dev'!I140</f>
        <v>NI Developer Suite 2015 DS2 Install</v>
      </c>
    </row>
    <row r="166" spans="1:8" x14ac:dyDescent="0.25">
      <c r="A166" s="74" t="str">
        <f>'Cmb Dev'!B141</f>
        <v>NI-DCPower</v>
      </c>
      <c r="B166" s="74">
        <f>'Cmb Dev'!C141</f>
        <v>0</v>
      </c>
      <c r="C166" s="74" t="str">
        <f>'Cmb Dev'!D141</f>
        <v>32</v>
      </c>
      <c r="D166" s="74" t="str">
        <f>'Cmb Dev'!E141</f>
        <v>2015</v>
      </c>
      <c r="E166" s="74" t="str">
        <f>'Cmb Dev'!F141</f>
        <v>Development</v>
      </c>
      <c r="F166" s="74" t="str">
        <f>'Cmb Dev'!G141</f>
        <v>NI</v>
      </c>
      <c r="G166" s="74" t="str">
        <f>'Cmb Dev'!H141</f>
        <v xml:space="preserve">NI-DCPower </v>
      </c>
      <c r="H166" s="74" t="str">
        <f>'Cmb Dev'!I141</f>
        <v>NI Developer Suite 2015 DS2 Install</v>
      </c>
    </row>
    <row r="167" spans="1:8" x14ac:dyDescent="0.25">
      <c r="A167" s="74" t="str">
        <f>'Cmb Dev'!B142</f>
        <v>NI-DCPower Configuration Support</v>
      </c>
      <c r="B167" s="74" t="str">
        <f>'Cmb Dev'!C142</f>
        <v>15.0</v>
      </c>
      <c r="C167" s="74" t="str">
        <f>'Cmb Dev'!D142</f>
        <v>32</v>
      </c>
      <c r="D167" s="74" t="str">
        <f>'Cmb Dev'!E142</f>
        <v>2015</v>
      </c>
      <c r="E167" s="74" t="str">
        <f>'Cmb Dev'!F142</f>
        <v>Development</v>
      </c>
      <c r="F167" s="74" t="str">
        <f>'Cmb Dev'!G142</f>
        <v>NI</v>
      </c>
      <c r="G167" s="74" t="str">
        <f>'Cmb Dev'!H142</f>
        <v>NI-DCPower Configuration Support 15.0</v>
      </c>
      <c r="H167" s="74" t="str">
        <f>'Cmb Dev'!I142</f>
        <v>NI Developer Suite 2015 DS2 Install</v>
      </c>
    </row>
    <row r="168" spans="1:8" x14ac:dyDescent="0.25">
      <c r="A168" s="74" t="str">
        <f>'Cmb Dev'!B143</f>
        <v>NI-DCPower Development Support</v>
      </c>
      <c r="B168" s="74" t="str">
        <f>'Cmb Dev'!C143</f>
        <v>15.0</v>
      </c>
      <c r="C168" s="74" t="str">
        <f>'Cmb Dev'!D143</f>
        <v>32</v>
      </c>
      <c r="D168" s="74" t="str">
        <f>'Cmb Dev'!E143</f>
        <v>2015</v>
      </c>
      <c r="E168" s="74" t="str">
        <f>'Cmb Dev'!F143</f>
        <v>Development</v>
      </c>
      <c r="F168" s="74" t="str">
        <f>'Cmb Dev'!G143</f>
        <v>NI</v>
      </c>
      <c r="G168" s="74" t="str">
        <f>'Cmb Dev'!H143</f>
        <v>NI-DCPower Development Support 15.0</v>
      </c>
      <c r="H168" s="74" t="str">
        <f>'Cmb Dev'!I143</f>
        <v>NI Developer Suite 2015 DS2 Install</v>
      </c>
    </row>
    <row r="169" spans="1:8" x14ac:dyDescent="0.25">
      <c r="A169" s="74" t="str">
        <f>'Cmb Dev'!B144</f>
        <v>NI-DCPower Soft Front Panel</v>
      </c>
      <c r="B169" s="74" t="str">
        <f>'Cmb Dev'!C144</f>
        <v>15.0</v>
      </c>
      <c r="C169" s="74" t="str">
        <f>'Cmb Dev'!D144</f>
        <v>32</v>
      </c>
      <c r="D169" s="74" t="str">
        <f>'Cmb Dev'!E144</f>
        <v>2015</v>
      </c>
      <c r="E169" s="74" t="str">
        <f>'Cmb Dev'!F144</f>
        <v>Development</v>
      </c>
      <c r="F169" s="74" t="str">
        <f>'Cmb Dev'!G144</f>
        <v>NI</v>
      </c>
      <c r="G169" s="74" t="str">
        <f>'Cmb Dev'!H144</f>
        <v>NI-DCPower Soft Front Panel 15.0</v>
      </c>
      <c r="H169" s="74" t="str">
        <f>'Cmb Dev'!I144</f>
        <v>NI Developer Suite 2015 DS2 Install</v>
      </c>
    </row>
    <row r="170" spans="1:8" x14ac:dyDescent="0.25">
      <c r="A170" s="74" t="str">
        <f>'Cmb Dev'!B145</f>
        <v>NI-DMM</v>
      </c>
      <c r="B170" s="74" t="str">
        <f>'Cmb Dev'!C145</f>
        <v>15.0</v>
      </c>
      <c r="C170" s="74" t="str">
        <f>'Cmb Dev'!D145</f>
        <v>32</v>
      </c>
      <c r="D170" s="74" t="str">
        <f>'Cmb Dev'!E145</f>
        <v>2015</v>
      </c>
      <c r="E170" s="74" t="str">
        <f>'Cmb Dev'!F145</f>
        <v>Development</v>
      </c>
      <c r="F170" s="74" t="str">
        <f>'Cmb Dev'!G145</f>
        <v>NI</v>
      </c>
      <c r="G170" s="74" t="str">
        <f>'Cmb Dev'!H145</f>
        <v>NI-DMM 15.0</v>
      </c>
      <c r="H170" s="74" t="str">
        <f>'Cmb Dev'!I145</f>
        <v>NI Developer Suite 2015 DS2 Install</v>
      </c>
    </row>
    <row r="171" spans="1:8" x14ac:dyDescent="0.25">
      <c r="A171" s="74" t="str">
        <f>'Cmb Dev'!B146</f>
        <v>NI-DMM</v>
      </c>
      <c r="B171" s="74">
        <f>'Cmb Dev'!C146</f>
        <v>0</v>
      </c>
      <c r="C171" s="74" t="str">
        <f>'Cmb Dev'!D146</f>
        <v>32</v>
      </c>
      <c r="D171" s="74" t="str">
        <f>'Cmb Dev'!E146</f>
        <v>2015</v>
      </c>
      <c r="E171" s="74" t="str">
        <f>'Cmb Dev'!F146</f>
        <v>Development</v>
      </c>
      <c r="F171" s="74" t="str">
        <f>'Cmb Dev'!G146</f>
        <v>NI</v>
      </c>
      <c r="G171" s="74" t="str">
        <f>'Cmb Dev'!H146</f>
        <v xml:space="preserve">NI-DMM </v>
      </c>
      <c r="H171" s="74" t="str">
        <f>'Cmb Dev'!I146</f>
        <v>NI Developer Suite 2015 DS2 Install</v>
      </c>
    </row>
    <row r="172" spans="1:8" x14ac:dyDescent="0.25">
      <c r="A172" s="74" t="str">
        <f>'Cmb Dev'!B147</f>
        <v>NI-DMM Configuration Support</v>
      </c>
      <c r="B172" s="74" t="str">
        <f>'Cmb Dev'!C147</f>
        <v>15.0</v>
      </c>
      <c r="C172" s="74" t="str">
        <f>'Cmb Dev'!D147</f>
        <v>32</v>
      </c>
      <c r="D172" s="74" t="str">
        <f>'Cmb Dev'!E147</f>
        <v>2015</v>
      </c>
      <c r="E172" s="74" t="str">
        <f>'Cmb Dev'!F147</f>
        <v>Development</v>
      </c>
      <c r="F172" s="74" t="str">
        <f>'Cmb Dev'!G147</f>
        <v>NI</v>
      </c>
      <c r="G172" s="74" t="str">
        <f>'Cmb Dev'!H147</f>
        <v>NI-DMM Configuration Support 15.0</v>
      </c>
      <c r="H172" s="74" t="str">
        <f>'Cmb Dev'!I147</f>
        <v>NI Developer Suite 2015 DS2 Install</v>
      </c>
    </row>
    <row r="173" spans="1:8" x14ac:dyDescent="0.25">
      <c r="A173" s="74" t="str">
        <f>'Cmb Dev'!B148</f>
        <v>NI-DMM Development Support</v>
      </c>
      <c r="B173" s="74" t="str">
        <f>'Cmb Dev'!C148</f>
        <v>15.0</v>
      </c>
      <c r="C173" s="74" t="str">
        <f>'Cmb Dev'!D148</f>
        <v>32</v>
      </c>
      <c r="D173" s="74" t="str">
        <f>'Cmb Dev'!E148</f>
        <v>2015</v>
      </c>
      <c r="E173" s="74" t="str">
        <f>'Cmb Dev'!F148</f>
        <v>Development</v>
      </c>
      <c r="F173" s="74" t="str">
        <f>'Cmb Dev'!G148</f>
        <v>NI</v>
      </c>
      <c r="G173" s="74" t="str">
        <f>'Cmb Dev'!H148</f>
        <v>NI-DMM Development Support 15.0</v>
      </c>
      <c r="H173" s="74" t="str">
        <f>'Cmb Dev'!I148</f>
        <v>NI Developer Suite 2015 DS2 Install</v>
      </c>
    </row>
    <row r="174" spans="1:8" x14ac:dyDescent="0.25">
      <c r="A174" s="74" t="str">
        <f>'Cmb Dev'!B149</f>
        <v>NI-DMM Soft Front Panel</v>
      </c>
      <c r="B174" s="74" t="str">
        <f>'Cmb Dev'!C149</f>
        <v>15.0</v>
      </c>
      <c r="C174" s="74" t="str">
        <f>'Cmb Dev'!D149</f>
        <v>32</v>
      </c>
      <c r="D174" s="74" t="str">
        <f>'Cmb Dev'!E149</f>
        <v>2015</v>
      </c>
      <c r="E174" s="74" t="str">
        <f>'Cmb Dev'!F149</f>
        <v>Development</v>
      </c>
      <c r="F174" s="74" t="str">
        <f>'Cmb Dev'!G149</f>
        <v>NI</v>
      </c>
      <c r="G174" s="74" t="str">
        <f>'Cmb Dev'!H149</f>
        <v>NI-DMM Soft Front Panel 15.0</v>
      </c>
      <c r="H174" s="74" t="str">
        <f>'Cmb Dev'!I149</f>
        <v>NI Developer Suite 2015 DS2 Install</v>
      </c>
    </row>
    <row r="175" spans="1:8" x14ac:dyDescent="0.25">
      <c r="A175" s="74" t="str">
        <f>'Cmb Dev'!B150</f>
        <v>NI-FGEN</v>
      </c>
      <c r="B175" s="74" t="str">
        <f>'Cmb Dev'!C150</f>
        <v>15.0</v>
      </c>
      <c r="C175" s="74" t="str">
        <f>'Cmb Dev'!D150</f>
        <v>32</v>
      </c>
      <c r="D175" s="74" t="str">
        <f>'Cmb Dev'!E150</f>
        <v>2015</v>
      </c>
      <c r="E175" s="74" t="str">
        <f>'Cmb Dev'!F150</f>
        <v>Development</v>
      </c>
      <c r="F175" s="74" t="str">
        <f>'Cmb Dev'!G150</f>
        <v>NI</v>
      </c>
      <c r="G175" s="74" t="str">
        <f>'Cmb Dev'!H150</f>
        <v>NI-FGEN 15.0</v>
      </c>
      <c r="H175" s="74" t="str">
        <f>'Cmb Dev'!I150</f>
        <v>NI Developer Suite 2015 DS2 Install</v>
      </c>
    </row>
    <row r="176" spans="1:8" x14ac:dyDescent="0.25">
      <c r="A176" s="74" t="str">
        <f>'Cmb Dev'!B151</f>
        <v>NI-FGEN</v>
      </c>
      <c r="B176" s="74">
        <f>'Cmb Dev'!C151</f>
        <v>0</v>
      </c>
      <c r="C176" s="74" t="str">
        <f>'Cmb Dev'!D151</f>
        <v>32</v>
      </c>
      <c r="D176" s="74" t="str">
        <f>'Cmb Dev'!E151</f>
        <v>2015</v>
      </c>
      <c r="E176" s="74" t="str">
        <f>'Cmb Dev'!F151</f>
        <v>Development</v>
      </c>
      <c r="F176" s="74" t="str">
        <f>'Cmb Dev'!G151</f>
        <v>NI</v>
      </c>
      <c r="G176" s="74" t="str">
        <f>'Cmb Dev'!H151</f>
        <v xml:space="preserve">NI-FGEN </v>
      </c>
      <c r="H176" s="74" t="str">
        <f>'Cmb Dev'!I151</f>
        <v>NI Developer Suite 2015 DS2 Install</v>
      </c>
    </row>
    <row r="177" spans="1:8" x14ac:dyDescent="0.25">
      <c r="A177" s="74" t="str">
        <f>'Cmb Dev'!B152</f>
        <v>NI-FGEN Configuration Support</v>
      </c>
      <c r="B177" s="74" t="str">
        <f>'Cmb Dev'!C152</f>
        <v>15.0</v>
      </c>
      <c r="C177" s="74" t="str">
        <f>'Cmb Dev'!D152</f>
        <v>32</v>
      </c>
      <c r="D177" s="74" t="str">
        <f>'Cmb Dev'!E152</f>
        <v>2015</v>
      </c>
      <c r="E177" s="74" t="str">
        <f>'Cmb Dev'!F152</f>
        <v>Development</v>
      </c>
      <c r="F177" s="74" t="str">
        <f>'Cmb Dev'!G152</f>
        <v>NI</v>
      </c>
      <c r="G177" s="74" t="str">
        <f>'Cmb Dev'!H152</f>
        <v>NI-FGEN Configuration Support 15.0</v>
      </c>
      <c r="H177" s="74" t="str">
        <f>'Cmb Dev'!I152</f>
        <v>NI Developer Suite 2015 DS2 Install</v>
      </c>
    </row>
    <row r="178" spans="1:8" x14ac:dyDescent="0.25">
      <c r="A178" s="74" t="str">
        <f>'Cmb Dev'!B153</f>
        <v>NI-FGEN Development Support</v>
      </c>
      <c r="B178" s="74" t="str">
        <f>'Cmb Dev'!C153</f>
        <v>15.0</v>
      </c>
      <c r="C178" s="74" t="str">
        <f>'Cmb Dev'!D153</f>
        <v>32</v>
      </c>
      <c r="D178" s="74" t="str">
        <f>'Cmb Dev'!E153</f>
        <v>2015</v>
      </c>
      <c r="E178" s="74" t="str">
        <f>'Cmb Dev'!F153</f>
        <v>Development</v>
      </c>
      <c r="F178" s="74" t="str">
        <f>'Cmb Dev'!G153</f>
        <v>NI</v>
      </c>
      <c r="G178" s="74" t="str">
        <f>'Cmb Dev'!H153</f>
        <v>NI-FGEN Development Support 15.0</v>
      </c>
      <c r="H178" s="74" t="str">
        <f>'Cmb Dev'!I153</f>
        <v>NI Developer Suite 2015 DS2 Install</v>
      </c>
    </row>
    <row r="179" spans="1:8" x14ac:dyDescent="0.25">
      <c r="A179" s="74" t="str">
        <f>'Cmb Dev'!B154</f>
        <v>NI-FGEN Soft Front Panel</v>
      </c>
      <c r="B179" s="74" t="str">
        <f>'Cmb Dev'!C154</f>
        <v>15.0</v>
      </c>
      <c r="C179" s="74" t="str">
        <f>'Cmb Dev'!D154</f>
        <v>32</v>
      </c>
      <c r="D179" s="74" t="str">
        <f>'Cmb Dev'!E154</f>
        <v>2015</v>
      </c>
      <c r="E179" s="74" t="str">
        <f>'Cmb Dev'!F154</f>
        <v>Development</v>
      </c>
      <c r="F179" s="74" t="str">
        <f>'Cmb Dev'!G154</f>
        <v>NI</v>
      </c>
      <c r="G179" s="74" t="str">
        <f>'Cmb Dev'!H154</f>
        <v>NI-FGEN Soft Front Panel 15.0</v>
      </c>
      <c r="H179" s="74" t="str">
        <f>'Cmb Dev'!I154</f>
        <v>NI Developer Suite 2015 DS2 Install</v>
      </c>
    </row>
    <row r="180" spans="1:8" x14ac:dyDescent="0.25">
      <c r="A180" s="74" t="str">
        <f>'Cmb Run'!B29</f>
        <v>NI-HSDIO</v>
      </c>
      <c r="B180" s="74" t="str">
        <f>'Cmb Run'!C29</f>
        <v>15.0</v>
      </c>
      <c r="C180" s="74" t="str">
        <f>'Cmb Run'!D29</f>
        <v>32</v>
      </c>
      <c r="D180" s="74" t="str">
        <f>'Cmb Run'!E29</f>
        <v>2015</v>
      </c>
      <c r="E180" s="74" t="str">
        <f>'Cmb Run'!F29</f>
        <v>Runtime</v>
      </c>
      <c r="F180" s="74" t="str">
        <f>'Cmb Run'!G29</f>
        <v>NI</v>
      </c>
      <c r="G180" s="74" t="str">
        <f>'Cmb Run'!H29</f>
        <v>NI-HSDIO 15.0</v>
      </c>
      <c r="H180" s="74" t="str">
        <f>'Cmb Run'!I29</f>
        <v>NI Developer Suite 2015 DS2 Install</v>
      </c>
    </row>
    <row r="181" spans="1:8" x14ac:dyDescent="0.25">
      <c r="A181" s="74" t="str">
        <f>'Cmb Dev'!B155</f>
        <v>NI-HSDIO</v>
      </c>
      <c r="B181" s="74">
        <f>'Cmb Dev'!C155</f>
        <v>0</v>
      </c>
      <c r="C181" s="74" t="str">
        <f>'Cmb Dev'!D155</f>
        <v>32</v>
      </c>
      <c r="D181" s="74" t="str">
        <f>'Cmb Dev'!E155</f>
        <v>2015</v>
      </c>
      <c r="E181" s="74" t="str">
        <f>'Cmb Dev'!F155</f>
        <v>Development</v>
      </c>
      <c r="F181" s="74" t="str">
        <f>'Cmb Dev'!G155</f>
        <v>NI</v>
      </c>
      <c r="G181" s="74" t="str">
        <f>'Cmb Dev'!H155</f>
        <v xml:space="preserve">NI-HSDIO </v>
      </c>
      <c r="H181" s="74" t="str">
        <f>'Cmb Dev'!I155</f>
        <v>NI Developer Suite 2015 DS2 Install</v>
      </c>
    </row>
    <row r="182" spans="1:8" x14ac:dyDescent="0.25">
      <c r="A182" s="74" t="str">
        <f>'Cmb Dev'!B156</f>
        <v>NI-HSDIO Configuration Support</v>
      </c>
      <c r="B182" s="74" t="str">
        <f>'Cmb Dev'!C156</f>
        <v>15.0</v>
      </c>
      <c r="C182" s="74" t="str">
        <f>'Cmb Dev'!D156</f>
        <v>32</v>
      </c>
      <c r="D182" s="74" t="str">
        <f>'Cmb Dev'!E156</f>
        <v>2015</v>
      </c>
      <c r="E182" s="74" t="str">
        <f>'Cmb Dev'!F156</f>
        <v>Development</v>
      </c>
      <c r="F182" s="74" t="str">
        <f>'Cmb Dev'!G156</f>
        <v>NI</v>
      </c>
      <c r="G182" s="74" t="str">
        <f>'Cmb Dev'!H156</f>
        <v>NI-HSDIO Configuration Support 15.0</v>
      </c>
      <c r="H182" s="74" t="str">
        <f>'Cmb Dev'!I156</f>
        <v>NI Developer Suite 2015 DS2 Install</v>
      </c>
    </row>
    <row r="183" spans="1:8" x14ac:dyDescent="0.25">
      <c r="A183" s="74" t="str">
        <f>'Cmb Dev'!B157</f>
        <v>NI-HSDIO Development Support</v>
      </c>
      <c r="B183" s="74" t="str">
        <f>'Cmb Dev'!C157</f>
        <v>15.0</v>
      </c>
      <c r="C183" s="74" t="str">
        <f>'Cmb Dev'!D157</f>
        <v>32</v>
      </c>
      <c r="D183" s="74" t="str">
        <f>'Cmb Dev'!E157</f>
        <v>2015</v>
      </c>
      <c r="E183" s="74" t="str">
        <f>'Cmb Dev'!F157</f>
        <v>Development</v>
      </c>
      <c r="F183" s="74" t="str">
        <f>'Cmb Dev'!G157</f>
        <v>NI</v>
      </c>
      <c r="G183" s="74" t="str">
        <f>'Cmb Dev'!H157</f>
        <v>NI-HSDIO Development Support 15.0</v>
      </c>
      <c r="H183" s="74" t="str">
        <f>'Cmb Dev'!I157</f>
        <v>NI Developer Suite 2015 DS2 Install</v>
      </c>
    </row>
    <row r="184" spans="1:8" x14ac:dyDescent="0.25">
      <c r="A184" s="74" t="str">
        <f>'Cmb Dev'!B158</f>
        <v>NI-HWS</v>
      </c>
      <c r="B184" s="74" t="str">
        <f>'Cmb Dev'!C158</f>
        <v>15.0.0</v>
      </c>
      <c r="C184" s="74" t="str">
        <f>'Cmb Dev'!D158</f>
        <v>32</v>
      </c>
      <c r="D184" s="74" t="str">
        <f>'Cmb Dev'!E158</f>
        <v>2015</v>
      </c>
      <c r="E184" s="74" t="str">
        <f>'Cmb Dev'!F158</f>
        <v>Development</v>
      </c>
      <c r="F184" s="74" t="str">
        <f>'Cmb Dev'!G158</f>
        <v>NI</v>
      </c>
      <c r="G184" s="74" t="str">
        <f>'Cmb Dev'!H158</f>
        <v>NI-HWS 15.0.0</v>
      </c>
      <c r="H184" s="74" t="str">
        <f>'Cmb Dev'!I158</f>
        <v>NI Developer Suite 2015 DS2 Install</v>
      </c>
    </row>
    <row r="185" spans="1:8" x14ac:dyDescent="0.25">
      <c r="A185" s="74" t="str">
        <f>'Cmb Dev'!B159</f>
        <v>NI-IMAQ</v>
      </c>
      <c r="B185" s="74" t="str">
        <f>'Cmb Dev'!C159</f>
        <v>19.0.0</v>
      </c>
      <c r="C185" s="74" t="str">
        <f>'Cmb Dev'!D159</f>
        <v>32</v>
      </c>
      <c r="D185" s="74" t="str">
        <f>'Cmb Dev'!E159</f>
        <v>2019</v>
      </c>
      <c r="E185" s="74" t="str">
        <f>'Cmb Dev'!F159</f>
        <v>Development</v>
      </c>
      <c r="F185" s="74" t="str">
        <f>'Cmb Dev'!G159</f>
        <v>NI</v>
      </c>
      <c r="G185" s="74" t="str">
        <f>'Cmb Dev'!H159</f>
        <v>NI-IMAQ 19.0.0</v>
      </c>
      <c r="H185" s="74" t="str">
        <f>'Cmb Dev'!I159</f>
        <v>LabVIEW 2019</v>
      </c>
    </row>
    <row r="186" spans="1:8" x14ac:dyDescent="0.25">
      <c r="A186" s="74" t="str">
        <f>'Cmb Dev'!B160</f>
        <v>NI-IMAQ</v>
      </c>
      <c r="B186" s="74" t="str">
        <f>'Cmb Dev'!C160</f>
        <v>19.5.0</v>
      </c>
      <c r="C186" s="74" t="str">
        <f>'Cmb Dev'!D160</f>
        <v>32</v>
      </c>
      <c r="D186" s="74" t="str">
        <f>'Cmb Dev'!E160</f>
        <v>2019</v>
      </c>
      <c r="E186" s="74" t="str">
        <f>'Cmb Dev'!F160</f>
        <v>Development</v>
      </c>
      <c r="F186" s="74" t="str">
        <f>'Cmb Dev'!G160</f>
        <v>NI</v>
      </c>
      <c r="G186" s="74" t="str">
        <f>'Cmb Dev'!H160</f>
        <v>NI-IMAQ 19.5.0</v>
      </c>
      <c r="H186" s="74">
        <f>'Cmb Dev'!I160</f>
        <v>0</v>
      </c>
    </row>
    <row r="187" spans="1:8" x14ac:dyDescent="0.25">
      <c r="A187" s="74" t="str">
        <f>'Cmb Dev'!B161</f>
        <v>NI-IMAQ Development Support</v>
      </c>
      <c r="B187" s="74" t="str">
        <f>'Cmb Dev'!C161</f>
        <v>18.5.0</v>
      </c>
      <c r="C187" s="74" t="str">
        <f>'Cmb Dev'!D161</f>
        <v>32</v>
      </c>
      <c r="D187" s="74" t="str">
        <f>'Cmb Dev'!E161</f>
        <v>2018</v>
      </c>
      <c r="E187" s="74" t="str">
        <f>'Cmb Dev'!F161</f>
        <v>Development</v>
      </c>
      <c r="F187" s="74" t="str">
        <f>'Cmb Dev'!G161</f>
        <v>NI</v>
      </c>
      <c r="G187" s="74" t="str">
        <f>'Cmb Dev'!H161</f>
        <v>NI-IMAQ Development Support 18.5.0</v>
      </c>
      <c r="H187" s="74">
        <f>'Cmb Dev'!I161</f>
        <v>0</v>
      </c>
    </row>
    <row r="188" spans="1:8" x14ac:dyDescent="0.25">
      <c r="A188" s="74" t="str">
        <f>'Cmb Dev'!B162</f>
        <v>NI-IMAQ I/O</v>
      </c>
      <c r="B188" s="74" t="str">
        <f>'Cmb Dev'!C162</f>
        <v>19.0.0</v>
      </c>
      <c r="C188" s="74" t="str">
        <f>'Cmb Dev'!D162</f>
        <v>32</v>
      </c>
      <c r="D188" s="74" t="str">
        <f>'Cmb Dev'!E162</f>
        <v>2019</v>
      </c>
      <c r="E188" s="74" t="str">
        <f>'Cmb Dev'!F162</f>
        <v>Development</v>
      </c>
      <c r="F188" s="74" t="str">
        <f>'Cmb Dev'!G162</f>
        <v>NI</v>
      </c>
      <c r="G188" s="74" t="str">
        <f>'Cmb Dev'!H162</f>
        <v>NI-IMAQ I/O 19.0.0</v>
      </c>
      <c r="H188" s="74" t="str">
        <f>'Cmb Dev'!I162</f>
        <v>LabVIEW 2019</v>
      </c>
    </row>
    <row r="189" spans="1:8" x14ac:dyDescent="0.25">
      <c r="A189" s="74" t="str">
        <f>'Cmb Dev'!B163</f>
        <v>NI-IMAQ I/O</v>
      </c>
      <c r="B189" s="74" t="str">
        <f>'Cmb Dev'!C163</f>
        <v>18.5.0</v>
      </c>
      <c r="C189" s="74" t="str">
        <f>'Cmb Dev'!D163</f>
        <v>32</v>
      </c>
      <c r="D189" s="74" t="str">
        <f>'Cmb Dev'!E163</f>
        <v>2018</v>
      </c>
      <c r="E189" s="74" t="str">
        <f>'Cmb Dev'!F163</f>
        <v>Development</v>
      </c>
      <c r="F189" s="74" t="str">
        <f>'Cmb Dev'!G163</f>
        <v>NI</v>
      </c>
      <c r="G189" s="74" t="str">
        <f>'Cmb Dev'!H163</f>
        <v>NI-IMAQ I/O 18.5.0</v>
      </c>
      <c r="H189" s="74">
        <f>'Cmb Dev'!I163</f>
        <v>0</v>
      </c>
    </row>
    <row r="190" spans="1:8" x14ac:dyDescent="0.25">
      <c r="A190" s="74" t="str">
        <f>'Cmb Dev'!B164</f>
        <v>NI-IMAQ I/O Development Support</v>
      </c>
      <c r="B190" s="74" t="str">
        <f>'Cmb Dev'!C164</f>
        <v>18.5.0</v>
      </c>
      <c r="C190" s="74" t="str">
        <f>'Cmb Dev'!D164</f>
        <v>32</v>
      </c>
      <c r="D190" s="74" t="str">
        <f>'Cmb Dev'!E164</f>
        <v>2018</v>
      </c>
      <c r="E190" s="74" t="str">
        <f>'Cmb Dev'!F164</f>
        <v>Development</v>
      </c>
      <c r="F190" s="74" t="str">
        <f>'Cmb Dev'!G164</f>
        <v>NI</v>
      </c>
      <c r="G190" s="74" t="str">
        <f>'Cmb Dev'!H164</f>
        <v>NI-IMAQ I/O Development Support 18.5.0</v>
      </c>
      <c r="H190" s="74">
        <f>'Cmb Dev'!I164</f>
        <v>0</v>
      </c>
    </row>
    <row r="191" spans="1:8" x14ac:dyDescent="0.25">
      <c r="A191" s="74" t="str">
        <f>'Cmb Dev'!B165</f>
        <v>NI-IMAQdx</v>
      </c>
      <c r="B191" s="74" t="str">
        <f>'Cmb Dev'!C165</f>
        <v>19.0.0</v>
      </c>
      <c r="C191" s="74" t="str">
        <f>'Cmb Dev'!D165</f>
        <v>32</v>
      </c>
      <c r="D191" s="74" t="str">
        <f>'Cmb Dev'!E165</f>
        <v>2019</v>
      </c>
      <c r="E191" s="74" t="str">
        <f>'Cmb Dev'!F165</f>
        <v>Development</v>
      </c>
      <c r="F191" s="74" t="str">
        <f>'Cmb Dev'!G165</f>
        <v>NI</v>
      </c>
      <c r="G191" s="74" t="str">
        <f>'Cmb Dev'!H165</f>
        <v>NI-IMAQdx 19.0.0</v>
      </c>
      <c r="H191" s="74" t="str">
        <f>'Cmb Dev'!I165</f>
        <v>LabVIEW 2019</v>
      </c>
    </row>
    <row r="192" spans="1:8" x14ac:dyDescent="0.25">
      <c r="A192" s="74" t="str">
        <f>'Cmb Dev'!B166</f>
        <v>NI-IMAQdx</v>
      </c>
      <c r="B192" s="74" t="str">
        <f>'Cmb Dev'!C166</f>
        <v>18.5.0</v>
      </c>
      <c r="C192" s="74" t="str">
        <f>'Cmb Dev'!D166</f>
        <v>32</v>
      </c>
      <c r="D192" s="74" t="str">
        <f>'Cmb Dev'!E166</f>
        <v>2018</v>
      </c>
      <c r="E192" s="74" t="str">
        <f>'Cmb Dev'!F166</f>
        <v>Development</v>
      </c>
      <c r="F192" s="74" t="str">
        <f>'Cmb Dev'!G166</f>
        <v>NI</v>
      </c>
      <c r="G192" s="74" t="str">
        <f>'Cmb Dev'!H166</f>
        <v>NI-IMAQdx 18.5.0</v>
      </c>
      <c r="H192" s="74">
        <f>'Cmb Dev'!I166</f>
        <v>0</v>
      </c>
    </row>
    <row r="193" spans="1:8" x14ac:dyDescent="0.25">
      <c r="A193" s="74" t="str">
        <f>'Cmb Dev'!B167</f>
        <v>NI-IMAQdx Development Support</v>
      </c>
      <c r="B193" s="74" t="str">
        <f>'Cmb Dev'!C167</f>
        <v>18.5.0</v>
      </c>
      <c r="C193" s="74" t="str">
        <f>'Cmb Dev'!D167</f>
        <v>32</v>
      </c>
      <c r="D193" s="74" t="str">
        <f>'Cmb Dev'!E167</f>
        <v>2018</v>
      </c>
      <c r="E193" s="74" t="str">
        <f>'Cmb Dev'!F167</f>
        <v>Development</v>
      </c>
      <c r="F193" s="74" t="str">
        <f>'Cmb Dev'!G167</f>
        <v>NI</v>
      </c>
      <c r="G193" s="74" t="str">
        <f>'Cmb Dev'!H167</f>
        <v>NI-IMAQdx Development Support 18.5.0</v>
      </c>
      <c r="H193" s="74">
        <f>'Cmb Dev'!I167</f>
        <v>0</v>
      </c>
    </row>
    <row r="194" spans="1:8" x14ac:dyDescent="0.25">
      <c r="A194" s="74" t="str">
        <f>'Cmb Dev'!B168</f>
        <v>NI-Industrial Communications for EtherCAT</v>
      </c>
      <c r="B194" s="74" t="str">
        <f>'Cmb Dev'!C168</f>
        <v>15.0.0f3</v>
      </c>
      <c r="C194" s="74" t="str">
        <f>'Cmb Dev'!D168</f>
        <v>32</v>
      </c>
      <c r="D194" s="74" t="str">
        <f>'Cmb Dev'!E168</f>
        <v>2015</v>
      </c>
      <c r="E194" s="74" t="str">
        <f>'Cmb Dev'!F168</f>
        <v>Development</v>
      </c>
      <c r="F194" s="74" t="str">
        <f>'Cmb Dev'!G168</f>
        <v>NI</v>
      </c>
      <c r="G194" s="74" t="str">
        <f>'Cmb Dev'!H168</f>
        <v>NI-Industrial Communications for EtherCAT 15.0.0f3</v>
      </c>
      <c r="H194" s="74" t="str">
        <f>'Cmb Dev'!I168</f>
        <v>NI-Industrial Communications for EtherCAT on "Y' Drive</v>
      </c>
    </row>
    <row r="195" spans="1:8" x14ac:dyDescent="0.25">
      <c r="A195" s="74" t="str">
        <f>'Cmb Dev'!B169</f>
        <v>NI-Industrial Communications for EtherCAT</v>
      </c>
      <c r="B195" s="74" t="str">
        <f>'Cmb Dev'!C169</f>
        <v>18.0.0f1</v>
      </c>
      <c r="C195" s="74">
        <f>'Cmb Dev'!D169</f>
        <v>32</v>
      </c>
      <c r="D195" s="74">
        <f>'Cmb Dev'!E169</f>
        <v>2015</v>
      </c>
      <c r="E195" s="74" t="str">
        <f>'Cmb Dev'!F169</f>
        <v>Development</v>
      </c>
      <c r="F195" s="74" t="str">
        <f>'Cmb Dev'!G169</f>
        <v>NI</v>
      </c>
      <c r="G195" s="74" t="str">
        <f>'Cmb Dev'!H169</f>
        <v>NI-Industrial Communications for EtherCAT 18.0.0f1</v>
      </c>
      <c r="H195" s="74" t="str">
        <f>'Cmb Dev'!I169</f>
        <v>NI-Industrial Communications for EtherCAT on "Y' Drive</v>
      </c>
    </row>
    <row r="196" spans="1:8" x14ac:dyDescent="0.25">
      <c r="A196" s="74" t="str">
        <f>'Cmb Dev'!B170</f>
        <v>NI-Industrial Communications for EtherCAT</v>
      </c>
      <c r="B196" s="74" t="str">
        <f>'Cmb Dev'!C170</f>
        <v>15.0</v>
      </c>
      <c r="C196" s="74" t="str">
        <f>'Cmb Dev'!D170</f>
        <v>32</v>
      </c>
      <c r="D196" s="74" t="str">
        <f>'Cmb Dev'!E170</f>
        <v>2015</v>
      </c>
      <c r="E196" s="74" t="str">
        <f>'Cmb Dev'!F170</f>
        <v>Development</v>
      </c>
      <c r="F196" s="74" t="str">
        <f>'Cmb Dev'!G170</f>
        <v>NI</v>
      </c>
      <c r="G196" s="74" t="str">
        <f>'Cmb Dev'!H170</f>
        <v>NI-Industrial Communications for EtherCAT 15.0</v>
      </c>
      <c r="H196" s="74" t="str">
        <f>'Cmb Dev'!I170</f>
        <v>NI-Industrial Communications for EtherCAT on "Y' Drive</v>
      </c>
    </row>
    <row r="197" spans="1:8" x14ac:dyDescent="0.25">
      <c r="A197" s="74" t="str">
        <f>'Cmb Dev'!B171</f>
        <v>NI-Industrial Communications for EtherCAT</v>
      </c>
      <c r="B197" s="74" t="str">
        <f>'Cmb Dev'!C171</f>
        <v>18.0</v>
      </c>
      <c r="C197" s="74" t="str">
        <f>'Cmb Dev'!D171</f>
        <v>32</v>
      </c>
      <c r="D197" s="74" t="str">
        <f>'Cmb Dev'!E171</f>
        <v>2018</v>
      </c>
      <c r="E197" s="74" t="str">
        <f>'Cmb Dev'!F171</f>
        <v>Development</v>
      </c>
      <c r="F197" s="74" t="str">
        <f>'Cmb Dev'!G171</f>
        <v>NI</v>
      </c>
      <c r="G197" s="74" t="str">
        <f>'Cmb Dev'!H171</f>
        <v>NI-Industrial Communications for EtherCAT 18.0</v>
      </c>
      <c r="H197" s="74">
        <f>'Cmb Dev'!I171</f>
        <v>0</v>
      </c>
    </row>
    <row r="198" spans="1:8" x14ac:dyDescent="0.25">
      <c r="A198" s="74" t="str">
        <f>'Cmb Dev'!B172</f>
        <v>NI-PAL</v>
      </c>
      <c r="B198" s="74" t="str">
        <f>'Cmb Dev'!C172</f>
        <v>19.0.0</v>
      </c>
      <c r="C198" s="74" t="str">
        <f>'Cmb Dev'!D172</f>
        <v>32</v>
      </c>
      <c r="D198" s="74" t="str">
        <f>'Cmb Dev'!E172</f>
        <v>2019</v>
      </c>
      <c r="E198" s="74" t="str">
        <f>'Cmb Dev'!F172</f>
        <v>Development</v>
      </c>
      <c r="F198" s="74" t="str">
        <f>'Cmb Dev'!G172</f>
        <v>NI</v>
      </c>
      <c r="G198" s="74" t="str">
        <f>'Cmb Dev'!H172</f>
        <v>NI-PAL 19.0.0</v>
      </c>
      <c r="H198" s="74">
        <f>'Cmb Dev'!I172</f>
        <v>0</v>
      </c>
    </row>
    <row r="199" spans="1:8" x14ac:dyDescent="0.25">
      <c r="A199" s="74" t="str">
        <f>'Cmb Dev'!B173</f>
        <v>NI-PAL</v>
      </c>
      <c r="B199" s="74" t="str">
        <f>'Cmb Dev'!C173</f>
        <v>18.2</v>
      </c>
      <c r="C199" s="74" t="str">
        <f>'Cmb Dev'!D173</f>
        <v>32</v>
      </c>
      <c r="D199" s="74" t="str">
        <f>'Cmb Dev'!E173</f>
        <v>2018</v>
      </c>
      <c r="E199" s="74" t="str">
        <f>'Cmb Dev'!F173</f>
        <v>Development</v>
      </c>
      <c r="F199" s="74" t="str">
        <f>'Cmb Dev'!G173</f>
        <v>NI</v>
      </c>
      <c r="G199" s="74" t="str">
        <f>'Cmb Dev'!H173</f>
        <v>NI-PAL 18.2</v>
      </c>
      <c r="H199" s="74">
        <f>'Cmb Dev'!I173</f>
        <v>0</v>
      </c>
    </row>
    <row r="200" spans="1:8" x14ac:dyDescent="0.25">
      <c r="A200" s="74" t="str">
        <f>'Cmb Dev'!B174</f>
        <v>NI-PAL Software</v>
      </c>
      <c r="B200" s="74" t="str">
        <f>'Cmb Dev'!C174</f>
        <v>19.0.0</v>
      </c>
      <c r="C200" s="74" t="str">
        <f>'Cmb Dev'!D174</f>
        <v>32</v>
      </c>
      <c r="D200" s="74" t="str">
        <f>'Cmb Dev'!E174</f>
        <v>2019</v>
      </c>
      <c r="E200" s="74" t="str">
        <f>'Cmb Dev'!F174</f>
        <v>Development</v>
      </c>
      <c r="F200" s="74" t="str">
        <f>'Cmb Dev'!G174</f>
        <v>NI</v>
      </c>
      <c r="G200" s="74" t="str">
        <f>'Cmb Dev'!H174</f>
        <v>NI-PAL Software 19.0.0</v>
      </c>
      <c r="H200" s="74" t="str">
        <f>'Cmb Dev'!I174</f>
        <v>LabVIEW 2019</v>
      </c>
    </row>
    <row r="201" spans="1:8" x14ac:dyDescent="0.25">
      <c r="A201" s="74" t="str">
        <f>'Cmb Dev'!B175</f>
        <v>NI-RIO</v>
      </c>
      <c r="B201" s="74" t="str">
        <f>'Cmb Dev'!C175</f>
        <v>15.0.0</v>
      </c>
      <c r="C201" s="74" t="str">
        <f>'Cmb Dev'!D175</f>
        <v>32</v>
      </c>
      <c r="D201" s="74" t="str">
        <f>'Cmb Dev'!E175</f>
        <v>2015</v>
      </c>
      <c r="E201" s="74" t="str">
        <f>'Cmb Dev'!F175</f>
        <v>Development</v>
      </c>
      <c r="F201" s="74" t="str">
        <f>'Cmb Dev'!G175</f>
        <v>NI</v>
      </c>
      <c r="G201" s="74" t="str">
        <f>'Cmb Dev'!H175</f>
        <v>NI-RIO 15.0.0</v>
      </c>
      <c r="H201" s="74" t="str">
        <f>'Cmb Dev'!I175</f>
        <v>NI Developer Suite 2015 DS2 Install</v>
      </c>
    </row>
    <row r="202" spans="1:8" x14ac:dyDescent="0.25">
      <c r="A202" s="74" t="str">
        <f>'Cmb Dev'!B176</f>
        <v>NI-RIO</v>
      </c>
      <c r="B202" s="74" t="str">
        <f>'Cmb Dev'!C176</f>
        <v>18.5.0</v>
      </c>
      <c r="C202" s="74" t="str">
        <f>'Cmb Dev'!D176</f>
        <v>32</v>
      </c>
      <c r="D202" s="74" t="str">
        <f>'Cmb Dev'!E176</f>
        <v>2018</v>
      </c>
      <c r="E202" s="74" t="str">
        <f>'Cmb Dev'!F176</f>
        <v>Development</v>
      </c>
      <c r="F202" s="74" t="str">
        <f>'Cmb Dev'!G176</f>
        <v>NI</v>
      </c>
      <c r="G202" s="74" t="str">
        <f>'Cmb Dev'!H176</f>
        <v>NI-RIO 18.5.0</v>
      </c>
      <c r="H202" s="74">
        <f>'Cmb Dev'!I176</f>
        <v>0</v>
      </c>
    </row>
    <row r="203" spans="1:8" x14ac:dyDescent="0.25">
      <c r="A203" s="74" t="str">
        <f>'Cmb Dev'!B177</f>
        <v>NI-RIO</v>
      </c>
      <c r="B203" s="74" t="str">
        <f>'Cmb Dev'!C177</f>
        <v>18.0</v>
      </c>
      <c r="C203" s="74" t="str">
        <f>'Cmb Dev'!D177</f>
        <v>32</v>
      </c>
      <c r="D203" s="74" t="str">
        <f>'Cmb Dev'!E177</f>
        <v>2018</v>
      </c>
      <c r="E203" s="74" t="str">
        <f>'Cmb Dev'!F177</f>
        <v>Development</v>
      </c>
      <c r="F203" s="74" t="str">
        <f>'Cmb Dev'!G177</f>
        <v>NI</v>
      </c>
      <c r="G203" s="74" t="str">
        <f>'Cmb Dev'!H177</f>
        <v>NI-RIO 18.0</v>
      </c>
      <c r="H203" s="74">
        <f>'Cmb Dev'!I177</f>
        <v>0</v>
      </c>
    </row>
    <row r="204" spans="1:8" x14ac:dyDescent="0.25">
      <c r="A204" s="74" t="str">
        <f>'Cmb Dev'!B178</f>
        <v>NI-SCOPE</v>
      </c>
      <c r="B204" s="74" t="str">
        <f>'Cmb Dev'!C178</f>
        <v>15.0</v>
      </c>
      <c r="C204" s="74" t="str">
        <f>'Cmb Dev'!D178</f>
        <v>32</v>
      </c>
      <c r="D204" s="74" t="str">
        <f>'Cmb Dev'!E178</f>
        <v>2015</v>
      </c>
      <c r="E204" s="74" t="str">
        <f>'Cmb Dev'!F178</f>
        <v>Development</v>
      </c>
      <c r="F204" s="74" t="str">
        <f>'Cmb Dev'!G178</f>
        <v>NI</v>
      </c>
      <c r="G204" s="74" t="str">
        <f>'Cmb Dev'!H178</f>
        <v>NI-SCOPE 15.0</v>
      </c>
      <c r="H204" s="74" t="str">
        <f>'Cmb Dev'!I178</f>
        <v>NI Developer Suite 2015 DS2 Install</v>
      </c>
    </row>
    <row r="205" spans="1:8" x14ac:dyDescent="0.25">
      <c r="A205" s="74" t="str">
        <f>'Cmb Dev'!B179</f>
        <v>NI-SCOPE Configuration Support</v>
      </c>
      <c r="B205" s="74" t="str">
        <f>'Cmb Dev'!C179</f>
        <v>15.0</v>
      </c>
      <c r="C205" s="74" t="str">
        <f>'Cmb Dev'!D179</f>
        <v>32</v>
      </c>
      <c r="D205" s="74" t="str">
        <f>'Cmb Dev'!E179</f>
        <v>2015</v>
      </c>
      <c r="E205" s="74" t="str">
        <f>'Cmb Dev'!F179</f>
        <v>Development</v>
      </c>
      <c r="F205" s="74" t="str">
        <f>'Cmb Dev'!G179</f>
        <v>NI</v>
      </c>
      <c r="G205" s="74" t="str">
        <f>'Cmb Dev'!H179</f>
        <v>NI-SCOPE Configuration Support 15.0</v>
      </c>
      <c r="H205" s="74" t="str">
        <f>'Cmb Dev'!I179</f>
        <v>NI Developer Suite 2015 DS2 Install</v>
      </c>
    </row>
    <row r="206" spans="1:8" x14ac:dyDescent="0.25">
      <c r="A206" s="74" t="str">
        <f>'Cmb Dev'!B180</f>
        <v xml:space="preserve">NI-SCOPE Configuration Support </v>
      </c>
      <c r="B206" s="74" t="str">
        <f>'Cmb Dev'!C180</f>
        <v>15.0</v>
      </c>
      <c r="C206" s="74" t="str">
        <f>'Cmb Dev'!D180</f>
        <v>32</v>
      </c>
      <c r="D206" s="74" t="str">
        <f>'Cmb Dev'!E180</f>
        <v>2015</v>
      </c>
      <c r="E206" s="74" t="str">
        <f>'Cmb Dev'!F180</f>
        <v>Development</v>
      </c>
      <c r="F206" s="74" t="str">
        <f>'Cmb Dev'!G180</f>
        <v>NI</v>
      </c>
      <c r="G206" s="74" t="str">
        <f>'Cmb Dev'!H180</f>
        <v>NI-SCOPE Configuration Support  15.0</v>
      </c>
      <c r="H206" s="74" t="str">
        <f>'Cmb Dev'!I180</f>
        <v>NI Developer Suite 2015 DS2 Install</v>
      </c>
    </row>
    <row r="207" spans="1:8" x14ac:dyDescent="0.25">
      <c r="A207" s="74" t="str">
        <f>'Cmb Dev'!B181</f>
        <v>NI-SCOPE Development Support</v>
      </c>
      <c r="B207" s="74" t="str">
        <f>'Cmb Dev'!C181</f>
        <v>15.0</v>
      </c>
      <c r="C207" s="74" t="str">
        <f>'Cmb Dev'!D181</f>
        <v>32</v>
      </c>
      <c r="D207" s="74" t="str">
        <f>'Cmb Dev'!E181</f>
        <v>2015</v>
      </c>
      <c r="E207" s="74" t="str">
        <f>'Cmb Dev'!F181</f>
        <v>Development</v>
      </c>
      <c r="F207" s="74" t="str">
        <f>'Cmb Dev'!G181</f>
        <v>NI</v>
      </c>
      <c r="G207" s="74" t="str">
        <f>'Cmb Dev'!H181</f>
        <v>NI-SCOPE Development Support 15.0</v>
      </c>
      <c r="H207" s="74" t="str">
        <f>'Cmb Dev'!I181</f>
        <v>NI Developer Suite 2015 DS2 Install</v>
      </c>
    </row>
    <row r="208" spans="1:8" x14ac:dyDescent="0.25">
      <c r="A208" s="74" t="str">
        <f>'Cmb Dev'!B182</f>
        <v>NI-SCOPE Soft Front Panel</v>
      </c>
      <c r="B208" s="74" t="str">
        <f>'Cmb Dev'!C182</f>
        <v>15.0</v>
      </c>
      <c r="C208" s="74" t="str">
        <f>'Cmb Dev'!D182</f>
        <v>32</v>
      </c>
      <c r="D208" s="74" t="str">
        <f>'Cmb Dev'!E182</f>
        <v>2015</v>
      </c>
      <c r="E208" s="74" t="str">
        <f>'Cmb Dev'!F182</f>
        <v>Development</v>
      </c>
      <c r="F208" s="74" t="str">
        <f>'Cmb Dev'!G182</f>
        <v>NI</v>
      </c>
      <c r="G208" s="74" t="str">
        <f>'Cmb Dev'!H182</f>
        <v>NI-SCOPE Soft Front Panel 15.0</v>
      </c>
      <c r="H208" s="74" t="str">
        <f>'Cmb Dev'!I182</f>
        <v>NI Developer Suite 2015 DS2 Install</v>
      </c>
    </row>
    <row r="209" spans="1:8" x14ac:dyDescent="0.25">
      <c r="A209" s="74" t="str">
        <f>'Cmb Run'!B30</f>
        <v>NI-Serial</v>
      </c>
      <c r="B209" s="74" t="str">
        <f>'Cmb Run'!C30</f>
        <v>18.5.0f0</v>
      </c>
      <c r="C209" s="74" t="str">
        <f>'Cmb Run'!D30</f>
        <v>32</v>
      </c>
      <c r="D209" s="74" t="str">
        <f>'Cmb Run'!E30</f>
        <v>2018</v>
      </c>
      <c r="E209" s="74" t="str">
        <f>'Cmb Run'!F30</f>
        <v>Runtime</v>
      </c>
      <c r="F209" s="74" t="str">
        <f>'Cmb Run'!G30</f>
        <v>NI</v>
      </c>
      <c r="G209" s="74" t="str">
        <f>'Cmb Run'!H30</f>
        <v>NI-Serial 18.5.0f0</v>
      </c>
      <c r="H209" s="74">
        <f>'Cmb Run'!I30</f>
        <v>0</v>
      </c>
    </row>
    <row r="210" spans="1:8" x14ac:dyDescent="0.25">
      <c r="A210" s="74" t="str">
        <f>'Cmb Run'!B31</f>
        <v>NI-Serial</v>
      </c>
      <c r="B210" s="74" t="str">
        <f>'Cmb Run'!C31</f>
        <v>19.0.0f0</v>
      </c>
      <c r="C210" s="74">
        <f>'Cmb Run'!D31</f>
        <v>32</v>
      </c>
      <c r="D210" s="74">
        <f>'Cmb Run'!E31</f>
        <v>2019</v>
      </c>
      <c r="E210" s="74" t="str">
        <f>'Cmb Run'!F31</f>
        <v>Runtime</v>
      </c>
      <c r="F210" s="74" t="str">
        <f>'Cmb Run'!G31</f>
        <v>NI</v>
      </c>
      <c r="G210" s="74" t="str">
        <f>'Cmb Run'!H31</f>
        <v>NI-Serial 19.0.0f0</v>
      </c>
      <c r="H210" s="74" t="str">
        <f>'Cmb Run'!I31</f>
        <v>LabVIEW 2019</v>
      </c>
    </row>
    <row r="211" spans="1:8" x14ac:dyDescent="0.25">
      <c r="A211" s="74" t="str">
        <f>'Cmb Dev'!B183</f>
        <v>NI-Serial Configuration</v>
      </c>
      <c r="B211" s="74" t="str">
        <f>'Cmb Dev'!C183</f>
        <v>15.0.0f0</v>
      </c>
      <c r="C211" s="74" t="str">
        <f>'Cmb Dev'!D183</f>
        <v>32</v>
      </c>
      <c r="D211" s="74" t="str">
        <f>'Cmb Dev'!E183</f>
        <v>2015</v>
      </c>
      <c r="E211" s="74" t="str">
        <f>'Cmb Dev'!F183</f>
        <v>Development</v>
      </c>
      <c r="F211" s="74" t="str">
        <f>'Cmb Dev'!G183</f>
        <v>NI</v>
      </c>
      <c r="G211" s="74" t="str">
        <f>'Cmb Dev'!H183</f>
        <v>NI-Serial Configuration 15.0.0f0</v>
      </c>
      <c r="H211" s="74" t="str">
        <f>'Cmb Dev'!I183</f>
        <v>NI Developer Suite 2015 DS2 Install</v>
      </c>
    </row>
    <row r="212" spans="1:8" x14ac:dyDescent="0.25">
      <c r="A212" s="74" t="str">
        <f>'Cmb Dev'!B184</f>
        <v>NI-Serial Configuration</v>
      </c>
      <c r="B212" s="74" t="str">
        <f>'Cmb Dev'!C184</f>
        <v>17.5.0f0</v>
      </c>
      <c r="C212" s="74" t="str">
        <f>'Cmb Dev'!D184</f>
        <v>32</v>
      </c>
      <c r="D212" s="74" t="str">
        <f>'Cmb Dev'!E184</f>
        <v>2017</v>
      </c>
      <c r="E212" s="74" t="str">
        <f>'Cmb Dev'!F184</f>
        <v>Development</v>
      </c>
      <c r="F212" s="74" t="str">
        <f>'Cmb Dev'!G184</f>
        <v>NI</v>
      </c>
      <c r="G212" s="74" t="str">
        <f>'Cmb Dev'!H184</f>
        <v>NI-Serial Configuration 17.5.0f0</v>
      </c>
      <c r="H212" s="74" t="str">
        <f>'Cmb Dev'!I184</f>
        <v>CompactRIO 18.1.0</v>
      </c>
    </row>
    <row r="213" spans="1:8" x14ac:dyDescent="0.25">
      <c r="A213" s="74" t="str">
        <f>'Cmb Dev'!B185</f>
        <v>NI-Serial Configuration</v>
      </c>
      <c r="B213" s="74" t="str">
        <f>'Cmb Dev'!C185</f>
        <v>18.5.0f0</v>
      </c>
      <c r="C213" s="74" t="str">
        <f>'Cmb Dev'!D185</f>
        <v>32</v>
      </c>
      <c r="D213" s="74" t="str">
        <f>'Cmb Dev'!E185</f>
        <v>2018</v>
      </c>
      <c r="E213" s="74" t="str">
        <f>'Cmb Dev'!F185</f>
        <v>Development</v>
      </c>
      <c r="F213" s="74" t="str">
        <f>'Cmb Dev'!G185</f>
        <v>NI</v>
      </c>
      <c r="G213" s="74" t="str">
        <f>'Cmb Dev'!H185</f>
        <v>NI-Serial Configuration 18.5.0f0</v>
      </c>
      <c r="H213" s="74">
        <f>'Cmb Dev'!I185</f>
        <v>0</v>
      </c>
    </row>
    <row r="214" spans="1:8" x14ac:dyDescent="0.25">
      <c r="A214" s="74" t="str">
        <f>'Cmb Dev'!B186</f>
        <v>NI-Serial Configuration</v>
      </c>
      <c r="B214" s="74" t="str">
        <f>'Cmb Dev'!C186</f>
        <v>17.5</v>
      </c>
      <c r="C214" s="74" t="str">
        <f>'Cmb Dev'!D186</f>
        <v>32</v>
      </c>
      <c r="D214" s="74" t="str">
        <f>'Cmb Dev'!E186</f>
        <v>2017</v>
      </c>
      <c r="E214" s="74" t="str">
        <f>'Cmb Dev'!F186</f>
        <v>Development</v>
      </c>
      <c r="F214" s="74" t="str">
        <f>'Cmb Dev'!G186</f>
        <v>NI</v>
      </c>
      <c r="G214" s="74" t="str">
        <f>'Cmb Dev'!H186</f>
        <v>NI-Serial Configuration 17.5</v>
      </c>
      <c r="H214" s="74" t="str">
        <f>'Cmb Dev'!I186</f>
        <v>CompactRIO 18.1.0</v>
      </c>
    </row>
    <row r="215" spans="1:8" x14ac:dyDescent="0.25">
      <c r="A215" s="74" t="str">
        <f>'Cmb Dev'!B187</f>
        <v>NI-SWITCH</v>
      </c>
      <c r="B215" s="74" t="str">
        <f>'Cmb Dev'!C187</f>
        <v>15.0</v>
      </c>
      <c r="C215" s="74" t="str">
        <f>'Cmb Dev'!D187</f>
        <v>32</v>
      </c>
      <c r="D215" s="74" t="str">
        <f>'Cmb Dev'!E187</f>
        <v>2015</v>
      </c>
      <c r="E215" s="74" t="str">
        <f>'Cmb Dev'!F187</f>
        <v>Development</v>
      </c>
      <c r="F215" s="74" t="str">
        <f>'Cmb Dev'!G187</f>
        <v>NI</v>
      </c>
      <c r="G215" s="74" t="str">
        <f>'Cmb Dev'!H187</f>
        <v>NI-SWITCH 15.0</v>
      </c>
      <c r="H215" s="74" t="str">
        <f>'Cmb Dev'!I187</f>
        <v>NI Developer Suite 2015 DS2 Install</v>
      </c>
    </row>
    <row r="216" spans="1:8" x14ac:dyDescent="0.25">
      <c r="A216" s="74" t="str">
        <f>'Cmb Dev'!B188</f>
        <v>NI-SWITCH Configuration Support</v>
      </c>
      <c r="B216" s="74" t="str">
        <f>'Cmb Dev'!C188</f>
        <v>15.0</v>
      </c>
      <c r="C216" s="74" t="str">
        <f>'Cmb Dev'!D188</f>
        <v>32</v>
      </c>
      <c r="D216" s="74" t="str">
        <f>'Cmb Dev'!E188</f>
        <v>2015</v>
      </c>
      <c r="E216" s="74" t="str">
        <f>'Cmb Dev'!F188</f>
        <v>Development</v>
      </c>
      <c r="F216" s="74" t="str">
        <f>'Cmb Dev'!G188</f>
        <v>NI</v>
      </c>
      <c r="G216" s="74" t="str">
        <f>'Cmb Dev'!H188</f>
        <v>NI-SWITCH Configuration Support 15.0</v>
      </c>
      <c r="H216" s="74" t="str">
        <f>'Cmb Dev'!I188</f>
        <v>NI Developer Suite 2015 DS2 Install</v>
      </c>
    </row>
    <row r="217" spans="1:8" x14ac:dyDescent="0.25">
      <c r="A217" s="74" t="str">
        <f>'Cmb Dev'!B189</f>
        <v>NI-SWITCH Development Support</v>
      </c>
      <c r="B217" s="74" t="str">
        <f>'Cmb Dev'!C189</f>
        <v>15.0</v>
      </c>
      <c r="C217" s="74" t="str">
        <f>'Cmb Dev'!D189</f>
        <v>32</v>
      </c>
      <c r="D217" s="74" t="str">
        <f>'Cmb Dev'!E189</f>
        <v>2015</v>
      </c>
      <c r="E217" s="74" t="str">
        <f>'Cmb Dev'!F189</f>
        <v>Development</v>
      </c>
      <c r="F217" s="74" t="str">
        <f>'Cmb Dev'!G189</f>
        <v>NI</v>
      </c>
      <c r="G217" s="74" t="str">
        <f>'Cmb Dev'!H189</f>
        <v>NI-SWITCH Development Support 15.0</v>
      </c>
      <c r="H217" s="74" t="str">
        <f>'Cmb Dev'!I189</f>
        <v>NI Developer Suite 2015 DS2 Install</v>
      </c>
    </row>
    <row r="218" spans="1:8" x14ac:dyDescent="0.25">
      <c r="A218" s="74" t="str">
        <f>'Cmb Dev'!B190</f>
        <v>NI-SWITCH Soft Front Panel</v>
      </c>
      <c r="B218" s="74" t="str">
        <f>'Cmb Dev'!C190</f>
        <v>15.0.0</v>
      </c>
      <c r="C218" s="74" t="str">
        <f>'Cmb Dev'!D190</f>
        <v>32</v>
      </c>
      <c r="D218" s="74" t="str">
        <f>'Cmb Dev'!E190</f>
        <v>2015</v>
      </c>
      <c r="E218" s="74" t="str">
        <f>'Cmb Dev'!F190</f>
        <v>Development</v>
      </c>
      <c r="F218" s="74" t="str">
        <f>'Cmb Dev'!G190</f>
        <v>NI</v>
      </c>
      <c r="G218" s="74" t="str">
        <f>'Cmb Dev'!H190</f>
        <v>NI-SWITCH Soft Front Panel 15.0.0</v>
      </c>
      <c r="H218" s="74" t="str">
        <f>'Cmb Dev'!I190</f>
        <v>NI Developer Suite 2015 DS2 Install</v>
      </c>
    </row>
    <row r="219" spans="1:8" x14ac:dyDescent="0.25">
      <c r="A219" s="74" t="str">
        <f>'Cmb Dev'!B191</f>
        <v>NI-SWITCH Soft Front Panel</v>
      </c>
      <c r="B219" s="74" t="str">
        <f>'Cmb Dev'!C191</f>
        <v>18.1.0</v>
      </c>
      <c r="C219" s="74" t="str">
        <f>'Cmb Dev'!D191</f>
        <v>32</v>
      </c>
      <c r="D219" s="74" t="str">
        <f>'Cmb Dev'!E191</f>
        <v>2018</v>
      </c>
      <c r="E219" s="74" t="str">
        <f>'Cmb Dev'!F191</f>
        <v>Development</v>
      </c>
      <c r="F219" s="74" t="str">
        <f>'Cmb Dev'!G191</f>
        <v>NI</v>
      </c>
      <c r="G219" s="74" t="str">
        <f>'Cmb Dev'!H191</f>
        <v>NI-Switch Soft Front Panel 18.1.0</v>
      </c>
      <c r="H219" s="74" t="str">
        <f>'Cmb Dev'!I191</f>
        <v>CompactRIO 18.1.0</v>
      </c>
    </row>
    <row r="220" spans="1:8" x14ac:dyDescent="0.25">
      <c r="A220" s="74" t="str">
        <f>'Cmb Run'!B32</f>
        <v>NI-SWITCH Support</v>
      </c>
      <c r="B220" s="74" t="str">
        <f>'Cmb Run'!C32</f>
        <v>15.0</v>
      </c>
      <c r="C220" s="74" t="str">
        <f>'Cmb Run'!D32</f>
        <v>32</v>
      </c>
      <c r="D220" s="74" t="str">
        <f>'Cmb Run'!E32</f>
        <v>2015</v>
      </c>
      <c r="E220" s="74" t="str">
        <f>'Cmb Run'!F32</f>
        <v>Runtime</v>
      </c>
      <c r="F220" s="74" t="str">
        <f>'Cmb Run'!G32</f>
        <v>NI</v>
      </c>
      <c r="G220" s="74" t="str">
        <f>'Cmb Run'!H32</f>
        <v>NI-SWITCH Support 15.0</v>
      </c>
      <c r="H220" s="74" t="str">
        <f>'Cmb Run'!I32</f>
        <v>NI Developer Suite 2015 DS2 Install</v>
      </c>
    </row>
    <row r="221" spans="1:8" x14ac:dyDescent="0.25">
      <c r="A221" s="74" t="str">
        <f>'Cmb Dev'!B192</f>
        <v>NI-Sync</v>
      </c>
      <c r="B221" s="74" t="str">
        <f>'Cmb Dev'!C192</f>
        <v>15.0.0f0</v>
      </c>
      <c r="C221" s="74" t="str">
        <f>'Cmb Dev'!D192</f>
        <v>32</v>
      </c>
      <c r="D221" s="74" t="str">
        <f>'Cmb Dev'!E192</f>
        <v>2015</v>
      </c>
      <c r="E221" s="74" t="str">
        <f>'Cmb Dev'!F192</f>
        <v>Development</v>
      </c>
      <c r="F221" s="74" t="str">
        <f>'Cmb Dev'!G192</f>
        <v>NI</v>
      </c>
      <c r="G221" s="74" t="str">
        <f>'Cmb Dev'!H192</f>
        <v>NI-Sync 15.0.0f0</v>
      </c>
      <c r="H221" s="74" t="str">
        <f>'Cmb Dev'!I192</f>
        <v>NI Developer Suite 2015 DS2 Install</v>
      </c>
    </row>
    <row r="222" spans="1:8" x14ac:dyDescent="0.25">
      <c r="A222" s="74" t="str">
        <f>'Cmb Dev'!B193</f>
        <v>NI-Sync</v>
      </c>
      <c r="B222" s="74" t="str">
        <f>'Cmb Dev'!C193</f>
        <v>18.1.0f0</v>
      </c>
      <c r="C222" s="74" t="str">
        <f>'Cmb Dev'!D193</f>
        <v>32</v>
      </c>
      <c r="D222" s="74" t="str">
        <f>'Cmb Dev'!E193</f>
        <v>2018</v>
      </c>
      <c r="E222" s="74" t="str">
        <f>'Cmb Dev'!F193</f>
        <v>Development</v>
      </c>
      <c r="F222" s="74" t="str">
        <f>'Cmb Dev'!G193</f>
        <v>NI</v>
      </c>
      <c r="G222" s="74" t="str">
        <f>'Cmb Dev'!H193</f>
        <v>NI-Sync 18.1.0f0</v>
      </c>
      <c r="H222" s="74" t="str">
        <f>'Cmb Dev'!I193</f>
        <v>CompactRIO 18.1.0</v>
      </c>
    </row>
    <row r="223" spans="1:8" x14ac:dyDescent="0.25">
      <c r="A223" s="74" t="str">
        <f>'Cmb Run'!B33</f>
        <v>NI-Sync</v>
      </c>
      <c r="B223" s="74" t="str">
        <f>'Cmb Run'!C33</f>
        <v>15.0.1f0</v>
      </c>
      <c r="C223" s="74" t="str">
        <f>'Cmb Run'!D33</f>
        <v>32</v>
      </c>
      <c r="D223" s="74" t="str">
        <f>'Cmb Run'!E33</f>
        <v>2015</v>
      </c>
      <c r="E223" s="74" t="str">
        <f>'Cmb Run'!F33</f>
        <v>Runtime</v>
      </c>
      <c r="F223" s="74" t="str">
        <f>'Cmb Run'!G33</f>
        <v>NI</v>
      </c>
      <c r="G223" s="74" t="str">
        <f>'Cmb Run'!H33</f>
        <v>NI-Sync 15.0.1f0</v>
      </c>
      <c r="H223" s="74">
        <f>'Cmb Run'!I33</f>
        <v>0</v>
      </c>
    </row>
    <row r="224" spans="1:8" x14ac:dyDescent="0.25">
      <c r="A224" s="74" t="str">
        <f>'Cmb Dev'!B194</f>
        <v>NI-TClk</v>
      </c>
      <c r="B224" s="74" t="str">
        <f>'Cmb Dev'!C194</f>
        <v>15.0</v>
      </c>
      <c r="C224" s="74" t="str">
        <f>'Cmb Dev'!D194</f>
        <v>32</v>
      </c>
      <c r="D224" s="74" t="str">
        <f>'Cmb Dev'!E194</f>
        <v>2015</v>
      </c>
      <c r="E224" s="74" t="str">
        <f>'Cmb Dev'!F194</f>
        <v>Development</v>
      </c>
      <c r="F224" s="74" t="str">
        <f>'Cmb Dev'!G194</f>
        <v>NI</v>
      </c>
      <c r="G224" s="74" t="str">
        <f>'Cmb Dev'!H194</f>
        <v>NI-TClk 15.0</v>
      </c>
      <c r="H224" s="74" t="str">
        <f>'Cmb Dev'!I194</f>
        <v>NI Developer Suite 2015 DS2 Install</v>
      </c>
    </row>
    <row r="225" spans="1:8" x14ac:dyDescent="0.25">
      <c r="A225" s="74" t="str">
        <f>'Cmb Dev'!B195</f>
        <v>NI-TimeSync</v>
      </c>
      <c r="B225" s="74" t="str">
        <f>'Cmb Dev'!C195</f>
        <v>15.0.0f0</v>
      </c>
      <c r="C225" s="74" t="str">
        <f>'Cmb Dev'!D195</f>
        <v>32</v>
      </c>
      <c r="D225" s="74" t="str">
        <f>'Cmb Dev'!E195</f>
        <v>2015</v>
      </c>
      <c r="E225" s="74" t="str">
        <f>'Cmb Dev'!F195</f>
        <v>Development</v>
      </c>
      <c r="F225" s="74" t="str">
        <f>'Cmb Dev'!G195</f>
        <v>NI</v>
      </c>
      <c r="G225" s="74" t="str">
        <f>'Cmb Dev'!H195</f>
        <v>NI-TimeSync 15.0.0f0</v>
      </c>
      <c r="H225" s="74" t="str">
        <f>'Cmb Dev'!I195</f>
        <v>NI Developer Suite 2015 DS2 Install</v>
      </c>
    </row>
    <row r="226" spans="1:8" x14ac:dyDescent="0.25">
      <c r="A226" s="74" t="str">
        <f>'Cmb Dev'!B196</f>
        <v>NI-USI</v>
      </c>
      <c r="B226" s="74" t="str">
        <f>'Cmb Dev'!C196</f>
        <v>15.0.1.6118</v>
      </c>
      <c r="C226" s="74" t="str">
        <f>'Cmb Dev'!D196</f>
        <v>32</v>
      </c>
      <c r="D226" s="74" t="str">
        <f>'Cmb Dev'!E196</f>
        <v>2015</v>
      </c>
      <c r="E226" s="74" t="str">
        <f>'Cmb Dev'!F196</f>
        <v>Development</v>
      </c>
      <c r="F226" s="74" t="str">
        <f>'Cmb Dev'!G196</f>
        <v>NI</v>
      </c>
      <c r="G226" s="74" t="str">
        <f>'Cmb Dev'!H196</f>
        <v>NI-USI 15.0.1.6118</v>
      </c>
      <c r="H226" s="74" t="str">
        <f>'Cmb Dev'!I196</f>
        <v>LabVIEW 2015 SP1</v>
      </c>
    </row>
    <row r="227" spans="1:8" x14ac:dyDescent="0.25">
      <c r="A227" s="74" t="str">
        <f>'Cmb Dev'!B197</f>
        <v>NI-USI</v>
      </c>
      <c r="B227" s="74" t="str">
        <f>'Cmb Dev'!C197</f>
        <v>17.0.0.6654</v>
      </c>
      <c r="C227" s="74" t="str">
        <f>'Cmb Dev'!D197</f>
        <v>32</v>
      </c>
      <c r="D227" s="74" t="str">
        <f>'Cmb Dev'!E197</f>
        <v>2017</v>
      </c>
      <c r="E227" s="74" t="str">
        <f>'Cmb Dev'!F197</f>
        <v>Development</v>
      </c>
      <c r="F227" s="74" t="str">
        <f>'Cmb Dev'!G197</f>
        <v>NI</v>
      </c>
      <c r="G227" s="74" t="str">
        <f>'Cmb Dev'!H197</f>
        <v>NI-USI 17.0.0.6654</v>
      </c>
      <c r="H227" s="74">
        <f>'Cmb Dev'!I197</f>
        <v>0</v>
      </c>
    </row>
    <row r="228" spans="1:8" x14ac:dyDescent="0.25">
      <c r="A228" s="74" t="str">
        <f>'Cmb Dev'!B198</f>
        <v>NI-USI</v>
      </c>
      <c r="B228" s="74" t="str">
        <f>'Cmb Dev'!C198</f>
        <v>18.5.5.7372</v>
      </c>
      <c r="C228" s="74" t="str">
        <f>'Cmb Dev'!D198</f>
        <v>32</v>
      </c>
      <c r="D228" s="74" t="str">
        <f>'Cmb Dev'!E198</f>
        <v>2018</v>
      </c>
      <c r="E228" s="74" t="str">
        <f>'Cmb Dev'!F198</f>
        <v>Development</v>
      </c>
      <c r="F228" s="74" t="str">
        <f>'Cmb Dev'!G198</f>
        <v>NI</v>
      </c>
      <c r="G228" s="74" t="str">
        <f>'Cmb Dev'!H198</f>
        <v>NI-USI 18.5.5.7372</v>
      </c>
      <c r="H228" s="74">
        <f>'Cmb Dev'!I198</f>
        <v>0</v>
      </c>
    </row>
    <row r="229" spans="1:8" x14ac:dyDescent="0.25">
      <c r="A229" s="74" t="str">
        <f>'Cmb Dev'!B199</f>
        <v>NI-USI</v>
      </c>
      <c r="B229" s="74" t="str">
        <f>'Cmb Dev'!C199</f>
        <v>17.0.1</v>
      </c>
      <c r="C229" s="74" t="str">
        <f>'Cmb Dev'!D199</f>
        <v>32</v>
      </c>
      <c r="D229" s="74" t="str">
        <f>'Cmb Dev'!E199</f>
        <v>2018</v>
      </c>
      <c r="E229" s="74" t="str">
        <f>'Cmb Dev'!F199</f>
        <v>Development</v>
      </c>
      <c r="F229" s="74" t="str">
        <f>'Cmb Dev'!G199</f>
        <v>NI</v>
      </c>
      <c r="G229" s="74" t="str">
        <f>'Cmb Dev'!H199</f>
        <v>NI-USI 17.0.1</v>
      </c>
      <c r="H229" s="74">
        <f>'Cmb Dev'!I199</f>
        <v>0</v>
      </c>
    </row>
    <row r="230" spans="1:8" x14ac:dyDescent="0.25">
      <c r="A230" s="74" t="str">
        <f>'Cmb Dev'!B200</f>
        <v>NI-VISA</v>
      </c>
      <c r="B230" s="74" t="str">
        <f>'Cmb Dev'!C200</f>
        <v>19.5</v>
      </c>
      <c r="C230" s="74" t="str">
        <f>'Cmb Dev'!D200</f>
        <v>32</v>
      </c>
      <c r="D230" s="74" t="str">
        <f>'Cmb Dev'!E200</f>
        <v>2019</v>
      </c>
      <c r="E230" s="74" t="str">
        <f>'Cmb Dev'!F200</f>
        <v>Development</v>
      </c>
      <c r="F230" s="74" t="str">
        <f>'Cmb Dev'!G200</f>
        <v>NI</v>
      </c>
      <c r="G230" s="74" t="str">
        <f>'Cmb Dev'!H200</f>
        <v>NI-VISA 19.5</v>
      </c>
      <c r="H230" s="74">
        <f>'Cmb Dev'!I200</f>
        <v>0</v>
      </c>
    </row>
    <row r="231" spans="1:8" x14ac:dyDescent="0.25">
      <c r="A231" s="74" t="str">
        <f>'Cmb Dev'!B201</f>
        <v>NI-VISA</v>
      </c>
      <c r="B231" s="74" t="str">
        <f>'Cmb Dev'!C201</f>
        <v>15.5</v>
      </c>
      <c r="C231" s="74">
        <f>'Cmb Dev'!D201</f>
        <v>32</v>
      </c>
      <c r="D231" s="74">
        <f>'Cmb Dev'!E201</f>
        <v>2015</v>
      </c>
      <c r="E231" s="74" t="str">
        <f>'Cmb Dev'!F201</f>
        <v>Development</v>
      </c>
      <c r="F231" s="74" t="str">
        <f>'Cmb Dev'!G201</f>
        <v>NI</v>
      </c>
      <c r="G231" s="74" t="str">
        <f>'Cmb Dev'!H201</f>
        <v>NI-VISA 15.5</v>
      </c>
      <c r="H231" s="74" t="str">
        <f>'Cmb Dev'!I201</f>
        <v>2015 SP1 Update Service</v>
      </c>
    </row>
    <row r="232" spans="1:8" x14ac:dyDescent="0.25">
      <c r="A232" s="74" t="str">
        <f>'Cmb Dev'!B202</f>
        <v>NI-VISA</v>
      </c>
      <c r="B232" s="74" t="str">
        <f>'Cmb Dev'!C202</f>
        <v>18.0</v>
      </c>
      <c r="C232" s="74" t="str">
        <f>'Cmb Dev'!D202</f>
        <v>32</v>
      </c>
      <c r="D232" s="74" t="str">
        <f>'Cmb Dev'!E202</f>
        <v>2018</v>
      </c>
      <c r="E232" s="74" t="str">
        <f>'Cmb Dev'!F202</f>
        <v>Development</v>
      </c>
      <c r="F232" s="74" t="str">
        <f>'Cmb Dev'!G202</f>
        <v>NI</v>
      </c>
      <c r="G232" s="74" t="str">
        <f>'Cmb Dev'!H202</f>
        <v>NI-VISA 18.0</v>
      </c>
      <c r="H232" s="74">
        <f>'Cmb Dev'!I202</f>
        <v>0</v>
      </c>
    </row>
    <row r="233" spans="1:8" x14ac:dyDescent="0.25">
      <c r="A233" s="74" t="str">
        <f>'Cmb Dev'!B203</f>
        <v>NIvisaic.exe</v>
      </c>
      <c r="B233" s="74" t="str">
        <f>'Cmb Dev'!C203</f>
        <v>15.0.0.49152</v>
      </c>
      <c r="C233" s="74" t="str">
        <f>'Cmb Dev'!D203</f>
        <v>32</v>
      </c>
      <c r="D233" s="74" t="str">
        <f>'Cmb Dev'!E203</f>
        <v>2019</v>
      </c>
      <c r="E233" s="74" t="str">
        <f>'Cmb Dev'!F203</f>
        <v>Development</v>
      </c>
      <c r="F233" s="74" t="str">
        <f>'Cmb Dev'!G203</f>
        <v>NI</v>
      </c>
      <c r="G233" s="74" t="str">
        <f>'Cmb Dev'!H203</f>
        <v>NIvisaic.exe 15.0.0.49152</v>
      </c>
      <c r="H233" s="74" t="str">
        <f>'Cmb Dev'!I203</f>
        <v>NI Developer Suite 2015 DS2 Install</v>
      </c>
    </row>
    <row r="234" spans="1:8" x14ac:dyDescent="0.25">
      <c r="A234" s="74" t="str">
        <f>'Cmb Dev'!B204</f>
        <v>NIvisaic.exe</v>
      </c>
      <c r="B234" s="74" t="str">
        <f>'Cmb Dev'!C204</f>
        <v>18.5.0.49152</v>
      </c>
      <c r="C234" s="74" t="str">
        <f>'Cmb Dev'!D204</f>
        <v>32</v>
      </c>
      <c r="D234" s="74" t="str">
        <f>'Cmb Dev'!E204</f>
        <v>2018</v>
      </c>
      <c r="E234" s="74" t="str">
        <f>'Cmb Dev'!F204</f>
        <v>Development</v>
      </c>
      <c r="F234" s="74" t="str">
        <f>'Cmb Dev'!G204</f>
        <v>NI</v>
      </c>
      <c r="G234" s="74" t="str">
        <f>'Cmb Dev'!H204</f>
        <v>NIvisaic.exe 18.5.0.49152</v>
      </c>
      <c r="H234" s="74" t="str">
        <f>'Cmb Dev'!I204</f>
        <v>NI Developer Suite 2015 DS2 Install</v>
      </c>
    </row>
    <row r="235" spans="1:8" x14ac:dyDescent="0.25">
      <c r="A235" s="74" t="str">
        <f>'Cmb Dev'!B205</f>
        <v>NiVisaServer.exe</v>
      </c>
      <c r="B235" s="74" t="str">
        <f>'Cmb Dev'!C205</f>
        <v>15.0.0.49152</v>
      </c>
      <c r="C235" s="74" t="str">
        <f>'Cmb Dev'!D205</f>
        <v>32</v>
      </c>
      <c r="D235" s="74" t="str">
        <f>'Cmb Dev'!E205</f>
        <v>2019</v>
      </c>
      <c r="E235" s="74" t="str">
        <f>'Cmb Dev'!F205</f>
        <v>Development</v>
      </c>
      <c r="F235" s="74" t="str">
        <f>'Cmb Dev'!G205</f>
        <v>NI</v>
      </c>
      <c r="G235" s="74" t="str">
        <f>'Cmb Dev'!H205</f>
        <v>NiVisaServer.exe 15.0.0.49152</v>
      </c>
      <c r="H235" s="74" t="str">
        <f>'Cmb Dev'!I205</f>
        <v>NI Developer Suite 2015 DS2 Install</v>
      </c>
    </row>
    <row r="236" spans="1:8" x14ac:dyDescent="0.25">
      <c r="A236" s="74" t="str">
        <f>'Cmb Run'!B34</f>
        <v>NI-XNET</v>
      </c>
      <c r="B236" s="74" t="str">
        <f>'Cmb Run'!C34</f>
        <v>19.0.0f1</v>
      </c>
      <c r="C236" s="74" t="str">
        <f>'Cmb Run'!D34</f>
        <v>32</v>
      </c>
      <c r="D236" s="74" t="str">
        <f>'Cmb Run'!E34</f>
        <v>2019</v>
      </c>
      <c r="E236" s="74" t="str">
        <f>'Cmb Run'!F34</f>
        <v>Runtime</v>
      </c>
      <c r="F236" s="74" t="str">
        <f>'Cmb Run'!G34</f>
        <v>NI</v>
      </c>
      <c r="G236" s="74" t="str">
        <f>'Cmb Run'!H34</f>
        <v>NI-XNET 2019 19.0.0f1</v>
      </c>
      <c r="H236" s="74" t="str">
        <f>'Cmb Run'!I34</f>
        <v>LabVIEW 2019</v>
      </c>
    </row>
    <row r="237" spans="1:8" x14ac:dyDescent="0.25">
      <c r="A237" s="74" t="str">
        <f>'Cmb Run'!B35</f>
        <v>NI-XNET</v>
      </c>
      <c r="B237" s="74" t="str">
        <f>'Cmb Run'!C35</f>
        <v>18.5.0f1</v>
      </c>
      <c r="C237" s="74" t="str">
        <f>'Cmb Run'!D35</f>
        <v>32</v>
      </c>
      <c r="D237" s="74" t="str">
        <f>'Cmb Run'!E35</f>
        <v>2018</v>
      </c>
      <c r="E237" s="74" t="str">
        <f>'Cmb Run'!F35</f>
        <v>Runtime</v>
      </c>
      <c r="F237" s="74" t="str">
        <f>'Cmb Run'!G35</f>
        <v>NI</v>
      </c>
      <c r="G237" s="74" t="str">
        <f>'Cmb Run'!H35</f>
        <v>NI-XNET 18.5.0f1</v>
      </c>
      <c r="H237" s="74">
        <f>'Cmb Run'!I35</f>
        <v>0</v>
      </c>
    </row>
    <row r="238" spans="1:8" x14ac:dyDescent="0.25">
      <c r="A238" s="74" t="str">
        <f>'Cmb Dev'!B206</f>
        <v>NI-XNET</v>
      </c>
      <c r="B238" s="74" t="str">
        <f>'Cmb Dev'!C206</f>
        <v>18.5.0f0</v>
      </c>
      <c r="C238" s="74" t="str">
        <f>'Cmb Dev'!D206</f>
        <v>32</v>
      </c>
      <c r="D238" s="74" t="str">
        <f>'Cmb Dev'!E206</f>
        <v>2018</v>
      </c>
      <c r="E238" s="74" t="str">
        <f>'Cmb Dev'!F206</f>
        <v>Development</v>
      </c>
      <c r="F238" s="74" t="str">
        <f>'Cmb Dev'!G206</f>
        <v>NI</v>
      </c>
      <c r="G238" s="74" t="str">
        <f>'Cmb Dev'!H206</f>
        <v>NI-XNET 18.5.0f0</v>
      </c>
      <c r="H238" s="74">
        <f>'Cmb Dev'!I206</f>
        <v>0</v>
      </c>
    </row>
    <row r="239" spans="1:8" x14ac:dyDescent="0.25">
      <c r="A239" s="74" t="str">
        <f>'Cmb Dev'!B207</f>
        <v>Open Source GOOP Development Suite</v>
      </c>
      <c r="B239" s="74" t="str">
        <f>'Cmb Dev'!C207</f>
        <v>1.1.17.56</v>
      </c>
      <c r="C239" s="74" t="str">
        <f>'Cmb Dev'!D207</f>
        <v>32</v>
      </c>
      <c r="D239" s="74" t="str">
        <f>'Cmb Dev'!E207</f>
        <v>N/A</v>
      </c>
      <c r="E239" s="74" t="str">
        <f>'Cmb Dev'!F207</f>
        <v>Development</v>
      </c>
      <c r="F239" s="74" t="str">
        <f>'Cmb Dev'!G207</f>
        <v>OpenG.org</v>
      </c>
      <c r="G239" s="74" t="str">
        <f>'Cmb Dev'!H207</f>
        <v>Open Source GOOP Development Suite 1.1.17.56</v>
      </c>
      <c r="H239" s="74" t="str">
        <f>'Cmb Dev'!I207</f>
        <v>VIPM Community</v>
      </c>
    </row>
    <row r="240" spans="1:8" x14ac:dyDescent="0.25">
      <c r="A240" s="74" t="str">
        <f>'Cmb Dev'!B208</f>
        <v>OpenG Application Control Library</v>
      </c>
      <c r="B240" s="74" t="str">
        <f>'Cmb Dev'!C208</f>
        <v>4.1.0.7</v>
      </c>
      <c r="C240" s="74" t="str">
        <f>'Cmb Dev'!D208</f>
        <v>32</v>
      </c>
      <c r="D240" s="74" t="str">
        <f>'Cmb Dev'!E208</f>
        <v>N/A</v>
      </c>
      <c r="E240" s="74" t="str">
        <f>'Cmb Dev'!F208</f>
        <v>Development</v>
      </c>
      <c r="F240" s="74" t="str">
        <f>'Cmb Dev'!G208</f>
        <v>OpenG.org</v>
      </c>
      <c r="G240" s="74" t="str">
        <f>'Cmb Dev'!H208</f>
        <v>OpenG Application Control Library 4.1.0.7</v>
      </c>
      <c r="H240" s="74" t="str">
        <f>'Cmb Dev'!I208</f>
        <v>VIPM Community</v>
      </c>
    </row>
    <row r="241" spans="1:8" x14ac:dyDescent="0.25">
      <c r="A241" s="74" t="str">
        <f>'Cmb Dev'!B209</f>
        <v>OpenG Array Library</v>
      </c>
      <c r="B241" s="74" t="str">
        <f>'Cmb Dev'!C209</f>
        <v>4.1.1.14</v>
      </c>
      <c r="C241" s="74" t="str">
        <f>'Cmb Dev'!D209</f>
        <v>32</v>
      </c>
      <c r="D241" s="74" t="str">
        <f>'Cmb Dev'!E209</f>
        <v>N/A</v>
      </c>
      <c r="E241" s="74" t="str">
        <f>'Cmb Dev'!F209</f>
        <v>Development</v>
      </c>
      <c r="F241" s="74" t="str">
        <f>'Cmb Dev'!G209</f>
        <v>OpenG.org</v>
      </c>
      <c r="G241" s="74" t="str">
        <f>'Cmb Dev'!H209</f>
        <v>OpenG Array Library 4.1.1.14</v>
      </c>
      <c r="H241" s="74" t="str">
        <f>'Cmb Dev'!I209</f>
        <v>VIPM Community</v>
      </c>
    </row>
    <row r="242" spans="1:8" x14ac:dyDescent="0.25">
      <c r="A242" s="74" t="str">
        <f>'Cmb Dev'!B210</f>
        <v>OpenG Boolean Library</v>
      </c>
      <c r="B242" s="74" t="str">
        <f>'Cmb Dev'!C210</f>
        <v>4.0.0.7</v>
      </c>
      <c r="C242" s="74" t="str">
        <f>'Cmb Dev'!D210</f>
        <v>32</v>
      </c>
      <c r="D242" s="74" t="str">
        <f>'Cmb Dev'!E210</f>
        <v>N/A</v>
      </c>
      <c r="E242" s="74" t="str">
        <f>'Cmb Dev'!F210</f>
        <v>Development</v>
      </c>
      <c r="F242" s="74" t="str">
        <f>'Cmb Dev'!G210</f>
        <v>OpenG.org</v>
      </c>
      <c r="G242" s="74" t="str">
        <f>'Cmb Dev'!H210</f>
        <v>OpenG Boolean Library 4.0.0.7</v>
      </c>
      <c r="H242" s="74" t="str">
        <f>'Cmb Dev'!I210</f>
        <v>VIPM Community</v>
      </c>
    </row>
    <row r="243" spans="1:8" x14ac:dyDescent="0.25">
      <c r="A243" s="74" t="str">
        <f>'Cmb Dev'!B211</f>
        <v>OpenG Builder</v>
      </c>
      <c r="B243" s="74" t="str">
        <f>'Cmb Dev'!C211</f>
        <v>3.0.1-2</v>
      </c>
      <c r="C243" s="74" t="str">
        <f>'Cmb Dev'!D211</f>
        <v>32</v>
      </c>
      <c r="D243" s="74" t="str">
        <f>'Cmb Dev'!E211</f>
        <v>N/A</v>
      </c>
      <c r="E243" s="74" t="str">
        <f>'Cmb Dev'!F211</f>
        <v>Development</v>
      </c>
      <c r="F243" s="74" t="str">
        <f>'Cmb Dev'!G211</f>
        <v>OpenG.org</v>
      </c>
      <c r="G243" s="74" t="str">
        <f>'Cmb Dev'!H211</f>
        <v>OpenG Builder 3.0.1-2</v>
      </c>
      <c r="H243" s="74" t="str">
        <f>'Cmb Dev'!I211</f>
        <v>VIPM Community</v>
      </c>
    </row>
    <row r="244" spans="1:8" x14ac:dyDescent="0.25">
      <c r="A244" s="74" t="str">
        <f>'Cmb Dev'!B212</f>
        <v>OpenG Buttons Library</v>
      </c>
      <c r="B244" s="74" t="str">
        <f>'Cmb Dev'!C212</f>
        <v>4.0.0.7</v>
      </c>
      <c r="C244" s="74" t="str">
        <f>'Cmb Dev'!D212</f>
        <v>32</v>
      </c>
      <c r="D244" s="74" t="str">
        <f>'Cmb Dev'!E212</f>
        <v>N/A</v>
      </c>
      <c r="E244" s="74" t="str">
        <f>'Cmb Dev'!F212</f>
        <v>Development</v>
      </c>
      <c r="F244" s="74" t="str">
        <f>'Cmb Dev'!G212</f>
        <v>OpenG.org</v>
      </c>
      <c r="G244" s="74" t="str">
        <f>'Cmb Dev'!H212</f>
        <v>OpenG Buttons Library 4.0.0.7</v>
      </c>
      <c r="H244" s="74" t="str">
        <f>'Cmb Dev'!I212</f>
        <v>VIPM Community</v>
      </c>
    </row>
    <row r="245" spans="1:8" x14ac:dyDescent="0.25">
      <c r="A245" s="74" t="str">
        <f>'Cmb Dev'!B213</f>
        <v>OpenG Compare VI To Disk Tool</v>
      </c>
      <c r="B245" s="74" t="str">
        <f>'Cmb Dev'!C213</f>
        <v>4.0.0.9</v>
      </c>
      <c r="C245" s="74" t="str">
        <f>'Cmb Dev'!D213</f>
        <v>32</v>
      </c>
      <c r="D245" s="74" t="str">
        <f>'Cmb Dev'!E213</f>
        <v>N/A</v>
      </c>
      <c r="E245" s="74" t="str">
        <f>'Cmb Dev'!F213</f>
        <v>Development</v>
      </c>
      <c r="F245" s="74" t="str">
        <f>'Cmb Dev'!G213</f>
        <v>OpenG.org</v>
      </c>
      <c r="G245" s="74" t="str">
        <f>'Cmb Dev'!H213</f>
        <v>OpenG Compare VI To Disk Tool 4.0.0.9</v>
      </c>
      <c r="H245" s="74" t="str">
        <f>'Cmb Dev'!I213</f>
        <v>VIPM Community</v>
      </c>
    </row>
    <row r="246" spans="1:8" x14ac:dyDescent="0.25">
      <c r="A246" s="74" t="str">
        <f>'Cmb Dev'!B214</f>
        <v>OpenG Comparison Library</v>
      </c>
      <c r="B246" s="74" t="str">
        <f>'Cmb Dev'!C214</f>
        <v>4.0.0.3</v>
      </c>
      <c r="C246" s="74" t="str">
        <f>'Cmb Dev'!D214</f>
        <v>32</v>
      </c>
      <c r="D246" s="74" t="str">
        <f>'Cmb Dev'!E214</f>
        <v>N/A</v>
      </c>
      <c r="E246" s="74" t="str">
        <f>'Cmb Dev'!F214</f>
        <v>Development</v>
      </c>
      <c r="F246" s="74" t="str">
        <f>'Cmb Dev'!G214</f>
        <v>OpenG.org</v>
      </c>
      <c r="G246" s="74" t="str">
        <f>'Cmb Dev'!H214</f>
        <v>OpenG Comparison Library 4.0.0.3</v>
      </c>
      <c r="H246" s="74" t="str">
        <f>'Cmb Dev'!I214</f>
        <v>VIPM Community</v>
      </c>
    </row>
    <row r="247" spans="1:8" x14ac:dyDescent="0.25">
      <c r="A247" s="74" t="str">
        <f>'Cmb Dev'!B215</f>
        <v>OpenG Dictionary Library</v>
      </c>
      <c r="B247" s="74" t="str">
        <f>'Cmb Dev'!C215</f>
        <v>4.0.0.4</v>
      </c>
      <c r="C247" s="74" t="str">
        <f>'Cmb Dev'!D215</f>
        <v>32</v>
      </c>
      <c r="D247" s="74" t="str">
        <f>'Cmb Dev'!E215</f>
        <v>N/A</v>
      </c>
      <c r="E247" s="74" t="str">
        <f>'Cmb Dev'!F215</f>
        <v>Development</v>
      </c>
      <c r="F247" s="74" t="str">
        <f>'Cmb Dev'!G215</f>
        <v>OpenG.org</v>
      </c>
      <c r="G247" s="74" t="str">
        <f>'Cmb Dev'!H215</f>
        <v>OpenG Dictionary Library 4.0.0.4</v>
      </c>
      <c r="H247" s="74" t="str">
        <f>'Cmb Dev'!I215</f>
        <v>VIPM Community</v>
      </c>
    </row>
    <row r="248" spans="1:8" x14ac:dyDescent="0.25">
      <c r="A248" s="74" t="str">
        <f>'Cmb Dev'!B216</f>
        <v>OpenG Error Library</v>
      </c>
      <c r="B248" s="74" t="str">
        <f>'Cmb Dev'!C216</f>
        <v>4.2.0.23</v>
      </c>
      <c r="C248" s="74" t="str">
        <f>'Cmb Dev'!D216</f>
        <v>32</v>
      </c>
      <c r="D248" s="74" t="str">
        <f>'Cmb Dev'!E216</f>
        <v>N/A</v>
      </c>
      <c r="E248" s="74" t="str">
        <f>'Cmb Dev'!F216</f>
        <v>Development</v>
      </c>
      <c r="F248" s="74" t="str">
        <f>'Cmb Dev'!G216</f>
        <v>OpenG.org</v>
      </c>
      <c r="G248" s="74" t="str">
        <f>'Cmb Dev'!H216</f>
        <v>OpenG Error Library 4.2.0.23</v>
      </c>
      <c r="H248" s="74" t="str">
        <f>'Cmb Dev'!I216</f>
        <v>VIPM Community</v>
      </c>
    </row>
    <row r="249" spans="1:8" x14ac:dyDescent="0.25">
      <c r="A249" s="74" t="str">
        <f>'Cmb Dev'!B217</f>
        <v>OpenG File Library</v>
      </c>
      <c r="B249" s="74" t="str">
        <f>'Cmb Dev'!C217</f>
        <v>4.0.1.22</v>
      </c>
      <c r="C249" s="74" t="str">
        <f>'Cmb Dev'!D217</f>
        <v>32</v>
      </c>
      <c r="D249" s="74" t="str">
        <f>'Cmb Dev'!E217</f>
        <v>N/A</v>
      </c>
      <c r="E249" s="74" t="str">
        <f>'Cmb Dev'!F217</f>
        <v>Development</v>
      </c>
      <c r="F249" s="74" t="str">
        <f>'Cmb Dev'!G217</f>
        <v>OpenG.org</v>
      </c>
      <c r="G249" s="74" t="str">
        <f>'Cmb Dev'!H217</f>
        <v>OpenG File Library 4.0.1.22</v>
      </c>
      <c r="H249" s="74" t="str">
        <f>'Cmb Dev'!I217</f>
        <v>VIPM Community</v>
      </c>
    </row>
    <row r="250" spans="1:8" x14ac:dyDescent="0.25">
      <c r="A250" s="74" t="str">
        <f>'Cmb Dev'!B218</f>
        <v>OpenG LabPython Library</v>
      </c>
      <c r="B250" s="74" t="str">
        <f>'Cmb Dev'!C218</f>
        <v>4.0.0.4</v>
      </c>
      <c r="C250" s="74" t="str">
        <f>'Cmb Dev'!D218</f>
        <v>32</v>
      </c>
      <c r="D250" s="74" t="str">
        <f>'Cmb Dev'!E218</f>
        <v>N/A</v>
      </c>
      <c r="E250" s="74" t="str">
        <f>'Cmb Dev'!F218</f>
        <v>Development</v>
      </c>
      <c r="F250" s="74" t="str">
        <f>'Cmb Dev'!G218</f>
        <v>OpenG_org</v>
      </c>
      <c r="G250" s="74" t="str">
        <f>'Cmb Dev'!H218</f>
        <v>OpenG LabPython Library 4.0.0.4</v>
      </c>
      <c r="H250" s="74" t="str">
        <f>'Cmb Dev'!I218</f>
        <v>VIPM Community</v>
      </c>
    </row>
    <row r="251" spans="1:8" x14ac:dyDescent="0.25">
      <c r="A251" s="74" t="str">
        <f>'Cmb Dev'!B219</f>
        <v>OpenG LabVIEW Data Library</v>
      </c>
      <c r="B251" s="74" t="str">
        <f>'Cmb Dev'!C219</f>
        <v>4.2.0.21</v>
      </c>
      <c r="C251" s="74" t="str">
        <f>'Cmb Dev'!D219</f>
        <v>32</v>
      </c>
      <c r="D251" s="74" t="str">
        <f>'Cmb Dev'!E219</f>
        <v>N/A</v>
      </c>
      <c r="E251" s="74" t="str">
        <f>'Cmb Dev'!F219</f>
        <v>Development</v>
      </c>
      <c r="F251" s="74" t="str">
        <f>'Cmb Dev'!G219</f>
        <v>Openg.org</v>
      </c>
      <c r="G251" s="74" t="str">
        <f>'Cmb Dev'!H219</f>
        <v>OpenG LabVIEW Data Library 4.2.0.21</v>
      </c>
      <c r="H251" s="74" t="str">
        <f>'Cmb Dev'!I219</f>
        <v>VIPM Community</v>
      </c>
    </row>
    <row r="252" spans="1:8" x14ac:dyDescent="0.25">
      <c r="A252" s="74" t="str">
        <f>'Cmb Dev'!B220</f>
        <v>OpenG LabVIEW ZIP Library</v>
      </c>
      <c r="B252" s="74" t="str">
        <f>'Cmb Dev'!C220</f>
        <v>4.0.0-2</v>
      </c>
      <c r="C252" s="74" t="str">
        <f>'Cmb Dev'!D220</f>
        <v>32</v>
      </c>
      <c r="D252" s="74" t="str">
        <f>'Cmb Dev'!E220</f>
        <v>N/A</v>
      </c>
      <c r="E252" s="74" t="str">
        <f>'Cmb Dev'!F220</f>
        <v>Development</v>
      </c>
      <c r="F252" s="74" t="str">
        <f>'Cmb Dev'!G220</f>
        <v>OpenG.org</v>
      </c>
      <c r="G252" s="74" t="str">
        <f>'Cmb Dev'!H220</f>
        <v>OpenG LabVIEW ZIP Library 4.0.0-2</v>
      </c>
      <c r="H252" s="74" t="str">
        <f>'Cmb Dev'!I220</f>
        <v>VIPM Community</v>
      </c>
    </row>
    <row r="253" spans="1:8" x14ac:dyDescent="0.25">
      <c r="A253" s="74" t="str">
        <f>'Cmb Dev'!B221</f>
        <v>OpenG Large File Library</v>
      </c>
      <c r="B253" s="74" t="str">
        <f>'Cmb Dev'!C221</f>
        <v>4.0.0.3</v>
      </c>
      <c r="C253" s="74" t="str">
        <f>'Cmb Dev'!D221</f>
        <v>32</v>
      </c>
      <c r="D253" s="74" t="str">
        <f>'Cmb Dev'!E221</f>
        <v>N/A</v>
      </c>
      <c r="E253" s="74" t="str">
        <f>'Cmb Dev'!F221</f>
        <v>Development</v>
      </c>
      <c r="F253" s="74" t="str">
        <f>'Cmb Dev'!G221</f>
        <v>OpenG.org</v>
      </c>
      <c r="G253" s="74" t="str">
        <f>'Cmb Dev'!H221</f>
        <v>OpenG Large File Library 4.0.0.3</v>
      </c>
      <c r="H253" s="74" t="str">
        <f>'Cmb Dev'!I221</f>
        <v>VIPM Community</v>
      </c>
    </row>
    <row r="254" spans="1:8" x14ac:dyDescent="0.25">
      <c r="A254" s="74" t="str">
        <f>'Cmb Dev'!B222</f>
        <v>OpenG Locate File In Project Tool</v>
      </c>
      <c r="B254" s="74" t="str">
        <f>'Cmb Dev'!C222</f>
        <v>4.0.0.7</v>
      </c>
      <c r="C254" s="74" t="str">
        <f>'Cmb Dev'!D222</f>
        <v>32</v>
      </c>
      <c r="D254" s="74" t="str">
        <f>'Cmb Dev'!E222</f>
        <v>N/A</v>
      </c>
      <c r="E254" s="74" t="str">
        <f>'Cmb Dev'!F222</f>
        <v>Development</v>
      </c>
      <c r="F254" s="74" t="str">
        <f>'Cmb Dev'!G222</f>
        <v>OpenG.org</v>
      </c>
      <c r="G254" s="74" t="str">
        <f>'Cmb Dev'!H222</f>
        <v>OpenG Locate File In Project Tool 4.0.0.7</v>
      </c>
      <c r="H254" s="74" t="str">
        <f>'Cmb Dev'!I222</f>
        <v>VIPM Community</v>
      </c>
    </row>
    <row r="255" spans="1:8" x14ac:dyDescent="0.25">
      <c r="A255" s="74" t="str">
        <f>'Cmb Dev'!B223</f>
        <v>OpenG MD5 Digest Library</v>
      </c>
      <c r="B255" s="74" t="str">
        <f>'Cmb Dev'!C223</f>
        <v>4.1.1.10</v>
      </c>
      <c r="C255" s="74" t="str">
        <f>'Cmb Dev'!D223</f>
        <v>32</v>
      </c>
      <c r="D255" s="74" t="str">
        <f>'Cmb Dev'!E223</f>
        <v>N/A</v>
      </c>
      <c r="E255" s="74" t="str">
        <f>'Cmb Dev'!F223</f>
        <v>Development</v>
      </c>
      <c r="F255" s="74" t="str">
        <f>'Cmb Dev'!G223</f>
        <v>OpenG.org</v>
      </c>
      <c r="G255" s="74" t="str">
        <f>'Cmb Dev'!H223</f>
        <v>OpenG MD5 Digest Library 4.1.1.10</v>
      </c>
      <c r="H255" s="74" t="str">
        <f>'Cmb Dev'!I223</f>
        <v>VIPM Community</v>
      </c>
    </row>
    <row r="256" spans="1:8" x14ac:dyDescent="0.25">
      <c r="A256" s="74" t="str">
        <f>'Cmb Dev'!B224</f>
        <v>OpenG Message Queue Library</v>
      </c>
      <c r="B256" s="74" t="str">
        <f>'Cmb Dev'!C224</f>
        <v>4.0.0.15</v>
      </c>
      <c r="C256" s="74" t="str">
        <f>'Cmb Dev'!D224</f>
        <v>32</v>
      </c>
      <c r="D256" s="74" t="str">
        <f>'Cmb Dev'!E224</f>
        <v>N/A</v>
      </c>
      <c r="E256" s="74" t="str">
        <f>'Cmb Dev'!F224</f>
        <v>Development</v>
      </c>
      <c r="F256" s="74" t="str">
        <f>'Cmb Dev'!G224</f>
        <v>OpenG.org</v>
      </c>
      <c r="G256" s="74" t="str">
        <f>'Cmb Dev'!H224</f>
        <v>OpenG Message Queue Library 4.0.0.15</v>
      </c>
      <c r="H256" s="74" t="str">
        <f>'Cmb Dev'!I224</f>
        <v>VIPM Community</v>
      </c>
    </row>
    <row r="257" spans="1:8" x14ac:dyDescent="0.25">
      <c r="A257" s="74" t="str">
        <f>'Cmb Dev'!B225</f>
        <v>OpenG Numeric Library</v>
      </c>
      <c r="B257" s="74" t="str">
        <f>'Cmb Dev'!C225</f>
        <v>4.1.0.8</v>
      </c>
      <c r="C257" s="74" t="str">
        <f>'Cmb Dev'!D225</f>
        <v>32</v>
      </c>
      <c r="D257" s="74" t="str">
        <f>'Cmb Dev'!E225</f>
        <v>N/A</v>
      </c>
      <c r="E257" s="74" t="str">
        <f>'Cmb Dev'!F225</f>
        <v>Development</v>
      </c>
      <c r="F257" s="74" t="str">
        <f>'Cmb Dev'!G225</f>
        <v>OpenG.org</v>
      </c>
      <c r="G257" s="74" t="str">
        <f>'Cmb Dev'!H225</f>
        <v>OpenG Numeric Library 4.1.0.8</v>
      </c>
      <c r="H257" s="74" t="str">
        <f>'Cmb Dev'!I225</f>
        <v>VIPM Community</v>
      </c>
    </row>
    <row r="258" spans="1:8" x14ac:dyDescent="0.25">
      <c r="A258" s="74" t="str">
        <f>'Cmb Dev'!B226</f>
        <v>OpenG Picture Library</v>
      </c>
      <c r="B258" s="74" t="str">
        <f>'Cmb Dev'!C226</f>
        <v>4.0.0.13</v>
      </c>
      <c r="C258" s="74" t="str">
        <f>'Cmb Dev'!D226</f>
        <v>32</v>
      </c>
      <c r="D258" s="74" t="str">
        <f>'Cmb Dev'!E226</f>
        <v>N/A</v>
      </c>
      <c r="E258" s="74" t="str">
        <f>'Cmb Dev'!F226</f>
        <v>Development</v>
      </c>
      <c r="F258" s="74" t="str">
        <f>'Cmb Dev'!G226</f>
        <v>OpenG.org</v>
      </c>
      <c r="G258" s="74" t="str">
        <f>'Cmb Dev'!H226</f>
        <v>OpenG Picture Library 4.0.0.13</v>
      </c>
      <c r="H258" s="74" t="str">
        <f>'Cmb Dev'!I226</f>
        <v>VIPM Community</v>
      </c>
    </row>
    <row r="259" spans="1:8" x14ac:dyDescent="0.25">
      <c r="A259" s="74" t="str">
        <f>'Cmb Dev'!B227</f>
        <v>OpenG Port IO</v>
      </c>
      <c r="B259" s="74" t="str">
        <f>'Cmb Dev'!C227</f>
        <v>4.0.0-2</v>
      </c>
      <c r="C259" s="74" t="str">
        <f>'Cmb Dev'!D227</f>
        <v>32</v>
      </c>
      <c r="D259" s="74" t="str">
        <f>'Cmb Dev'!E227</f>
        <v>N/A</v>
      </c>
      <c r="E259" s="74" t="str">
        <f>'Cmb Dev'!F227</f>
        <v>Development</v>
      </c>
      <c r="F259" s="74" t="str">
        <f>'Cmb Dev'!G227</f>
        <v>OpenG.org</v>
      </c>
      <c r="G259" s="74" t="str">
        <f>'Cmb Dev'!H227</f>
        <v>OpenG Port IO 4.0.0-2</v>
      </c>
      <c r="H259" s="74" t="str">
        <f>'Cmb Dev'!I227</f>
        <v>VIPM Community</v>
      </c>
    </row>
    <row r="260" spans="1:8" x14ac:dyDescent="0.25">
      <c r="A260" s="74" t="str">
        <f>'Cmb Dev'!B228</f>
        <v>OpenG Rename Folder of VIs Tool</v>
      </c>
      <c r="B260" s="74" t="str">
        <f>'Cmb Dev'!C228</f>
        <v>4.0.0.15</v>
      </c>
      <c r="C260" s="74" t="str">
        <f>'Cmb Dev'!D228</f>
        <v>32</v>
      </c>
      <c r="D260" s="74" t="str">
        <f>'Cmb Dev'!E228</f>
        <v>N/A</v>
      </c>
      <c r="E260" s="74" t="str">
        <f>'Cmb Dev'!F228</f>
        <v>Development</v>
      </c>
      <c r="F260" s="74" t="str">
        <f>'Cmb Dev'!G228</f>
        <v>OpenG.org</v>
      </c>
      <c r="G260" s="74" t="str">
        <f>'Cmb Dev'!H228</f>
        <v>OpenG Rename Folder of VIs Tool 4.0.0.15</v>
      </c>
      <c r="H260" s="74" t="str">
        <f>'Cmb Dev'!I228</f>
        <v>VIPM Community</v>
      </c>
    </row>
    <row r="261" spans="1:8" x14ac:dyDescent="0.25">
      <c r="A261" s="74" t="str">
        <f>'Cmb Dev'!B229</f>
        <v>OpenG String Library</v>
      </c>
      <c r="B261" s="74" t="str">
        <f>'Cmb Dev'!C229</f>
        <v>4.1.0.12</v>
      </c>
      <c r="C261" s="74" t="str">
        <f>'Cmb Dev'!D229</f>
        <v>32</v>
      </c>
      <c r="D261" s="74" t="str">
        <f>'Cmb Dev'!E229</f>
        <v>N/A</v>
      </c>
      <c r="E261" s="74" t="str">
        <f>'Cmb Dev'!F229</f>
        <v>Development</v>
      </c>
      <c r="F261" s="74" t="str">
        <f>'Cmb Dev'!G229</f>
        <v>OpenG.org</v>
      </c>
      <c r="G261" s="74" t="str">
        <f>'Cmb Dev'!H229</f>
        <v>OpenG String Library 4.1.0.12</v>
      </c>
      <c r="H261" s="74" t="str">
        <f>'Cmb Dev'!I229</f>
        <v>VIPM Community</v>
      </c>
    </row>
    <row r="262" spans="1:8" x14ac:dyDescent="0.25">
      <c r="A262" s="74" t="str">
        <f>'Cmb Dev'!B230</f>
        <v>OpenG Time Library</v>
      </c>
      <c r="B262" s="74" t="str">
        <f>'Cmb Dev'!C230</f>
        <v>4.0.1.3</v>
      </c>
      <c r="C262" s="74" t="str">
        <f>'Cmb Dev'!D230</f>
        <v>32</v>
      </c>
      <c r="D262" s="74" t="str">
        <f>'Cmb Dev'!E230</f>
        <v>N/A</v>
      </c>
      <c r="E262" s="74" t="str">
        <f>'Cmb Dev'!F230</f>
        <v>Development</v>
      </c>
      <c r="F262" s="74" t="str">
        <f>'Cmb Dev'!G230</f>
        <v>OpenG.org</v>
      </c>
      <c r="G262" s="74" t="str">
        <f>'Cmb Dev'!H230</f>
        <v>OpenG Time Library 4.0.1.3</v>
      </c>
      <c r="H262" s="74" t="str">
        <f>'Cmb Dev'!I230</f>
        <v>VIPM Community</v>
      </c>
    </row>
    <row r="263" spans="1:8" x14ac:dyDescent="0.25">
      <c r="A263" s="74" t="str">
        <f>'Cmb Dev'!B231</f>
        <v>OpenG Toolkit</v>
      </c>
      <c r="B263" s="74" t="str">
        <f>'Cmb Dev'!C231</f>
        <v>4.0.1.9</v>
      </c>
      <c r="C263" s="74" t="str">
        <f>'Cmb Dev'!D231</f>
        <v>32</v>
      </c>
      <c r="D263" s="74" t="str">
        <f>'Cmb Dev'!E231</f>
        <v>N/A</v>
      </c>
      <c r="E263" s="74" t="str">
        <f>'Cmb Dev'!F231</f>
        <v>Development</v>
      </c>
      <c r="F263" s="74" t="str">
        <f>'Cmb Dev'!G231</f>
        <v>OpenG.org</v>
      </c>
      <c r="G263" s="74" t="str">
        <f>'Cmb Dev'!H231</f>
        <v>OpenG Toolkit 4.0.1.9</v>
      </c>
      <c r="H263" s="74" t="str">
        <f>'Cmb Dev'!I231</f>
        <v>VIPM Community</v>
      </c>
    </row>
    <row r="264" spans="1:8" x14ac:dyDescent="0.25">
      <c r="A264" s="74" t="str">
        <f>'Cmb Dev'!B232</f>
        <v>OpenG Variant Configuration File Library</v>
      </c>
      <c r="B264" s="74" t="str">
        <f>'Cmb Dev'!C232</f>
        <v>4.0.0.5</v>
      </c>
      <c r="C264" s="74" t="str">
        <f>'Cmb Dev'!D232</f>
        <v>32</v>
      </c>
      <c r="D264" s="74" t="str">
        <f>'Cmb Dev'!E232</f>
        <v>N/A</v>
      </c>
      <c r="E264" s="74" t="str">
        <f>'Cmb Dev'!F232</f>
        <v>Development</v>
      </c>
      <c r="F264" s="74" t="str">
        <f>'Cmb Dev'!G232</f>
        <v>OpenG.org</v>
      </c>
      <c r="G264" s="74" t="str">
        <f>'Cmb Dev'!H232</f>
        <v>OpenG Variant Configuration File Library 4.0.0.5</v>
      </c>
      <c r="H264" s="74" t="str">
        <f>'Cmb Dev'!I232</f>
        <v>VIPM Community</v>
      </c>
    </row>
    <row r="265" spans="1:8" x14ac:dyDescent="0.25">
      <c r="A265" s="74" t="str">
        <f>'Cmb Dev'!B233</f>
        <v>OpenGDS</v>
      </c>
      <c r="B265" s="74" t="str">
        <f>'Cmb Dev'!C233</f>
        <v>1.1.17</v>
      </c>
      <c r="C265" s="74" t="str">
        <f>'Cmb Dev'!D233</f>
        <v>32</v>
      </c>
      <c r="D265" s="74" t="str">
        <f>'Cmb Dev'!E233</f>
        <v>N/A</v>
      </c>
      <c r="E265" s="74" t="str">
        <f>'Cmb Dev'!F233</f>
        <v>Development</v>
      </c>
      <c r="F265" s="74" t="str">
        <f>'Cmb Dev'!G233</f>
        <v>OpenGDS</v>
      </c>
      <c r="G265" s="74" t="str">
        <f>'Cmb Dev'!H233</f>
        <v>OpenGDS 1.1.17</v>
      </c>
      <c r="H265" s="74" t="str">
        <f>'Cmb Dev'!I233</f>
        <v>VIPM Community</v>
      </c>
    </row>
    <row r="266" spans="1:8" x14ac:dyDescent="0.25">
      <c r="A266" s="74" t="str">
        <f>'Cmb Dev'!B234</f>
        <v>PID Toolkit</v>
      </c>
      <c r="B266" s="74" t="str">
        <f>'Cmb Dev'!C234</f>
        <v>2.1.0</v>
      </c>
      <c r="C266" s="74">
        <f>'Cmb Dev'!D234</f>
        <v>32</v>
      </c>
      <c r="D266" s="74">
        <f>'Cmb Dev'!E234</f>
        <v>2015</v>
      </c>
      <c r="E266" s="74" t="str">
        <f>'Cmb Dev'!F234</f>
        <v>Development</v>
      </c>
      <c r="F266" s="74" t="str">
        <f>'Cmb Dev'!G234</f>
        <v>NI</v>
      </c>
      <c r="G266" s="74" t="str">
        <f>'Cmb Dev'!H234</f>
        <v>PID Toolkit 2.1.0</v>
      </c>
      <c r="H266" s="74" t="str">
        <f>'Cmb Dev'!I234</f>
        <v>NI Developer Suite 2015 DS2 Install</v>
      </c>
    </row>
    <row r="267" spans="1:8" x14ac:dyDescent="0.25">
      <c r="A267" s="74" t="str">
        <f>'Cmb Dev'!B235</f>
        <v>Profiler Toolkit</v>
      </c>
      <c r="B267" s="74" t="str">
        <f>'Cmb Dev'!C235</f>
        <v>1.0.0</v>
      </c>
      <c r="C267" s="74">
        <f>'Cmb Dev'!D235</f>
        <v>32</v>
      </c>
      <c r="D267" s="74">
        <f>'Cmb Dev'!E235</f>
        <v>2015</v>
      </c>
      <c r="E267" s="74" t="str">
        <f>'Cmb Dev'!F235</f>
        <v>Development</v>
      </c>
      <c r="F267" s="74" t="str">
        <f>'Cmb Dev'!G235</f>
        <v>NI</v>
      </c>
      <c r="G267" s="74" t="str">
        <f>'Cmb Dev'!H235</f>
        <v>Profiler Toolkit 1.0.0</v>
      </c>
      <c r="H267" s="74" t="str">
        <f>'Cmb Dev'!I235</f>
        <v>NI Developer Suite 2015 DS2 Install</v>
      </c>
    </row>
    <row r="268" spans="1:8" x14ac:dyDescent="0.25">
      <c r="A268" s="74" t="str">
        <f>'Cmb Dev'!B236</f>
        <v>Real-Time</v>
      </c>
      <c r="B268" s="74" t="str">
        <f>'Cmb Dev'!C236</f>
        <v>15.0.1</v>
      </c>
      <c r="C268" s="74" t="str">
        <f>'Cmb Dev'!D236</f>
        <v>32</v>
      </c>
      <c r="D268" s="74" t="str">
        <f>'Cmb Dev'!E236</f>
        <v>2015</v>
      </c>
      <c r="E268" s="74" t="str">
        <f>'Cmb Dev'!F236</f>
        <v>Development</v>
      </c>
      <c r="F268" s="74" t="str">
        <f>'Cmb Dev'!G236</f>
        <v>NI</v>
      </c>
      <c r="G268" s="74" t="str">
        <f>'Cmb Dev'!H236</f>
        <v>Real-Time 15.0.1</v>
      </c>
      <c r="H268" s="74" t="str">
        <f>'Cmb Dev'!I236</f>
        <v>2015 SP1 Update Service</v>
      </c>
    </row>
    <row r="269" spans="1:8" x14ac:dyDescent="0.25">
      <c r="A269" s="74" t="str">
        <f>'Cmb Dev'!B237</f>
        <v>Real-Time</v>
      </c>
      <c r="B269" s="74" t="str">
        <f>'Cmb Dev'!C237</f>
        <v>15.0.0</v>
      </c>
      <c r="C269" s="74">
        <f>'Cmb Dev'!D237</f>
        <v>32</v>
      </c>
      <c r="D269" s="74">
        <f>'Cmb Dev'!E237</f>
        <v>2015</v>
      </c>
      <c r="E269" s="74" t="str">
        <f>'Cmb Dev'!F237</f>
        <v>Development</v>
      </c>
      <c r="F269" s="74" t="str">
        <f>'Cmb Dev'!G237</f>
        <v>NI</v>
      </c>
      <c r="G269" s="74" t="str">
        <f>'Cmb Dev'!H237</f>
        <v>Real-Time 15.0.0</v>
      </c>
      <c r="H269" s="74" t="str">
        <f>'Cmb Dev'!I237</f>
        <v>NI Developer Suite 2015 DS2 Install</v>
      </c>
    </row>
    <row r="270" spans="1:8" x14ac:dyDescent="0.25">
      <c r="A270" s="74" t="str">
        <f>'Cmb Dev'!B238</f>
        <v>Real-Time Trace Viewer - CVI Support</v>
      </c>
      <c r="B270" s="74" t="str">
        <f>'Cmb Dev'!C238</f>
        <v>15.0.0</v>
      </c>
      <c r="C270" s="74">
        <f>'Cmb Dev'!D238</f>
        <v>32</v>
      </c>
      <c r="D270" s="74">
        <f>'Cmb Dev'!E238</f>
        <v>2015</v>
      </c>
      <c r="E270" s="74" t="str">
        <f>'Cmb Dev'!F238</f>
        <v>Development</v>
      </c>
      <c r="F270" s="74" t="str">
        <f>'Cmb Dev'!G238</f>
        <v>NI</v>
      </c>
      <c r="G270" s="74" t="str">
        <f>'Cmb Dev'!H238</f>
        <v>Real-Time Trace Viewer - CVI Support 15.0.0</v>
      </c>
      <c r="H270" s="74" t="str">
        <f>'Cmb Dev'!I238</f>
        <v>NI Developer Suite 2015 DS2 Install</v>
      </c>
    </row>
    <row r="271" spans="1:8" x14ac:dyDescent="0.25">
      <c r="A271" s="74" t="str">
        <f>'Cmb Dev'!B239</f>
        <v>Real-Time Trace Viewer - LabVIEW 2015 Support</v>
      </c>
      <c r="B271" s="74" t="str">
        <f>'Cmb Dev'!C239</f>
        <v>15.0.1</v>
      </c>
      <c r="C271" s="74" t="str">
        <f>'Cmb Dev'!D239</f>
        <v>32</v>
      </c>
      <c r="D271" s="74" t="str">
        <f>'Cmb Dev'!E239</f>
        <v>2015</v>
      </c>
      <c r="E271" s="74" t="str">
        <f>'Cmb Dev'!F239</f>
        <v>Development</v>
      </c>
      <c r="F271" s="74" t="str">
        <f>'Cmb Dev'!G239</f>
        <v>NI</v>
      </c>
      <c r="G271" s="74" t="str">
        <f>'Cmb Dev'!H239</f>
        <v>Real-Time Trace Viewer - LabVIEW 2015 Support 15.0.1</v>
      </c>
      <c r="H271" s="74" t="str">
        <f>'Cmb Dev'!I239</f>
        <v>2015 SP1 Update Service</v>
      </c>
    </row>
    <row r="272" spans="1:8" x14ac:dyDescent="0.25">
      <c r="A272" s="74" t="str">
        <f>'Cmb Dev'!B240</f>
        <v>Report Generation Toolkit For Microsoft Office</v>
      </c>
      <c r="B272" s="74" t="str">
        <f>'Cmb Dev'!C240</f>
        <v>15.0.0</v>
      </c>
      <c r="C272" s="74" t="str">
        <f>'Cmb Dev'!D240</f>
        <v>32</v>
      </c>
      <c r="D272" s="74" t="str">
        <f>'Cmb Dev'!E240</f>
        <v>2015</v>
      </c>
      <c r="E272" s="74" t="str">
        <f>'Cmb Dev'!F240</f>
        <v>Development</v>
      </c>
      <c r="F272" s="74" t="str">
        <f>'Cmb Dev'!G240</f>
        <v>NI</v>
      </c>
      <c r="G272" s="74" t="str">
        <f>'Cmb Dev'!H240</f>
        <v>Report Generation Toolkit For Microsoft Office 15.0.0</v>
      </c>
      <c r="H272" s="74" t="str">
        <f>'Cmb Dev'!I240</f>
        <v>NI Developer Suite 2015 DS2 Install</v>
      </c>
    </row>
    <row r="273" spans="1:8" x14ac:dyDescent="0.25">
      <c r="A273" s="74" t="str">
        <f>'Cmb Dev'!B241</f>
        <v>Signal Processing Toolkit</v>
      </c>
      <c r="B273" s="74" t="str">
        <f>'Cmb Dev'!C241</f>
        <v>7.0.2</v>
      </c>
      <c r="C273" s="74">
        <f>'Cmb Dev'!D241</f>
        <v>32</v>
      </c>
      <c r="D273" s="74">
        <f>'Cmb Dev'!E241</f>
        <v>2015</v>
      </c>
      <c r="E273" s="74" t="str">
        <f>'Cmb Dev'!F241</f>
        <v>Development</v>
      </c>
      <c r="F273" s="74" t="str">
        <f>'Cmb Dev'!G241</f>
        <v>NI</v>
      </c>
      <c r="G273" s="74" t="str">
        <f>'Cmb Dev'!H241</f>
        <v>Signal Processing Toolkit 7.0.2</v>
      </c>
      <c r="H273" s="74" t="str">
        <f>'Cmb Dev'!I241</f>
        <v>NI Developer Suite 2015 DS2 Install</v>
      </c>
    </row>
    <row r="274" spans="1:8" x14ac:dyDescent="0.25">
      <c r="A274" s="74" t="str">
        <f>'Cmb Dev'!B242</f>
        <v>SQL Toolkit</v>
      </c>
      <c r="B274" s="74" t="str">
        <f>'Cmb Dev'!C242</f>
        <v>2.3.0</v>
      </c>
      <c r="C274" s="74">
        <f>'Cmb Dev'!D242</f>
        <v>32</v>
      </c>
      <c r="D274" s="74">
        <f>'Cmb Dev'!E242</f>
        <v>2015</v>
      </c>
      <c r="E274" s="74" t="str">
        <f>'Cmb Dev'!F242</f>
        <v>Development</v>
      </c>
      <c r="F274" s="74" t="str">
        <f>'Cmb Dev'!G242</f>
        <v>NI</v>
      </c>
      <c r="G274" s="74" t="str">
        <f>'Cmb Dev'!H242</f>
        <v>SQL Toolkit 2.3.0</v>
      </c>
      <c r="H274" s="74" t="str">
        <f>'Cmb Dev'!I242</f>
        <v>NI Developer Suite 2015 DS2 Install</v>
      </c>
    </row>
    <row r="275" spans="1:8" x14ac:dyDescent="0.25">
      <c r="A275" s="74" t="str">
        <f>'Cmb Dev'!B243</f>
        <v>Statechart Module</v>
      </c>
      <c r="B275" s="74" t="str">
        <f>'Cmb Dev'!C243</f>
        <v>15.0</v>
      </c>
      <c r="C275" s="74" t="str">
        <f>'Cmb Dev'!D243</f>
        <v>32</v>
      </c>
      <c r="D275" s="74" t="str">
        <f>'Cmb Dev'!E243</f>
        <v>2015</v>
      </c>
      <c r="E275" s="74" t="str">
        <f>'Cmb Dev'!F243</f>
        <v>Development</v>
      </c>
      <c r="F275" s="74" t="str">
        <f>'Cmb Dev'!G243</f>
        <v>NI</v>
      </c>
      <c r="G275" s="74" t="str">
        <f>'Cmb Dev'!H243</f>
        <v>Statechart Module 15.0</v>
      </c>
      <c r="H275" s="74" t="str">
        <f>'Cmb Dev'!I243</f>
        <v>NI Developer Suite 2015 DS2 Install</v>
      </c>
    </row>
    <row r="276" spans="1:8" x14ac:dyDescent="0.25">
      <c r="A276" s="74" t="str">
        <f>'Cmb Dev'!B244</f>
        <v>Statechart Module</v>
      </c>
      <c r="B276" s="74" t="str">
        <f>'Cmb Dev'!C244</f>
        <v>15.0.0</v>
      </c>
      <c r="C276" s="74">
        <f>'Cmb Dev'!D244</f>
        <v>32</v>
      </c>
      <c r="D276" s="74">
        <f>'Cmb Dev'!E244</f>
        <v>2015</v>
      </c>
      <c r="E276" s="74" t="str">
        <f>'Cmb Dev'!F244</f>
        <v>Development</v>
      </c>
      <c r="F276" s="74" t="str">
        <f>'Cmb Dev'!G244</f>
        <v>NI</v>
      </c>
      <c r="G276" s="74" t="str">
        <f>'Cmb Dev'!H244</f>
        <v>Statechart Module 15.0.0</v>
      </c>
      <c r="H276" s="74" t="str">
        <f>'Cmb Dev'!I244</f>
        <v>NI Developer Suite 2015 DS2 Install</v>
      </c>
    </row>
    <row r="277" spans="1:8" x14ac:dyDescent="0.25">
      <c r="A277" s="74" t="str">
        <f>'Cmb Dev'!B245</f>
        <v>Structure Error Handler</v>
      </c>
      <c r="B277" s="74" t="str">
        <f>'Cmb Dev'!C245</f>
        <v>2.1.10.1</v>
      </c>
      <c r="C277" s="74" t="str">
        <f>'Cmb Dev'!D245</f>
        <v>32</v>
      </c>
      <c r="D277" s="74" t="str">
        <f>'Cmb Dev'!E245</f>
        <v>N/A</v>
      </c>
      <c r="E277" s="74" t="str">
        <f>'Cmb Dev'!F245</f>
        <v>Development</v>
      </c>
      <c r="F277" s="74" t="str">
        <f>'Cmb Dev'!G245</f>
        <v>NI</v>
      </c>
      <c r="G277" s="74" t="str">
        <f>'Cmb Dev'!H245</f>
        <v>Structure Error Handler 2.1.10.1</v>
      </c>
      <c r="H277" s="74" t="str">
        <f>'Cmb Dev'!I245</f>
        <v>VIPM Community</v>
      </c>
    </row>
    <row r="278" spans="1:8" x14ac:dyDescent="0.25">
      <c r="A278" s="74" t="str">
        <f>'Cmb Dev'!B246</f>
        <v>UI Tools</v>
      </c>
      <c r="B278" s="74" t="str">
        <f>'Cmb Dev'!C246</f>
        <v>1.4.1.74</v>
      </c>
      <c r="C278" s="74" t="str">
        <f>'Cmb Dev'!D246</f>
        <v>32</v>
      </c>
      <c r="D278" s="74" t="str">
        <f>'Cmb Dev'!E246</f>
        <v>N/A</v>
      </c>
      <c r="E278" s="74" t="str">
        <f>'Cmb Dev'!F246</f>
        <v>Development</v>
      </c>
      <c r="F278" s="74" t="str">
        <f>'Cmb Dev'!G246</f>
        <v>LAVA</v>
      </c>
      <c r="G278" s="74" t="str">
        <f>'Cmb Dev'!H246</f>
        <v>UI Tools 1.4.1.74</v>
      </c>
      <c r="H278" s="74" t="str">
        <f>'Cmb Dev'!I246</f>
        <v>VIPM Community</v>
      </c>
    </row>
    <row r="279" spans="1:8" x14ac:dyDescent="0.25">
      <c r="A279" s="74" t="str">
        <f>'Cmb Dev'!B247</f>
        <v>Unit Test Framework Toolkit</v>
      </c>
      <c r="B279" s="74" t="str">
        <f>'Cmb Dev'!C247</f>
        <v>15.0.0</v>
      </c>
      <c r="C279" s="74" t="str">
        <f>'Cmb Dev'!D247</f>
        <v>32</v>
      </c>
      <c r="D279" s="74" t="str">
        <f>'Cmb Dev'!E247</f>
        <v>2015</v>
      </c>
      <c r="E279" s="74" t="str">
        <f>'Cmb Dev'!F247</f>
        <v>Development</v>
      </c>
      <c r="F279" s="74" t="str">
        <f>'Cmb Dev'!G247</f>
        <v>NI</v>
      </c>
      <c r="G279" s="74" t="str">
        <f>'Cmb Dev'!H247</f>
        <v>Unit Test Framework Toolkit 15.0.0</v>
      </c>
      <c r="H279" s="74" t="str">
        <f>'Cmb Dev'!I247</f>
        <v>NI Developer Suite 2015 DS2 Install</v>
      </c>
    </row>
    <row r="280" spans="1:8" x14ac:dyDescent="0.25">
      <c r="A280" s="74" t="str">
        <f>'Cmb Dev'!B248</f>
        <v>USB3 Vision Driver</v>
      </c>
      <c r="B280" s="74" t="str">
        <f>'Cmb Dev'!C248</f>
        <v>19.0.0.49152</v>
      </c>
      <c r="C280" s="74" t="str">
        <f>'Cmb Dev'!D248</f>
        <v>32</v>
      </c>
      <c r="D280" s="74" t="str">
        <f>'Cmb Dev'!E248</f>
        <v>2019</v>
      </c>
      <c r="E280" s="74" t="str">
        <f>'Cmb Dev'!F248</f>
        <v>Development</v>
      </c>
      <c r="F280" s="74" t="str">
        <f>'Cmb Dev'!G248</f>
        <v>NI</v>
      </c>
      <c r="G280" s="74" t="str">
        <f>'Cmb Dev'!H248</f>
        <v>USB3 Vision Driver 19.0.0.49152</v>
      </c>
      <c r="H280" s="74" t="str">
        <f>'Cmb Dev'!I248</f>
        <v>LabVIEW 2019</v>
      </c>
    </row>
    <row r="281" spans="1:8" x14ac:dyDescent="0.25">
      <c r="A281" s="74" t="str">
        <f>'Cmb Dev'!B249</f>
        <v>USB3 Vision Driver</v>
      </c>
      <c r="B281" s="74" t="str">
        <f>'Cmb Dev'!C249</f>
        <v>18.5.0.49152</v>
      </c>
      <c r="C281" s="74" t="str">
        <f>'Cmb Dev'!D249</f>
        <v>32</v>
      </c>
      <c r="D281" s="74" t="str">
        <f>'Cmb Dev'!E249</f>
        <v>2018</v>
      </c>
      <c r="E281" s="74" t="str">
        <f>'Cmb Dev'!F249</f>
        <v>Development</v>
      </c>
      <c r="F281" s="74" t="str">
        <f>'Cmb Dev'!G249</f>
        <v>NI</v>
      </c>
      <c r="G281" s="74" t="str">
        <f>'Cmb Dev'!H249</f>
        <v>USB3 Vision Driver 18.5.0.49152</v>
      </c>
      <c r="H281" s="74">
        <f>'Cmb Dev'!I249</f>
        <v>0</v>
      </c>
    </row>
    <row r="282" spans="1:8" x14ac:dyDescent="0.25">
      <c r="A282" s="74" t="str">
        <f>'Cmb Dev'!B250</f>
        <v>VI Analyzer Toolkit</v>
      </c>
      <c r="B282" s="74" t="str">
        <f>'Cmb Dev'!C250</f>
        <v>15.0.0</v>
      </c>
      <c r="C282" s="74" t="str">
        <f>'Cmb Dev'!D250</f>
        <v>32</v>
      </c>
      <c r="D282" s="74" t="str">
        <f>'Cmb Dev'!E250</f>
        <v>2015</v>
      </c>
      <c r="E282" s="74" t="str">
        <f>'Cmb Dev'!F250</f>
        <v>Development</v>
      </c>
      <c r="F282" s="74" t="str">
        <f>'Cmb Dev'!G250</f>
        <v>NI</v>
      </c>
      <c r="G282" s="74" t="str">
        <f>'Cmb Dev'!H250</f>
        <v>VI Analyzer Toolkit 15.0.0</v>
      </c>
      <c r="H282" s="74" t="str">
        <f>'Cmb Dev'!I250</f>
        <v>NI Developer Suite 2015 DS2 Install</v>
      </c>
    </row>
    <row r="283" spans="1:8" x14ac:dyDescent="0.25">
      <c r="A283" s="74" t="str">
        <f>'Cmb Dev'!B251</f>
        <v>Vision Assistant</v>
      </c>
      <c r="B283" s="74" t="str">
        <f>'Cmb Dev'!C251</f>
        <v>18.5.0</v>
      </c>
      <c r="C283" s="74" t="str">
        <f>'Cmb Dev'!D251</f>
        <v>32</v>
      </c>
      <c r="D283" s="74" t="str">
        <f>'Cmb Dev'!E251</f>
        <v>2018</v>
      </c>
      <c r="E283" s="74" t="str">
        <f>'Cmb Dev'!F251</f>
        <v>Development</v>
      </c>
      <c r="F283" s="74" t="str">
        <f>'Cmb Dev'!G251</f>
        <v>NI</v>
      </c>
      <c r="G283" s="74" t="str">
        <f>'Cmb Dev'!H251</f>
        <v>Vision Assistant 18.5.0</v>
      </c>
      <c r="H283" s="74">
        <f>'Cmb Dev'!I251</f>
        <v>0</v>
      </c>
    </row>
    <row r="284" spans="1:8" x14ac:dyDescent="0.25">
      <c r="A284" s="74" t="str">
        <f>'Cmb Dev'!B252</f>
        <v>Vision Common Resources</v>
      </c>
      <c r="B284" s="74" t="str">
        <f>'Cmb Dev'!C252</f>
        <v>19.0.0</v>
      </c>
      <c r="C284" s="74" t="str">
        <f>'Cmb Dev'!D252</f>
        <v>32</v>
      </c>
      <c r="D284" s="74" t="str">
        <f>'Cmb Dev'!E252</f>
        <v>2019</v>
      </c>
      <c r="E284" s="74" t="str">
        <f>'Cmb Dev'!F252</f>
        <v>Development</v>
      </c>
      <c r="F284" s="74" t="str">
        <f>'Cmb Dev'!G252</f>
        <v>NI</v>
      </c>
      <c r="G284" s="74" t="str">
        <f>'Cmb Dev'!H252</f>
        <v>Vision Common Resources 19.0.0</v>
      </c>
      <c r="H284" s="74" t="str">
        <f>'Cmb Dev'!I252</f>
        <v>LabVIEW 2019</v>
      </c>
    </row>
    <row r="285" spans="1:8" x14ac:dyDescent="0.25">
      <c r="A285" s="74" t="str">
        <f>'Cmb Dev'!B253</f>
        <v>Vision Common Resources</v>
      </c>
      <c r="B285" s="74" t="str">
        <f>'Cmb Dev'!C253</f>
        <v>19.5.0</v>
      </c>
      <c r="C285" s="74" t="str">
        <f>'Cmb Dev'!D253</f>
        <v>32</v>
      </c>
      <c r="D285" s="74" t="str">
        <f>'Cmb Dev'!E253</f>
        <v>2019</v>
      </c>
      <c r="E285" s="74" t="str">
        <f>'Cmb Dev'!F253</f>
        <v>Development</v>
      </c>
      <c r="F285" s="74" t="str">
        <f>'Cmb Dev'!G253</f>
        <v>NI</v>
      </c>
      <c r="G285" s="74" t="str">
        <f>'Cmb Dev'!H253</f>
        <v>Vision Common Resources 19.5.0</v>
      </c>
      <c r="H285" s="74">
        <f>'Cmb Dev'!I253</f>
        <v>0</v>
      </c>
    </row>
    <row r="286" spans="1:8" x14ac:dyDescent="0.25">
      <c r="A286" s="74" t="str">
        <f>'Cmb Dev'!B254</f>
        <v>Vision Development Module</v>
      </c>
      <c r="B286" s="74" t="str">
        <f>'Cmb Dev'!C254</f>
        <v>19.0.0</v>
      </c>
      <c r="C286" s="74" t="str">
        <f>'Cmb Dev'!D254</f>
        <v>32</v>
      </c>
      <c r="D286" s="74" t="str">
        <f>'Cmb Dev'!E254</f>
        <v>2019</v>
      </c>
      <c r="E286" s="74" t="str">
        <f>'Cmb Dev'!F254</f>
        <v>Development</v>
      </c>
      <c r="F286" s="74" t="str">
        <f>'Cmb Dev'!G254</f>
        <v>NI</v>
      </c>
      <c r="G286" s="74" t="str">
        <f>'Cmb Dev'!H254</f>
        <v>Vision Development Module 19.0.0</v>
      </c>
      <c r="H286" s="74" t="str">
        <f>'Cmb Dev'!I254</f>
        <v>LabVIEW 2019</v>
      </c>
    </row>
    <row r="287" spans="1:8" x14ac:dyDescent="0.25">
      <c r="A287" s="74" t="str">
        <f>'Cmb Dev'!B255</f>
        <v>Vision Development Module</v>
      </c>
      <c r="B287" s="74" t="str">
        <f>'Cmb Dev'!C255</f>
        <v>18.5.0</v>
      </c>
      <c r="C287" s="74" t="str">
        <f>'Cmb Dev'!D255</f>
        <v>32</v>
      </c>
      <c r="D287" s="74" t="str">
        <f>'Cmb Dev'!E255</f>
        <v>2018</v>
      </c>
      <c r="E287" s="74" t="str">
        <f>'Cmb Dev'!F255</f>
        <v>Development</v>
      </c>
      <c r="F287" s="74" t="str">
        <f>'Cmb Dev'!G255</f>
        <v>NI</v>
      </c>
      <c r="G287" s="74" t="str">
        <f>'Cmb Dev'!H255</f>
        <v>Vision Development Module 18.5.0</v>
      </c>
      <c r="H287" s="74">
        <f>'Cmb Dev'!I255</f>
        <v>0</v>
      </c>
    </row>
    <row r="288" spans="1:8" x14ac:dyDescent="0.25">
      <c r="A288" s="74" t="str">
        <f>'Cmb Dev'!B256</f>
        <v>Vision Development Module</v>
      </c>
      <c r="B288" s="74" t="str">
        <f>'Cmb Dev'!C256</f>
        <v>19.5.0</v>
      </c>
      <c r="C288" s="74" t="str">
        <f>'Cmb Dev'!D256</f>
        <v>32</v>
      </c>
      <c r="D288" s="74" t="str">
        <f>'Cmb Dev'!E256</f>
        <v>2019</v>
      </c>
      <c r="E288" s="74" t="str">
        <f>'Cmb Dev'!F256</f>
        <v>Development</v>
      </c>
      <c r="F288" s="74" t="str">
        <f>'Cmb Dev'!G256</f>
        <v>NI</v>
      </c>
      <c r="G288" s="74" t="str">
        <f>'Cmb Dev'!H256</f>
        <v>Vision Development Module 19.5.0</v>
      </c>
      <c r="H288" s="74">
        <f>'Cmb Dev'!I256</f>
        <v>0</v>
      </c>
    </row>
    <row r="289" spans="1:8" x14ac:dyDescent="0.25">
      <c r="A289" s="74" t="str">
        <f>'Cmb Dev'!B257</f>
        <v>Vision Development Module Development Support</v>
      </c>
      <c r="B289" s="74" t="str">
        <f>'Cmb Dev'!C257</f>
        <v>18.5.0 SP1</v>
      </c>
      <c r="C289" s="74" t="str">
        <f>'Cmb Dev'!D257</f>
        <v>32</v>
      </c>
      <c r="D289" s="74" t="str">
        <f>'Cmb Dev'!E257</f>
        <v>2018</v>
      </c>
      <c r="E289" s="74" t="str">
        <f>'Cmb Dev'!F257</f>
        <v>Development</v>
      </c>
      <c r="F289" s="74" t="str">
        <f>'Cmb Dev'!G257</f>
        <v>NI</v>
      </c>
      <c r="G289" s="74" t="str">
        <f>'Cmb Dev'!H257</f>
        <v>Vision Development Module Development Support 18.5.0 SP1</v>
      </c>
      <c r="H289" s="74">
        <f>'Cmb Dev'!I257</f>
        <v>0</v>
      </c>
    </row>
    <row r="290" spans="1:8" x14ac:dyDescent="0.25">
      <c r="A290" s="74" t="str">
        <f>'Cmb Run'!B36</f>
        <v>Vision Development Module Support</v>
      </c>
      <c r="B290" s="74" t="str">
        <f>'Cmb Run'!C36</f>
        <v>19.0.0</v>
      </c>
      <c r="C290" s="74" t="str">
        <f>'Cmb Run'!D36</f>
        <v>32</v>
      </c>
      <c r="D290" s="74" t="str">
        <f>'Cmb Run'!E36</f>
        <v>2019</v>
      </c>
      <c r="E290" s="74" t="str">
        <f>'Cmb Run'!F36</f>
        <v>Runtime</v>
      </c>
      <c r="F290" s="74" t="str">
        <f>'Cmb Run'!G36</f>
        <v>NI</v>
      </c>
      <c r="G290" s="74" t="str">
        <f>'Cmb Run'!H36</f>
        <v>Vision Development Module Support 19.0.0</v>
      </c>
      <c r="H290" s="74" t="str">
        <f>'Cmb Run'!I36</f>
        <v>LabVIEW 2019</v>
      </c>
    </row>
    <row r="291" spans="1:8" x14ac:dyDescent="0.25">
      <c r="A291" s="74" t="str">
        <f>'Cmb Run'!B37</f>
        <v>Vision Development Module Support</v>
      </c>
      <c r="B291" s="74" t="str">
        <f>'Cmb Run'!C37</f>
        <v>19.5.0 SP1</v>
      </c>
      <c r="C291" s="74" t="str">
        <f>'Cmb Run'!D37</f>
        <v>32</v>
      </c>
      <c r="D291" s="74" t="str">
        <f>'Cmb Run'!E37</f>
        <v>2019</v>
      </c>
      <c r="E291" s="74" t="str">
        <f>'Cmb Run'!F37</f>
        <v>Runtime</v>
      </c>
      <c r="F291" s="74" t="str">
        <f>'Cmb Run'!G37</f>
        <v>NI</v>
      </c>
      <c r="G291" s="74" t="str">
        <f>'Cmb Run'!H37</f>
        <v>Vision Development Module Support 19.5.0 SP1</v>
      </c>
      <c r="H291" s="74">
        <f>'Cmb Run'!I37</f>
        <v>0</v>
      </c>
    </row>
  </sheetData>
  <autoFilter ref="A3:H291" xr:uid="{F476CE54-98D6-4475-AD15-D3EE4F674097}">
    <sortState xmlns:xlrd2="http://schemas.microsoft.com/office/spreadsheetml/2017/richdata2" ref="A4:H291">
      <sortCondition ref="A3"/>
    </sortState>
  </autoFilter>
  <mergeCells count="1">
    <mergeCell ref="A1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7356-5D70-4488-95B0-A7D7F394D7AB}">
  <sheetPr filterMode="1"/>
  <dimension ref="A1:N329"/>
  <sheetViews>
    <sheetView showZeros="0" workbookViewId="0">
      <pane ySplit="3" topLeftCell="A4" activePane="bottomLeft" state="frozen"/>
      <selection pane="bottomLeft" activeCell="A4" sqref="A4"/>
    </sheetView>
  </sheetViews>
  <sheetFormatPr defaultColWidth="9.28515625" defaultRowHeight="13.5" x14ac:dyDescent="0.25"/>
  <cols>
    <col min="1" max="1" width="7.85546875" style="56" bestFit="1" customWidth="1"/>
    <col min="2" max="2" width="9.7109375" style="56" bestFit="1" customWidth="1"/>
    <col min="3" max="3" width="8.140625" style="56" bestFit="1" customWidth="1"/>
    <col min="4" max="4" width="7.28515625" style="56" bestFit="1" customWidth="1"/>
    <col min="5" max="5" width="12.42578125" style="56" bestFit="1" customWidth="1"/>
    <col min="6" max="6" width="44.140625" style="56" bestFit="1" customWidth="1"/>
    <col min="7" max="7" width="12.28515625" style="56" bestFit="1" customWidth="1"/>
    <col min="8" max="8" width="9" style="56" bestFit="1" customWidth="1"/>
    <col min="9" max="9" width="11.140625" style="56" bestFit="1" customWidth="1"/>
    <col min="10" max="10" width="21.28515625" style="56" bestFit="1" customWidth="1"/>
    <col min="11" max="11" width="10" style="56" bestFit="1" customWidth="1"/>
    <col min="12" max="12" width="51" style="56" bestFit="1" customWidth="1"/>
    <col min="13" max="13" width="42.85546875" style="56" bestFit="1" customWidth="1"/>
    <col min="14" max="14" width="9.7109375" style="56" bestFit="1" customWidth="1"/>
    <col min="15" max="16384" width="9.28515625" style="56"/>
  </cols>
  <sheetData>
    <row r="1" spans="1:14" x14ac:dyDescent="0.25">
      <c r="A1" s="98" t="s">
        <v>509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103"/>
    </row>
    <row r="2" spans="1:14" ht="14.25" thickBot="1" x14ac:dyDescent="0.3">
      <c r="A2" s="104"/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5"/>
    </row>
    <row r="3" spans="1:14" x14ac:dyDescent="0.25">
      <c r="A3" s="57" t="s">
        <v>0</v>
      </c>
      <c r="B3" s="57" t="s">
        <v>1</v>
      </c>
      <c r="C3" s="57" t="s">
        <v>2</v>
      </c>
      <c r="D3" s="57" t="s">
        <v>96</v>
      </c>
      <c r="E3" s="57" t="s">
        <v>465</v>
      </c>
      <c r="F3" s="58" t="s">
        <v>99</v>
      </c>
      <c r="G3" s="58" t="s">
        <v>3</v>
      </c>
      <c r="H3" s="58" t="s">
        <v>4</v>
      </c>
      <c r="I3" s="58" t="s">
        <v>5</v>
      </c>
      <c r="J3" s="58" t="s">
        <v>100</v>
      </c>
      <c r="K3" s="58" t="s">
        <v>6</v>
      </c>
      <c r="L3" s="59" t="s">
        <v>101</v>
      </c>
      <c r="M3" s="60" t="s">
        <v>7</v>
      </c>
      <c r="N3" s="60" t="s">
        <v>506</v>
      </c>
    </row>
    <row r="4" spans="1:14" x14ac:dyDescent="0.25">
      <c r="A4" s="61" t="s">
        <v>505</v>
      </c>
      <c r="B4" s="61" t="s">
        <v>505</v>
      </c>
      <c r="C4" s="62" t="s">
        <v>508</v>
      </c>
      <c r="D4" s="61" t="s">
        <v>505</v>
      </c>
      <c r="E4" s="62" t="s">
        <v>508</v>
      </c>
      <c r="F4" s="63" t="str">
        <f>Originals!B4</f>
        <v>Advanced Signal Processing Toolkit</v>
      </c>
      <c r="G4" s="63" t="str">
        <f>Originals!C4</f>
        <v>15.0.0</v>
      </c>
      <c r="H4" s="63" t="str">
        <f>Originals!D4</f>
        <v>32</v>
      </c>
      <c r="I4" s="63" t="str">
        <f>Originals!E4</f>
        <v>2015</v>
      </c>
      <c r="J4" s="63" t="str">
        <f>Originals!F4</f>
        <v>Development</v>
      </c>
      <c r="K4" s="63" t="str">
        <f>Originals!G4</f>
        <v>NI</v>
      </c>
      <c r="L4" s="63" t="str">
        <f>Originals!H4</f>
        <v>Advanced Signal Processing Toolkit 15.0.0</v>
      </c>
      <c r="M4" s="63" t="str">
        <f>Originals!I4</f>
        <v>NI Developer Suite 2015 DS2 Install</v>
      </c>
      <c r="N4" s="56" t="s">
        <v>136</v>
      </c>
    </row>
    <row r="5" spans="1:14" x14ac:dyDescent="0.25">
      <c r="A5" s="61" t="s">
        <v>505</v>
      </c>
      <c r="B5" s="61" t="s">
        <v>505</v>
      </c>
      <c r="C5" s="62" t="s">
        <v>508</v>
      </c>
      <c r="D5" s="62" t="s">
        <v>508</v>
      </c>
      <c r="E5" s="62" t="s">
        <v>508</v>
      </c>
      <c r="F5" s="63" t="str">
        <f>Originals!B5</f>
        <v>C Series Module Support</v>
      </c>
      <c r="G5" s="63" t="str">
        <f>Originals!C5</f>
        <v>15.0.0</v>
      </c>
      <c r="H5" s="63" t="str">
        <f>Originals!D5</f>
        <v>32</v>
      </c>
      <c r="I5" s="63" t="str">
        <f>Originals!E5</f>
        <v>2015</v>
      </c>
      <c r="J5" s="63" t="str">
        <f>Originals!F5</f>
        <v>Development</v>
      </c>
      <c r="K5" s="63" t="str">
        <f>Originals!G5</f>
        <v>NI</v>
      </c>
      <c r="L5" s="63" t="str">
        <f>Originals!H5</f>
        <v>C Series Module Support 15.0.0</v>
      </c>
      <c r="M5" s="63" t="str">
        <f>Originals!I5</f>
        <v>NI Developer Suite 2015 DS2 Install</v>
      </c>
      <c r="N5" s="56" t="s">
        <v>136</v>
      </c>
    </row>
    <row r="6" spans="1:14" x14ac:dyDescent="0.25">
      <c r="A6" s="62" t="s">
        <v>508</v>
      </c>
      <c r="B6" s="62" t="s">
        <v>508</v>
      </c>
      <c r="C6" s="61" t="s">
        <v>505</v>
      </c>
      <c r="D6" s="62" t="s">
        <v>508</v>
      </c>
      <c r="E6" s="62" t="s">
        <v>508</v>
      </c>
      <c r="F6" s="64" t="str">
        <f>Originals!B166</f>
        <v>C Series Module Support</v>
      </c>
      <c r="G6" s="64" t="str">
        <f>Originals!C166</f>
        <v>15.5.0</v>
      </c>
      <c r="H6" s="64" t="str">
        <f>Originals!D166</f>
        <v>32</v>
      </c>
      <c r="I6" s="64">
        <f>Originals!E166</f>
        <v>2015</v>
      </c>
      <c r="J6" s="64" t="str">
        <f>Originals!F166</f>
        <v>Development</v>
      </c>
      <c r="K6" s="64" t="str">
        <f>Originals!G166</f>
        <v>NI</v>
      </c>
      <c r="L6" s="64" t="str">
        <f>Originals!H166</f>
        <v>C Series Module Support 15.5.0</v>
      </c>
      <c r="M6" s="64">
        <f>Originals!I166</f>
        <v>0</v>
      </c>
      <c r="N6" s="65" t="s">
        <v>2</v>
      </c>
    </row>
    <row r="7" spans="1:14" hidden="1" x14ac:dyDescent="0.25">
      <c r="A7" s="62" t="s">
        <v>508</v>
      </c>
      <c r="B7" s="62" t="s">
        <v>508</v>
      </c>
      <c r="C7" s="62" t="s">
        <v>508</v>
      </c>
      <c r="D7" s="61" t="s">
        <v>505</v>
      </c>
      <c r="E7" s="62" t="s">
        <v>508</v>
      </c>
      <c r="F7" s="66" t="str">
        <f>Scott!B5</f>
        <v>C Series Module Support</v>
      </c>
      <c r="G7" s="66" t="str">
        <f>Scott!C5</f>
        <v>18.1.0</v>
      </c>
      <c r="H7" s="66" t="str">
        <f>Scott!D5</f>
        <v>32</v>
      </c>
      <c r="I7" s="66" t="str">
        <f>Scott!E5</f>
        <v>2018</v>
      </c>
      <c r="J7" s="66" t="str">
        <f>Scott!F5</f>
        <v>Development</v>
      </c>
      <c r="K7" s="66" t="str">
        <f>Scott!G5</f>
        <v>NI</v>
      </c>
      <c r="L7" s="66" t="str">
        <f>Scott!H5</f>
        <v>C Series Module Support 18.1.0</v>
      </c>
      <c r="M7" s="66" t="str">
        <f>Scott!I5</f>
        <v>CompactRIO 18.1.0</v>
      </c>
      <c r="N7" s="67" t="s">
        <v>96</v>
      </c>
    </row>
    <row r="8" spans="1:14" x14ac:dyDescent="0.25">
      <c r="A8" s="62" t="s">
        <v>508</v>
      </c>
      <c r="B8" s="62" t="s">
        <v>508</v>
      </c>
      <c r="C8" s="61" t="s">
        <v>505</v>
      </c>
      <c r="D8" s="61" t="s">
        <v>505</v>
      </c>
      <c r="E8" s="62" t="s">
        <v>508</v>
      </c>
      <c r="F8" s="63" t="str">
        <f>Originals!B167</f>
        <v>Caraya Unit Test Framework</v>
      </c>
      <c r="G8" s="63" t="str">
        <f>Originals!C167</f>
        <v>0.6.3.54</v>
      </c>
      <c r="H8" s="63" t="str">
        <f>Originals!D167</f>
        <v>32</v>
      </c>
      <c r="I8" s="63" t="str">
        <f>Originals!E167</f>
        <v>N/A</v>
      </c>
      <c r="J8" s="63" t="str">
        <f>Originals!F167</f>
        <v>Development</v>
      </c>
      <c r="K8" s="63" t="str">
        <f>Originals!G167</f>
        <v>JKI</v>
      </c>
      <c r="L8" s="63" t="str">
        <f>Originals!H167</f>
        <v>Caraya Unit Test Framework 0.6.3.54</v>
      </c>
      <c r="M8" s="63" t="str">
        <f>Originals!I167</f>
        <v>VIPM Community</v>
      </c>
      <c r="N8" s="56" t="s">
        <v>136</v>
      </c>
    </row>
    <row r="9" spans="1:14" x14ac:dyDescent="0.25">
      <c r="A9" s="61" t="s">
        <v>505</v>
      </c>
      <c r="B9" s="61" t="s">
        <v>505</v>
      </c>
      <c r="C9" s="62" t="s">
        <v>508</v>
      </c>
      <c r="D9" s="62" t="s">
        <v>508</v>
      </c>
      <c r="E9" s="62" t="s">
        <v>508</v>
      </c>
      <c r="F9" s="63" t="str">
        <f>Originals!B6</f>
        <v>CompactRIO</v>
      </c>
      <c r="G9" s="63" t="str">
        <f>Originals!C6</f>
        <v>15.0.0</v>
      </c>
      <c r="H9" s="63" t="str">
        <f>Originals!D6</f>
        <v>32</v>
      </c>
      <c r="I9" s="63" t="str">
        <f>Originals!E6</f>
        <v>2015</v>
      </c>
      <c r="J9" s="63" t="str">
        <f>Originals!F6</f>
        <v>Development</v>
      </c>
      <c r="K9" s="63" t="str">
        <f>Originals!G6</f>
        <v>NI</v>
      </c>
      <c r="L9" s="63" t="str">
        <f>Originals!H6</f>
        <v>CompactRIO 15.0.0</v>
      </c>
      <c r="M9" s="63" t="str">
        <f>Originals!I6</f>
        <v>NI Developer Suite 2015 DS2 Install</v>
      </c>
      <c r="N9" s="56" t="s">
        <v>136</v>
      </c>
    </row>
    <row r="10" spans="1:14" x14ac:dyDescent="0.25">
      <c r="A10" s="62" t="s">
        <v>508</v>
      </c>
      <c r="B10" s="62" t="s">
        <v>508</v>
      </c>
      <c r="C10" s="61" t="s">
        <v>505</v>
      </c>
      <c r="D10" s="62" t="s">
        <v>508</v>
      </c>
      <c r="E10" s="62" t="s">
        <v>508</v>
      </c>
      <c r="F10" s="63" t="str">
        <f>Originals!B168</f>
        <v>CompactRIO</v>
      </c>
      <c r="G10" s="63" t="str">
        <f>Originals!C168</f>
        <v>15.5.0</v>
      </c>
      <c r="H10" s="63" t="str">
        <f>Originals!D168</f>
        <v>32</v>
      </c>
      <c r="I10" s="63">
        <f>Originals!E168</f>
        <v>2015</v>
      </c>
      <c r="J10" s="63" t="str">
        <f>Originals!F168</f>
        <v>Development</v>
      </c>
      <c r="K10" s="63" t="str">
        <f>Originals!G168</f>
        <v>NI</v>
      </c>
      <c r="L10" s="63" t="str">
        <f>Originals!H168</f>
        <v>CompactRIO 15.5.0</v>
      </c>
      <c r="M10" s="63">
        <f>Originals!I168</f>
        <v>0</v>
      </c>
      <c r="N10" s="56" t="s">
        <v>136</v>
      </c>
    </row>
    <row r="11" spans="1:14" x14ac:dyDescent="0.25">
      <c r="A11" s="62" t="s">
        <v>508</v>
      </c>
      <c r="B11" s="62" t="s">
        <v>508</v>
      </c>
      <c r="C11" s="62" t="s">
        <v>508</v>
      </c>
      <c r="D11" s="61" t="s">
        <v>505</v>
      </c>
      <c r="E11" s="61" t="s">
        <v>505</v>
      </c>
      <c r="F11" s="63" t="str">
        <f>Originals!B369</f>
        <v>CompactRIO</v>
      </c>
      <c r="G11" s="63" t="str">
        <f>Originals!C369</f>
        <v>18.1.0</v>
      </c>
      <c r="H11" s="63" t="str">
        <f>Originals!D369</f>
        <v>32</v>
      </c>
      <c r="I11" s="63" t="str">
        <f>Originals!E369</f>
        <v>2018</v>
      </c>
      <c r="J11" s="63" t="str">
        <f>Originals!F369</f>
        <v>Development</v>
      </c>
      <c r="K11" s="63" t="str">
        <f>Originals!G369</f>
        <v>NI</v>
      </c>
      <c r="L11" s="63" t="str">
        <f>Originals!H369</f>
        <v>CompactRIO 18.1.0</v>
      </c>
      <c r="M11" s="63" t="str">
        <f>Originals!I369</f>
        <v>CompactRIO 18.1.0</v>
      </c>
      <c r="N11" s="56" t="s">
        <v>136</v>
      </c>
    </row>
    <row r="12" spans="1:14" x14ac:dyDescent="0.25">
      <c r="A12" s="62" t="s">
        <v>508</v>
      </c>
      <c r="B12" s="62" t="s">
        <v>508</v>
      </c>
      <c r="C12" s="61" t="s">
        <v>505</v>
      </c>
      <c r="D12" s="62" t="s">
        <v>508</v>
      </c>
      <c r="E12" s="62" t="s">
        <v>508</v>
      </c>
      <c r="F12" s="63" t="str">
        <f>Originals!B169</f>
        <v>CompactRIO Suport</v>
      </c>
      <c r="G12" s="63" t="str">
        <f>Originals!C169</f>
        <v>15.5</v>
      </c>
      <c r="H12" s="63" t="str">
        <f>Originals!D169</f>
        <v>32</v>
      </c>
      <c r="I12" s="63" t="str">
        <f>Originals!E169</f>
        <v>2015</v>
      </c>
      <c r="J12" s="63" t="str">
        <f>Originals!F169</f>
        <v>C-RIO</v>
      </c>
      <c r="K12" s="63" t="str">
        <f>Originals!G169</f>
        <v>NI</v>
      </c>
      <c r="L12" s="63" t="str">
        <f>Originals!H169</f>
        <v>CompactRIO Suport 15.5</v>
      </c>
      <c r="M12" s="63">
        <f>Originals!I169</f>
        <v>0</v>
      </c>
      <c r="N12" s="56" t="s">
        <v>136</v>
      </c>
    </row>
    <row r="13" spans="1:14" x14ac:dyDescent="0.25">
      <c r="A13" s="61" t="s">
        <v>505</v>
      </c>
      <c r="B13" s="61" t="s">
        <v>505</v>
      </c>
      <c r="C13" s="62" t="s">
        <v>508</v>
      </c>
      <c r="D13" s="61" t="s">
        <v>505</v>
      </c>
      <c r="E13" s="62" t="s">
        <v>508</v>
      </c>
      <c r="F13" s="63" t="str">
        <f>Originals!B7</f>
        <v>CVI</v>
      </c>
      <c r="G13" s="63" t="str">
        <f>Originals!C7</f>
        <v>15.0.0.408</v>
      </c>
      <c r="H13" s="63" t="str">
        <f>Originals!D7</f>
        <v>32</v>
      </c>
      <c r="I13" s="63" t="str">
        <f>Originals!E7</f>
        <v>2015</v>
      </c>
      <c r="J13" s="63" t="str">
        <f>Originals!F7</f>
        <v>Runtime</v>
      </c>
      <c r="K13" s="63" t="str">
        <f>Originals!G7</f>
        <v>NI</v>
      </c>
      <c r="L13" s="63" t="str">
        <f>Originals!H7</f>
        <v>CVI 15.0.0.408</v>
      </c>
      <c r="M13" s="63" t="str">
        <f>Originals!I7</f>
        <v>LabVIEW 2015 SP1</v>
      </c>
      <c r="N13" s="56" t="s">
        <v>136</v>
      </c>
    </row>
    <row r="14" spans="1:14" x14ac:dyDescent="0.25">
      <c r="A14" s="62" t="s">
        <v>508</v>
      </c>
      <c r="B14" s="62" t="s">
        <v>508</v>
      </c>
      <c r="C14" s="61" t="s">
        <v>505</v>
      </c>
      <c r="D14" s="62" t="s">
        <v>508</v>
      </c>
      <c r="E14" s="62" t="s">
        <v>508</v>
      </c>
      <c r="F14" s="63" t="str">
        <f>Originals!B170</f>
        <v>CVI</v>
      </c>
      <c r="G14" s="63" t="str">
        <f>Originals!C170</f>
        <v>19.0.0.49154</v>
      </c>
      <c r="H14" s="63" t="str">
        <f>Originals!D170</f>
        <v>32</v>
      </c>
      <c r="I14" s="63" t="str">
        <f>Originals!E170</f>
        <v>2019</v>
      </c>
      <c r="J14" s="63" t="str">
        <f>Originals!F170</f>
        <v>Runtime</v>
      </c>
      <c r="K14" s="63" t="str">
        <f>Originals!G170</f>
        <v>NI</v>
      </c>
      <c r="L14" s="63" t="str">
        <f>Originals!H170</f>
        <v>CVI 19.0.0.49154</v>
      </c>
      <c r="M14" s="63">
        <f>Originals!I170</f>
        <v>0</v>
      </c>
      <c r="N14" s="56" t="s">
        <v>136</v>
      </c>
    </row>
    <row r="15" spans="1:14" x14ac:dyDescent="0.25">
      <c r="A15" s="62" t="s">
        <v>508</v>
      </c>
      <c r="B15" s="62" t="s">
        <v>508</v>
      </c>
      <c r="C15" s="62" t="s">
        <v>508</v>
      </c>
      <c r="D15" s="61" t="s">
        <v>505</v>
      </c>
      <c r="E15" s="62" t="s">
        <v>508</v>
      </c>
      <c r="F15" s="63" t="str">
        <f>Scott!B7</f>
        <v>CompactRIO</v>
      </c>
      <c r="G15" s="63" t="str">
        <f>Scott!C7</f>
        <v>18.1.0</v>
      </c>
      <c r="H15" s="63" t="str">
        <f>Scott!D7</f>
        <v>32</v>
      </c>
      <c r="I15" s="63" t="str">
        <f>Scott!E7</f>
        <v>2018</v>
      </c>
      <c r="J15" s="63" t="str">
        <f>Scott!F7</f>
        <v>Development</v>
      </c>
      <c r="K15" s="63" t="str">
        <f>Scott!G7</f>
        <v>NI</v>
      </c>
      <c r="L15" s="63" t="str">
        <f>Scott!H7</f>
        <v>CompactRIO 18.1.0</v>
      </c>
      <c r="M15" s="63" t="str">
        <f>Scott!I7</f>
        <v>CompactRIO 18.1.0</v>
      </c>
      <c r="N15" s="56" t="s">
        <v>136</v>
      </c>
    </row>
    <row r="16" spans="1:14" x14ac:dyDescent="0.25">
      <c r="A16" s="62" t="s">
        <v>508</v>
      </c>
      <c r="B16" s="62" t="s">
        <v>508</v>
      </c>
      <c r="C16" s="62" t="s">
        <v>508</v>
      </c>
      <c r="D16" s="61" t="s">
        <v>505</v>
      </c>
      <c r="E16" s="62" t="s">
        <v>508</v>
      </c>
      <c r="F16" s="63" t="str">
        <f>Scott!B9</f>
        <v>CVI</v>
      </c>
      <c r="G16" s="63" t="str">
        <f>Scott!C9</f>
        <v>15.0.0.408</v>
      </c>
      <c r="H16" s="63">
        <f>Scott!D9</f>
        <v>32</v>
      </c>
      <c r="I16" s="63">
        <f>Scott!E9</f>
        <v>2015</v>
      </c>
      <c r="J16" s="63" t="str">
        <f>Scott!F9</f>
        <v>Runtime</v>
      </c>
      <c r="K16" s="63" t="str">
        <f>Scott!G9</f>
        <v>NI</v>
      </c>
      <c r="L16" s="63" t="str">
        <f>Scott!H9</f>
        <v>CVI 15.0.0.408</v>
      </c>
      <c r="M16" s="63" t="str">
        <f>Scott!I9</f>
        <v>LabVIEW 2015 SP1</v>
      </c>
      <c r="N16" s="56" t="s">
        <v>136</v>
      </c>
    </row>
    <row r="17" spans="1:14" x14ac:dyDescent="0.25">
      <c r="A17" s="61" t="s">
        <v>505</v>
      </c>
      <c r="B17" s="61" t="s">
        <v>505</v>
      </c>
      <c r="C17" s="61" t="s">
        <v>505</v>
      </c>
      <c r="D17" s="61" t="s">
        <v>505</v>
      </c>
      <c r="E17" s="61" t="s">
        <v>505</v>
      </c>
      <c r="F17" s="63" t="str">
        <f>Originals!B8</f>
        <v>Database Connectivity Toolkit</v>
      </c>
      <c r="G17" s="63" t="str">
        <f>Originals!C8</f>
        <v>15.0.0</v>
      </c>
      <c r="H17" s="63" t="str">
        <f>Originals!D8</f>
        <v>32</v>
      </c>
      <c r="I17" s="63" t="str">
        <f>Originals!E8</f>
        <v>2015</v>
      </c>
      <c r="J17" s="63" t="str">
        <f>Originals!F8</f>
        <v>Development</v>
      </c>
      <c r="K17" s="63" t="str">
        <f>Originals!G8</f>
        <v>NI</v>
      </c>
      <c r="L17" s="63" t="str">
        <f>Originals!H8</f>
        <v>Database Connectivity Toolkit 15.0.0</v>
      </c>
      <c r="M17" s="63" t="str">
        <f>Originals!I8</f>
        <v>NI Developer Suite 2015 DS2 Install</v>
      </c>
      <c r="N17" s="56" t="s">
        <v>136</v>
      </c>
    </row>
    <row r="18" spans="1:14" x14ac:dyDescent="0.25">
      <c r="A18" s="61" t="s">
        <v>505</v>
      </c>
      <c r="B18" s="61" t="s">
        <v>505</v>
      </c>
      <c r="C18" s="62" t="s">
        <v>508</v>
      </c>
      <c r="D18" s="61" t="s">
        <v>505</v>
      </c>
      <c r="E18" s="62" t="s">
        <v>508</v>
      </c>
      <c r="F18" s="63" t="str">
        <f>Originals!B9</f>
        <v>DataFinder Toolkit</v>
      </c>
      <c r="G18" s="63" t="str">
        <f>Originals!C9</f>
        <v>15.0.06020</v>
      </c>
      <c r="H18" s="63" t="str">
        <f>Originals!D9</f>
        <v>32</v>
      </c>
      <c r="I18" s="63" t="str">
        <f>Originals!E9</f>
        <v>2015</v>
      </c>
      <c r="J18" s="63" t="str">
        <f>Originals!F9</f>
        <v>Development</v>
      </c>
      <c r="K18" s="63" t="str">
        <f>Originals!G9</f>
        <v>NI</v>
      </c>
      <c r="L18" s="63" t="str">
        <f>Originals!H9</f>
        <v>DataFinder Toolkit 15.0.06020</v>
      </c>
      <c r="M18" s="63" t="str">
        <f>Originals!I9</f>
        <v>NI Developer Suite 2015 DS2 Install</v>
      </c>
      <c r="N18" s="56" t="s">
        <v>136</v>
      </c>
    </row>
    <row r="19" spans="1:14" x14ac:dyDescent="0.25">
      <c r="A19" s="62" t="s">
        <v>508</v>
      </c>
      <c r="B19" s="62" t="s">
        <v>508</v>
      </c>
      <c r="C19" s="61" t="s">
        <v>505</v>
      </c>
      <c r="D19" s="61" t="s">
        <v>505</v>
      </c>
      <c r="E19" s="62" t="s">
        <v>508</v>
      </c>
      <c r="F19" s="63" t="str">
        <f>Originals!B172</f>
        <v>Delacor QMH</v>
      </c>
      <c r="G19" s="63" t="str">
        <f>Originals!C172</f>
        <v>4.0.0.28</v>
      </c>
      <c r="H19" s="63" t="str">
        <f>Originals!D172</f>
        <v>32</v>
      </c>
      <c r="I19" s="63" t="str">
        <f>Originals!E172</f>
        <v>N/A</v>
      </c>
      <c r="J19" s="63" t="str">
        <f>Originals!F172</f>
        <v>Development</v>
      </c>
      <c r="K19" s="63" t="str">
        <f>Originals!G172</f>
        <v>DQMH Consortium</v>
      </c>
      <c r="L19" s="63" t="str">
        <f>Originals!H172</f>
        <v>Delacor QMH 4.0.0.28</v>
      </c>
      <c r="M19" s="63" t="str">
        <f>Originals!I172</f>
        <v>VIPM Community</v>
      </c>
      <c r="N19" s="56" t="s">
        <v>136</v>
      </c>
    </row>
    <row r="20" spans="1:14" x14ac:dyDescent="0.25">
      <c r="A20" s="62" t="s">
        <v>508</v>
      </c>
      <c r="B20" s="62" t="s">
        <v>508</v>
      </c>
      <c r="C20" s="61" t="s">
        <v>505</v>
      </c>
      <c r="D20" s="61" t="s">
        <v>505</v>
      </c>
      <c r="E20" s="62" t="s">
        <v>508</v>
      </c>
      <c r="F20" s="63" t="str">
        <f>Originals!B173</f>
        <v>Delacor QMH Event Scripter</v>
      </c>
      <c r="G20" s="63" t="str">
        <f>Originals!C173</f>
        <v>4.0.0.68</v>
      </c>
      <c r="H20" s="63" t="str">
        <f>Originals!D173</f>
        <v>32</v>
      </c>
      <c r="I20" s="63" t="str">
        <f>Originals!E173</f>
        <v>N/A</v>
      </c>
      <c r="J20" s="63" t="str">
        <f>Originals!F173</f>
        <v>Development</v>
      </c>
      <c r="K20" s="63" t="str">
        <f>Originals!G173</f>
        <v>DQMH Consortium</v>
      </c>
      <c r="L20" s="63" t="str">
        <f>Originals!H173</f>
        <v>Delacor QMH Event Scripter 4.0.0.68</v>
      </c>
      <c r="M20" s="63" t="str">
        <f>Originals!I173</f>
        <v>VIPM Community</v>
      </c>
      <c r="N20" s="56" t="s">
        <v>136</v>
      </c>
    </row>
    <row r="21" spans="1:14" x14ac:dyDescent="0.25">
      <c r="A21" s="62" t="s">
        <v>508</v>
      </c>
      <c r="B21" s="62" t="s">
        <v>508</v>
      </c>
      <c r="C21" s="61" t="s">
        <v>505</v>
      </c>
      <c r="D21" s="61" t="s">
        <v>505</v>
      </c>
      <c r="E21" s="62" t="s">
        <v>508</v>
      </c>
      <c r="F21" s="63" t="str">
        <f>Originals!B174</f>
        <v>Delacor QMH Palette</v>
      </c>
      <c r="G21" s="63" t="str">
        <f>Originals!C174</f>
        <v>3.0.0.1</v>
      </c>
      <c r="H21" s="63" t="str">
        <f>Originals!D174</f>
        <v>32</v>
      </c>
      <c r="I21" s="63" t="str">
        <f>Originals!E174</f>
        <v>N/A</v>
      </c>
      <c r="J21" s="63" t="str">
        <f>Originals!F174</f>
        <v>Development</v>
      </c>
      <c r="K21" s="63" t="str">
        <f>Originals!G174</f>
        <v>DQMH Consortium</v>
      </c>
      <c r="L21" s="63" t="str">
        <f>Originals!H174</f>
        <v>Delacor QMH Palette 3.0.0.1</v>
      </c>
      <c r="M21" s="63" t="str">
        <f>Originals!I174</f>
        <v>VIPM Community</v>
      </c>
      <c r="N21" s="56" t="s">
        <v>136</v>
      </c>
    </row>
    <row r="22" spans="1:14" x14ac:dyDescent="0.25">
      <c r="A22" s="62" t="s">
        <v>508</v>
      </c>
      <c r="B22" s="62" t="s">
        <v>508</v>
      </c>
      <c r="C22" s="61" t="s">
        <v>505</v>
      </c>
      <c r="D22" s="61" t="s">
        <v>505</v>
      </c>
      <c r="E22" s="62" t="s">
        <v>508</v>
      </c>
      <c r="F22" s="63" t="str">
        <f>Originals!B175</f>
        <v>Delacor QMH Project Template</v>
      </c>
      <c r="G22" s="63" t="str">
        <f>Originals!C175</f>
        <v>4.0.0.47</v>
      </c>
      <c r="H22" s="63" t="str">
        <f>Originals!D175</f>
        <v>32</v>
      </c>
      <c r="I22" s="63" t="str">
        <f>Originals!E175</f>
        <v>N/A</v>
      </c>
      <c r="J22" s="63" t="str">
        <f>Originals!F175</f>
        <v>Development</v>
      </c>
      <c r="K22" s="63" t="str">
        <f>Originals!G175</f>
        <v>DQMH Consortium</v>
      </c>
      <c r="L22" s="63" t="str">
        <f>Originals!H175</f>
        <v>Delacor QMH Project Template 4.0.0.47</v>
      </c>
      <c r="M22" s="63" t="str">
        <f>Originals!I175</f>
        <v>VIPM Community</v>
      </c>
      <c r="N22" s="56" t="s">
        <v>136</v>
      </c>
    </row>
    <row r="23" spans="1:14" x14ac:dyDescent="0.25">
      <c r="A23" s="62" t="s">
        <v>508</v>
      </c>
      <c r="B23" s="62" t="s">
        <v>508</v>
      </c>
      <c r="C23" s="61" t="s">
        <v>505</v>
      </c>
      <c r="D23" s="61" t="s">
        <v>505</v>
      </c>
      <c r="E23" s="62" t="s">
        <v>508</v>
      </c>
      <c r="F23" s="63" t="str">
        <f>Originals!B176</f>
        <v>Delacor QMH Thermal Chamber Examples</v>
      </c>
      <c r="G23" s="63" t="str">
        <f>Originals!C176</f>
        <v>4.0.0.21</v>
      </c>
      <c r="H23" s="63" t="str">
        <f>Originals!D176</f>
        <v>32</v>
      </c>
      <c r="I23" s="63" t="str">
        <f>Originals!E176</f>
        <v>N/A</v>
      </c>
      <c r="J23" s="63" t="str">
        <f>Originals!F176</f>
        <v>Development</v>
      </c>
      <c r="K23" s="63" t="str">
        <f>Originals!G176</f>
        <v>DQMH Consortium</v>
      </c>
      <c r="L23" s="63" t="str">
        <f>Originals!H176</f>
        <v>Delacor QMH Thermal Chamber Examples 4.0.0.21</v>
      </c>
      <c r="M23" s="63" t="str">
        <f>Originals!I176</f>
        <v>VIPM Community</v>
      </c>
      <c r="N23" s="56" t="s">
        <v>136</v>
      </c>
    </row>
    <row r="24" spans="1:14" x14ac:dyDescent="0.25">
      <c r="A24" s="61" t="s">
        <v>505</v>
      </c>
      <c r="B24" s="61" t="s">
        <v>505</v>
      </c>
      <c r="C24" s="62" t="s">
        <v>508</v>
      </c>
      <c r="D24" s="61" t="s">
        <v>505</v>
      </c>
      <c r="E24" s="62" t="s">
        <v>508</v>
      </c>
      <c r="F24" s="63" t="str">
        <f>Originals!B10</f>
        <v>Digital Filter Design Toolkit</v>
      </c>
      <c r="G24" s="63" t="str">
        <f>Originals!C10</f>
        <v>15.0.0</v>
      </c>
      <c r="H24" s="63" t="str">
        <f>Originals!D10</f>
        <v>32</v>
      </c>
      <c r="I24" s="63" t="str">
        <f>Originals!E10</f>
        <v>2015</v>
      </c>
      <c r="J24" s="63" t="str">
        <f>Originals!F10</f>
        <v>Development</v>
      </c>
      <c r="K24" s="63" t="str">
        <f>Originals!G10</f>
        <v>NI</v>
      </c>
      <c r="L24" s="63" t="str">
        <f>Originals!H10</f>
        <v>Digital Filter Design Toolkit 15.0.0</v>
      </c>
      <c r="M24" s="63" t="str">
        <f>Originals!I10</f>
        <v>NI Developer Suite 2015 DS2 Install</v>
      </c>
      <c r="N24" s="56" t="s">
        <v>136</v>
      </c>
    </row>
    <row r="25" spans="1:14" x14ac:dyDescent="0.25">
      <c r="A25" s="62" t="s">
        <v>508</v>
      </c>
      <c r="B25" s="62" t="s">
        <v>508</v>
      </c>
      <c r="C25" s="61" t="s">
        <v>505</v>
      </c>
      <c r="D25" s="62" t="s">
        <v>508</v>
      </c>
      <c r="E25" s="62" t="s">
        <v>508</v>
      </c>
      <c r="F25" s="63" t="str">
        <f>Originals!B177</f>
        <v>DMC UX Toolkit</v>
      </c>
      <c r="G25" s="63" t="str">
        <f>Originals!C177</f>
        <v>1.0.0.2</v>
      </c>
      <c r="H25" s="63" t="str">
        <f>Originals!D177</f>
        <v>32</v>
      </c>
      <c r="I25" s="63" t="str">
        <f>Originals!E177</f>
        <v>N/A</v>
      </c>
      <c r="J25" s="63" t="str">
        <f>Originals!F177</f>
        <v>Development</v>
      </c>
      <c r="K25" s="63" t="str">
        <f>Originals!G177</f>
        <v>DMC</v>
      </c>
      <c r="L25" s="63" t="str">
        <f>Originals!H177</f>
        <v>DMC UX Toolkit 1.0.0.2</v>
      </c>
      <c r="M25" s="63" t="str">
        <f>Originals!I177</f>
        <v>VIPM Community</v>
      </c>
      <c r="N25" s="56" t="s">
        <v>136</v>
      </c>
    </row>
    <row r="26" spans="1:14" x14ac:dyDescent="0.25">
      <c r="A26" s="62" t="s">
        <v>508</v>
      </c>
      <c r="B26" s="62" t="s">
        <v>508</v>
      </c>
      <c r="C26" s="61" t="s">
        <v>505</v>
      </c>
      <c r="D26" s="62" t="s">
        <v>508</v>
      </c>
      <c r="E26" s="62" t="s">
        <v>508</v>
      </c>
      <c r="F26" s="63" t="str">
        <f>Originals!B178</f>
        <v>FieldPoint</v>
      </c>
      <c r="G26" s="63">
        <f>Originals!C178</f>
        <v>15</v>
      </c>
      <c r="H26" s="63" t="str">
        <f>Originals!D178</f>
        <v>32</v>
      </c>
      <c r="I26" s="63" t="str">
        <f>Originals!E178</f>
        <v>2015</v>
      </c>
      <c r="J26" s="63" t="str">
        <f>Originals!F178</f>
        <v>Development</v>
      </c>
      <c r="K26" s="63" t="str">
        <f>Originals!G178</f>
        <v>NI</v>
      </c>
      <c r="L26" s="63" t="str">
        <f>Originals!H178</f>
        <v>FieldPoint 15</v>
      </c>
      <c r="M26" s="63">
        <f>Originals!I178</f>
        <v>0</v>
      </c>
      <c r="N26" s="56" t="s">
        <v>136</v>
      </c>
    </row>
    <row r="27" spans="1:14" x14ac:dyDescent="0.25">
      <c r="A27" s="61" t="s">
        <v>505</v>
      </c>
      <c r="B27" s="61" t="s">
        <v>505</v>
      </c>
      <c r="C27" s="61" t="s">
        <v>505</v>
      </c>
      <c r="D27" s="61" t="s">
        <v>505</v>
      </c>
      <c r="E27" s="62" t="s">
        <v>508</v>
      </c>
      <c r="F27" s="63" t="str">
        <f>Originals!B11</f>
        <v>FlexRIO</v>
      </c>
      <c r="G27" s="63" t="str">
        <f>Originals!C11</f>
        <v xml:space="preserve">15.0.0f0 </v>
      </c>
      <c r="H27" s="63" t="str">
        <f>Originals!D11</f>
        <v>32</v>
      </c>
      <c r="I27" s="63" t="str">
        <f>Originals!E11</f>
        <v>2015</v>
      </c>
      <c r="J27" s="63" t="str">
        <f>Originals!F11</f>
        <v>Development</v>
      </c>
      <c r="K27" s="63" t="str">
        <f>Originals!G11</f>
        <v>NI</v>
      </c>
      <c r="L27" s="63" t="str">
        <f>Originals!H11</f>
        <v xml:space="preserve">FlexRIO 15.0.0f0 </v>
      </c>
      <c r="M27" s="63" t="str">
        <f>Originals!I11</f>
        <v>NI Developer Suite 2015 DS2 Install</v>
      </c>
      <c r="N27" s="56" t="s">
        <v>136</v>
      </c>
    </row>
    <row r="28" spans="1:14" x14ac:dyDescent="0.25">
      <c r="A28" s="62" t="s">
        <v>508</v>
      </c>
      <c r="B28" s="62" t="s">
        <v>508</v>
      </c>
      <c r="C28" s="61" t="s">
        <v>505</v>
      </c>
      <c r="D28" s="62" t="s">
        <v>508</v>
      </c>
      <c r="E28" s="62" t="s">
        <v>508</v>
      </c>
      <c r="F28" s="63" t="str">
        <f>Originals!B180</f>
        <v>FPGA</v>
      </c>
      <c r="G28" s="63" t="str">
        <f>Originals!C180</f>
        <v>15.0.1</v>
      </c>
      <c r="H28" s="63" t="str">
        <f>Originals!D180</f>
        <v>32</v>
      </c>
      <c r="I28" s="63">
        <f>Originals!E180</f>
        <v>2015</v>
      </c>
      <c r="J28" s="63" t="str">
        <f>Originals!F180</f>
        <v>Development</v>
      </c>
      <c r="K28" s="63" t="str">
        <f>Originals!G180</f>
        <v>NI</v>
      </c>
      <c r="L28" s="63" t="str">
        <f>Originals!H180</f>
        <v>FPGA 15.0.1</v>
      </c>
      <c r="M28" s="63">
        <f>Originals!I180</f>
        <v>0</v>
      </c>
      <c r="N28" s="56" t="s">
        <v>136</v>
      </c>
    </row>
    <row r="29" spans="1:14" x14ac:dyDescent="0.25">
      <c r="A29" s="62" t="s">
        <v>508</v>
      </c>
      <c r="B29" s="62" t="s">
        <v>508</v>
      </c>
      <c r="C29" s="62" t="s">
        <v>508</v>
      </c>
      <c r="D29" s="61" t="s">
        <v>505</v>
      </c>
      <c r="E29" s="62" t="s">
        <v>508</v>
      </c>
      <c r="F29" s="63" t="str">
        <f>Scott!B14</f>
        <v>Delacor QMH Event Scripter</v>
      </c>
      <c r="G29" s="63" t="str">
        <f>Scott!C14</f>
        <v>4.0.0.68</v>
      </c>
      <c r="H29" s="63" t="str">
        <f>Scott!D14</f>
        <v>32</v>
      </c>
      <c r="I29" s="63" t="str">
        <f>Scott!E14</f>
        <v>N/A</v>
      </c>
      <c r="J29" s="63" t="str">
        <f>Scott!F14</f>
        <v>Development</v>
      </c>
      <c r="K29" s="63" t="str">
        <f>Scott!G14</f>
        <v>DQMH Consortium</v>
      </c>
      <c r="L29" s="63" t="str">
        <f>Scott!H14</f>
        <v>Delacor QMH Event Scripter 4.0.0.68</v>
      </c>
      <c r="M29" s="63" t="str">
        <f>Scott!I14</f>
        <v>VIPM Community</v>
      </c>
      <c r="N29" s="56" t="s">
        <v>136</v>
      </c>
    </row>
    <row r="30" spans="1:14" x14ac:dyDescent="0.25">
      <c r="A30" s="62" t="s">
        <v>508</v>
      </c>
      <c r="B30" s="62" t="s">
        <v>508</v>
      </c>
      <c r="C30" s="61" t="s">
        <v>505</v>
      </c>
      <c r="D30" s="61" t="s">
        <v>505</v>
      </c>
      <c r="E30" s="62" t="s">
        <v>508</v>
      </c>
      <c r="F30" s="63" t="str">
        <f>Originals!B181</f>
        <v>GPower All Toolsets</v>
      </c>
      <c r="G30" s="63" t="str">
        <f>Originals!C181</f>
        <v>2017.0.0.11</v>
      </c>
      <c r="H30" s="63" t="str">
        <f>Originals!D181</f>
        <v>32</v>
      </c>
      <c r="I30" s="63" t="str">
        <f>Originals!E181</f>
        <v>N/A</v>
      </c>
      <c r="J30" s="63" t="str">
        <f>Originals!F181</f>
        <v>Development</v>
      </c>
      <c r="K30" s="63" t="str">
        <f>Originals!G181</f>
        <v>GPower</v>
      </c>
      <c r="L30" s="63" t="str">
        <f>Originals!H181</f>
        <v>GPower All Toolsets 2017.0.0.11</v>
      </c>
      <c r="M30" s="63" t="str">
        <f>Originals!I181</f>
        <v>VIPM Community</v>
      </c>
      <c r="N30" s="56" t="s">
        <v>136</v>
      </c>
    </row>
    <row r="31" spans="1:14" x14ac:dyDescent="0.25">
      <c r="A31" s="62" t="s">
        <v>508</v>
      </c>
      <c r="B31" s="62" t="s">
        <v>508</v>
      </c>
      <c r="C31" s="61" t="s">
        <v>505</v>
      </c>
      <c r="D31" s="61" t="s">
        <v>505</v>
      </c>
      <c r="E31" s="62" t="s">
        <v>508</v>
      </c>
      <c r="F31" s="63" t="str">
        <f>Originals!B182</f>
        <v>GPower Array</v>
      </c>
      <c r="G31" s="63" t="str">
        <f>Originals!C182</f>
        <v>2016.2.0.27</v>
      </c>
      <c r="H31" s="63" t="str">
        <f>Originals!D182</f>
        <v>32</v>
      </c>
      <c r="I31" s="63" t="str">
        <f>Originals!E182</f>
        <v>N/A</v>
      </c>
      <c r="J31" s="63" t="str">
        <f>Originals!F182</f>
        <v>Development</v>
      </c>
      <c r="K31" s="63" t="str">
        <f>Originals!G182</f>
        <v>GPower</v>
      </c>
      <c r="L31" s="63" t="str">
        <f>Originals!H182</f>
        <v>GPower Array 2016.2.0.27</v>
      </c>
      <c r="M31" s="63" t="str">
        <f>Originals!I182</f>
        <v>VIPM Community</v>
      </c>
      <c r="N31" s="56" t="s">
        <v>136</v>
      </c>
    </row>
    <row r="32" spans="1:14" x14ac:dyDescent="0.25">
      <c r="A32" s="62" t="s">
        <v>508</v>
      </c>
      <c r="B32" s="62" t="s">
        <v>508</v>
      </c>
      <c r="C32" s="61" t="s">
        <v>505</v>
      </c>
      <c r="D32" s="62" t="s">
        <v>508</v>
      </c>
      <c r="E32" s="62" t="s">
        <v>508</v>
      </c>
      <c r="F32" s="63" t="str">
        <f>Originals!B183</f>
        <v>Gpower Array Library</v>
      </c>
      <c r="G32" s="63" t="str">
        <f>Originals!C183</f>
        <v>2016.2.0.27</v>
      </c>
      <c r="H32" s="63" t="str">
        <f>Originals!D183</f>
        <v>32</v>
      </c>
      <c r="I32" s="63" t="str">
        <f>Originals!E183</f>
        <v>2016</v>
      </c>
      <c r="J32" s="63" t="str">
        <f>Originals!F183</f>
        <v>Development</v>
      </c>
      <c r="K32" s="63" t="str">
        <f>Originals!G183</f>
        <v>Gpower</v>
      </c>
      <c r="L32" s="63" t="str">
        <f>Originals!H183</f>
        <v>Gpower Array Library 2016.2.0.27</v>
      </c>
      <c r="M32" s="63" t="str">
        <f>Originals!I183</f>
        <v>VIPM Community</v>
      </c>
      <c r="N32" s="56" t="s">
        <v>136</v>
      </c>
    </row>
    <row r="33" spans="1:14" x14ac:dyDescent="0.25">
      <c r="A33" s="62" t="s">
        <v>508</v>
      </c>
      <c r="B33" s="62" t="s">
        <v>508</v>
      </c>
      <c r="C33" s="61" t="s">
        <v>505</v>
      </c>
      <c r="D33" s="61" t="s">
        <v>505</v>
      </c>
      <c r="E33" s="62" t="s">
        <v>508</v>
      </c>
      <c r="F33" s="63" t="str">
        <f>Originals!B184</f>
        <v>GPower Comparison</v>
      </c>
      <c r="G33" s="63" t="str">
        <f>Originals!C184</f>
        <v>2016.0.0.4</v>
      </c>
      <c r="H33" s="63" t="str">
        <f>Originals!D184</f>
        <v>32</v>
      </c>
      <c r="I33" s="63" t="str">
        <f>Originals!E184</f>
        <v>N/A</v>
      </c>
      <c r="J33" s="63" t="str">
        <f>Originals!F184</f>
        <v>Development</v>
      </c>
      <c r="K33" s="63" t="str">
        <f>Originals!G184</f>
        <v>GPower</v>
      </c>
      <c r="L33" s="63" t="str">
        <f>Originals!H184</f>
        <v>GPower Comparison 2016.0.0.4</v>
      </c>
      <c r="M33" s="63" t="str">
        <f>Originals!I184</f>
        <v>VIPM Community</v>
      </c>
      <c r="N33" s="56" t="s">
        <v>136</v>
      </c>
    </row>
    <row r="34" spans="1:14" x14ac:dyDescent="0.25">
      <c r="A34" s="62" t="s">
        <v>508</v>
      </c>
      <c r="B34" s="62" t="s">
        <v>508</v>
      </c>
      <c r="C34" s="61" t="s">
        <v>505</v>
      </c>
      <c r="D34" s="61" t="s">
        <v>505</v>
      </c>
      <c r="E34" s="62" t="s">
        <v>508</v>
      </c>
      <c r="F34" s="63" t="str">
        <f>Originals!B185</f>
        <v>GPower Error &amp; Warning</v>
      </c>
      <c r="G34" s="63" t="str">
        <f>Originals!C185</f>
        <v>2014.0.0.38</v>
      </c>
      <c r="H34" s="63" t="str">
        <f>Originals!D185</f>
        <v>32</v>
      </c>
      <c r="I34" s="63" t="str">
        <f>Originals!E185</f>
        <v>N/A</v>
      </c>
      <c r="J34" s="63" t="str">
        <f>Originals!F185</f>
        <v>Development</v>
      </c>
      <c r="K34" s="63" t="str">
        <f>Originals!G185</f>
        <v>GPower</v>
      </c>
      <c r="L34" s="63" t="str">
        <f>Originals!H185</f>
        <v>GPower Error &amp; Warning 2014.0.0.38</v>
      </c>
      <c r="M34" s="63" t="str">
        <f>Originals!I185</f>
        <v>VIPM Community</v>
      </c>
      <c r="N34" s="56" t="s">
        <v>136</v>
      </c>
    </row>
    <row r="35" spans="1:14" x14ac:dyDescent="0.25">
      <c r="A35" s="62" t="s">
        <v>508</v>
      </c>
      <c r="B35" s="62" t="s">
        <v>508</v>
      </c>
      <c r="C35" s="61" t="s">
        <v>505</v>
      </c>
      <c r="D35" s="61" t="s">
        <v>505</v>
      </c>
      <c r="E35" s="62" t="s">
        <v>508</v>
      </c>
      <c r="F35" s="63" t="str">
        <f>Originals!B186</f>
        <v>GPower Events</v>
      </c>
      <c r="G35" s="63" t="str">
        <f>Originals!C186</f>
        <v>2012.0.0.7</v>
      </c>
      <c r="H35" s="63" t="str">
        <f>Originals!D186</f>
        <v>32</v>
      </c>
      <c r="I35" s="63" t="str">
        <f>Originals!E186</f>
        <v>N/A</v>
      </c>
      <c r="J35" s="63" t="str">
        <f>Originals!F186</f>
        <v>Development</v>
      </c>
      <c r="K35" s="63" t="str">
        <f>Originals!G186</f>
        <v>GPower</v>
      </c>
      <c r="L35" s="63" t="str">
        <f>Originals!H186</f>
        <v>GPower Events 2012.0.0.7</v>
      </c>
      <c r="M35" s="63" t="str">
        <f>Originals!I186</f>
        <v>VIPM Community</v>
      </c>
      <c r="N35" s="56" t="s">
        <v>136</v>
      </c>
    </row>
    <row r="36" spans="1:14" x14ac:dyDescent="0.25">
      <c r="A36" s="62" t="s">
        <v>508</v>
      </c>
      <c r="B36" s="62" t="s">
        <v>508</v>
      </c>
      <c r="C36" s="61" t="s">
        <v>505</v>
      </c>
      <c r="D36" s="61" t="s">
        <v>505</v>
      </c>
      <c r="E36" s="62" t="s">
        <v>508</v>
      </c>
      <c r="F36" s="63" t="str">
        <f>Originals!B187</f>
        <v>GPower Math</v>
      </c>
      <c r="G36" s="63" t="str">
        <f>Originals!C187</f>
        <v>2012.1.0.6</v>
      </c>
      <c r="H36" s="63" t="str">
        <f>Originals!D187</f>
        <v>32</v>
      </c>
      <c r="I36" s="63" t="str">
        <f>Originals!E187</f>
        <v>N/A</v>
      </c>
      <c r="J36" s="63" t="str">
        <f>Originals!F187</f>
        <v>Development</v>
      </c>
      <c r="K36" s="63" t="str">
        <f>Originals!G187</f>
        <v>GPower</v>
      </c>
      <c r="L36" s="63" t="str">
        <f>Originals!H187</f>
        <v>GPower Math 2012.1.0.6</v>
      </c>
      <c r="M36" s="63" t="str">
        <f>Originals!I187</f>
        <v>VIPM Community</v>
      </c>
      <c r="N36" s="56" t="s">
        <v>136</v>
      </c>
    </row>
    <row r="37" spans="1:14" x14ac:dyDescent="0.25">
      <c r="A37" s="62" t="s">
        <v>508</v>
      </c>
      <c r="B37" s="62" t="s">
        <v>508</v>
      </c>
      <c r="C37" s="61" t="s">
        <v>505</v>
      </c>
      <c r="D37" s="61" t="s">
        <v>505</v>
      </c>
      <c r="E37" s="62" t="s">
        <v>508</v>
      </c>
      <c r="F37" s="63" t="str">
        <f>Originals!B188</f>
        <v>GPower Numeric</v>
      </c>
      <c r="G37" s="63" t="str">
        <f>Originals!C188</f>
        <v>2016.2.0.14</v>
      </c>
      <c r="H37" s="63" t="str">
        <f>Originals!D188</f>
        <v>32</v>
      </c>
      <c r="I37" s="63" t="str">
        <f>Originals!E188</f>
        <v>N/A</v>
      </c>
      <c r="J37" s="63" t="str">
        <f>Originals!F188</f>
        <v>Development</v>
      </c>
      <c r="K37" s="63" t="str">
        <f>Originals!G188</f>
        <v>GPower</v>
      </c>
      <c r="L37" s="63" t="str">
        <f>Originals!H188</f>
        <v>GPower Numeric 2016.2.0.14</v>
      </c>
      <c r="M37" s="63" t="str">
        <f>Originals!I188</f>
        <v>VIPM Community</v>
      </c>
      <c r="N37" s="56" t="s">
        <v>136</v>
      </c>
    </row>
    <row r="38" spans="1:14" x14ac:dyDescent="0.25">
      <c r="A38" s="62" t="s">
        <v>508</v>
      </c>
      <c r="B38" s="62" t="s">
        <v>508</v>
      </c>
      <c r="C38" s="61" t="s">
        <v>505</v>
      </c>
      <c r="D38" s="61" t="s">
        <v>505</v>
      </c>
      <c r="E38" s="62" t="s">
        <v>508</v>
      </c>
      <c r="F38" s="63" t="str">
        <f>Originals!B189</f>
        <v>GPower Overflow</v>
      </c>
      <c r="G38" s="63" t="str">
        <f>Originals!C189</f>
        <v>2014.0.0.4</v>
      </c>
      <c r="H38" s="63" t="str">
        <f>Originals!D189</f>
        <v>32</v>
      </c>
      <c r="I38" s="63" t="str">
        <f>Originals!E189</f>
        <v>N/A</v>
      </c>
      <c r="J38" s="63" t="str">
        <f>Originals!F189</f>
        <v>Development</v>
      </c>
      <c r="K38" s="63" t="str">
        <f>Originals!G189</f>
        <v>GPower</v>
      </c>
      <c r="L38" s="63" t="str">
        <f>Originals!H189</f>
        <v>GPower Overflow 2014.0.0.4</v>
      </c>
      <c r="M38" s="63" t="str">
        <f>Originals!I189</f>
        <v>VIPM Community</v>
      </c>
      <c r="N38" s="56" t="s">
        <v>136</v>
      </c>
    </row>
    <row r="39" spans="1:14" x14ac:dyDescent="0.25">
      <c r="A39" s="62" t="s">
        <v>508</v>
      </c>
      <c r="B39" s="62" t="s">
        <v>508</v>
      </c>
      <c r="C39" s="61" t="s">
        <v>505</v>
      </c>
      <c r="D39" s="61" t="s">
        <v>505</v>
      </c>
      <c r="E39" s="62" t="s">
        <v>508</v>
      </c>
      <c r="F39" s="63" t="str">
        <f>Originals!B190</f>
        <v>GPower String</v>
      </c>
      <c r="G39" s="63" t="str">
        <f>Originals!C190</f>
        <v>2016.1.0.11</v>
      </c>
      <c r="H39" s="63" t="str">
        <f>Originals!D190</f>
        <v>32</v>
      </c>
      <c r="I39" s="63" t="str">
        <f>Originals!E190</f>
        <v>N/A</v>
      </c>
      <c r="J39" s="63" t="str">
        <f>Originals!F190</f>
        <v>Development</v>
      </c>
      <c r="K39" s="63" t="str">
        <f>Originals!G190</f>
        <v>GPower</v>
      </c>
      <c r="L39" s="63" t="str">
        <f>Originals!H190</f>
        <v>GPower String 2016.1.0.11</v>
      </c>
      <c r="M39" s="63" t="str">
        <f>Originals!I190</f>
        <v>VIPM Community</v>
      </c>
      <c r="N39" s="56" t="s">
        <v>136</v>
      </c>
    </row>
    <row r="40" spans="1:14" x14ac:dyDescent="0.25">
      <c r="A40" s="62" t="s">
        <v>508</v>
      </c>
      <c r="B40" s="62" t="s">
        <v>508</v>
      </c>
      <c r="C40" s="61" t="s">
        <v>505</v>
      </c>
      <c r="D40" s="61" t="s">
        <v>505</v>
      </c>
      <c r="E40" s="62" t="s">
        <v>508</v>
      </c>
      <c r="F40" s="63" t="str">
        <f>Originals!B191</f>
        <v>GPower Timing</v>
      </c>
      <c r="G40" s="63" t="str">
        <f>Originals!C191</f>
        <v>2017.0.0.26</v>
      </c>
      <c r="H40" s="63" t="str">
        <f>Originals!D191</f>
        <v>32</v>
      </c>
      <c r="I40" s="63" t="str">
        <f>Originals!E191</f>
        <v>N/A</v>
      </c>
      <c r="J40" s="63" t="str">
        <f>Originals!F191</f>
        <v>Development</v>
      </c>
      <c r="K40" s="63" t="str">
        <f>Originals!G191</f>
        <v>GPower</v>
      </c>
      <c r="L40" s="63" t="str">
        <f>Originals!H191</f>
        <v>GPower Timing 2017.0.0.26</v>
      </c>
      <c r="M40" s="63" t="str">
        <f>Originals!I191</f>
        <v>VIPM Community</v>
      </c>
      <c r="N40" s="56" t="s">
        <v>136</v>
      </c>
    </row>
    <row r="41" spans="1:14" x14ac:dyDescent="0.25">
      <c r="A41" s="62" t="s">
        <v>508</v>
      </c>
      <c r="B41" s="62" t="s">
        <v>508</v>
      </c>
      <c r="C41" s="61" t="s">
        <v>505</v>
      </c>
      <c r="D41" s="61" t="s">
        <v>505</v>
      </c>
      <c r="E41" s="62" t="s">
        <v>508</v>
      </c>
      <c r="F41" s="63" t="str">
        <f>Originals!B192</f>
        <v>GPower VI Launcher</v>
      </c>
      <c r="G41" s="63" t="str">
        <f>Originals!C192</f>
        <v>2012.2.0.26</v>
      </c>
      <c r="H41" s="63" t="str">
        <f>Originals!D192</f>
        <v>32</v>
      </c>
      <c r="I41" s="63" t="str">
        <f>Originals!E192</f>
        <v>N/A</v>
      </c>
      <c r="J41" s="63" t="str">
        <f>Originals!F192</f>
        <v>Development</v>
      </c>
      <c r="K41" s="63" t="str">
        <f>Originals!G192</f>
        <v>GPower</v>
      </c>
      <c r="L41" s="63" t="str">
        <f>Originals!H192</f>
        <v>GPower VI Launcher 2012.2.0.26</v>
      </c>
      <c r="M41" s="63" t="str">
        <f>Originals!I192</f>
        <v>VIPM Community</v>
      </c>
      <c r="N41" s="56" t="s">
        <v>136</v>
      </c>
    </row>
    <row r="42" spans="1:14" x14ac:dyDescent="0.25">
      <c r="A42" s="62" t="s">
        <v>508</v>
      </c>
      <c r="B42" s="62" t="s">
        <v>508</v>
      </c>
      <c r="C42" s="61" t="s">
        <v>505</v>
      </c>
      <c r="D42" s="61" t="s">
        <v>505</v>
      </c>
      <c r="E42" s="62" t="s">
        <v>508</v>
      </c>
      <c r="F42" s="63" t="str">
        <f>Originals!B193</f>
        <v>GPower VI Register</v>
      </c>
      <c r="G42" s="63" t="str">
        <f>Originals!C193</f>
        <v>2016.0.0.31</v>
      </c>
      <c r="H42" s="63" t="str">
        <f>Originals!D193</f>
        <v>32</v>
      </c>
      <c r="I42" s="63" t="str">
        <f>Originals!E193</f>
        <v>N/A</v>
      </c>
      <c r="J42" s="63" t="str">
        <f>Originals!F193</f>
        <v>Development</v>
      </c>
      <c r="K42" s="63" t="str">
        <f>Originals!G193</f>
        <v>GPower</v>
      </c>
      <c r="L42" s="63" t="str">
        <f>Originals!H193</f>
        <v>GPower VI Register 2016.0.0.31</v>
      </c>
      <c r="M42" s="63" t="str">
        <f>Originals!I193</f>
        <v>VIPM Community</v>
      </c>
      <c r="N42" s="56" t="s">
        <v>136</v>
      </c>
    </row>
    <row r="43" spans="1:14" x14ac:dyDescent="0.25">
      <c r="A43" s="62" t="s">
        <v>508</v>
      </c>
      <c r="B43" s="62" t="s">
        <v>508</v>
      </c>
      <c r="C43" s="61" t="s">
        <v>505</v>
      </c>
      <c r="D43" s="62" t="s">
        <v>508</v>
      </c>
      <c r="E43" s="62" t="s">
        <v>508</v>
      </c>
      <c r="F43" s="63" t="str">
        <f>Originals!B194</f>
        <v>Hardware Configuration and Web Support</v>
      </c>
      <c r="G43" s="63" t="str">
        <f>Originals!C194</f>
        <v>15.0.0</v>
      </c>
      <c r="H43" s="63" t="str">
        <f>Originals!D194</f>
        <v>32</v>
      </c>
      <c r="I43" s="63" t="str">
        <f>Originals!E194</f>
        <v>2015</v>
      </c>
      <c r="J43" s="63" t="str">
        <f>Originals!F194</f>
        <v>C-RIO</v>
      </c>
      <c r="K43" s="63" t="str">
        <f>Originals!G194</f>
        <v>NI</v>
      </c>
      <c r="L43" s="63" t="str">
        <f>Originals!H194</f>
        <v>Hardware Configuration and Web Support 15.0.0</v>
      </c>
      <c r="M43" s="63">
        <f>Originals!I194</f>
        <v>0</v>
      </c>
      <c r="N43" s="56" t="s">
        <v>136</v>
      </c>
    </row>
    <row r="44" spans="1:14" x14ac:dyDescent="0.25">
      <c r="A44" s="62" t="s">
        <v>508</v>
      </c>
      <c r="B44" s="62" t="s">
        <v>508</v>
      </c>
      <c r="C44" s="61" t="s">
        <v>505</v>
      </c>
      <c r="D44" s="62" t="s">
        <v>508</v>
      </c>
      <c r="E44" s="62" t="s">
        <v>508</v>
      </c>
      <c r="F44" s="63" t="str">
        <f>Originals!B195</f>
        <v>HTTP Client with SSL Support</v>
      </c>
      <c r="G44" s="63" t="str">
        <f>Originals!C195</f>
        <v>15.0.0</v>
      </c>
      <c r="H44" s="63" t="str">
        <f>Originals!D195</f>
        <v>32</v>
      </c>
      <c r="I44" s="63" t="str">
        <f>Originals!E195</f>
        <v>2015</v>
      </c>
      <c r="J44" s="63" t="str">
        <f>Originals!F195</f>
        <v>C-RIO</v>
      </c>
      <c r="K44" s="63" t="str">
        <f>Originals!G195</f>
        <v>NI</v>
      </c>
      <c r="L44" s="63" t="str">
        <f>Originals!H195</f>
        <v>HTTP Client with SSL Support 15.0.0</v>
      </c>
      <c r="M44" s="63">
        <f>Originals!I195</f>
        <v>0</v>
      </c>
      <c r="N44" s="56" t="s">
        <v>136</v>
      </c>
    </row>
    <row r="45" spans="1:14" x14ac:dyDescent="0.25">
      <c r="A45" s="62" t="s">
        <v>508</v>
      </c>
      <c r="B45" s="62" t="s">
        <v>508</v>
      </c>
      <c r="C45" s="61" t="s">
        <v>505</v>
      </c>
      <c r="D45" s="62" t="s">
        <v>508</v>
      </c>
      <c r="E45" s="62" t="s">
        <v>508</v>
      </c>
      <c r="F45" s="63" t="str">
        <f>Originals!B196</f>
        <v>I/O Variable Remorte Configuration Web Server</v>
      </c>
      <c r="G45" s="63">
        <f>Originals!C196</f>
        <v>0</v>
      </c>
      <c r="H45" s="63" t="str">
        <f>Originals!D196</f>
        <v>32</v>
      </c>
      <c r="I45" s="63" t="str">
        <f>Originals!E196</f>
        <v>N/A</v>
      </c>
      <c r="J45" s="63" t="str">
        <f>Originals!F196</f>
        <v>C-RIO</v>
      </c>
      <c r="K45" s="63" t="str">
        <f>Originals!G196</f>
        <v>NI</v>
      </c>
      <c r="L45" s="63" t="str">
        <f>Originals!H196</f>
        <v xml:space="preserve">I/O Variable Remorte Configuration Web Server </v>
      </c>
      <c r="M45" s="63">
        <f>Originals!I196</f>
        <v>0</v>
      </c>
      <c r="N45" s="56" t="s">
        <v>136</v>
      </c>
    </row>
    <row r="46" spans="1:14" x14ac:dyDescent="0.25">
      <c r="A46" s="62" t="s">
        <v>508</v>
      </c>
      <c r="B46" s="62" t="s">
        <v>508</v>
      </c>
      <c r="C46" s="61" t="s">
        <v>505</v>
      </c>
      <c r="D46" s="61" t="s">
        <v>505</v>
      </c>
      <c r="E46" s="62" t="s">
        <v>508</v>
      </c>
      <c r="F46" s="63" t="str">
        <f>Originals!B197</f>
        <v>Image Processing and Machine Vision</v>
      </c>
      <c r="G46" s="63" t="str">
        <f>Originals!C197</f>
        <v>19.5.0.49152</v>
      </c>
      <c r="H46" s="63" t="str">
        <f>Originals!D197</f>
        <v>32</v>
      </c>
      <c r="I46" s="63" t="str">
        <f>Originals!E197</f>
        <v>2019</v>
      </c>
      <c r="J46" s="63" t="str">
        <f>Originals!F197</f>
        <v>Development</v>
      </c>
      <c r="K46" s="63" t="str">
        <f>Originals!G197</f>
        <v>NI</v>
      </c>
      <c r="L46" s="63" t="str">
        <f>Originals!H197</f>
        <v>Image Processing and Machine Vision 19.5.0.49152</v>
      </c>
      <c r="M46" s="63" t="str">
        <f>Originals!I197</f>
        <v>LabVIEW 2019</v>
      </c>
      <c r="N46" s="56" t="s">
        <v>136</v>
      </c>
    </row>
    <row r="47" spans="1:14" x14ac:dyDescent="0.25">
      <c r="A47" s="62" t="s">
        <v>508</v>
      </c>
      <c r="B47" s="62" t="s">
        <v>508</v>
      </c>
      <c r="C47" s="61" t="s">
        <v>505</v>
      </c>
      <c r="D47" s="61" t="s">
        <v>505</v>
      </c>
      <c r="E47" s="62" t="s">
        <v>508</v>
      </c>
      <c r="F47" s="63" t="str">
        <f>Originals!B198</f>
        <v>Image Services</v>
      </c>
      <c r="G47" s="63" t="str">
        <f>Originals!C198</f>
        <v>19.5.0.49152</v>
      </c>
      <c r="H47" s="63" t="str">
        <f>Originals!D198</f>
        <v>32</v>
      </c>
      <c r="I47" s="63" t="str">
        <f>Originals!E198</f>
        <v>2019</v>
      </c>
      <c r="J47" s="63" t="str">
        <f>Originals!F198</f>
        <v>Development</v>
      </c>
      <c r="K47" s="63" t="str">
        <f>Originals!G198</f>
        <v>NI</v>
      </c>
      <c r="L47" s="63" t="str">
        <f>Originals!H198</f>
        <v>Image Services 19.5.0.49152</v>
      </c>
      <c r="M47" s="63" t="str">
        <f>Originals!I198</f>
        <v>LabVIEW 2019</v>
      </c>
      <c r="N47" s="56" t="s">
        <v>136</v>
      </c>
    </row>
    <row r="48" spans="1:14" x14ac:dyDescent="0.25">
      <c r="A48" s="61" t="s">
        <v>505</v>
      </c>
      <c r="B48" s="61" t="s">
        <v>505</v>
      </c>
      <c r="C48" s="62" t="s">
        <v>508</v>
      </c>
      <c r="D48" s="61" t="s">
        <v>505</v>
      </c>
      <c r="E48" s="62" t="s">
        <v>508</v>
      </c>
      <c r="F48" s="63" t="str">
        <f>Originals!B12</f>
        <v>IVI Compliance Package</v>
      </c>
      <c r="G48" s="63" t="str">
        <f>Originals!C12</f>
        <v>15.0</v>
      </c>
      <c r="H48" s="63" t="str">
        <f>Originals!D12</f>
        <v>32</v>
      </c>
      <c r="I48" s="63" t="str">
        <f>Originals!E12</f>
        <v>2015</v>
      </c>
      <c r="J48" s="63" t="str">
        <f>Originals!F12</f>
        <v>Development</v>
      </c>
      <c r="K48" s="63" t="str">
        <f>Originals!G12</f>
        <v>NI</v>
      </c>
      <c r="L48" s="63" t="str">
        <f>Originals!H12</f>
        <v>IVI Compliance Package 15.0</v>
      </c>
      <c r="M48" s="63" t="str">
        <f>Originals!I12</f>
        <v>NI Developer Suite 2015 DS2 Install</v>
      </c>
      <c r="N48" s="56" t="s">
        <v>136</v>
      </c>
    </row>
    <row r="49" spans="1:14" x14ac:dyDescent="0.25">
      <c r="A49" s="62" t="s">
        <v>508</v>
      </c>
      <c r="B49" s="62" t="s">
        <v>508</v>
      </c>
      <c r="C49" s="61" t="s">
        <v>505</v>
      </c>
      <c r="D49" s="62" t="s">
        <v>508</v>
      </c>
      <c r="E49" s="62" t="s">
        <v>508</v>
      </c>
      <c r="F49" s="63" t="str">
        <f>Originals!B199</f>
        <v>IVI Driver Toolset</v>
      </c>
      <c r="G49" s="63">
        <f>Originals!C199</f>
        <v>1.5</v>
      </c>
      <c r="H49" s="63" t="str">
        <f>Originals!D199</f>
        <v>32</v>
      </c>
      <c r="I49" s="63" t="str">
        <f>Originals!E199</f>
        <v>N/A</v>
      </c>
      <c r="J49" s="63" t="str">
        <f>Originals!F199</f>
        <v>Development</v>
      </c>
      <c r="K49" s="63" t="str">
        <f>Originals!G199</f>
        <v>NI</v>
      </c>
      <c r="L49" s="63" t="str">
        <f>Originals!H199</f>
        <v>IVI Driver Toolset 1.5</v>
      </c>
      <c r="M49" s="63">
        <f>Originals!I199</f>
        <v>0</v>
      </c>
      <c r="N49" s="56" t="s">
        <v>136</v>
      </c>
    </row>
    <row r="50" spans="1:14" x14ac:dyDescent="0.25">
      <c r="A50" s="62" t="s">
        <v>508</v>
      </c>
      <c r="B50" s="62" t="s">
        <v>508</v>
      </c>
      <c r="C50" s="61" t="s">
        <v>505</v>
      </c>
      <c r="D50" s="62" t="s">
        <v>508</v>
      </c>
      <c r="E50" s="62" t="s">
        <v>508</v>
      </c>
      <c r="F50" s="63" t="str">
        <f>Originals!B200</f>
        <v>IVI Engine</v>
      </c>
      <c r="G50" s="63" t="str">
        <f>Originals!C200</f>
        <v>15.0.0.f0</v>
      </c>
      <c r="H50" s="63" t="str">
        <f>Originals!D200</f>
        <v>32</v>
      </c>
      <c r="I50" s="63">
        <f>Originals!E200</f>
        <v>2015</v>
      </c>
      <c r="J50" s="63" t="str">
        <f>Originals!F200</f>
        <v>Development</v>
      </c>
      <c r="K50" s="63" t="str">
        <f>Originals!G200</f>
        <v>NI</v>
      </c>
      <c r="L50" s="63" t="str">
        <f>Originals!H200</f>
        <v>IVI Engine 15.0.0.f0</v>
      </c>
      <c r="M50" s="63">
        <f>Originals!I200</f>
        <v>0</v>
      </c>
      <c r="N50" s="56" t="s">
        <v>136</v>
      </c>
    </row>
    <row r="51" spans="1:14" x14ac:dyDescent="0.25">
      <c r="A51" s="62" t="s">
        <v>508</v>
      </c>
      <c r="B51" s="62" t="s">
        <v>508</v>
      </c>
      <c r="C51" s="61" t="s">
        <v>505</v>
      </c>
      <c r="D51" s="62" t="s">
        <v>508</v>
      </c>
      <c r="E51" s="62" t="s">
        <v>508</v>
      </c>
      <c r="F51" s="63" t="str">
        <f>Originals!B201</f>
        <v>JKI State Machine</v>
      </c>
      <c r="G51" s="63" t="str">
        <f>Originals!C201</f>
        <v>3.0.0.8</v>
      </c>
      <c r="H51" s="63" t="str">
        <f>Originals!D201</f>
        <v>32</v>
      </c>
      <c r="I51" s="63" t="str">
        <f>Originals!E201</f>
        <v>N/A</v>
      </c>
      <c r="J51" s="63" t="str">
        <f>Originals!F201</f>
        <v>Development</v>
      </c>
      <c r="K51" s="63" t="str">
        <f>Originals!G201</f>
        <v>JKI</v>
      </c>
      <c r="L51" s="63" t="str">
        <f>Originals!H201</f>
        <v>JKI State Machine 3.0.0.8</v>
      </c>
      <c r="M51" s="63" t="str">
        <f>Originals!I201</f>
        <v>VIPM Community</v>
      </c>
      <c r="N51" s="56" t="s">
        <v>136</v>
      </c>
    </row>
    <row r="52" spans="1:14" x14ac:dyDescent="0.25">
      <c r="A52" s="62" t="s">
        <v>508</v>
      </c>
      <c r="B52" s="62" t="s">
        <v>508</v>
      </c>
      <c r="C52" s="61" t="s">
        <v>505</v>
      </c>
      <c r="D52" s="61" t="s">
        <v>505</v>
      </c>
      <c r="E52" s="62" t="s">
        <v>508</v>
      </c>
      <c r="F52" s="63" t="str">
        <f>Originals!B202</f>
        <v>JKI State Machine Editor</v>
      </c>
      <c r="G52" s="63" t="str">
        <f>Originals!C202</f>
        <v>2013.6.3.239</v>
      </c>
      <c r="H52" s="63" t="str">
        <f>Originals!D202</f>
        <v>32</v>
      </c>
      <c r="I52" s="63" t="str">
        <f>Originals!E202</f>
        <v>N/A</v>
      </c>
      <c r="J52" s="63" t="str">
        <f>Originals!F202</f>
        <v>Development</v>
      </c>
      <c r="K52" s="63" t="str">
        <f>Originals!G202</f>
        <v>JKI</v>
      </c>
      <c r="L52" s="63" t="str">
        <f>Originals!H202</f>
        <v>JKI State Machine Editor 2013.6.3.239</v>
      </c>
      <c r="M52" s="63" t="str">
        <f>Originals!I202</f>
        <v>VIPM Community</v>
      </c>
      <c r="N52" s="56" t="s">
        <v>136</v>
      </c>
    </row>
    <row r="53" spans="1:14" x14ac:dyDescent="0.25">
      <c r="A53" s="62" t="s">
        <v>508</v>
      </c>
      <c r="B53" s="62" t="s">
        <v>508</v>
      </c>
      <c r="C53" s="61" t="s">
        <v>505</v>
      </c>
      <c r="D53" s="61" t="s">
        <v>505</v>
      </c>
      <c r="E53" s="62" t="s">
        <v>508</v>
      </c>
      <c r="F53" s="63" t="str">
        <f>Originals!B203</f>
        <v>JKI State Machine Objects (SMO)</v>
      </c>
      <c r="G53" s="63" t="str">
        <f>Originals!C203</f>
        <v>1.3.0.56</v>
      </c>
      <c r="H53" s="63" t="str">
        <f>Originals!D203</f>
        <v>32</v>
      </c>
      <c r="I53" s="63" t="str">
        <f>Originals!E203</f>
        <v>N/A</v>
      </c>
      <c r="J53" s="63" t="str">
        <f>Originals!F203</f>
        <v>Development</v>
      </c>
      <c r="K53" s="63" t="str">
        <f>Originals!G203</f>
        <v>JKI</v>
      </c>
      <c r="L53" s="63" t="str">
        <f>Originals!H203</f>
        <v>JKI State Machine Objects (SMO) 1.3.0.56</v>
      </c>
      <c r="M53" s="63" t="str">
        <f>Originals!I203</f>
        <v>VIPM Community</v>
      </c>
      <c r="N53" s="56" t="s">
        <v>136</v>
      </c>
    </row>
    <row r="54" spans="1:14" x14ac:dyDescent="0.25">
      <c r="A54" s="62" t="s">
        <v>508</v>
      </c>
      <c r="B54" s="62" t="s">
        <v>508</v>
      </c>
      <c r="C54" s="61" t="s">
        <v>505</v>
      </c>
      <c r="D54" s="62" t="s">
        <v>508</v>
      </c>
      <c r="E54" s="62" t="s">
        <v>508</v>
      </c>
      <c r="F54" s="63" t="str">
        <f>Originals!B204</f>
        <v>JKI VIPM</v>
      </c>
      <c r="G54" s="63">
        <f>Originals!C204</f>
        <v>0</v>
      </c>
      <c r="H54" s="63">
        <f>Originals!D204</f>
        <v>0</v>
      </c>
      <c r="I54" s="63" t="str">
        <f>Originals!E204</f>
        <v>N/A</v>
      </c>
      <c r="J54" s="63" t="str">
        <f>Originals!F204</f>
        <v>Development</v>
      </c>
      <c r="K54" s="63" t="str">
        <f>Originals!G204</f>
        <v>NI</v>
      </c>
      <c r="L54" s="63" t="str">
        <f>Originals!H204</f>
        <v xml:space="preserve">JKI VIPM </v>
      </c>
      <c r="M54" s="63" t="str">
        <f>Originals!I204</f>
        <v>vipm-22.0.2371-windows-setup</v>
      </c>
      <c r="N54" s="56" t="s">
        <v>136</v>
      </c>
    </row>
    <row r="55" spans="1:14" x14ac:dyDescent="0.25">
      <c r="A55" s="62" t="s">
        <v>508</v>
      </c>
      <c r="B55" s="62" t="s">
        <v>508</v>
      </c>
      <c r="C55" s="61" t="s">
        <v>505</v>
      </c>
      <c r="D55" s="61" t="s">
        <v>505</v>
      </c>
      <c r="E55" s="62" t="s">
        <v>508</v>
      </c>
      <c r="F55" s="63" t="str">
        <f>Originals!B205</f>
        <v>jki_rsc_toolkits_palette</v>
      </c>
      <c r="G55" s="63" t="str">
        <f>Originals!C205</f>
        <v>1.1-1</v>
      </c>
      <c r="H55" s="63" t="str">
        <f>Originals!D205</f>
        <v>32</v>
      </c>
      <c r="I55" s="63" t="str">
        <f>Originals!E205</f>
        <v>N/A</v>
      </c>
      <c r="J55" s="63" t="str">
        <f>Originals!F205</f>
        <v>Development</v>
      </c>
      <c r="K55" s="63" t="str">
        <f>Originals!G205</f>
        <v>JKI Software</v>
      </c>
      <c r="L55" s="63" t="str">
        <f>Originals!H205</f>
        <v>jki_rsc_toolkits_palette 1.1-1</v>
      </c>
      <c r="M55" s="63" t="str">
        <f>Originals!I205</f>
        <v>VIPM Community</v>
      </c>
      <c r="N55" s="56" t="s">
        <v>136</v>
      </c>
    </row>
    <row r="56" spans="1:14" x14ac:dyDescent="0.25">
      <c r="A56" s="61" t="s">
        <v>505</v>
      </c>
      <c r="B56" s="61" t="s">
        <v>505</v>
      </c>
      <c r="C56" s="62" t="s">
        <v>508</v>
      </c>
      <c r="D56" s="62" t="s">
        <v>508</v>
      </c>
      <c r="E56" s="61" t="s">
        <v>505</v>
      </c>
      <c r="F56" s="63" t="str">
        <f>Originals!B13</f>
        <v>LabVIEW</v>
      </c>
      <c r="G56" s="63" t="str">
        <f>Originals!C13</f>
        <v>15.0.1</v>
      </c>
      <c r="H56" s="63" t="str">
        <f>Originals!D13</f>
        <v>32</v>
      </c>
      <c r="I56" s="63" t="str">
        <f>Originals!E13</f>
        <v>2015 SP1 f10</v>
      </c>
      <c r="J56" s="63" t="str">
        <f>Originals!F13</f>
        <v>Development</v>
      </c>
      <c r="K56" s="63" t="str">
        <f>Originals!G13</f>
        <v>NI</v>
      </c>
      <c r="L56" s="63" t="str">
        <f>Originals!H13</f>
        <v>LabVIEW 2015 SP1 f10 15.0.1</v>
      </c>
      <c r="M56" s="63" t="str">
        <f>Originals!I13</f>
        <v>2015 SP1 Update Service</v>
      </c>
      <c r="N56" s="56" t="s">
        <v>136</v>
      </c>
    </row>
    <row r="57" spans="1:14" hidden="1" x14ac:dyDescent="0.25">
      <c r="A57" s="61" t="s">
        <v>505</v>
      </c>
      <c r="B57" s="62" t="s">
        <v>508</v>
      </c>
      <c r="C57" s="62" t="s">
        <v>508</v>
      </c>
      <c r="D57" s="62" t="s">
        <v>508</v>
      </c>
      <c r="E57" s="62" t="s">
        <v>508</v>
      </c>
      <c r="F57" s="68" t="str">
        <f>Originals!B14</f>
        <v>LabVIEW</v>
      </c>
      <c r="G57" s="68" t="str">
        <f>Originals!C14</f>
        <v>15.0.1</v>
      </c>
      <c r="H57" s="68" t="str">
        <f>Originals!D14</f>
        <v>32</v>
      </c>
      <c r="I57" s="68" t="str">
        <f>Originals!E14</f>
        <v>2015 SP1</v>
      </c>
      <c r="J57" s="68" t="str">
        <f>Originals!F14</f>
        <v>Runtime</v>
      </c>
      <c r="K57" s="68" t="str">
        <f>Originals!G14</f>
        <v>NI</v>
      </c>
      <c r="L57" s="68" t="str">
        <f>Originals!H14</f>
        <v>LabVIEW 2015 SP1 15.0.1</v>
      </c>
      <c r="M57" s="68" t="str">
        <f>Originals!I14</f>
        <v>LabVIEW 2015 SP1</v>
      </c>
      <c r="N57" s="69" t="s">
        <v>0</v>
      </c>
    </row>
    <row r="58" spans="1:14" x14ac:dyDescent="0.25">
      <c r="A58" s="61" t="s">
        <v>505</v>
      </c>
      <c r="B58" s="61" t="s">
        <v>505</v>
      </c>
      <c r="C58" s="61" t="s">
        <v>505</v>
      </c>
      <c r="D58" s="61" t="s">
        <v>505</v>
      </c>
      <c r="E58" s="61" t="s">
        <v>505</v>
      </c>
      <c r="F58" s="63" t="str">
        <f>Originals!B15</f>
        <v>LabVIEW</v>
      </c>
      <c r="G58" s="63" t="str">
        <f>Originals!C15</f>
        <v>12.0.1</v>
      </c>
      <c r="H58" s="63" t="str">
        <f>Originals!D15</f>
        <v>32</v>
      </c>
      <c r="I58" s="63" t="str">
        <f>Originals!E15</f>
        <v>2012 SP1 f9</v>
      </c>
      <c r="J58" s="63" t="str">
        <f>Originals!F15</f>
        <v>Runtime</v>
      </c>
      <c r="K58" s="63" t="str">
        <f>Originals!G15</f>
        <v>NI</v>
      </c>
      <c r="L58" s="63" t="str">
        <f>Originals!H15</f>
        <v>LabVIEW 2012 SP1 f9 12.0.1</v>
      </c>
      <c r="M58" s="63" t="str">
        <f>Originals!I15</f>
        <v>NI Developer Suite 2015 DS2 Install</v>
      </c>
      <c r="N58" s="56" t="s">
        <v>136</v>
      </c>
    </row>
    <row r="59" spans="1:14" x14ac:dyDescent="0.25">
      <c r="A59" s="61" t="s">
        <v>505</v>
      </c>
      <c r="B59" s="61" t="s">
        <v>505</v>
      </c>
      <c r="C59" s="62" t="s">
        <v>508</v>
      </c>
      <c r="D59" s="61" t="s">
        <v>505</v>
      </c>
      <c r="E59" s="62" t="s">
        <v>508</v>
      </c>
      <c r="F59" s="63" t="str">
        <f>Originals!B16</f>
        <v>LabVIEW</v>
      </c>
      <c r="G59" s="63" t="str">
        <f>Originals!C16</f>
        <v>12.0.1</v>
      </c>
      <c r="H59" s="63" t="str">
        <f>Originals!D16</f>
        <v>64</v>
      </c>
      <c r="I59" s="63" t="str">
        <f>Originals!E16</f>
        <v>2012 SP1 f9</v>
      </c>
      <c r="J59" s="63" t="str">
        <f>Originals!F16</f>
        <v>Runtime</v>
      </c>
      <c r="K59" s="63" t="str">
        <f>Originals!G16</f>
        <v>NI</v>
      </c>
      <c r="L59" s="63" t="str">
        <f>Originals!H16</f>
        <v>LabVIEW 2012 SP1 f9 12.0.1</v>
      </c>
      <c r="M59" s="63" t="str">
        <f>Originals!I16</f>
        <v>NI Developer Suite 2015 DS2 Install</v>
      </c>
      <c r="N59" s="56" t="s">
        <v>136</v>
      </c>
    </row>
    <row r="60" spans="1:14" x14ac:dyDescent="0.25">
      <c r="A60" s="61" t="s">
        <v>505</v>
      </c>
      <c r="B60" s="61" t="s">
        <v>505</v>
      </c>
      <c r="C60" s="62" t="s">
        <v>508</v>
      </c>
      <c r="D60" s="61" t="s">
        <v>505</v>
      </c>
      <c r="E60" s="62" t="s">
        <v>508</v>
      </c>
      <c r="F60" s="63" t="str">
        <f>Originals!B17</f>
        <v>LabVIEW</v>
      </c>
      <c r="G60" s="63" t="str">
        <f>Originals!C17</f>
        <v>13.0.1</v>
      </c>
      <c r="H60" s="63" t="str">
        <f>Originals!D17</f>
        <v>32</v>
      </c>
      <c r="I60" s="63" t="str">
        <f>Originals!E17</f>
        <v>2013 SP1 f6</v>
      </c>
      <c r="J60" s="63" t="str">
        <f>Originals!F17</f>
        <v>Runtime</v>
      </c>
      <c r="K60" s="63" t="str">
        <f>Originals!G17</f>
        <v>NI</v>
      </c>
      <c r="L60" s="63" t="str">
        <f>Originals!H17</f>
        <v>LabVIEW 2013 SP1 f6 13.0.1</v>
      </c>
      <c r="M60" s="63" t="str">
        <f>Originals!I17</f>
        <v>NI Developer Suite 2015 DS2 Install</v>
      </c>
      <c r="N60" s="56" t="s">
        <v>136</v>
      </c>
    </row>
    <row r="61" spans="1:14" x14ac:dyDescent="0.25">
      <c r="A61" s="61" t="s">
        <v>505</v>
      </c>
      <c r="B61" s="61" t="s">
        <v>505</v>
      </c>
      <c r="C61" s="61" t="s">
        <v>505</v>
      </c>
      <c r="D61" s="61" t="s">
        <v>505</v>
      </c>
      <c r="E61" s="61" t="s">
        <v>505</v>
      </c>
      <c r="F61" s="63" t="str">
        <f>Originals!B18</f>
        <v>LabVIEW</v>
      </c>
      <c r="G61" s="63" t="str">
        <f>Originals!C18</f>
        <v>14.0.1</v>
      </c>
      <c r="H61" s="63" t="str">
        <f>Originals!D18</f>
        <v>32</v>
      </c>
      <c r="I61" s="63" t="str">
        <f>Originals!E18</f>
        <v>2014 SP1 f11</v>
      </c>
      <c r="J61" s="63" t="str">
        <f>Originals!F18</f>
        <v>Runtime</v>
      </c>
      <c r="K61" s="63" t="str">
        <f>Originals!G18</f>
        <v>NI</v>
      </c>
      <c r="L61" s="63" t="str">
        <f>Originals!H18</f>
        <v>LabVIEW 2014 SP1 f11 14.0.1</v>
      </c>
      <c r="M61" s="63" t="str">
        <f>Originals!I18</f>
        <v>2015 SP1 Update Service</v>
      </c>
      <c r="N61" s="56" t="s">
        <v>136</v>
      </c>
    </row>
    <row r="62" spans="1:14" x14ac:dyDescent="0.25">
      <c r="A62" s="61" t="s">
        <v>505</v>
      </c>
      <c r="B62" s="61" t="s">
        <v>505</v>
      </c>
      <c r="C62" s="62" t="s">
        <v>508</v>
      </c>
      <c r="D62" s="61" t="s">
        <v>505</v>
      </c>
      <c r="E62" s="62" t="s">
        <v>508</v>
      </c>
      <c r="F62" s="63" t="str">
        <f>Originals!B19</f>
        <v>LabVIEW</v>
      </c>
      <c r="G62" s="63" t="str">
        <f>Originals!C19</f>
        <v>14.0.1</v>
      </c>
      <c r="H62" s="63" t="str">
        <f>Originals!D19</f>
        <v>64</v>
      </c>
      <c r="I62" s="63" t="str">
        <f>Originals!E19</f>
        <v>2014 SP1 f11</v>
      </c>
      <c r="J62" s="63" t="str">
        <f>Originals!F19</f>
        <v>Runtime</v>
      </c>
      <c r="K62" s="63" t="str">
        <f>Originals!G19</f>
        <v>NI</v>
      </c>
      <c r="L62" s="63" t="str">
        <f>Originals!H19</f>
        <v>LabVIEW 2014 SP1 f11 14.0.1</v>
      </c>
      <c r="M62" s="63" t="str">
        <f>Originals!I19</f>
        <v>2015 SP1 Update Service</v>
      </c>
      <c r="N62" s="56" t="s">
        <v>136</v>
      </c>
    </row>
    <row r="63" spans="1:14" hidden="1" x14ac:dyDescent="0.25">
      <c r="A63" s="61" t="s">
        <v>505</v>
      </c>
      <c r="B63" s="62" t="s">
        <v>508</v>
      </c>
      <c r="C63" s="62" t="s">
        <v>508</v>
      </c>
      <c r="D63" s="62" t="s">
        <v>508</v>
      </c>
      <c r="E63" s="62" t="s">
        <v>508</v>
      </c>
      <c r="F63" s="68" t="str">
        <f>Originals!B20</f>
        <v>LabVIEW</v>
      </c>
      <c r="G63" s="68" t="str">
        <f>Originals!C20</f>
        <v>19.0.1</v>
      </c>
      <c r="H63" s="68" t="str">
        <f>Originals!D20</f>
        <v>32</v>
      </c>
      <c r="I63" s="68" t="str">
        <f>Originals!E20</f>
        <v>2019 SP1 f3</v>
      </c>
      <c r="J63" s="68" t="str">
        <f>Originals!F20</f>
        <v>Runtime</v>
      </c>
      <c r="K63" s="68" t="str">
        <f>Originals!G20</f>
        <v>NI</v>
      </c>
      <c r="L63" s="68" t="str">
        <f>Originals!H20</f>
        <v>LabVIEW 2019 SP1 f3 19.0.1</v>
      </c>
      <c r="M63" s="68">
        <f>Originals!I20</f>
        <v>0</v>
      </c>
      <c r="N63" s="69" t="s">
        <v>0</v>
      </c>
    </row>
    <row r="64" spans="1:14" x14ac:dyDescent="0.25">
      <c r="A64" s="62" t="s">
        <v>508</v>
      </c>
      <c r="B64" s="61" t="s">
        <v>505</v>
      </c>
      <c r="C64" s="61" t="s">
        <v>505</v>
      </c>
      <c r="D64" s="61" t="s">
        <v>505</v>
      </c>
      <c r="E64" s="62" t="s">
        <v>508</v>
      </c>
      <c r="F64" s="63" t="str">
        <f>Originals!B98</f>
        <v>LabVIEW</v>
      </c>
      <c r="G64" s="63" t="str">
        <f>Originals!C98</f>
        <v>15.0.1</v>
      </c>
      <c r="H64" s="63" t="str">
        <f>Originals!D98</f>
        <v>32</v>
      </c>
      <c r="I64" s="63" t="str">
        <f>Originals!E98</f>
        <v>2015 SP1</v>
      </c>
      <c r="J64" s="63" t="str">
        <f>Originals!F98</f>
        <v>Runtime</v>
      </c>
      <c r="K64" s="63" t="str">
        <f>Originals!G98</f>
        <v>NI</v>
      </c>
      <c r="L64" s="63" t="str">
        <f>Originals!H98</f>
        <v>LabVIEW 2015 SP1 15.0.1</v>
      </c>
      <c r="M64" s="63" t="str">
        <f>Originals!I98</f>
        <v>LabVIEW 2015 SP1</v>
      </c>
      <c r="N64" s="56" t="s">
        <v>136</v>
      </c>
    </row>
    <row r="65" spans="1:14" hidden="1" x14ac:dyDescent="0.25">
      <c r="A65" s="62" t="s">
        <v>508</v>
      </c>
      <c r="B65" s="61" t="s">
        <v>505</v>
      </c>
      <c r="C65" s="62" t="s">
        <v>508</v>
      </c>
      <c r="D65" s="62" t="s">
        <v>508</v>
      </c>
      <c r="E65" s="62" t="s">
        <v>508</v>
      </c>
      <c r="F65" s="70" t="str">
        <f>Originals!B99</f>
        <v>LabVIEW</v>
      </c>
      <c r="G65" s="70" t="str">
        <f>Originals!C99</f>
        <v>19.0.1</v>
      </c>
      <c r="H65" s="70" t="str">
        <f>Originals!D99</f>
        <v>32</v>
      </c>
      <c r="I65" s="70" t="str">
        <f>Originals!E99</f>
        <v>2019 SP1 f5</v>
      </c>
      <c r="J65" s="70" t="str">
        <f>Originals!F99</f>
        <v>Runtime</v>
      </c>
      <c r="K65" s="70" t="str">
        <f>Originals!G99</f>
        <v>NI</v>
      </c>
      <c r="L65" s="70" t="str">
        <f>Originals!H99</f>
        <v>LabVIEW 2019 SP1 f5 19.0.1</v>
      </c>
      <c r="M65" s="70">
        <f>Originals!I99</f>
        <v>0</v>
      </c>
      <c r="N65" s="71" t="s">
        <v>1</v>
      </c>
    </row>
    <row r="66" spans="1:14" x14ac:dyDescent="0.25">
      <c r="A66" s="62" t="s">
        <v>508</v>
      </c>
      <c r="B66" s="62" t="s">
        <v>508</v>
      </c>
      <c r="C66" s="61" t="s">
        <v>505</v>
      </c>
      <c r="D66" s="62" t="s">
        <v>508</v>
      </c>
      <c r="E66" s="62" t="s">
        <v>508</v>
      </c>
      <c r="F66" s="64" t="str">
        <f>Originals!B208</f>
        <v>LabVIEW</v>
      </c>
      <c r="G66" s="64" t="str">
        <f>Originals!C208</f>
        <v>16.0.0</v>
      </c>
      <c r="H66" s="64" t="str">
        <f>Originals!D208</f>
        <v>32</v>
      </c>
      <c r="I66" s="64" t="str">
        <f>Originals!E208</f>
        <v>2016  f6</v>
      </c>
      <c r="J66" s="64" t="str">
        <f>Originals!F208</f>
        <v>Runtime</v>
      </c>
      <c r="K66" s="64" t="str">
        <f>Originals!G208</f>
        <v>NI</v>
      </c>
      <c r="L66" s="64" t="str">
        <f>Originals!H208</f>
        <v>LabVIEW 2016  f6 16.0.0</v>
      </c>
      <c r="M66" s="64">
        <f>Originals!I208</f>
        <v>0</v>
      </c>
      <c r="N66" s="65" t="s">
        <v>2</v>
      </c>
    </row>
    <row r="67" spans="1:14" x14ac:dyDescent="0.25">
      <c r="A67" s="62" t="s">
        <v>508</v>
      </c>
      <c r="B67" s="62" t="s">
        <v>508</v>
      </c>
      <c r="C67" s="61" t="s">
        <v>505</v>
      </c>
      <c r="D67" s="61" t="s">
        <v>505</v>
      </c>
      <c r="E67" s="61" t="s">
        <v>505</v>
      </c>
      <c r="F67" s="63" t="str">
        <f>Originals!B209</f>
        <v>LabVIEW</v>
      </c>
      <c r="G67" s="63" t="str">
        <f>Originals!C209</f>
        <v>17.0.1</v>
      </c>
      <c r="H67" s="63" t="str">
        <f>Originals!D209</f>
        <v>32</v>
      </c>
      <c r="I67" s="63" t="str">
        <f>Originals!E209</f>
        <v>2017 SP1 f3</v>
      </c>
      <c r="J67" s="63" t="str">
        <f>Originals!F209</f>
        <v>Runtime</v>
      </c>
      <c r="K67" s="63" t="str">
        <f>Originals!G209</f>
        <v>NI</v>
      </c>
      <c r="L67" s="63" t="str">
        <f>Originals!H209</f>
        <v>LabVIEW 2017 SP1 f3 17.0.1</v>
      </c>
      <c r="M67" s="63">
        <f>Originals!I209</f>
        <v>0</v>
      </c>
      <c r="N67" s="56" t="s">
        <v>136</v>
      </c>
    </row>
    <row r="68" spans="1:14" x14ac:dyDescent="0.25">
      <c r="A68" s="62" t="s">
        <v>508</v>
      </c>
      <c r="B68" s="62" t="s">
        <v>508</v>
      </c>
      <c r="C68" s="61" t="s">
        <v>505</v>
      </c>
      <c r="D68" s="62" t="s">
        <v>508</v>
      </c>
      <c r="E68" s="62" t="s">
        <v>508</v>
      </c>
      <c r="F68" s="64" t="str">
        <f>Originals!B210</f>
        <v>LabVIEW</v>
      </c>
      <c r="G68" s="64" t="str">
        <f>Originals!C210</f>
        <v>18.0.1</v>
      </c>
      <c r="H68" s="64" t="str">
        <f>Originals!D210</f>
        <v>64</v>
      </c>
      <c r="I68" s="64" t="str">
        <f>Originals!E210</f>
        <v>2018 SP1</v>
      </c>
      <c r="J68" s="64" t="str">
        <f>Originals!F210</f>
        <v>Runtime</v>
      </c>
      <c r="K68" s="64" t="str">
        <f>Originals!G210</f>
        <v>NI</v>
      </c>
      <c r="L68" s="64" t="str">
        <f>Originals!H210</f>
        <v>LabVIEW 2018 SP1 18.0.1</v>
      </c>
      <c r="M68" s="64" t="str">
        <f>Originals!I210</f>
        <v>LabVIEW 2019</v>
      </c>
      <c r="N68" s="65" t="s">
        <v>2</v>
      </c>
    </row>
    <row r="69" spans="1:14" x14ac:dyDescent="0.25">
      <c r="A69" s="62" t="s">
        <v>508</v>
      </c>
      <c r="B69" s="62" t="s">
        <v>508</v>
      </c>
      <c r="C69" s="61" t="s">
        <v>505</v>
      </c>
      <c r="D69" s="62" t="s">
        <v>508</v>
      </c>
      <c r="E69" s="62" t="s">
        <v>508</v>
      </c>
      <c r="F69" s="64" t="str">
        <f>Originals!B211</f>
        <v>LabVIEW</v>
      </c>
      <c r="G69" s="64" t="str">
        <f>Originals!C211</f>
        <v>19.0.1</v>
      </c>
      <c r="H69" s="64" t="str">
        <f>Originals!D211</f>
        <v>32</v>
      </c>
      <c r="I69" s="64" t="str">
        <f>Originals!E211</f>
        <v>2019 SP1 f1</v>
      </c>
      <c r="J69" s="64" t="str">
        <f>Originals!F211</f>
        <v>Runtime</v>
      </c>
      <c r="K69" s="64" t="str">
        <f>Originals!G211</f>
        <v>NI</v>
      </c>
      <c r="L69" s="64" t="str">
        <f>Originals!H211</f>
        <v>LabVIEW 2019 SP1 f1 19.0.1</v>
      </c>
      <c r="M69" s="64">
        <f>Originals!I211</f>
        <v>0</v>
      </c>
      <c r="N69" s="65" t="s">
        <v>2</v>
      </c>
    </row>
    <row r="70" spans="1:14" x14ac:dyDescent="0.25">
      <c r="A70" s="62" t="s">
        <v>508</v>
      </c>
      <c r="B70" s="62" t="s">
        <v>508</v>
      </c>
      <c r="C70" s="61" t="s">
        <v>505</v>
      </c>
      <c r="D70" s="62" t="s">
        <v>508</v>
      </c>
      <c r="E70" s="62" t="s">
        <v>508</v>
      </c>
      <c r="F70" s="64" t="str">
        <f>Originals!B212</f>
        <v>LabVIEW</v>
      </c>
      <c r="G70" s="64" t="str">
        <f>Originals!C212</f>
        <v>15</v>
      </c>
      <c r="H70" s="64" t="str">
        <f>Originals!D212</f>
        <v>32</v>
      </c>
      <c r="I70" s="64" t="str">
        <f>Originals!E212</f>
        <v>2015 SP1 f7</v>
      </c>
      <c r="J70" s="64" t="str">
        <f>Originals!F212</f>
        <v>Development</v>
      </c>
      <c r="K70" s="64" t="str">
        <f>Originals!G212</f>
        <v>NI</v>
      </c>
      <c r="L70" s="64" t="str">
        <f>Originals!H212</f>
        <v>LabVIEW 2015 SP1 f7 15</v>
      </c>
      <c r="M70" s="64">
        <f>Originals!I212</f>
        <v>0</v>
      </c>
      <c r="N70" s="65" t="s">
        <v>2</v>
      </c>
    </row>
    <row r="71" spans="1:14" x14ac:dyDescent="0.25">
      <c r="A71" s="62" t="s">
        <v>508</v>
      </c>
      <c r="B71" s="62" t="s">
        <v>508</v>
      </c>
      <c r="C71" s="62" t="s">
        <v>508</v>
      </c>
      <c r="D71" s="61" t="s">
        <v>505</v>
      </c>
      <c r="E71" s="61" t="s">
        <v>505</v>
      </c>
      <c r="F71" s="63" t="str">
        <f>Originals!B373</f>
        <v>LabVIEW</v>
      </c>
      <c r="G71" s="63" t="str">
        <f>Originals!C373</f>
        <v>16.0.0</v>
      </c>
      <c r="H71" s="63" t="str">
        <f>Originals!D373</f>
        <v>32</v>
      </c>
      <c r="I71" s="63" t="str">
        <f>Originals!E373</f>
        <v>2016 f5</v>
      </c>
      <c r="J71" s="63" t="str">
        <f>Originals!F373</f>
        <v>Runtime</v>
      </c>
      <c r="K71" s="63" t="str">
        <f>Originals!G373</f>
        <v>NI</v>
      </c>
      <c r="L71" s="63" t="str">
        <f>Originals!H373</f>
        <v>LabVIEW 2016 f5 16.0.0</v>
      </c>
      <c r="M71" s="63" t="str">
        <f>Originals!I373</f>
        <v>CompactRIO 18.1.0</v>
      </c>
      <c r="N71" s="56" t="s">
        <v>136</v>
      </c>
    </row>
    <row r="72" spans="1:14" hidden="1" x14ac:dyDescent="0.25">
      <c r="A72" s="62" t="s">
        <v>508</v>
      </c>
      <c r="B72" s="62" t="s">
        <v>508</v>
      </c>
      <c r="C72" s="62" t="s">
        <v>508</v>
      </c>
      <c r="D72" s="62" t="s">
        <v>508</v>
      </c>
      <c r="E72" s="61" t="s">
        <v>505</v>
      </c>
      <c r="F72" s="72" t="str">
        <f>Originals!B375</f>
        <v>LabVIEW</v>
      </c>
      <c r="G72" s="72" t="str">
        <f>Originals!C375</f>
        <v>18.0.0</v>
      </c>
      <c r="H72" s="72" t="str">
        <f>Originals!D375</f>
        <v>32</v>
      </c>
      <c r="I72" s="72" t="str">
        <f>Originals!E375</f>
        <v>2018 f2</v>
      </c>
      <c r="J72" s="72" t="str">
        <f>Originals!F375</f>
        <v>Runtime</v>
      </c>
      <c r="K72" s="72" t="str">
        <f>Originals!G375</f>
        <v>NI</v>
      </c>
      <c r="L72" s="72" t="str">
        <f>Originals!H375</f>
        <v>LabVIEW 2018 f2 18.0.0</v>
      </c>
      <c r="M72" s="72">
        <f>Originals!I375</f>
        <v>0</v>
      </c>
      <c r="N72" s="73" t="s">
        <v>465</v>
      </c>
    </row>
    <row r="73" spans="1:14" hidden="1" x14ac:dyDescent="0.25">
      <c r="A73" s="62" t="s">
        <v>508</v>
      </c>
      <c r="B73" s="62" t="s">
        <v>508</v>
      </c>
      <c r="C73" s="62" t="s">
        <v>508</v>
      </c>
      <c r="D73" s="62" t="s">
        <v>508</v>
      </c>
      <c r="E73" s="61" t="s">
        <v>505</v>
      </c>
      <c r="F73" s="72" t="str">
        <f>Originals!B377</f>
        <v>LabVIEW</v>
      </c>
      <c r="G73" s="72" t="str">
        <f>Originals!C377</f>
        <v>15.0.1</v>
      </c>
      <c r="H73" s="72" t="str">
        <f>Originals!D377</f>
        <v>32</v>
      </c>
      <c r="I73" s="72" t="str">
        <f>Originals!E377</f>
        <v>2015 SP1 f10</v>
      </c>
      <c r="J73" s="72" t="str">
        <f>Originals!F377</f>
        <v>Runtime</v>
      </c>
      <c r="K73" s="72" t="str">
        <f>Originals!G377</f>
        <v>NI</v>
      </c>
      <c r="L73" s="72" t="str">
        <f>Originals!H377</f>
        <v>LabVIEW 2015 SP1 f10 15.0.1</v>
      </c>
      <c r="M73" s="72">
        <f>Originals!I377</f>
        <v>0</v>
      </c>
      <c r="N73" s="73" t="s">
        <v>465</v>
      </c>
    </row>
    <row r="74" spans="1:14" x14ac:dyDescent="0.25">
      <c r="A74" s="62" t="s">
        <v>508</v>
      </c>
      <c r="B74" s="62" t="s">
        <v>508</v>
      </c>
      <c r="C74" s="61" t="s">
        <v>505</v>
      </c>
      <c r="D74" s="61" t="s">
        <v>505</v>
      </c>
      <c r="E74" s="62" t="s">
        <v>508</v>
      </c>
      <c r="F74" s="63" t="str">
        <f>Scott!B18</f>
        <v>Digital Filter Design Toolkit</v>
      </c>
      <c r="G74" s="63" t="str">
        <f>Scott!C18</f>
        <v>15.0.0</v>
      </c>
      <c r="H74" s="63">
        <f>Scott!D18</f>
        <v>32</v>
      </c>
      <c r="I74" s="63">
        <f>Scott!E18</f>
        <v>2015</v>
      </c>
      <c r="J74" s="63" t="str">
        <f>Scott!F18</f>
        <v>Development</v>
      </c>
      <c r="K74" s="63" t="str">
        <f>Scott!G18</f>
        <v>NI</v>
      </c>
      <c r="L74" s="63" t="str">
        <f>Scott!H18</f>
        <v>Digital Filter Design Toolkit 15.0.0</v>
      </c>
      <c r="M74" s="63" t="str">
        <f>Scott!I18</f>
        <v>NI Developer Suite 2015 DS2 Install</v>
      </c>
      <c r="N74" s="56" t="s">
        <v>136</v>
      </c>
    </row>
    <row r="75" spans="1:14" x14ac:dyDescent="0.25">
      <c r="A75" s="62" t="s">
        <v>508</v>
      </c>
      <c r="B75" s="62" t="s">
        <v>508</v>
      </c>
      <c r="C75" s="61" t="s">
        <v>505</v>
      </c>
      <c r="D75" s="61" t="s">
        <v>505</v>
      </c>
      <c r="E75" s="62" t="s">
        <v>508</v>
      </c>
      <c r="F75" s="63" t="str">
        <f>Scott!B19</f>
        <v>DMC UX Toolkit</v>
      </c>
      <c r="G75" s="63" t="str">
        <f>Scott!C19</f>
        <v>1.0.0.2</v>
      </c>
      <c r="H75" s="63" t="str">
        <f>Scott!D19</f>
        <v>32</v>
      </c>
      <c r="I75" s="63" t="str">
        <f>Scott!E19</f>
        <v>2015</v>
      </c>
      <c r="J75" s="63">
        <f>Scott!F19</f>
        <v>0</v>
      </c>
      <c r="K75" s="63">
        <f>Scott!G19</f>
        <v>0</v>
      </c>
      <c r="L75" s="63" t="str">
        <f>Scott!H19</f>
        <v>DMC UX Toolkit 1.0.0.2</v>
      </c>
      <c r="M75" s="63" t="str">
        <f>Scott!I19</f>
        <v>VIPM Community</v>
      </c>
      <c r="N75" s="56" t="s">
        <v>136</v>
      </c>
    </row>
    <row r="76" spans="1:14" x14ac:dyDescent="0.25">
      <c r="A76" s="62" t="s">
        <v>508</v>
      </c>
      <c r="B76" s="62" t="s">
        <v>508</v>
      </c>
      <c r="C76" s="61" t="s">
        <v>505</v>
      </c>
      <c r="D76" s="61" t="s">
        <v>505</v>
      </c>
      <c r="E76" s="62" t="s">
        <v>508</v>
      </c>
      <c r="F76" s="63" t="str">
        <f>Scott!B25</f>
        <v>GPower Error &amp; Warning</v>
      </c>
      <c r="G76" s="63" t="str">
        <f>Scott!C25</f>
        <v>2014.0.0.38</v>
      </c>
      <c r="H76" s="63" t="str">
        <f>Scott!D25</f>
        <v>32</v>
      </c>
      <c r="I76" s="63" t="str">
        <f>Scott!E25</f>
        <v>N/A</v>
      </c>
      <c r="J76" s="63" t="str">
        <f>Scott!F25</f>
        <v>Development</v>
      </c>
      <c r="K76" s="63" t="str">
        <f>Scott!G25</f>
        <v>GPower</v>
      </c>
      <c r="L76" s="63" t="str">
        <f>Scott!H25</f>
        <v>GPower Error &amp; Warning 2014.0.0.38</v>
      </c>
      <c r="M76" s="63" t="str">
        <f>Scott!I25</f>
        <v>VIPM Community</v>
      </c>
      <c r="N76" s="56" t="s">
        <v>136</v>
      </c>
    </row>
    <row r="77" spans="1:14" x14ac:dyDescent="0.25">
      <c r="A77" s="62" t="s">
        <v>508</v>
      </c>
      <c r="B77" s="62" t="s">
        <v>508</v>
      </c>
      <c r="C77" s="61" t="s">
        <v>505</v>
      </c>
      <c r="D77" s="61" t="s">
        <v>505</v>
      </c>
      <c r="E77" s="62" t="s">
        <v>508</v>
      </c>
      <c r="F77" s="63" t="str">
        <f>Scott!B26</f>
        <v>GPower Events</v>
      </c>
      <c r="G77" s="63" t="str">
        <f>Scott!C26</f>
        <v>2012.0.0.7</v>
      </c>
      <c r="H77" s="63" t="str">
        <f>Scott!D26</f>
        <v>32</v>
      </c>
      <c r="I77" s="63" t="str">
        <f>Scott!E26</f>
        <v>N/A</v>
      </c>
      <c r="J77" s="63" t="str">
        <f>Scott!F26</f>
        <v>Development</v>
      </c>
      <c r="K77" s="63" t="str">
        <f>Scott!G26</f>
        <v>GPower</v>
      </c>
      <c r="L77" s="63" t="str">
        <f>Scott!H26</f>
        <v>GPower Events 2012.0.0.7</v>
      </c>
      <c r="M77" s="63" t="str">
        <f>Scott!I26</f>
        <v>VIPM Community</v>
      </c>
      <c r="N77" s="56" t="s">
        <v>136</v>
      </c>
    </row>
    <row r="78" spans="1:14" hidden="1" x14ac:dyDescent="0.25">
      <c r="A78" s="62" t="s">
        <v>508</v>
      </c>
      <c r="B78" s="62" t="s">
        <v>508</v>
      </c>
      <c r="C78" s="62" t="s">
        <v>508</v>
      </c>
      <c r="D78" s="61" t="s">
        <v>505</v>
      </c>
      <c r="E78" s="62" t="s">
        <v>508</v>
      </c>
      <c r="F78" s="66" t="str">
        <f>Scott!B28</f>
        <v>GPower Numeric</v>
      </c>
      <c r="G78" s="66" t="str">
        <f>Scott!C28</f>
        <v>2016.2.0.14</v>
      </c>
      <c r="H78" s="66" t="str">
        <f>Scott!D28</f>
        <v>32</v>
      </c>
      <c r="I78" s="66" t="str">
        <f>Scott!E28</f>
        <v>N/A</v>
      </c>
      <c r="J78" s="66" t="str">
        <f>Scott!F28</f>
        <v>Development</v>
      </c>
      <c r="K78" s="66" t="str">
        <f>Scott!G28</f>
        <v>GPower</v>
      </c>
      <c r="L78" s="66" t="str">
        <f>Scott!H28</f>
        <v>GPower Numeric 2016.2.0.14</v>
      </c>
      <c r="M78" s="66" t="str">
        <f>Scott!I28</f>
        <v>VIPM Community</v>
      </c>
      <c r="N78" s="67" t="s">
        <v>96</v>
      </c>
    </row>
    <row r="79" spans="1:14" x14ac:dyDescent="0.25">
      <c r="A79" s="62" t="s">
        <v>508</v>
      </c>
      <c r="B79" s="62" t="s">
        <v>508</v>
      </c>
      <c r="C79" s="61" t="s">
        <v>505</v>
      </c>
      <c r="D79" s="62" t="s">
        <v>508</v>
      </c>
      <c r="E79" s="62" t="s">
        <v>508</v>
      </c>
      <c r="F79" s="64" t="str">
        <f>Originals!B215</f>
        <v>LabVIEW Real-Time</v>
      </c>
      <c r="G79" s="64" t="str">
        <f>Originals!C215</f>
        <v>15.0.1</v>
      </c>
      <c r="H79" s="64" t="str">
        <f>Originals!D215</f>
        <v>32</v>
      </c>
      <c r="I79" s="64" t="str">
        <f>Originals!E215</f>
        <v>2015</v>
      </c>
      <c r="J79" s="64" t="str">
        <f>Originals!F215</f>
        <v>C-RIO</v>
      </c>
      <c r="K79" s="64" t="str">
        <f>Originals!G215</f>
        <v>NI</v>
      </c>
      <c r="L79" s="64" t="str">
        <f>Originals!H215</f>
        <v>LabVIEW Real-Time 15.0.1</v>
      </c>
      <c r="M79" s="64">
        <f>Originals!I215</f>
        <v>0</v>
      </c>
      <c r="N79" s="65" t="s">
        <v>2</v>
      </c>
    </row>
    <row r="80" spans="1:14" hidden="1" x14ac:dyDescent="0.25">
      <c r="A80" s="62" t="s">
        <v>508</v>
      </c>
      <c r="B80" s="62" t="s">
        <v>508</v>
      </c>
      <c r="C80" s="62" t="s">
        <v>508</v>
      </c>
      <c r="D80" s="62" t="s">
        <v>508</v>
      </c>
      <c r="E80" s="61" t="s">
        <v>505</v>
      </c>
      <c r="F80" s="72" t="str">
        <f>Originals!B378</f>
        <v xml:space="preserve">LabWindows/CVI </v>
      </c>
      <c r="G80" s="72">
        <f>Originals!C378</f>
        <v>0</v>
      </c>
      <c r="H80" s="72" t="str">
        <f>Originals!D378</f>
        <v>32</v>
      </c>
      <c r="I80" s="72" t="str">
        <f>Originals!E378</f>
        <v>2013 SP2</v>
      </c>
      <c r="J80" s="72" t="str">
        <f>Originals!F378</f>
        <v>Runtime</v>
      </c>
      <c r="K80" s="72" t="str">
        <f>Originals!G378</f>
        <v>NI</v>
      </c>
      <c r="L80" s="72" t="str">
        <f>Originals!H378</f>
        <v xml:space="preserve">LabWindows/CVI  </v>
      </c>
      <c r="M80" s="72">
        <f>Originals!I378</f>
        <v>0</v>
      </c>
      <c r="N80" s="73" t="s">
        <v>465</v>
      </c>
    </row>
    <row r="81" spans="1:14" x14ac:dyDescent="0.25">
      <c r="A81" s="62" t="s">
        <v>508</v>
      </c>
      <c r="B81" s="62" t="s">
        <v>508</v>
      </c>
      <c r="C81" s="61" t="s">
        <v>505</v>
      </c>
      <c r="D81" s="61" t="s">
        <v>505</v>
      </c>
      <c r="E81" s="62" t="s">
        <v>508</v>
      </c>
      <c r="F81" s="63" t="str">
        <f>Originals!B216</f>
        <v>LAVA Palette</v>
      </c>
      <c r="G81" s="63" t="str">
        <f>Originals!C216</f>
        <v>1.0.0.1</v>
      </c>
      <c r="H81" s="63" t="str">
        <f>Originals!D216</f>
        <v>32</v>
      </c>
      <c r="I81" s="63" t="str">
        <f>Originals!E216</f>
        <v>N/A</v>
      </c>
      <c r="J81" s="63" t="str">
        <f>Originals!F216</f>
        <v>Development</v>
      </c>
      <c r="K81" s="63" t="str">
        <f>Originals!G216</f>
        <v>LAVA</v>
      </c>
      <c r="L81" s="63" t="str">
        <f>Originals!H216</f>
        <v>LAVA Palette 1.0.0.1</v>
      </c>
      <c r="M81" s="63" t="str">
        <f>Originals!I216</f>
        <v>VIPM Community</v>
      </c>
      <c r="N81" s="56" t="s">
        <v>136</v>
      </c>
    </row>
    <row r="82" spans="1:14" x14ac:dyDescent="0.25">
      <c r="A82" s="61" t="s">
        <v>505</v>
      </c>
      <c r="B82" s="62" t="s">
        <v>508</v>
      </c>
      <c r="C82" s="62" t="s">
        <v>508</v>
      </c>
      <c r="D82" s="61" t="s">
        <v>505</v>
      </c>
      <c r="E82" s="62" t="s">
        <v>508</v>
      </c>
      <c r="F82" s="63" t="str">
        <f>Originals!B21</f>
        <v>MathScript RT Module</v>
      </c>
      <c r="G82" s="63" t="str">
        <f>Originals!C21</f>
        <v>15.0.0</v>
      </c>
      <c r="H82" s="63" t="str">
        <f>Originals!D21</f>
        <v>32</v>
      </c>
      <c r="I82" s="63" t="str">
        <f>Originals!E21</f>
        <v>2015</v>
      </c>
      <c r="J82" s="63" t="str">
        <f>Originals!F21</f>
        <v>Development</v>
      </c>
      <c r="K82" s="63" t="str">
        <f>Originals!G21</f>
        <v>NI</v>
      </c>
      <c r="L82" s="63" t="str">
        <f>Originals!H21</f>
        <v>MathScript RT Module 15.0.0</v>
      </c>
      <c r="M82" s="63" t="str">
        <f>Originals!I21</f>
        <v>NI Developer Suite 2015 DS2 Install</v>
      </c>
      <c r="N82" s="56" t="s">
        <v>136</v>
      </c>
    </row>
    <row r="83" spans="1:14" x14ac:dyDescent="0.25">
      <c r="A83" s="61" t="s">
        <v>505</v>
      </c>
      <c r="B83" s="61" t="s">
        <v>505</v>
      </c>
      <c r="C83" s="62" t="s">
        <v>508</v>
      </c>
      <c r="D83" s="62" t="s">
        <v>508</v>
      </c>
      <c r="E83" s="62" t="s">
        <v>508</v>
      </c>
      <c r="F83" s="63" t="str">
        <f>Originals!B22</f>
        <v>Measurement &amp; Automation Explorer</v>
      </c>
      <c r="G83" s="63" t="str">
        <f>Originals!C22</f>
        <v>15.3.0f0</v>
      </c>
      <c r="H83" s="63" t="str">
        <f>Originals!D22</f>
        <v>32</v>
      </c>
      <c r="I83" s="63" t="str">
        <f>Originals!E22</f>
        <v>2015</v>
      </c>
      <c r="J83" s="63" t="str">
        <f>Originals!F22</f>
        <v>Development</v>
      </c>
      <c r="K83" s="63" t="str">
        <f>Originals!G22</f>
        <v>NI</v>
      </c>
      <c r="L83" s="63" t="str">
        <f>Originals!H22</f>
        <v>Measurement &amp; Automation Explorer 15.3.0f0</v>
      </c>
      <c r="M83" s="63" t="str">
        <f>Originals!I22</f>
        <v>LabVIEW 2015 SP1</v>
      </c>
      <c r="N83" s="56" t="s">
        <v>136</v>
      </c>
    </row>
    <row r="84" spans="1:14" x14ac:dyDescent="0.25">
      <c r="A84" s="62" t="s">
        <v>508</v>
      </c>
      <c r="B84" s="62" t="s">
        <v>508</v>
      </c>
      <c r="C84" s="61" t="s">
        <v>505</v>
      </c>
      <c r="D84" s="62" t="s">
        <v>508</v>
      </c>
      <c r="E84" s="62" t="s">
        <v>508</v>
      </c>
      <c r="F84" s="64" t="str">
        <f>Originals!B217</f>
        <v>Measurement &amp; Automation Explorer</v>
      </c>
      <c r="G84" s="64" t="str">
        <f>Originals!C217</f>
        <v>19.5.0f0</v>
      </c>
      <c r="H84" s="64" t="str">
        <f>Originals!D217</f>
        <v>32</v>
      </c>
      <c r="I84" s="64" t="str">
        <f>Originals!E217</f>
        <v>2019</v>
      </c>
      <c r="J84" s="64" t="str">
        <f>Originals!F217</f>
        <v>Development</v>
      </c>
      <c r="K84" s="64" t="str">
        <f>Originals!G217</f>
        <v>NI</v>
      </c>
      <c r="L84" s="64" t="str">
        <f>Originals!H217</f>
        <v>Measurement &amp; Automation Explorer 19.5.0f0</v>
      </c>
      <c r="M84" s="64">
        <f>Originals!I217</f>
        <v>0</v>
      </c>
      <c r="N84" s="65" t="s">
        <v>2</v>
      </c>
    </row>
    <row r="85" spans="1:14" x14ac:dyDescent="0.25">
      <c r="A85" s="62" t="s">
        <v>508</v>
      </c>
      <c r="B85" s="62" t="s">
        <v>508</v>
      </c>
      <c r="C85" s="62" t="s">
        <v>508</v>
      </c>
      <c r="D85" s="61" t="s">
        <v>505</v>
      </c>
      <c r="E85" s="61" t="s">
        <v>505</v>
      </c>
      <c r="F85" s="63" t="str">
        <f>Scott!B32</f>
        <v>GPower VI Launcher</v>
      </c>
      <c r="G85" s="63" t="str">
        <f>Scott!C32</f>
        <v>2012.2.0.26</v>
      </c>
      <c r="H85" s="63" t="str">
        <f>Scott!D32</f>
        <v>32</v>
      </c>
      <c r="I85" s="63" t="str">
        <f>Scott!E32</f>
        <v>N/A</v>
      </c>
      <c r="J85" s="63" t="str">
        <f>Scott!F32</f>
        <v>Development</v>
      </c>
      <c r="K85" s="63" t="str">
        <f>Scott!G32</f>
        <v>GPower</v>
      </c>
      <c r="L85" s="63" t="str">
        <f>Scott!H32</f>
        <v>GPower VI Launcher 2012.2.0.26</v>
      </c>
      <c r="M85" s="63" t="str">
        <f>Scott!I32</f>
        <v>VIPM Community</v>
      </c>
      <c r="N85" s="56" t="s">
        <v>136</v>
      </c>
    </row>
    <row r="86" spans="1:14" x14ac:dyDescent="0.25">
      <c r="A86" s="61" t="s">
        <v>505</v>
      </c>
      <c r="B86" s="61" t="s">
        <v>505</v>
      </c>
      <c r="C86" s="61" t="s">
        <v>505</v>
      </c>
      <c r="D86" s="61" t="s">
        <v>505</v>
      </c>
      <c r="E86" s="62" t="s">
        <v>508</v>
      </c>
      <c r="F86" s="63" t="str">
        <f>Originals!B23</f>
        <v>Measurement Studio</v>
      </c>
      <c r="G86" s="63">
        <f>Originals!C23</f>
        <v>0</v>
      </c>
      <c r="H86" s="63" t="str">
        <f>Originals!D23</f>
        <v>32</v>
      </c>
      <c r="I86" s="63" t="str">
        <f>Originals!E23</f>
        <v>2010</v>
      </c>
      <c r="J86" s="63" t="str">
        <f>Originals!F23</f>
        <v>Development</v>
      </c>
      <c r="K86" s="63" t="str">
        <f>Originals!G23</f>
        <v>NI</v>
      </c>
      <c r="L86" s="63" t="str">
        <f>Originals!H23</f>
        <v xml:space="preserve">Measurement Studio </v>
      </c>
      <c r="M86" s="63" t="str">
        <f>Originals!I23</f>
        <v>NI Developer Suite 2015 DS2 Install</v>
      </c>
      <c r="N86" s="56" t="s">
        <v>136</v>
      </c>
    </row>
    <row r="87" spans="1:14" x14ac:dyDescent="0.25">
      <c r="A87" s="62" t="s">
        <v>508</v>
      </c>
      <c r="B87" s="62" t="s">
        <v>508</v>
      </c>
      <c r="C87" s="61" t="s">
        <v>505</v>
      </c>
      <c r="D87" s="62" t="s">
        <v>508</v>
      </c>
      <c r="E87" s="62" t="s">
        <v>508</v>
      </c>
      <c r="F87" s="64" t="str">
        <f>Originals!B218</f>
        <v>Measurement Studio</v>
      </c>
      <c r="G87" s="64">
        <f>Originals!C218</f>
        <v>0</v>
      </c>
      <c r="H87" s="64" t="str">
        <f>Originals!D218</f>
        <v>32</v>
      </c>
      <c r="I87" s="64" t="str">
        <f>Originals!E218</f>
        <v>2005</v>
      </c>
      <c r="J87" s="64" t="str">
        <f>Originals!F218</f>
        <v>Development</v>
      </c>
      <c r="K87" s="64" t="str">
        <f>Originals!G218</f>
        <v>NI</v>
      </c>
      <c r="L87" s="64" t="str">
        <f>Originals!H218</f>
        <v xml:space="preserve">Measurement Studio </v>
      </c>
      <c r="M87" s="64">
        <f>Originals!I218</f>
        <v>0</v>
      </c>
      <c r="N87" s="65" t="s">
        <v>2</v>
      </c>
    </row>
    <row r="88" spans="1:14" x14ac:dyDescent="0.25">
      <c r="A88" s="62" t="s">
        <v>508</v>
      </c>
      <c r="B88" s="62" t="s">
        <v>508</v>
      </c>
      <c r="C88" s="61" t="s">
        <v>505</v>
      </c>
      <c r="D88" s="62" t="s">
        <v>508</v>
      </c>
      <c r="E88" s="62" t="s">
        <v>508</v>
      </c>
      <c r="F88" s="64" t="str">
        <f>Originals!B219</f>
        <v>Measurement Studio</v>
      </c>
      <c r="G88" s="64">
        <f>Originals!C219</f>
        <v>0</v>
      </c>
      <c r="H88" s="64" t="str">
        <f>Originals!D219</f>
        <v>32</v>
      </c>
      <c r="I88" s="64" t="str">
        <f>Originals!E219</f>
        <v>2018</v>
      </c>
      <c r="J88" s="64" t="str">
        <f>Originals!F219</f>
        <v>Development</v>
      </c>
      <c r="K88" s="64" t="str">
        <f>Originals!G219</f>
        <v>NI</v>
      </c>
      <c r="L88" s="64" t="str">
        <f>Originals!H219</f>
        <v xml:space="preserve">Measurement Studio </v>
      </c>
      <c r="M88" s="64">
        <f>Originals!I219</f>
        <v>0</v>
      </c>
      <c r="N88" s="65" t="s">
        <v>2</v>
      </c>
    </row>
    <row r="89" spans="1:14" x14ac:dyDescent="0.25">
      <c r="A89" s="61" t="s">
        <v>505</v>
      </c>
      <c r="B89" s="62" t="s">
        <v>508</v>
      </c>
      <c r="C89" s="61" t="s">
        <v>505</v>
      </c>
      <c r="D89" s="61" t="s">
        <v>505</v>
      </c>
      <c r="E89" s="62" t="s">
        <v>508</v>
      </c>
      <c r="F89" s="63" t="str">
        <f>Originals!B24</f>
        <v>Measurement Studio Common</v>
      </c>
      <c r="G89" s="63" t="str">
        <f>Originals!C24</f>
        <v>15.0.40.49154</v>
      </c>
      <c r="H89" s="63" t="str">
        <f>Originals!D24</f>
        <v>32</v>
      </c>
      <c r="I89" s="63" t="str">
        <f>Originals!E24</f>
        <v>2015</v>
      </c>
      <c r="J89" s="63" t="str">
        <f>Originals!F24</f>
        <v>Development</v>
      </c>
      <c r="K89" s="63" t="str">
        <f>Originals!G24</f>
        <v>NI</v>
      </c>
      <c r="L89" s="63" t="str">
        <f>Originals!H24</f>
        <v>Measurement Studio Common 15.0.40.49154</v>
      </c>
      <c r="M89" s="63" t="str">
        <f>Originals!I24</f>
        <v>NI Developer Suite 2015 DS2 Install</v>
      </c>
      <c r="N89" s="56" t="s">
        <v>136</v>
      </c>
    </row>
    <row r="90" spans="1:14" x14ac:dyDescent="0.25">
      <c r="A90" s="61" t="s">
        <v>505</v>
      </c>
      <c r="B90" s="62" t="s">
        <v>508</v>
      </c>
      <c r="C90" s="61" t="s">
        <v>505</v>
      </c>
      <c r="D90" s="61" t="s">
        <v>505</v>
      </c>
      <c r="E90" s="62" t="s">
        <v>508</v>
      </c>
      <c r="F90" s="63" t="str">
        <f>Originals!B25</f>
        <v>Measurement Studio Common</v>
      </c>
      <c r="G90" s="63" t="str">
        <f>Originals!C25</f>
        <v>15.0.40.49154</v>
      </c>
      <c r="H90" s="63" t="str">
        <f>Originals!D25</f>
        <v>64</v>
      </c>
      <c r="I90" s="63" t="str">
        <f>Originals!E25</f>
        <v>2015</v>
      </c>
      <c r="J90" s="63" t="str">
        <f>Originals!F25</f>
        <v>Development</v>
      </c>
      <c r="K90" s="63" t="str">
        <f>Originals!G25</f>
        <v>NI</v>
      </c>
      <c r="L90" s="63" t="str">
        <f>Originals!H25</f>
        <v>Measurement Studio Common 15.0.40.49154</v>
      </c>
      <c r="M90" s="63" t="str">
        <f>Originals!I25</f>
        <v>NI Developer Suite 2015 DS2 Install</v>
      </c>
      <c r="N90" s="56" t="s">
        <v>136</v>
      </c>
    </row>
    <row r="91" spans="1:14" hidden="1" x14ac:dyDescent="0.25">
      <c r="A91" s="62" t="s">
        <v>508</v>
      </c>
      <c r="B91" s="61" t="s">
        <v>505</v>
      </c>
      <c r="C91" s="62" t="s">
        <v>508</v>
      </c>
      <c r="D91" s="62" t="s">
        <v>508</v>
      </c>
      <c r="E91" s="62" t="s">
        <v>508</v>
      </c>
      <c r="F91" s="70" t="str">
        <f>Originals!B102</f>
        <v>Measurement Studio Common</v>
      </c>
      <c r="G91" s="70" t="str">
        <f>Originals!C102</f>
        <v>15.1.40.49152</v>
      </c>
      <c r="H91" s="70" t="str">
        <f>Originals!D102</f>
        <v>32</v>
      </c>
      <c r="I91" s="70" t="str">
        <f>Originals!E102</f>
        <v>2015</v>
      </c>
      <c r="J91" s="70" t="str">
        <f>Originals!F102</f>
        <v>Development</v>
      </c>
      <c r="K91" s="70" t="str">
        <f>Originals!G102</f>
        <v>NI</v>
      </c>
      <c r="L91" s="70" t="str">
        <f>Originals!H102</f>
        <v>Measurement Studio Common 15.1.40.49152</v>
      </c>
      <c r="M91" s="70">
        <f>Originals!I102</f>
        <v>0</v>
      </c>
      <c r="N91" s="71" t="s">
        <v>1</v>
      </c>
    </row>
    <row r="92" spans="1:14" hidden="1" x14ac:dyDescent="0.25">
      <c r="A92" s="62" t="s">
        <v>508</v>
      </c>
      <c r="B92" s="61" t="s">
        <v>505</v>
      </c>
      <c r="C92" s="62" t="s">
        <v>508</v>
      </c>
      <c r="D92" s="62" t="s">
        <v>508</v>
      </c>
      <c r="E92" s="62" t="s">
        <v>508</v>
      </c>
      <c r="F92" s="70" t="str">
        <f>Originals!B103</f>
        <v>Measurement Studio Common</v>
      </c>
      <c r="G92" s="70" t="str">
        <f>Originals!C103</f>
        <v>15.1.40.49152</v>
      </c>
      <c r="H92" s="70" t="str">
        <f>Originals!D103</f>
        <v>64</v>
      </c>
      <c r="I92" s="70" t="str">
        <f>Originals!E103</f>
        <v>2015</v>
      </c>
      <c r="J92" s="70" t="str">
        <f>Originals!F103</f>
        <v>Development</v>
      </c>
      <c r="K92" s="70" t="str">
        <f>Originals!G103</f>
        <v>NI</v>
      </c>
      <c r="L92" s="70" t="str">
        <f>Originals!H103</f>
        <v>Measurement Studio Common 15.1.40.49152</v>
      </c>
      <c r="M92" s="70">
        <f>Originals!I103</f>
        <v>0</v>
      </c>
      <c r="N92" s="71" t="s">
        <v>1</v>
      </c>
    </row>
    <row r="93" spans="1:14" x14ac:dyDescent="0.25">
      <c r="A93" s="62" t="s">
        <v>508</v>
      </c>
      <c r="B93" s="62" t="s">
        <v>508</v>
      </c>
      <c r="C93" s="61" t="s">
        <v>505</v>
      </c>
      <c r="D93" s="62" t="s">
        <v>508</v>
      </c>
      <c r="E93" s="62" t="s">
        <v>508</v>
      </c>
      <c r="F93" s="64" t="str">
        <f>Originals!B221</f>
        <v>Measurement Studio Common</v>
      </c>
      <c r="G93" s="64" t="str">
        <f>Originals!C221</f>
        <v>12.0.20.258</v>
      </c>
      <c r="H93" s="64" t="str">
        <f>Originals!D221</f>
        <v>32</v>
      </c>
      <c r="I93" s="64" t="str">
        <f>Originals!E221</f>
        <v>2005</v>
      </c>
      <c r="J93" s="64" t="str">
        <f>Originals!F221</f>
        <v>Development</v>
      </c>
      <c r="K93" s="64" t="str">
        <f>Originals!G221</f>
        <v>NI</v>
      </c>
      <c r="L93" s="64" t="str">
        <f>Originals!H221</f>
        <v>Measurement Studio Common 12.0.20.258</v>
      </c>
      <c r="M93" s="64">
        <f>Originals!I221</f>
        <v>0</v>
      </c>
      <c r="N93" s="65" t="s">
        <v>2</v>
      </c>
    </row>
    <row r="94" spans="1:14" x14ac:dyDescent="0.25">
      <c r="A94" s="62" t="s">
        <v>508</v>
      </c>
      <c r="B94" s="62" t="s">
        <v>508</v>
      </c>
      <c r="C94" s="61" t="s">
        <v>505</v>
      </c>
      <c r="D94" s="62" t="s">
        <v>508</v>
      </c>
      <c r="E94" s="62" t="s">
        <v>508</v>
      </c>
      <c r="F94" s="64" t="str">
        <f>Originals!B222</f>
        <v>Measurement Studio Common</v>
      </c>
      <c r="G94" s="64" t="str">
        <f>Originals!C222</f>
        <v>13.5.35.173</v>
      </c>
      <c r="H94" s="64" t="str">
        <f>Originals!D222</f>
        <v>32</v>
      </c>
      <c r="I94" s="64" t="str">
        <f>Originals!E222</f>
        <v>2018</v>
      </c>
      <c r="J94" s="64" t="str">
        <f>Originals!F222</f>
        <v>Development</v>
      </c>
      <c r="K94" s="64" t="str">
        <f>Originals!G222</f>
        <v>NI</v>
      </c>
      <c r="L94" s="64" t="str">
        <f>Originals!H222</f>
        <v>Measurement Studio Common 13.5.35.173</v>
      </c>
      <c r="M94" s="64">
        <f>Originals!I222</f>
        <v>0</v>
      </c>
      <c r="N94" s="65" t="s">
        <v>2</v>
      </c>
    </row>
    <row r="95" spans="1:14" x14ac:dyDescent="0.25">
      <c r="A95" s="62" t="s">
        <v>508</v>
      </c>
      <c r="B95" s="62" t="s">
        <v>508</v>
      </c>
      <c r="C95" s="61" t="s">
        <v>505</v>
      </c>
      <c r="D95" s="62" t="s">
        <v>508</v>
      </c>
      <c r="E95" s="62" t="s">
        <v>508</v>
      </c>
      <c r="F95" s="64" t="str">
        <f>Originals!B223</f>
        <v>Measurement Studio Common</v>
      </c>
      <c r="G95" s="64" t="str">
        <f>Originals!C223</f>
        <v>13.5.35.173</v>
      </c>
      <c r="H95" s="64" t="str">
        <f>Originals!D223</f>
        <v>64</v>
      </c>
      <c r="I95" s="64" t="str">
        <f>Originals!E223</f>
        <v>2018</v>
      </c>
      <c r="J95" s="64" t="str">
        <f>Originals!F223</f>
        <v>Development</v>
      </c>
      <c r="K95" s="64" t="str">
        <f>Originals!G223</f>
        <v>NI</v>
      </c>
      <c r="L95" s="64" t="str">
        <f>Originals!H223</f>
        <v>Measurement Studio Common 13.5.35.173</v>
      </c>
      <c r="M95" s="64">
        <f>Originals!I223</f>
        <v>0</v>
      </c>
      <c r="N95" s="65" t="s">
        <v>2</v>
      </c>
    </row>
    <row r="96" spans="1:14" x14ac:dyDescent="0.25">
      <c r="A96" s="61" t="s">
        <v>505</v>
      </c>
      <c r="B96" s="61" t="s">
        <v>505</v>
      </c>
      <c r="C96" s="61" t="s">
        <v>505</v>
      </c>
      <c r="D96" s="61" t="s">
        <v>505</v>
      </c>
      <c r="E96" s="62" t="s">
        <v>508</v>
      </c>
      <c r="F96" s="63" t="str">
        <f>Originals!B26</f>
        <v>Measurement Studio DotNET</v>
      </c>
      <c r="G96" s="63">
        <f>Originals!C26</f>
        <v>0</v>
      </c>
      <c r="H96" s="63" t="str">
        <f>Originals!D26</f>
        <v>32</v>
      </c>
      <c r="I96" s="63" t="str">
        <f>Originals!E26</f>
        <v>2010</v>
      </c>
      <c r="J96" s="63" t="str">
        <f>Originals!F26</f>
        <v>Development</v>
      </c>
      <c r="K96" s="63" t="str">
        <f>Originals!G26</f>
        <v>NI</v>
      </c>
      <c r="L96" s="63" t="str">
        <f>Originals!H26</f>
        <v xml:space="preserve">Measurement Studio DotNET </v>
      </c>
      <c r="M96" s="63" t="str">
        <f>Originals!I26</f>
        <v>NI Developer Suite 2015 DS2 Install</v>
      </c>
      <c r="N96" s="56" t="s">
        <v>136</v>
      </c>
    </row>
    <row r="97" spans="1:14" x14ac:dyDescent="0.25">
      <c r="A97" s="62" t="s">
        <v>508</v>
      </c>
      <c r="B97" s="62" t="s">
        <v>508</v>
      </c>
      <c r="C97" s="61" t="s">
        <v>505</v>
      </c>
      <c r="D97" s="62" t="s">
        <v>508</v>
      </c>
      <c r="E97" s="62" t="s">
        <v>508</v>
      </c>
      <c r="F97" s="64" t="str">
        <f>Originals!B226</f>
        <v>Measurement Studio DotNET</v>
      </c>
      <c r="G97" s="64">
        <f>Originals!C226</f>
        <v>0</v>
      </c>
      <c r="H97" s="64" t="str">
        <f>Originals!D226</f>
        <v>32</v>
      </c>
      <c r="I97" s="64" t="str">
        <f>Originals!E226</f>
        <v>2005</v>
      </c>
      <c r="J97" s="64" t="str">
        <f>Originals!F226</f>
        <v>Development</v>
      </c>
      <c r="K97" s="64" t="str">
        <f>Originals!G226</f>
        <v>NI</v>
      </c>
      <c r="L97" s="64" t="str">
        <f>Originals!H226</f>
        <v xml:space="preserve">Measurement Studio DotNET </v>
      </c>
      <c r="M97" s="64">
        <f>Originals!I226</f>
        <v>0</v>
      </c>
      <c r="N97" s="65" t="s">
        <v>2</v>
      </c>
    </row>
    <row r="98" spans="1:14" x14ac:dyDescent="0.25">
      <c r="A98" s="62" t="s">
        <v>508</v>
      </c>
      <c r="B98" s="62" t="s">
        <v>508</v>
      </c>
      <c r="C98" s="61" t="s">
        <v>505</v>
      </c>
      <c r="D98" s="62" t="s">
        <v>508</v>
      </c>
      <c r="E98" s="62" t="s">
        <v>508</v>
      </c>
      <c r="F98" s="64" t="str">
        <f>Originals!B227</f>
        <v>Measurement Studio DotNET</v>
      </c>
      <c r="G98" s="64">
        <f>Originals!C227</f>
        <v>0</v>
      </c>
      <c r="H98" s="64" t="str">
        <f>Originals!D227</f>
        <v>32</v>
      </c>
      <c r="I98" s="64" t="str">
        <f>Originals!E227</f>
        <v>2018</v>
      </c>
      <c r="J98" s="64" t="str">
        <f>Originals!F227</f>
        <v>Development</v>
      </c>
      <c r="K98" s="64" t="str">
        <f>Originals!G227</f>
        <v>NI</v>
      </c>
      <c r="L98" s="64" t="str">
        <f>Originals!H227</f>
        <v xml:space="preserve">Measurement Studio DotNET </v>
      </c>
      <c r="M98" s="64">
        <f>Originals!I227</f>
        <v>0</v>
      </c>
      <c r="N98" s="65" t="s">
        <v>2</v>
      </c>
    </row>
    <row r="99" spans="1:14" x14ac:dyDescent="0.25">
      <c r="A99" s="62" t="s">
        <v>508</v>
      </c>
      <c r="B99" s="62" t="s">
        <v>508</v>
      </c>
      <c r="C99" s="61" t="s">
        <v>505</v>
      </c>
      <c r="D99" s="62" t="s">
        <v>508</v>
      </c>
      <c r="E99" s="62" t="s">
        <v>508</v>
      </c>
      <c r="F99" s="64" t="str">
        <f>Originals!B229</f>
        <v>Measurement Studio Vision</v>
      </c>
      <c r="G99" s="64">
        <f>Originals!C229</f>
        <v>0</v>
      </c>
      <c r="H99" s="64" t="str">
        <f>Originals!D229</f>
        <v>32</v>
      </c>
      <c r="I99" s="64" t="str">
        <f>Originals!E229</f>
        <v>2005</v>
      </c>
      <c r="J99" s="64" t="str">
        <f>Originals!F229</f>
        <v>Development</v>
      </c>
      <c r="K99" s="64" t="str">
        <f>Originals!G229</f>
        <v>NI</v>
      </c>
      <c r="L99" s="64" t="str">
        <f>Originals!H229</f>
        <v xml:space="preserve">Measurement Studio Vision </v>
      </c>
      <c r="M99" s="64">
        <f>Originals!I229</f>
        <v>0</v>
      </c>
      <c r="N99" s="65" t="s">
        <v>2</v>
      </c>
    </row>
    <row r="100" spans="1:14" x14ac:dyDescent="0.25">
      <c r="A100" s="62" t="s">
        <v>508</v>
      </c>
      <c r="B100" s="62" t="s">
        <v>508</v>
      </c>
      <c r="C100" s="61" t="s">
        <v>505</v>
      </c>
      <c r="D100" s="62" t="s">
        <v>508</v>
      </c>
      <c r="E100" s="62" t="s">
        <v>508</v>
      </c>
      <c r="F100" s="64" t="str">
        <f>Originals!B230</f>
        <v>Measurement Studio Vision</v>
      </c>
      <c r="G100" s="64">
        <f>Originals!C230</f>
        <v>0</v>
      </c>
      <c r="H100" s="64" t="str">
        <f>Originals!D230</f>
        <v>32</v>
      </c>
      <c r="I100" s="64" t="str">
        <f>Originals!E230</f>
        <v>2018</v>
      </c>
      <c r="J100" s="64" t="str">
        <f>Originals!F230</f>
        <v>Development</v>
      </c>
      <c r="K100" s="64" t="str">
        <f>Originals!G230</f>
        <v>NI</v>
      </c>
      <c r="L100" s="64" t="str">
        <f>Originals!H230</f>
        <v xml:space="preserve">Measurement Studio Vision </v>
      </c>
      <c r="M100" s="64">
        <f>Originals!I230</f>
        <v>0</v>
      </c>
      <c r="N100" s="65" t="s">
        <v>2</v>
      </c>
    </row>
    <row r="101" spans="1:14" x14ac:dyDescent="0.25">
      <c r="A101" s="62" t="s">
        <v>508</v>
      </c>
      <c r="B101" s="62" t="s">
        <v>508</v>
      </c>
      <c r="C101" s="61" t="s">
        <v>505</v>
      </c>
      <c r="D101" s="61" t="s">
        <v>505</v>
      </c>
      <c r="E101" s="62" t="s">
        <v>508</v>
      </c>
      <c r="F101" s="63" t="str">
        <f>Originals!B231</f>
        <v>MGI 1D Array</v>
      </c>
      <c r="G101" s="63" t="str">
        <f>Originals!C231</f>
        <v>1.0.2.3</v>
      </c>
      <c r="H101" s="63" t="str">
        <f>Originals!D231</f>
        <v>32</v>
      </c>
      <c r="I101" s="63" t="str">
        <f>Originals!E231</f>
        <v>N/A</v>
      </c>
      <c r="J101" s="63" t="str">
        <f>Originals!F231</f>
        <v>Development</v>
      </c>
      <c r="K101" s="63" t="str">
        <f>Originals!G231</f>
        <v>MGI</v>
      </c>
      <c r="L101" s="63" t="str">
        <f>Originals!H231</f>
        <v>MGI 1D Array 1.0.2.3</v>
      </c>
      <c r="M101" s="63" t="str">
        <f>Originals!I231</f>
        <v>VIPM Community</v>
      </c>
      <c r="N101" s="56" t="s">
        <v>136</v>
      </c>
    </row>
    <row r="102" spans="1:14" x14ac:dyDescent="0.25">
      <c r="A102" s="62" t="s">
        <v>508</v>
      </c>
      <c r="B102" s="62" t="s">
        <v>508</v>
      </c>
      <c r="C102" s="61" t="s">
        <v>505</v>
      </c>
      <c r="D102" s="61" t="s">
        <v>505</v>
      </c>
      <c r="E102" s="62" t="s">
        <v>508</v>
      </c>
      <c r="F102" s="63" t="str">
        <f>Originals!B232</f>
        <v>MGI 2D Array</v>
      </c>
      <c r="G102" s="63" t="str">
        <f>Originals!C232</f>
        <v>1.1.1.5</v>
      </c>
      <c r="H102" s="63" t="str">
        <f>Originals!D232</f>
        <v>32</v>
      </c>
      <c r="I102" s="63" t="str">
        <f>Originals!E232</f>
        <v>N/A</v>
      </c>
      <c r="J102" s="63" t="str">
        <f>Originals!F232</f>
        <v>Development</v>
      </c>
      <c r="K102" s="63" t="str">
        <f>Originals!G232</f>
        <v>MGI</v>
      </c>
      <c r="L102" s="63" t="str">
        <f>Originals!H232</f>
        <v>MGI 2D Array 1.1.1.5</v>
      </c>
      <c r="M102" s="63" t="str">
        <f>Originals!I232</f>
        <v>VIPM Community</v>
      </c>
      <c r="N102" s="56" t="s">
        <v>136</v>
      </c>
    </row>
    <row r="103" spans="1:14" x14ac:dyDescent="0.25">
      <c r="A103" s="62" t="s">
        <v>508</v>
      </c>
      <c r="B103" s="62" t="s">
        <v>508</v>
      </c>
      <c r="C103" s="61" t="s">
        <v>505</v>
      </c>
      <c r="D103" s="61" t="s">
        <v>505</v>
      </c>
      <c r="E103" s="62" t="s">
        <v>508</v>
      </c>
      <c r="F103" s="63" t="str">
        <f>Originals!B233</f>
        <v>MGI Actor Framework Message Maker</v>
      </c>
      <c r="G103" s="63" t="str">
        <f>Originals!C233</f>
        <v>1.0.1.6</v>
      </c>
      <c r="H103" s="63" t="str">
        <f>Originals!D233</f>
        <v>32</v>
      </c>
      <c r="I103" s="63" t="str">
        <f>Originals!E233</f>
        <v>N/A</v>
      </c>
      <c r="J103" s="63" t="str">
        <f>Originals!F233</f>
        <v>Development</v>
      </c>
      <c r="K103" s="63" t="str">
        <f>Originals!G233</f>
        <v>MGI</v>
      </c>
      <c r="L103" s="63" t="str">
        <f>Originals!H233</f>
        <v>MGI Actor Framework Message Maker 1.0.1.6</v>
      </c>
      <c r="M103" s="63" t="str">
        <f>Originals!I233</f>
        <v>VIPM Community</v>
      </c>
      <c r="N103" s="56" t="s">
        <v>136</v>
      </c>
    </row>
    <row r="104" spans="1:14" x14ac:dyDescent="0.25">
      <c r="A104" s="62" t="s">
        <v>508</v>
      </c>
      <c r="B104" s="62" t="s">
        <v>508</v>
      </c>
      <c r="C104" s="61" t="s">
        <v>505</v>
      </c>
      <c r="D104" s="61" t="s">
        <v>505</v>
      </c>
      <c r="E104" s="62" t="s">
        <v>508</v>
      </c>
      <c r="F104" s="63" t="str">
        <f>Originals!B234</f>
        <v>MGI Application Control</v>
      </c>
      <c r="G104" s="63" t="str">
        <f>Originals!C234</f>
        <v>1.1.1.10</v>
      </c>
      <c r="H104" s="63" t="str">
        <f>Originals!D234</f>
        <v>32</v>
      </c>
      <c r="I104" s="63" t="str">
        <f>Originals!E234</f>
        <v>N/A</v>
      </c>
      <c r="J104" s="63" t="str">
        <f>Originals!F234</f>
        <v>Development</v>
      </c>
      <c r="K104" s="63" t="str">
        <f>Originals!G234</f>
        <v>MGI</v>
      </c>
      <c r="L104" s="63" t="str">
        <f>Originals!H234</f>
        <v>MGI Application Control 1.1.1.10</v>
      </c>
      <c r="M104" s="63" t="str">
        <f>Originals!I234</f>
        <v>VIPM Community</v>
      </c>
      <c r="N104" s="56" t="s">
        <v>136</v>
      </c>
    </row>
    <row r="105" spans="1:14" x14ac:dyDescent="0.25">
      <c r="A105" s="62" t="s">
        <v>508</v>
      </c>
      <c r="B105" s="62" t="s">
        <v>508</v>
      </c>
      <c r="C105" s="61" t="s">
        <v>505</v>
      </c>
      <c r="D105" s="61" t="s">
        <v>505</v>
      </c>
      <c r="E105" s="62" t="s">
        <v>508</v>
      </c>
      <c r="F105" s="63" t="str">
        <f>Originals!B235</f>
        <v>MGI Bezier</v>
      </c>
      <c r="G105" s="63" t="str">
        <f>Originals!C235</f>
        <v>1.1.1.2</v>
      </c>
      <c r="H105" s="63" t="str">
        <f>Originals!D235</f>
        <v>32</v>
      </c>
      <c r="I105" s="63" t="str">
        <f>Originals!E235</f>
        <v>N/A</v>
      </c>
      <c r="J105" s="63" t="str">
        <f>Originals!F235</f>
        <v>Development</v>
      </c>
      <c r="K105" s="63" t="str">
        <f>Originals!G235</f>
        <v>MGI</v>
      </c>
      <c r="L105" s="63" t="str">
        <f>Originals!H235</f>
        <v>MGI Bezier 1.1.1.2</v>
      </c>
      <c r="M105" s="63" t="str">
        <f>Originals!I235</f>
        <v>VIPM Community</v>
      </c>
      <c r="N105" s="56" t="s">
        <v>136</v>
      </c>
    </row>
    <row r="106" spans="1:14" x14ac:dyDescent="0.25">
      <c r="A106" s="62" t="s">
        <v>508</v>
      </c>
      <c r="B106" s="62" t="s">
        <v>508</v>
      </c>
      <c r="C106" s="61" t="s">
        <v>505</v>
      </c>
      <c r="D106" s="61" t="s">
        <v>505</v>
      </c>
      <c r="E106" s="62" t="s">
        <v>508</v>
      </c>
      <c r="F106" s="63" t="str">
        <f>Originals!B236</f>
        <v>MGI Boolean</v>
      </c>
      <c r="G106" s="63" t="str">
        <f>Originals!C236</f>
        <v>1.0.1.3</v>
      </c>
      <c r="H106" s="63" t="str">
        <f>Originals!D236</f>
        <v>32</v>
      </c>
      <c r="I106" s="63" t="str">
        <f>Originals!E236</f>
        <v>N/A</v>
      </c>
      <c r="J106" s="63" t="str">
        <f>Originals!F236</f>
        <v>Development</v>
      </c>
      <c r="K106" s="63" t="str">
        <f>Originals!G236</f>
        <v>MGI</v>
      </c>
      <c r="L106" s="63" t="str">
        <f>Originals!H236</f>
        <v>MGI Boolean 1.0.1.3</v>
      </c>
      <c r="M106" s="63" t="str">
        <f>Originals!I236</f>
        <v>VIPM Community</v>
      </c>
      <c r="N106" s="56" t="s">
        <v>136</v>
      </c>
    </row>
    <row r="107" spans="1:14" x14ac:dyDescent="0.25">
      <c r="A107" s="62" t="s">
        <v>508</v>
      </c>
      <c r="B107" s="62" t="s">
        <v>508</v>
      </c>
      <c r="C107" s="61" t="s">
        <v>505</v>
      </c>
      <c r="D107" s="61" t="s">
        <v>505</v>
      </c>
      <c r="E107" s="62" t="s">
        <v>508</v>
      </c>
      <c r="F107" s="63" t="str">
        <f>Originals!B237</f>
        <v>MGI Class Method Browser</v>
      </c>
      <c r="G107" s="63" t="str">
        <f>Originals!C237</f>
        <v>1.0.0.20</v>
      </c>
      <c r="H107" s="63" t="str">
        <f>Originals!D237</f>
        <v>32</v>
      </c>
      <c r="I107" s="63" t="str">
        <f>Originals!E237</f>
        <v>N/A</v>
      </c>
      <c r="J107" s="63" t="str">
        <f>Originals!F237</f>
        <v>Development</v>
      </c>
      <c r="K107" s="63" t="str">
        <f>Originals!G237</f>
        <v>MGI</v>
      </c>
      <c r="L107" s="63" t="str">
        <f>Originals!H237</f>
        <v>MGI Class Method Browser 1.0.0.20</v>
      </c>
      <c r="M107" s="63" t="str">
        <f>Originals!I237</f>
        <v>VIPM Community</v>
      </c>
      <c r="N107" s="56" t="s">
        <v>136</v>
      </c>
    </row>
    <row r="108" spans="1:14" x14ac:dyDescent="0.25">
      <c r="A108" s="62" t="s">
        <v>508</v>
      </c>
      <c r="B108" s="62" t="s">
        <v>508</v>
      </c>
      <c r="C108" s="61" t="s">
        <v>505</v>
      </c>
      <c r="D108" s="61" t="s">
        <v>505</v>
      </c>
      <c r="E108" s="62" t="s">
        <v>508</v>
      </c>
      <c r="F108" s="63" t="str">
        <f>Originals!B238</f>
        <v>MGI Cluster</v>
      </c>
      <c r="G108" s="63" t="str">
        <f>Originals!C238</f>
        <v>1.1.0.1</v>
      </c>
      <c r="H108" s="63" t="str">
        <f>Originals!D238</f>
        <v>32</v>
      </c>
      <c r="I108" s="63" t="str">
        <f>Originals!E238</f>
        <v>N/A</v>
      </c>
      <c r="J108" s="63" t="str">
        <f>Originals!F238</f>
        <v>Development</v>
      </c>
      <c r="K108" s="63" t="str">
        <f>Originals!G238</f>
        <v>MGI</v>
      </c>
      <c r="L108" s="63" t="str">
        <f>Originals!H238</f>
        <v>MGI Cluster 1.1.0.1</v>
      </c>
      <c r="M108" s="63" t="str">
        <f>Originals!I238</f>
        <v>VIPM Community</v>
      </c>
      <c r="N108" s="56" t="s">
        <v>136</v>
      </c>
    </row>
    <row r="109" spans="1:14" x14ac:dyDescent="0.25">
      <c r="A109" s="62" t="s">
        <v>508</v>
      </c>
      <c r="B109" s="62" t="s">
        <v>508</v>
      </c>
      <c r="C109" s="61" t="s">
        <v>505</v>
      </c>
      <c r="D109" s="61" t="s">
        <v>505</v>
      </c>
      <c r="E109" s="62" t="s">
        <v>508</v>
      </c>
      <c r="F109" s="63" t="str">
        <f>Originals!B239</f>
        <v>MGI Coordinates</v>
      </c>
      <c r="G109" s="63" t="str">
        <f>Originals!C239</f>
        <v>1.1.1.2</v>
      </c>
      <c r="H109" s="63" t="str">
        <f>Originals!D239</f>
        <v>32</v>
      </c>
      <c r="I109" s="63" t="str">
        <f>Originals!E239</f>
        <v>N/A</v>
      </c>
      <c r="J109" s="63" t="str">
        <f>Originals!F239</f>
        <v>Development</v>
      </c>
      <c r="K109" s="63" t="str">
        <f>Originals!G239</f>
        <v>MGI</v>
      </c>
      <c r="L109" s="63" t="str">
        <f>Originals!H239</f>
        <v>MGI Coordinates 1.1.1.2</v>
      </c>
      <c r="M109" s="63" t="str">
        <f>Originals!I239</f>
        <v>VIPM Community</v>
      </c>
      <c r="N109" s="56" t="s">
        <v>136</v>
      </c>
    </row>
    <row r="110" spans="1:14" x14ac:dyDescent="0.25">
      <c r="A110" s="62" t="s">
        <v>508</v>
      </c>
      <c r="B110" s="62" t="s">
        <v>508</v>
      </c>
      <c r="C110" s="61" t="s">
        <v>505</v>
      </c>
      <c r="D110" s="61" t="s">
        <v>505</v>
      </c>
      <c r="E110" s="62" t="s">
        <v>508</v>
      </c>
      <c r="F110" s="63" t="str">
        <f>Originals!B240</f>
        <v>MGI Error Handling</v>
      </c>
      <c r="G110" s="63" t="str">
        <f>Originals!C240</f>
        <v>1.1.1.3</v>
      </c>
      <c r="H110" s="63" t="str">
        <f>Originals!D240</f>
        <v>32</v>
      </c>
      <c r="I110" s="63" t="str">
        <f>Originals!E240</f>
        <v>N/A</v>
      </c>
      <c r="J110" s="63" t="str">
        <f>Originals!F240</f>
        <v>Development</v>
      </c>
      <c r="K110" s="63" t="str">
        <f>Originals!G240</f>
        <v>MGI</v>
      </c>
      <c r="L110" s="63" t="str">
        <f>Originals!H240</f>
        <v>MGI Error Handling 1.1.1.3</v>
      </c>
      <c r="M110" s="63" t="str">
        <f>Originals!I240</f>
        <v>VIPM Community</v>
      </c>
      <c r="N110" s="56" t="s">
        <v>136</v>
      </c>
    </row>
    <row r="111" spans="1:14" x14ac:dyDescent="0.25">
      <c r="A111" s="62" t="s">
        <v>508</v>
      </c>
      <c r="B111" s="62" t="s">
        <v>508</v>
      </c>
      <c r="C111" s="61" t="s">
        <v>505</v>
      </c>
      <c r="D111" s="61" t="s">
        <v>505</v>
      </c>
      <c r="E111" s="62" t="s">
        <v>508</v>
      </c>
      <c r="F111" s="63" t="str">
        <f>Originals!B241</f>
        <v>MGI Error Reporter</v>
      </c>
      <c r="G111" s="63" t="str">
        <f>Originals!C241</f>
        <v>1.0.2.5</v>
      </c>
      <c r="H111" s="63" t="str">
        <f>Originals!D241</f>
        <v>32</v>
      </c>
      <c r="I111" s="63" t="str">
        <f>Originals!E241</f>
        <v>N/A</v>
      </c>
      <c r="J111" s="63" t="str">
        <f>Originals!F241</f>
        <v>Development</v>
      </c>
      <c r="K111" s="63" t="str">
        <f>Originals!G241</f>
        <v>MGI</v>
      </c>
      <c r="L111" s="63" t="str">
        <f>Originals!H241</f>
        <v>MGI Error Reporter 1.0.2.5</v>
      </c>
      <c r="M111" s="63" t="str">
        <f>Originals!I241</f>
        <v>VIPM Community</v>
      </c>
      <c r="N111" s="56" t="s">
        <v>136</v>
      </c>
    </row>
    <row r="112" spans="1:14" x14ac:dyDescent="0.25">
      <c r="A112" s="62" t="s">
        <v>508</v>
      </c>
      <c r="B112" s="62" t="s">
        <v>508</v>
      </c>
      <c r="C112" s="61" t="s">
        <v>505</v>
      </c>
      <c r="D112" s="61" t="s">
        <v>505</v>
      </c>
      <c r="E112" s="62" t="s">
        <v>508</v>
      </c>
      <c r="F112" s="63" t="str">
        <f>Originals!B242</f>
        <v>MGI File</v>
      </c>
      <c r="G112" s="63" t="str">
        <f>Originals!C242</f>
        <v>1.1.0.4</v>
      </c>
      <c r="H112" s="63" t="str">
        <f>Originals!D242</f>
        <v>32</v>
      </c>
      <c r="I112" s="63" t="str">
        <f>Originals!E242</f>
        <v>N/A</v>
      </c>
      <c r="J112" s="63" t="str">
        <f>Originals!F242</f>
        <v>Development</v>
      </c>
      <c r="K112" s="63" t="str">
        <f>Originals!G242</f>
        <v>MGI</v>
      </c>
      <c r="L112" s="63" t="str">
        <f>Originals!H242</f>
        <v>MGI File 1.1.0.4</v>
      </c>
      <c r="M112" s="63" t="str">
        <f>Originals!I242</f>
        <v>VIPM Community</v>
      </c>
      <c r="N112" s="56" t="s">
        <v>136</v>
      </c>
    </row>
    <row r="113" spans="1:14" x14ac:dyDescent="0.25">
      <c r="A113" s="62" t="s">
        <v>508</v>
      </c>
      <c r="B113" s="62" t="s">
        <v>508</v>
      </c>
      <c r="C113" s="61" t="s">
        <v>505</v>
      </c>
      <c r="D113" s="61" t="s">
        <v>505</v>
      </c>
      <c r="E113" s="62" t="s">
        <v>508</v>
      </c>
      <c r="F113" s="63" t="str">
        <f>Originals!B243</f>
        <v>MGI Graph</v>
      </c>
      <c r="G113" s="63" t="str">
        <f>Originals!C243</f>
        <v>1.0.2.6</v>
      </c>
      <c r="H113" s="63" t="str">
        <f>Originals!D243</f>
        <v>32</v>
      </c>
      <c r="I113" s="63" t="str">
        <f>Originals!E243</f>
        <v>N/A</v>
      </c>
      <c r="J113" s="63" t="str">
        <f>Originals!F243</f>
        <v>Development</v>
      </c>
      <c r="K113" s="63" t="str">
        <f>Originals!G243</f>
        <v>MGI</v>
      </c>
      <c r="L113" s="63" t="str">
        <f>Originals!H243</f>
        <v>MGI Graph 1.0.2.6</v>
      </c>
      <c r="M113" s="63" t="str">
        <f>Originals!I243</f>
        <v>VIPM Community</v>
      </c>
      <c r="N113" s="56" t="s">
        <v>136</v>
      </c>
    </row>
    <row r="114" spans="1:14" x14ac:dyDescent="0.25">
      <c r="A114" s="62" t="s">
        <v>508</v>
      </c>
      <c r="B114" s="62" t="s">
        <v>508</v>
      </c>
      <c r="C114" s="61" t="s">
        <v>505</v>
      </c>
      <c r="D114" s="61" t="s">
        <v>505</v>
      </c>
      <c r="E114" s="62" t="s">
        <v>508</v>
      </c>
      <c r="F114" s="63" t="str">
        <f>Originals!B244</f>
        <v>MGI Library</v>
      </c>
      <c r="G114" s="63" t="str">
        <f>Originals!C244</f>
        <v>1.2.0.4</v>
      </c>
      <c r="H114" s="63" t="str">
        <f>Originals!D244</f>
        <v>32</v>
      </c>
      <c r="I114" s="63" t="str">
        <f>Originals!E244</f>
        <v>N/A</v>
      </c>
      <c r="J114" s="63" t="str">
        <f>Originals!F244</f>
        <v>Development</v>
      </c>
      <c r="K114" s="63" t="str">
        <f>Originals!G244</f>
        <v>MGI</v>
      </c>
      <c r="L114" s="63" t="str">
        <f>Originals!H244</f>
        <v>MGI Library 1.2.0.4</v>
      </c>
      <c r="M114" s="63" t="str">
        <f>Originals!I244</f>
        <v>VIPM Community</v>
      </c>
      <c r="N114" s="56" t="s">
        <v>136</v>
      </c>
    </row>
    <row r="115" spans="1:14" x14ac:dyDescent="0.25">
      <c r="A115" s="62" t="s">
        <v>508</v>
      </c>
      <c r="B115" s="62" t="s">
        <v>508</v>
      </c>
      <c r="C115" s="61" t="s">
        <v>505</v>
      </c>
      <c r="D115" s="61" t="s">
        <v>505</v>
      </c>
      <c r="E115" s="62" t="s">
        <v>508</v>
      </c>
      <c r="F115" s="63" t="str">
        <f>Originals!B245</f>
        <v>MGI Matrix &amp; Vector</v>
      </c>
      <c r="G115" s="63" t="str">
        <f>Originals!C245</f>
        <v>1.1.0.1</v>
      </c>
      <c r="H115" s="63" t="str">
        <f>Originals!D245</f>
        <v>32</v>
      </c>
      <c r="I115" s="63" t="str">
        <f>Originals!E245</f>
        <v>N/A</v>
      </c>
      <c r="J115" s="63" t="str">
        <f>Originals!F245</f>
        <v>Development</v>
      </c>
      <c r="K115" s="63" t="str">
        <f>Originals!G245</f>
        <v>MGI</v>
      </c>
      <c r="L115" s="63" t="str">
        <f>Originals!H245</f>
        <v>MGI Matrix &amp; Vector 1.1.0.1</v>
      </c>
      <c r="M115" s="63" t="str">
        <f>Originals!I245</f>
        <v>VIPM Community</v>
      </c>
      <c r="N115" s="56" t="s">
        <v>136</v>
      </c>
    </row>
    <row r="116" spans="1:14" x14ac:dyDescent="0.25">
      <c r="A116" s="62" t="s">
        <v>508</v>
      </c>
      <c r="B116" s="62" t="s">
        <v>508</v>
      </c>
      <c r="C116" s="61" t="s">
        <v>505</v>
      </c>
      <c r="D116" s="61" t="s">
        <v>505</v>
      </c>
      <c r="E116" s="62" t="s">
        <v>508</v>
      </c>
      <c r="F116" s="63" t="str">
        <f>Originals!B246</f>
        <v>MGI Menu Building</v>
      </c>
      <c r="G116" s="63" t="str">
        <f>Originals!C246</f>
        <v>1.0.1.4</v>
      </c>
      <c r="H116" s="63" t="str">
        <f>Originals!D246</f>
        <v>32</v>
      </c>
      <c r="I116" s="63" t="str">
        <f>Originals!E246</f>
        <v>N/A</v>
      </c>
      <c r="J116" s="63" t="str">
        <f>Originals!F246</f>
        <v>Development</v>
      </c>
      <c r="K116" s="63" t="str">
        <f>Originals!G246</f>
        <v>MGI</v>
      </c>
      <c r="L116" s="63" t="str">
        <f>Originals!H246</f>
        <v>MGI Menu Building 1.0.1.4</v>
      </c>
      <c r="M116" s="63" t="str">
        <f>Originals!I246</f>
        <v>VIPM Community</v>
      </c>
      <c r="N116" s="56" t="s">
        <v>136</v>
      </c>
    </row>
    <row r="117" spans="1:14" x14ac:dyDescent="0.25">
      <c r="A117" s="62" t="s">
        <v>508</v>
      </c>
      <c r="B117" s="62" t="s">
        <v>508</v>
      </c>
      <c r="C117" s="61" t="s">
        <v>505</v>
      </c>
      <c r="D117" s="61" t="s">
        <v>505</v>
      </c>
      <c r="E117" s="62" t="s">
        <v>508</v>
      </c>
      <c r="F117" s="63" t="str">
        <f>Originals!B247</f>
        <v>MGI Monitored Actor</v>
      </c>
      <c r="G117" s="63" t="str">
        <f>Originals!C247</f>
        <v>2.0.0.23</v>
      </c>
      <c r="H117" s="63" t="str">
        <f>Originals!D247</f>
        <v>32</v>
      </c>
      <c r="I117" s="63" t="str">
        <f>Originals!E247</f>
        <v>N/A</v>
      </c>
      <c r="J117" s="63" t="str">
        <f>Originals!F247</f>
        <v>Development</v>
      </c>
      <c r="K117" s="63" t="str">
        <f>Originals!G247</f>
        <v>MGI</v>
      </c>
      <c r="L117" s="63" t="str">
        <f>Originals!H247</f>
        <v>MGI Monitored Actor 2.0.0.23</v>
      </c>
      <c r="M117" s="63" t="str">
        <f>Originals!I247</f>
        <v>VIPM Community</v>
      </c>
      <c r="N117" s="56" t="s">
        <v>136</v>
      </c>
    </row>
    <row r="118" spans="1:14" x14ac:dyDescent="0.25">
      <c r="A118" s="62" t="s">
        <v>508</v>
      </c>
      <c r="B118" s="62" t="s">
        <v>508</v>
      </c>
      <c r="C118" s="61" t="s">
        <v>505</v>
      </c>
      <c r="D118" s="61" t="s">
        <v>505</v>
      </c>
      <c r="E118" s="62" t="s">
        <v>508</v>
      </c>
      <c r="F118" s="63" t="str">
        <f>Originals!B248</f>
        <v>MGI Numeric</v>
      </c>
      <c r="G118" s="63" t="str">
        <f>Originals!C248</f>
        <v>1.1.0.2</v>
      </c>
      <c r="H118" s="63" t="str">
        <f>Originals!D248</f>
        <v>32</v>
      </c>
      <c r="I118" s="63" t="str">
        <f>Originals!E248</f>
        <v>N/A</v>
      </c>
      <c r="J118" s="63" t="str">
        <f>Originals!F248</f>
        <v>Development</v>
      </c>
      <c r="K118" s="63" t="str">
        <f>Originals!G248</f>
        <v>MGI</v>
      </c>
      <c r="L118" s="63" t="str">
        <f>Originals!H248</f>
        <v>MGI Numeric 1.1.0.2</v>
      </c>
      <c r="M118" s="63" t="str">
        <f>Originals!I248</f>
        <v>VIPM Community</v>
      </c>
      <c r="N118" s="56" t="s">
        <v>136</v>
      </c>
    </row>
    <row r="119" spans="1:14" x14ac:dyDescent="0.25">
      <c r="A119" s="62" t="s">
        <v>508</v>
      </c>
      <c r="B119" s="62" t="s">
        <v>508</v>
      </c>
      <c r="C119" s="61" t="s">
        <v>505</v>
      </c>
      <c r="D119" s="61" t="s">
        <v>505</v>
      </c>
      <c r="E119" s="62" t="s">
        <v>508</v>
      </c>
      <c r="F119" s="63" t="str">
        <f>Originals!B249</f>
        <v>MGI Panel Manager</v>
      </c>
      <c r="G119" s="63" t="str">
        <f>Originals!C249</f>
        <v>1.0.1.4</v>
      </c>
      <c r="H119" s="63" t="str">
        <f>Originals!D249</f>
        <v>32</v>
      </c>
      <c r="I119" s="63" t="str">
        <f>Originals!E249</f>
        <v>N/A</v>
      </c>
      <c r="J119" s="63" t="str">
        <f>Originals!F249</f>
        <v>Development</v>
      </c>
      <c r="K119" s="63" t="str">
        <f>Originals!G249</f>
        <v>MGI</v>
      </c>
      <c r="L119" s="63" t="str">
        <f>Originals!H249</f>
        <v>MGI Panel Manager 1.0.1.4</v>
      </c>
      <c r="M119" s="63" t="str">
        <f>Originals!I249</f>
        <v>VIPM Community</v>
      </c>
      <c r="N119" s="56" t="s">
        <v>136</v>
      </c>
    </row>
    <row r="120" spans="1:14" x14ac:dyDescent="0.25">
      <c r="A120" s="62" t="s">
        <v>508</v>
      </c>
      <c r="B120" s="62" t="s">
        <v>508</v>
      </c>
      <c r="C120" s="61" t="s">
        <v>505</v>
      </c>
      <c r="D120" s="61" t="s">
        <v>505</v>
      </c>
      <c r="E120" s="62" t="s">
        <v>508</v>
      </c>
      <c r="F120" s="63" t="str">
        <f>Originals!B250</f>
        <v>MGI Panel Manager - DQMH Panels</v>
      </c>
      <c r="G120" s="63" t="str">
        <f>Originals!C250</f>
        <v>1.0.1.6</v>
      </c>
      <c r="H120" s="63" t="str">
        <f>Originals!D250</f>
        <v>32</v>
      </c>
      <c r="I120" s="63" t="str">
        <f>Originals!E250</f>
        <v>N/A</v>
      </c>
      <c r="J120" s="63" t="str">
        <f>Originals!F250</f>
        <v>Development</v>
      </c>
      <c r="K120" s="63" t="str">
        <f>Originals!G250</f>
        <v>MGI</v>
      </c>
      <c r="L120" s="63" t="str">
        <f>Originals!H250</f>
        <v>MGI Panel Manager - DQMH Panels 1.0.1.6</v>
      </c>
      <c r="M120" s="63" t="str">
        <f>Originals!I250</f>
        <v>VIPM Community</v>
      </c>
      <c r="N120" s="56" t="s">
        <v>136</v>
      </c>
    </row>
    <row r="121" spans="1:14" x14ac:dyDescent="0.25">
      <c r="A121" s="62" t="s">
        <v>508</v>
      </c>
      <c r="B121" s="62" t="s">
        <v>508</v>
      </c>
      <c r="C121" s="61" t="s">
        <v>505</v>
      </c>
      <c r="D121" s="61" t="s">
        <v>505</v>
      </c>
      <c r="E121" s="62" t="s">
        <v>508</v>
      </c>
      <c r="F121" s="63" t="str">
        <f>Originals!B251</f>
        <v>MGI Picture &amp; Image</v>
      </c>
      <c r="G121" s="63" t="str">
        <f>Originals!C251</f>
        <v>1.0.2.1</v>
      </c>
      <c r="H121" s="63" t="str">
        <f>Originals!D251</f>
        <v>32</v>
      </c>
      <c r="I121" s="63" t="str">
        <f>Originals!E251</f>
        <v>N/A</v>
      </c>
      <c r="J121" s="63" t="str">
        <f>Originals!F251</f>
        <v>Development</v>
      </c>
      <c r="K121" s="63" t="str">
        <f>Originals!G251</f>
        <v>MGI</v>
      </c>
      <c r="L121" s="63" t="str">
        <f>Originals!H251</f>
        <v>MGI Picture &amp; Image 1.0.2.1</v>
      </c>
      <c r="M121" s="63" t="str">
        <f>Originals!I251</f>
        <v>VIPM Community</v>
      </c>
      <c r="N121" s="56" t="s">
        <v>136</v>
      </c>
    </row>
    <row r="122" spans="1:14" x14ac:dyDescent="0.25">
      <c r="A122" s="62" t="s">
        <v>508</v>
      </c>
      <c r="B122" s="62" t="s">
        <v>508</v>
      </c>
      <c r="C122" s="61" t="s">
        <v>505</v>
      </c>
      <c r="D122" s="61" t="s">
        <v>505</v>
      </c>
      <c r="E122" s="62" t="s">
        <v>508</v>
      </c>
      <c r="F122" s="63" t="str">
        <f>Originals!B252</f>
        <v>MGI Read/Write Anything</v>
      </c>
      <c r="G122" s="63" t="str">
        <f>Originals!C252</f>
        <v>2.1.4.4</v>
      </c>
      <c r="H122" s="63" t="str">
        <f>Originals!D252</f>
        <v>32</v>
      </c>
      <c r="I122" s="63" t="str">
        <f>Originals!E252</f>
        <v>N/A</v>
      </c>
      <c r="J122" s="63" t="str">
        <f>Originals!F252</f>
        <v>Development</v>
      </c>
      <c r="K122" s="63" t="str">
        <f>Originals!G252</f>
        <v>MGI</v>
      </c>
      <c r="L122" s="63" t="str">
        <f>Originals!H252</f>
        <v>MGI Read/Write Anything 2.1.4.4</v>
      </c>
      <c r="M122" s="63" t="str">
        <f>Originals!I252</f>
        <v>VIPM Community</v>
      </c>
      <c r="N122" s="56" t="s">
        <v>136</v>
      </c>
    </row>
    <row r="123" spans="1:14" x14ac:dyDescent="0.25">
      <c r="A123" s="62" t="s">
        <v>508</v>
      </c>
      <c r="B123" s="62" t="s">
        <v>508</v>
      </c>
      <c r="C123" s="61" t="s">
        <v>505</v>
      </c>
      <c r="D123" s="61" t="s">
        <v>505</v>
      </c>
      <c r="E123" s="62" t="s">
        <v>508</v>
      </c>
      <c r="F123" s="63" t="str">
        <f>Originals!B253</f>
        <v>MGI Robust XML</v>
      </c>
      <c r="G123" s="63" t="str">
        <f>Originals!C253</f>
        <v>1.0.3.4</v>
      </c>
      <c r="H123" s="63" t="str">
        <f>Originals!D253</f>
        <v>32</v>
      </c>
      <c r="I123" s="63" t="str">
        <f>Originals!E253</f>
        <v>N/A</v>
      </c>
      <c r="J123" s="63" t="str">
        <f>Originals!F253</f>
        <v>Development</v>
      </c>
      <c r="K123" s="63" t="str">
        <f>Originals!G253</f>
        <v>MGI</v>
      </c>
      <c r="L123" s="63" t="str">
        <f>Originals!H253</f>
        <v>MGI Robust XML 1.0.3.4</v>
      </c>
      <c r="M123" s="63" t="str">
        <f>Originals!I253</f>
        <v>VIPM Community</v>
      </c>
      <c r="N123" s="56" t="s">
        <v>136</v>
      </c>
    </row>
    <row r="124" spans="1:14" x14ac:dyDescent="0.25">
      <c r="A124" s="62" t="s">
        <v>508</v>
      </c>
      <c r="B124" s="62" t="s">
        <v>508</v>
      </c>
      <c r="C124" s="61" t="s">
        <v>505</v>
      </c>
      <c r="D124" s="61" t="s">
        <v>505</v>
      </c>
      <c r="E124" s="62" t="s">
        <v>508</v>
      </c>
      <c r="F124" s="63" t="str">
        <f>Originals!B254</f>
        <v>MGI Spline</v>
      </c>
      <c r="G124" s="63" t="str">
        <f>Originals!C254</f>
        <v>1.1.0.1</v>
      </c>
      <c r="H124" s="63" t="str">
        <f>Originals!D254</f>
        <v>32</v>
      </c>
      <c r="I124" s="63" t="str">
        <f>Originals!E254</f>
        <v>N/A</v>
      </c>
      <c r="J124" s="63" t="str">
        <f>Originals!F254</f>
        <v>Development</v>
      </c>
      <c r="K124" s="63" t="str">
        <f>Originals!G254</f>
        <v>MGI</v>
      </c>
      <c r="L124" s="63" t="str">
        <f>Originals!H254</f>
        <v>MGI Spline 1.1.0.1</v>
      </c>
      <c r="M124" s="63" t="str">
        <f>Originals!I254</f>
        <v>VIPM Community</v>
      </c>
      <c r="N124" s="56" t="s">
        <v>136</v>
      </c>
    </row>
    <row r="125" spans="1:14" x14ac:dyDescent="0.25">
      <c r="A125" s="62" t="s">
        <v>508</v>
      </c>
      <c r="B125" s="62" t="s">
        <v>508</v>
      </c>
      <c r="C125" s="61" t="s">
        <v>505</v>
      </c>
      <c r="D125" s="61" t="s">
        <v>505</v>
      </c>
      <c r="E125" s="62" t="s">
        <v>508</v>
      </c>
      <c r="F125" s="63" t="str">
        <f>Originals!B255</f>
        <v>MGI String</v>
      </c>
      <c r="G125" s="63" t="str">
        <f>Originals!C255</f>
        <v>1.1.1.5</v>
      </c>
      <c r="H125" s="63" t="str">
        <f>Originals!D255</f>
        <v>32</v>
      </c>
      <c r="I125" s="63" t="str">
        <f>Originals!E255</f>
        <v>N/A</v>
      </c>
      <c r="J125" s="63" t="str">
        <f>Originals!F255</f>
        <v>Development</v>
      </c>
      <c r="K125" s="63" t="str">
        <f>Originals!G255</f>
        <v>MGI</v>
      </c>
      <c r="L125" s="63" t="str">
        <f>Originals!H255</f>
        <v>MGI String 1.1.1.5</v>
      </c>
      <c r="M125" s="63" t="str">
        <f>Originals!I255</f>
        <v>VIPM Community</v>
      </c>
      <c r="N125" s="56" t="s">
        <v>136</v>
      </c>
    </row>
    <row r="126" spans="1:14" x14ac:dyDescent="0.25">
      <c r="A126" s="62" t="s">
        <v>508</v>
      </c>
      <c r="B126" s="62" t="s">
        <v>508</v>
      </c>
      <c r="C126" s="61" t="s">
        <v>505</v>
      </c>
      <c r="D126" s="61" t="s">
        <v>505</v>
      </c>
      <c r="E126" s="62" t="s">
        <v>508</v>
      </c>
      <c r="F126" s="63" t="str">
        <f>Originals!B256</f>
        <v>MGI Timing</v>
      </c>
      <c r="G126" s="63" t="str">
        <f>Originals!C256</f>
        <v>1.1.0.2</v>
      </c>
      <c r="H126" s="63" t="str">
        <f>Originals!D256</f>
        <v>32</v>
      </c>
      <c r="I126" s="63" t="str">
        <f>Originals!E256</f>
        <v>N/A</v>
      </c>
      <c r="J126" s="63" t="str">
        <f>Originals!F256</f>
        <v>Development</v>
      </c>
      <c r="K126" s="63" t="str">
        <f>Originals!G256</f>
        <v>MGI</v>
      </c>
      <c r="L126" s="63" t="str">
        <f>Originals!H256</f>
        <v>MGI Timing 1.1.0.2</v>
      </c>
      <c r="M126" s="63" t="str">
        <f>Originals!I256</f>
        <v>VIPM Community</v>
      </c>
      <c r="N126" s="56" t="s">
        <v>136</v>
      </c>
    </row>
    <row r="127" spans="1:14" x14ac:dyDescent="0.25">
      <c r="A127" s="62" t="s">
        <v>508</v>
      </c>
      <c r="B127" s="62" t="s">
        <v>508</v>
      </c>
      <c r="C127" s="61" t="s">
        <v>505</v>
      </c>
      <c r="D127" s="61" t="s">
        <v>505</v>
      </c>
      <c r="E127" s="62" t="s">
        <v>508</v>
      </c>
      <c r="F127" s="63" t="str">
        <f>Originals!B257</f>
        <v>MGI Tools</v>
      </c>
      <c r="G127" s="63" t="str">
        <f>Originals!C257</f>
        <v>1.0.0.4</v>
      </c>
      <c r="H127" s="63" t="str">
        <f>Originals!D257</f>
        <v>32</v>
      </c>
      <c r="I127" s="63" t="str">
        <f>Originals!E257</f>
        <v>N/A</v>
      </c>
      <c r="J127" s="63" t="str">
        <f>Originals!F257</f>
        <v>Development</v>
      </c>
      <c r="K127" s="63" t="str">
        <f>Originals!G257</f>
        <v>MGI</v>
      </c>
      <c r="L127" s="63" t="str">
        <f>Originals!H257</f>
        <v>MGI Tools 1.0.0.4</v>
      </c>
      <c r="M127" s="63" t="str">
        <f>Originals!I257</f>
        <v>VIPM Community</v>
      </c>
      <c r="N127" s="56" t="s">
        <v>136</v>
      </c>
    </row>
    <row r="128" spans="1:14" x14ac:dyDescent="0.25">
      <c r="A128" s="62" t="s">
        <v>508</v>
      </c>
      <c r="B128" s="62" t="s">
        <v>508</v>
      </c>
      <c r="C128" s="61" t="s">
        <v>505</v>
      </c>
      <c r="D128" s="61" t="s">
        <v>505</v>
      </c>
      <c r="E128" s="62" t="s">
        <v>508</v>
      </c>
      <c r="F128" s="63" t="str">
        <f>Originals!B258</f>
        <v>MGI Tree</v>
      </c>
      <c r="G128" s="63" t="str">
        <f>Originals!C258</f>
        <v>1.0.4.4</v>
      </c>
      <c r="H128" s="63" t="str">
        <f>Originals!D258</f>
        <v>32</v>
      </c>
      <c r="I128" s="63" t="str">
        <f>Originals!E258</f>
        <v>N/A</v>
      </c>
      <c r="J128" s="63" t="str">
        <f>Originals!F258</f>
        <v>Development</v>
      </c>
      <c r="K128" s="63" t="str">
        <f>Originals!G258</f>
        <v>MGI</v>
      </c>
      <c r="L128" s="63" t="str">
        <f>Originals!H258</f>
        <v>MGI Tree 1.0.4.4</v>
      </c>
      <c r="M128" s="63" t="str">
        <f>Originals!I258</f>
        <v>VIPM Community</v>
      </c>
      <c r="N128" s="56" t="s">
        <v>136</v>
      </c>
    </row>
    <row r="129" spans="1:14" x14ac:dyDescent="0.25">
      <c r="A129" s="62" t="s">
        <v>508</v>
      </c>
      <c r="B129" s="62" t="s">
        <v>508</v>
      </c>
      <c r="C129" s="61" t="s">
        <v>505</v>
      </c>
      <c r="D129" s="61" t="s">
        <v>505</v>
      </c>
      <c r="E129" s="62" t="s">
        <v>508</v>
      </c>
      <c r="F129" s="63" t="str">
        <f>Originals!B259</f>
        <v>MGI User Interface</v>
      </c>
      <c r="G129" s="63" t="str">
        <f>Originals!C259</f>
        <v>1.0.1.11</v>
      </c>
      <c r="H129" s="63" t="str">
        <f>Originals!D259</f>
        <v>32</v>
      </c>
      <c r="I129" s="63" t="str">
        <f>Originals!E259</f>
        <v>N/A</v>
      </c>
      <c r="J129" s="63" t="str">
        <f>Originals!F259</f>
        <v>Development</v>
      </c>
      <c r="K129" s="63" t="str">
        <f>Originals!G259</f>
        <v>MGI</v>
      </c>
      <c r="L129" s="63" t="str">
        <f>Originals!H259</f>
        <v>MGI User Interface 1.0.1.11</v>
      </c>
      <c r="M129" s="63" t="str">
        <f>Originals!I259</f>
        <v>VIPM Community</v>
      </c>
      <c r="N129" s="56" t="s">
        <v>136</v>
      </c>
    </row>
    <row r="130" spans="1:14" x14ac:dyDescent="0.25">
      <c r="A130" s="62" t="s">
        <v>508</v>
      </c>
      <c r="B130" s="62" t="s">
        <v>508</v>
      </c>
      <c r="C130" s="61" t="s">
        <v>505</v>
      </c>
      <c r="D130" s="61" t="s">
        <v>505</v>
      </c>
      <c r="E130" s="62" t="s">
        <v>508</v>
      </c>
      <c r="F130" s="63" t="str">
        <f>Originals!B260</f>
        <v>MGI WSA Framework</v>
      </c>
      <c r="G130" s="63" t="str">
        <f>Originals!C260</f>
        <v>1.0.0.27</v>
      </c>
      <c r="H130" s="63" t="str">
        <f>Originals!D260</f>
        <v>32</v>
      </c>
      <c r="I130" s="63" t="str">
        <f>Originals!E260</f>
        <v>N/A</v>
      </c>
      <c r="J130" s="63" t="str">
        <f>Originals!F260</f>
        <v>Development</v>
      </c>
      <c r="K130" s="63" t="str">
        <f>Originals!G260</f>
        <v>MGI</v>
      </c>
      <c r="L130" s="63" t="str">
        <f>Originals!H260</f>
        <v>MGI WSA Framework 1.0.0.27</v>
      </c>
      <c r="M130" s="63" t="str">
        <f>Originals!I260</f>
        <v>VIPM Community</v>
      </c>
      <c r="N130" s="56" t="s">
        <v>136</v>
      </c>
    </row>
    <row r="131" spans="1:14" x14ac:dyDescent="0.25">
      <c r="A131" s="62" t="s">
        <v>508</v>
      </c>
      <c r="B131" s="62" t="s">
        <v>508</v>
      </c>
      <c r="C131" s="61" t="s">
        <v>505</v>
      </c>
      <c r="D131" s="62" t="s">
        <v>508</v>
      </c>
      <c r="E131" s="62" t="s">
        <v>508</v>
      </c>
      <c r="F131" s="64" t="str">
        <f>Originals!B261</f>
        <v>Network Configuration Web Support</v>
      </c>
      <c r="G131" s="64" t="str">
        <f>Originals!C261</f>
        <v>15.0.0</v>
      </c>
      <c r="H131" s="64" t="str">
        <f>Originals!D261</f>
        <v>32</v>
      </c>
      <c r="I131" s="64" t="str">
        <f>Originals!E261</f>
        <v>2015</v>
      </c>
      <c r="J131" s="64" t="str">
        <f>Originals!F261</f>
        <v>C-RIO</v>
      </c>
      <c r="K131" s="64" t="str">
        <f>Originals!G261</f>
        <v>NI</v>
      </c>
      <c r="L131" s="64" t="str">
        <f>Originals!H261</f>
        <v>Network Configuration Web Support 15.0.0</v>
      </c>
      <c r="M131" s="64">
        <f>Originals!I261</f>
        <v>0</v>
      </c>
      <c r="N131" s="65" t="s">
        <v>2</v>
      </c>
    </row>
    <row r="132" spans="1:14" x14ac:dyDescent="0.25">
      <c r="A132" s="62" t="s">
        <v>508</v>
      </c>
      <c r="B132" s="62" t="s">
        <v>508</v>
      </c>
      <c r="C132" s="61" t="s">
        <v>505</v>
      </c>
      <c r="D132" s="62" t="s">
        <v>508</v>
      </c>
      <c r="E132" s="62" t="s">
        <v>508</v>
      </c>
      <c r="F132" s="64" t="str">
        <f>Originals!B262</f>
        <v>Network Streams</v>
      </c>
      <c r="G132" s="64" t="str">
        <f>Originals!C262</f>
        <v>15.0</v>
      </c>
      <c r="H132" s="64" t="str">
        <f>Originals!D262</f>
        <v>32</v>
      </c>
      <c r="I132" s="64" t="str">
        <f>Originals!E262</f>
        <v>2015</v>
      </c>
      <c r="J132" s="64" t="str">
        <f>Originals!F262</f>
        <v>C-RIO</v>
      </c>
      <c r="K132" s="64" t="str">
        <f>Originals!G262</f>
        <v>NI</v>
      </c>
      <c r="L132" s="64" t="str">
        <f>Originals!H262</f>
        <v>Network Streams 15.0</v>
      </c>
      <c r="M132" s="64">
        <f>Originals!I262</f>
        <v>0</v>
      </c>
      <c r="N132" s="65" t="s">
        <v>2</v>
      </c>
    </row>
    <row r="133" spans="1:14" x14ac:dyDescent="0.25">
      <c r="A133" s="62" t="s">
        <v>508</v>
      </c>
      <c r="B133" s="62" t="s">
        <v>508</v>
      </c>
      <c r="C133" s="61" t="s">
        <v>505</v>
      </c>
      <c r="D133" s="62" t="s">
        <v>508</v>
      </c>
      <c r="E133" s="62" t="s">
        <v>508</v>
      </c>
      <c r="F133" s="64" t="str">
        <f>Originals!B263</f>
        <v>Network Variable Engine</v>
      </c>
      <c r="G133" s="64" t="str">
        <f>Originals!C263</f>
        <v>15.0.0</v>
      </c>
      <c r="H133" s="64" t="str">
        <f>Originals!D263</f>
        <v>32</v>
      </c>
      <c r="I133" s="64" t="str">
        <f>Originals!E263</f>
        <v>2015</v>
      </c>
      <c r="J133" s="64" t="str">
        <f>Originals!F263</f>
        <v>C-RIO</v>
      </c>
      <c r="K133" s="64" t="str">
        <f>Originals!G263</f>
        <v>NI</v>
      </c>
      <c r="L133" s="64" t="str">
        <f>Originals!H263</f>
        <v>Network Variable Engine 15.0.0</v>
      </c>
      <c r="M133" s="64">
        <f>Originals!I263</f>
        <v>0</v>
      </c>
      <c r="N133" s="65" t="s">
        <v>2</v>
      </c>
    </row>
    <row r="134" spans="1:14" x14ac:dyDescent="0.25">
      <c r="A134" s="61" t="s">
        <v>505</v>
      </c>
      <c r="B134" s="61" t="s">
        <v>505</v>
      </c>
      <c r="C134" s="61" t="s">
        <v>505</v>
      </c>
      <c r="D134" s="61" t="s">
        <v>505</v>
      </c>
      <c r="E134" s="62" t="s">
        <v>508</v>
      </c>
      <c r="F134" s="63" t="str">
        <f>Originals!B27</f>
        <v>NI 1588-2008 Network Management</v>
      </c>
      <c r="G134" s="63" t="str">
        <f>Originals!C27</f>
        <v>15.0.0f0</v>
      </c>
      <c r="H134" s="63" t="str">
        <f>Originals!D27</f>
        <v>32</v>
      </c>
      <c r="I134" s="63" t="str">
        <f>Originals!E27</f>
        <v>2015</v>
      </c>
      <c r="J134" s="63" t="str">
        <f>Originals!F27</f>
        <v>Development</v>
      </c>
      <c r="K134" s="63" t="str">
        <f>Originals!G27</f>
        <v>NI</v>
      </c>
      <c r="L134" s="63" t="str">
        <f>Originals!H27</f>
        <v>NI 1588-2008 Network Management 15.0.0f0</v>
      </c>
      <c r="M134" s="63" t="str">
        <f>Originals!I27</f>
        <v>NI Developer Suite 2015 DS2 Install</v>
      </c>
      <c r="N134" s="56" t="s">
        <v>136</v>
      </c>
    </row>
    <row r="135" spans="1:14" x14ac:dyDescent="0.25">
      <c r="A135" s="62" t="s">
        <v>508</v>
      </c>
      <c r="B135" s="62" t="s">
        <v>508</v>
      </c>
      <c r="C135" s="61" t="s">
        <v>505</v>
      </c>
      <c r="D135" s="61" t="s">
        <v>505</v>
      </c>
      <c r="E135" s="62" t="s">
        <v>508</v>
      </c>
      <c r="F135" s="63" t="str">
        <f>Originals!B265</f>
        <v>NI Asynchronous Message Communication (AMC) Library</v>
      </c>
      <c r="G135" s="63" t="str">
        <f>Originals!C265</f>
        <v>3.3.1.22</v>
      </c>
      <c r="H135" s="63" t="str">
        <f>Originals!D265</f>
        <v>32</v>
      </c>
      <c r="I135" s="63" t="str">
        <f>Originals!E265</f>
        <v>N/A</v>
      </c>
      <c r="J135" s="63" t="str">
        <f>Originals!F265</f>
        <v>Development</v>
      </c>
      <c r="K135" s="63" t="str">
        <f>Originals!G265</f>
        <v>NI</v>
      </c>
      <c r="L135" s="63" t="str">
        <f>Originals!H265</f>
        <v>NI Asynchronous Message Communication (AMC) Library 3.3.1.22</v>
      </c>
      <c r="M135" s="63" t="str">
        <f>Originals!I265</f>
        <v>VIPM Community</v>
      </c>
      <c r="N135" s="56" t="s">
        <v>136</v>
      </c>
    </row>
    <row r="136" spans="1:14" x14ac:dyDescent="0.25">
      <c r="A136" s="62" t="s">
        <v>508</v>
      </c>
      <c r="B136" s="62" t="s">
        <v>508</v>
      </c>
      <c r="C136" s="61" t="s">
        <v>505</v>
      </c>
      <c r="D136" s="62" t="s">
        <v>508</v>
      </c>
      <c r="E136" s="62" t="s">
        <v>508</v>
      </c>
      <c r="F136" s="64" t="str">
        <f>Originals!B266</f>
        <v>NI CompactRIO</v>
      </c>
      <c r="G136" s="64" t="str">
        <f>Originals!C266</f>
        <v>15.5</v>
      </c>
      <c r="H136" s="64" t="str">
        <f>Originals!D266</f>
        <v>32</v>
      </c>
      <c r="I136" s="64" t="str">
        <f>Originals!E266</f>
        <v>2018</v>
      </c>
      <c r="J136" s="64" t="str">
        <f>Originals!F266</f>
        <v>C-RIO</v>
      </c>
      <c r="K136" s="64" t="str">
        <f>Originals!G266</f>
        <v>NI</v>
      </c>
      <c r="L136" s="64" t="str">
        <f>Originals!H266</f>
        <v>NI CompactRIO 15.5</v>
      </c>
      <c r="M136" s="64">
        <f>Originals!I266</f>
        <v>0</v>
      </c>
      <c r="N136" s="65" t="s">
        <v>2</v>
      </c>
    </row>
    <row r="137" spans="1:14" x14ac:dyDescent="0.25">
      <c r="A137" s="62" t="s">
        <v>508</v>
      </c>
      <c r="B137" s="62" t="s">
        <v>508</v>
      </c>
      <c r="C137" s="61" t="s">
        <v>505</v>
      </c>
      <c r="D137" s="61" t="s">
        <v>505</v>
      </c>
      <c r="E137" s="62" t="s">
        <v>508</v>
      </c>
      <c r="F137" s="63" t="str">
        <f>Originals!B267</f>
        <v>NI CompactRIO Information (CRI) Library</v>
      </c>
      <c r="G137" s="63" t="str">
        <f>Originals!C267</f>
        <v>2015.0.0.1</v>
      </c>
      <c r="H137" s="63" t="str">
        <f>Originals!D267</f>
        <v>32</v>
      </c>
      <c r="I137" s="63" t="str">
        <f>Originals!E267</f>
        <v>2015</v>
      </c>
      <c r="J137" s="63" t="str">
        <f>Originals!F267</f>
        <v>Development</v>
      </c>
      <c r="K137" s="63" t="str">
        <f>Originals!G267</f>
        <v>NI</v>
      </c>
      <c r="L137" s="63" t="str">
        <f>Originals!H267</f>
        <v>NI CompactRIO Information (CRI) Library 2015.0.0.1</v>
      </c>
      <c r="M137" s="63" t="str">
        <f>Originals!I267</f>
        <v>VIPM Community</v>
      </c>
      <c r="N137" s="56" t="s">
        <v>136</v>
      </c>
    </row>
    <row r="138" spans="1:14" x14ac:dyDescent="0.25">
      <c r="A138" s="62" t="s">
        <v>508</v>
      </c>
      <c r="B138" s="62" t="s">
        <v>508</v>
      </c>
      <c r="C138" s="61" t="s">
        <v>505</v>
      </c>
      <c r="D138" s="61" t="s">
        <v>505</v>
      </c>
      <c r="E138" s="62" t="s">
        <v>508</v>
      </c>
      <c r="F138" s="63" t="str">
        <f>Originals!B268</f>
        <v>NI GXML</v>
      </c>
      <c r="G138" s="63" t="str">
        <f>Originals!C268</f>
        <v>1.4.2.8</v>
      </c>
      <c r="H138" s="63" t="str">
        <f>Originals!D268</f>
        <v>32</v>
      </c>
      <c r="I138" s="63" t="str">
        <f>Originals!E268</f>
        <v>N/A</v>
      </c>
      <c r="J138" s="63" t="str">
        <f>Originals!F268</f>
        <v>Development</v>
      </c>
      <c r="K138" s="63" t="str">
        <f>Originals!G268</f>
        <v>NI</v>
      </c>
      <c r="L138" s="63" t="str">
        <f>Originals!H268</f>
        <v>NI GXML 1.4.2.8</v>
      </c>
      <c r="M138" s="63" t="str">
        <f>Originals!I268</f>
        <v>VIPM Community</v>
      </c>
      <c r="N138" s="56" t="s">
        <v>136</v>
      </c>
    </row>
    <row r="139" spans="1:14" x14ac:dyDescent="0.25">
      <c r="A139" s="61" t="s">
        <v>505</v>
      </c>
      <c r="B139" s="61" t="s">
        <v>505</v>
      </c>
      <c r="C139" s="62" t="s">
        <v>508</v>
      </c>
      <c r="D139" s="62" t="s">
        <v>508</v>
      </c>
      <c r="E139" s="62" t="s">
        <v>508</v>
      </c>
      <c r="F139" s="63" t="str">
        <f>Originals!B28</f>
        <v>NI I/O Trace</v>
      </c>
      <c r="G139" s="63" t="str">
        <f>Originals!C28</f>
        <v>15.0.0f0</v>
      </c>
      <c r="H139" s="63" t="str">
        <f>Originals!D28</f>
        <v>32</v>
      </c>
      <c r="I139" s="63" t="str">
        <f>Originals!E28</f>
        <v>2015</v>
      </c>
      <c r="J139" s="63" t="str">
        <f>Originals!F28</f>
        <v>Development</v>
      </c>
      <c r="K139" s="63" t="str">
        <f>Originals!G28</f>
        <v>NI</v>
      </c>
      <c r="L139" s="63" t="str">
        <f>Originals!H28</f>
        <v>NI I/O Trace 15.0.0f0</v>
      </c>
      <c r="M139" s="63" t="str">
        <f>Originals!I28</f>
        <v>NI Developer Suite 2015 DS2 Install</v>
      </c>
      <c r="N139" s="56" t="s">
        <v>136</v>
      </c>
    </row>
    <row r="140" spans="1:14" x14ac:dyDescent="0.25">
      <c r="A140" s="62" t="s">
        <v>508</v>
      </c>
      <c r="B140" s="62" t="s">
        <v>508</v>
      </c>
      <c r="C140" s="61" t="s">
        <v>505</v>
      </c>
      <c r="D140" s="62" t="s">
        <v>508</v>
      </c>
      <c r="E140" s="62" t="s">
        <v>508</v>
      </c>
      <c r="F140" s="64" t="str">
        <f>Originals!B269</f>
        <v>NI I/O Trace</v>
      </c>
      <c r="G140" s="64" t="str">
        <f>Originals!C269</f>
        <v>18.5.0f0</v>
      </c>
      <c r="H140" s="64" t="str">
        <f>Originals!D269</f>
        <v>32</v>
      </c>
      <c r="I140" s="64" t="str">
        <f>Originals!E269</f>
        <v>2018</v>
      </c>
      <c r="J140" s="64" t="str">
        <f>Originals!F269</f>
        <v>Development</v>
      </c>
      <c r="K140" s="64" t="str">
        <f>Originals!G269</f>
        <v>NI</v>
      </c>
      <c r="L140" s="64" t="str">
        <f>Originals!H269</f>
        <v>NI I/O Trace 18.5.0f0</v>
      </c>
      <c r="M140" s="64" t="str">
        <f>Originals!I269</f>
        <v>NI Developer Suite 2015 DS2 Install</v>
      </c>
      <c r="N140" s="65" t="s">
        <v>2</v>
      </c>
    </row>
    <row r="141" spans="1:14" hidden="1" x14ac:dyDescent="0.25">
      <c r="A141" s="62" t="s">
        <v>508</v>
      </c>
      <c r="B141" s="62" t="s">
        <v>508</v>
      </c>
      <c r="C141" s="62" t="s">
        <v>508</v>
      </c>
      <c r="D141" s="62" t="s">
        <v>508</v>
      </c>
      <c r="E141" s="61" t="s">
        <v>505</v>
      </c>
      <c r="F141" s="72" t="str">
        <f>Originals!B380</f>
        <v>NI I/O Trace</v>
      </c>
      <c r="G141" s="72" t="str">
        <f>Originals!C380</f>
        <v>18.1</v>
      </c>
      <c r="H141" s="72" t="str">
        <f>Originals!D380</f>
        <v>32</v>
      </c>
      <c r="I141" s="72" t="str">
        <f>Originals!E380</f>
        <v>2018</v>
      </c>
      <c r="J141" s="72" t="str">
        <f>Originals!F380</f>
        <v>Development</v>
      </c>
      <c r="K141" s="72" t="str">
        <f>Originals!G380</f>
        <v>NI</v>
      </c>
      <c r="L141" s="72" t="str">
        <f>Originals!H380</f>
        <v>NI I/O Trace 18.1</v>
      </c>
      <c r="M141" s="72">
        <f>Originals!I380</f>
        <v>0</v>
      </c>
      <c r="N141" s="73" t="s">
        <v>465</v>
      </c>
    </row>
    <row r="142" spans="1:14" hidden="1" x14ac:dyDescent="0.25">
      <c r="A142" s="62" t="s">
        <v>508</v>
      </c>
      <c r="B142" s="62" t="s">
        <v>508</v>
      </c>
      <c r="C142" s="62" t="s">
        <v>508</v>
      </c>
      <c r="D142" s="61" t="s">
        <v>505</v>
      </c>
      <c r="E142" s="62" t="s">
        <v>508</v>
      </c>
      <c r="F142" s="66" t="str">
        <f>Scott!B39</f>
        <v>JKI State Machine Objects (SMO)</v>
      </c>
      <c r="G142" s="66" t="str">
        <f>Scott!C39</f>
        <v>1.3.0.56</v>
      </c>
      <c r="H142" s="66" t="str">
        <f>Scott!D39</f>
        <v>32</v>
      </c>
      <c r="I142" s="66" t="str">
        <f>Scott!E39</f>
        <v>N/A</v>
      </c>
      <c r="J142" s="66" t="str">
        <f>Scott!F39</f>
        <v>Development</v>
      </c>
      <c r="K142" s="66" t="str">
        <f>Scott!G39</f>
        <v>JKI</v>
      </c>
      <c r="L142" s="66" t="str">
        <f>Scott!H39</f>
        <v>JKI State Machine Objects (SMO) 1.3.0.56</v>
      </c>
      <c r="M142" s="66" t="str">
        <f>Scott!I39</f>
        <v>VIPM Community</v>
      </c>
      <c r="N142" s="67" t="s">
        <v>96</v>
      </c>
    </row>
    <row r="143" spans="1:14" x14ac:dyDescent="0.25">
      <c r="A143" s="62" t="s">
        <v>508</v>
      </c>
      <c r="B143" s="62" t="s">
        <v>508</v>
      </c>
      <c r="C143" s="61" t="s">
        <v>505</v>
      </c>
      <c r="D143" s="61" t="s">
        <v>505</v>
      </c>
      <c r="E143" s="62" t="s">
        <v>508</v>
      </c>
      <c r="F143" s="63" t="str">
        <f>Originals!B270</f>
        <v>NI Keyed Array Library</v>
      </c>
      <c r="G143" s="63" t="str">
        <f>Originals!C270</f>
        <v>2.0.0.11</v>
      </c>
      <c r="H143" s="63" t="str">
        <f>Originals!D270</f>
        <v>32</v>
      </c>
      <c r="I143" s="63" t="str">
        <f>Originals!E270</f>
        <v>N/A</v>
      </c>
      <c r="J143" s="63" t="str">
        <f>Originals!F270</f>
        <v>Development</v>
      </c>
      <c r="K143" s="63" t="str">
        <f>Originals!G270</f>
        <v>NI</v>
      </c>
      <c r="L143" s="63" t="str">
        <f>Originals!H270</f>
        <v>NI Keyed Array Library 2.0.0.11</v>
      </c>
      <c r="M143" s="63" t="str">
        <f>Originals!I270</f>
        <v>VIPM Community</v>
      </c>
      <c r="N143" s="56" t="s">
        <v>136</v>
      </c>
    </row>
    <row r="144" spans="1:14" x14ac:dyDescent="0.25">
      <c r="A144" s="62" t="s">
        <v>508</v>
      </c>
      <c r="B144" s="62" t="s">
        <v>508</v>
      </c>
      <c r="C144" s="61" t="s">
        <v>505</v>
      </c>
      <c r="D144" s="61" t="s">
        <v>505</v>
      </c>
      <c r="E144" s="62" t="s">
        <v>508</v>
      </c>
      <c r="F144" s="63" t="str">
        <f>Originals!B271</f>
        <v>NI Modbus Library</v>
      </c>
      <c r="G144" s="63" t="str">
        <f>Originals!C271</f>
        <v>1.2.1.42</v>
      </c>
      <c r="H144" s="63" t="str">
        <f>Originals!D271</f>
        <v>32</v>
      </c>
      <c r="I144" s="63" t="str">
        <f>Originals!E271</f>
        <v>N/A</v>
      </c>
      <c r="J144" s="63" t="str">
        <f>Originals!F271</f>
        <v>Development</v>
      </c>
      <c r="K144" s="63" t="str">
        <f>Originals!G271</f>
        <v>NI</v>
      </c>
      <c r="L144" s="63" t="str">
        <f>Originals!H271</f>
        <v>NI Modbus Library 1.2.1.42</v>
      </c>
      <c r="M144" s="63" t="str">
        <f>Originals!I271</f>
        <v>VIPM Community</v>
      </c>
      <c r="N144" s="56" t="s">
        <v>136</v>
      </c>
    </row>
    <row r="145" spans="1:14" x14ac:dyDescent="0.25">
      <c r="A145" s="62" t="s">
        <v>508</v>
      </c>
      <c r="B145" s="61" t="s">
        <v>505</v>
      </c>
      <c r="C145" s="61" t="s">
        <v>505</v>
      </c>
      <c r="D145" s="62" t="s">
        <v>508</v>
      </c>
      <c r="E145" s="62" t="s">
        <v>508</v>
      </c>
      <c r="F145" s="63" t="str">
        <f>Originals!B107</f>
        <v>NI PXI Platform Services</v>
      </c>
      <c r="G145" s="63" t="str">
        <f>Originals!C107</f>
        <v>19.5.0f0</v>
      </c>
      <c r="H145" s="63" t="str">
        <f>Originals!D107</f>
        <v>32</v>
      </c>
      <c r="I145" s="63" t="str">
        <f>Originals!E107</f>
        <v>2019</v>
      </c>
      <c r="J145" s="63" t="str">
        <f>Originals!F107</f>
        <v>Runtime</v>
      </c>
      <c r="K145" s="63" t="str">
        <f>Originals!G107</f>
        <v>NI</v>
      </c>
      <c r="L145" s="63" t="str">
        <f>Originals!H107</f>
        <v>NI PXI Platform Services 19.5.0f0</v>
      </c>
      <c r="M145" s="63">
        <f>Originals!I107</f>
        <v>0</v>
      </c>
      <c r="N145" s="56" t="s">
        <v>136</v>
      </c>
    </row>
    <row r="146" spans="1:14" hidden="1" x14ac:dyDescent="0.25">
      <c r="A146" s="62" t="s">
        <v>508</v>
      </c>
      <c r="B146" s="62" t="s">
        <v>508</v>
      </c>
      <c r="C146" s="62" t="s">
        <v>508</v>
      </c>
      <c r="D146" s="62" t="s">
        <v>508</v>
      </c>
      <c r="E146" s="61" t="s">
        <v>505</v>
      </c>
      <c r="F146" s="72" t="str">
        <f>Originals!B381</f>
        <v>NI PXI Platform Services</v>
      </c>
      <c r="G146" s="72" t="str">
        <f>Originals!C381</f>
        <v>18.0</v>
      </c>
      <c r="H146" s="72" t="str">
        <f>Originals!D381</f>
        <v>32</v>
      </c>
      <c r="I146" s="72" t="str">
        <f>Originals!E381</f>
        <v>2018</v>
      </c>
      <c r="J146" s="72" t="str">
        <f>Originals!F381</f>
        <v>Runtime</v>
      </c>
      <c r="K146" s="72" t="str">
        <f>Originals!G381</f>
        <v>NI</v>
      </c>
      <c r="L146" s="72" t="str">
        <f>Originals!H381</f>
        <v>NI PXI Platform Services 18.0</v>
      </c>
      <c r="M146" s="72" t="str">
        <f>Originals!I381</f>
        <v>CompactRIO 18.1.0</v>
      </c>
      <c r="N146" s="73" t="s">
        <v>465</v>
      </c>
    </row>
    <row r="147" spans="1:14" hidden="1" x14ac:dyDescent="0.25">
      <c r="A147" s="62" t="s">
        <v>508</v>
      </c>
      <c r="B147" s="62" t="s">
        <v>508</v>
      </c>
      <c r="C147" s="62" t="s">
        <v>508</v>
      </c>
      <c r="D147" s="61" t="s">
        <v>505</v>
      </c>
      <c r="E147" s="62" t="s">
        <v>508</v>
      </c>
      <c r="F147" s="66" t="str">
        <f>Scott!B40</f>
        <v>jki_rsc_toolkits_palette</v>
      </c>
      <c r="G147" s="66" t="str">
        <f>Scott!C40</f>
        <v>1.1-1</v>
      </c>
      <c r="H147" s="66" t="str">
        <f>Scott!D40</f>
        <v>32</v>
      </c>
      <c r="I147" s="66" t="str">
        <f>Scott!E40</f>
        <v>N/A</v>
      </c>
      <c r="J147" s="66" t="str">
        <f>Scott!F40</f>
        <v>Development</v>
      </c>
      <c r="K147" s="66" t="str">
        <f>Scott!G40</f>
        <v>JKI Software</v>
      </c>
      <c r="L147" s="66" t="str">
        <f>Scott!H40</f>
        <v>jki_rsc_toolkits_palette 1.1-1</v>
      </c>
      <c r="M147" s="66" t="str">
        <f>Scott!I40</f>
        <v>VIPM Community</v>
      </c>
      <c r="N147" s="67" t="s">
        <v>96</v>
      </c>
    </row>
    <row r="148" spans="1:14" x14ac:dyDescent="0.25">
      <c r="A148" s="61" t="s">
        <v>505</v>
      </c>
      <c r="B148" s="61" t="s">
        <v>505</v>
      </c>
      <c r="C148" s="62" t="s">
        <v>508</v>
      </c>
      <c r="D148" s="62" t="s">
        <v>508</v>
      </c>
      <c r="E148" s="62" t="s">
        <v>508</v>
      </c>
      <c r="F148" s="63" t="str">
        <f>Originals!B29</f>
        <v>NI PXI Platform Services Configuration</v>
      </c>
      <c r="G148" s="63" t="str">
        <f>Originals!C29</f>
        <v>15.0.0f1</v>
      </c>
      <c r="H148" s="63" t="str">
        <f>Originals!D29</f>
        <v>32</v>
      </c>
      <c r="I148" s="63" t="str">
        <f>Originals!E29</f>
        <v>2015</v>
      </c>
      <c r="J148" s="63" t="str">
        <f>Originals!F29</f>
        <v>Development</v>
      </c>
      <c r="K148" s="63" t="str">
        <f>Originals!G29</f>
        <v>NI</v>
      </c>
      <c r="L148" s="63" t="str">
        <f>Originals!H29</f>
        <v>NI PXI Platform Services Configuration 15.0.0f1</v>
      </c>
      <c r="M148" s="63" t="str">
        <f>Originals!I29</f>
        <v>NI Developer Suite 2015 DS2 Install</v>
      </c>
      <c r="N148" s="56" t="s">
        <v>136</v>
      </c>
    </row>
    <row r="149" spans="1:14" hidden="1" x14ac:dyDescent="0.25">
      <c r="A149" s="61" t="s">
        <v>505</v>
      </c>
      <c r="B149" s="62" t="s">
        <v>508</v>
      </c>
      <c r="C149" s="62" t="s">
        <v>508</v>
      </c>
      <c r="D149" s="62" t="s">
        <v>508</v>
      </c>
      <c r="E149" s="62" t="s">
        <v>508</v>
      </c>
      <c r="F149" s="68" t="str">
        <f>Originals!B30</f>
        <v>NI PXI Platform Services Configuration</v>
      </c>
      <c r="G149" s="68" t="str">
        <f>Originals!C30</f>
        <v>19.5.0f0</v>
      </c>
      <c r="H149" s="68" t="str">
        <f>Originals!D30</f>
        <v>32</v>
      </c>
      <c r="I149" s="68" t="str">
        <f>Originals!E30</f>
        <v>2019</v>
      </c>
      <c r="J149" s="68" t="str">
        <f>Originals!F30</f>
        <v>Development</v>
      </c>
      <c r="K149" s="68" t="str">
        <f>Originals!G30</f>
        <v>NI</v>
      </c>
      <c r="L149" s="68" t="str">
        <f>Originals!H30</f>
        <v>NI PXI Platform Services Configuration 19.5.0f0</v>
      </c>
      <c r="M149" s="68">
        <f>Originals!I30</f>
        <v>0</v>
      </c>
      <c r="N149" s="69" t="s">
        <v>0</v>
      </c>
    </row>
    <row r="150" spans="1:14" x14ac:dyDescent="0.25">
      <c r="A150" s="62" t="s">
        <v>508</v>
      </c>
      <c r="B150" s="62" t="s">
        <v>508</v>
      </c>
      <c r="C150" s="61" t="s">
        <v>505</v>
      </c>
      <c r="D150" s="62" t="s">
        <v>508</v>
      </c>
      <c r="E150" s="62" t="s">
        <v>508</v>
      </c>
      <c r="F150" s="64" t="str">
        <f>Originals!B273</f>
        <v>NI PXI Platform Services Configuration</v>
      </c>
      <c r="G150" s="64" t="str">
        <f>Originals!C273</f>
        <v>18.5.0f2</v>
      </c>
      <c r="H150" s="64" t="str">
        <f>Originals!D273</f>
        <v>32</v>
      </c>
      <c r="I150" s="64" t="str">
        <f>Originals!E273</f>
        <v>2018</v>
      </c>
      <c r="J150" s="64" t="str">
        <f>Originals!F273</f>
        <v>Development</v>
      </c>
      <c r="K150" s="64" t="str">
        <f>Originals!G273</f>
        <v>NI</v>
      </c>
      <c r="L150" s="64" t="str">
        <f>Originals!H273</f>
        <v>NI PXI Platform Services Configuration 18.5.0f2</v>
      </c>
      <c r="M150" s="64">
        <f>Originals!I273</f>
        <v>0</v>
      </c>
      <c r="N150" s="65" t="s">
        <v>2</v>
      </c>
    </row>
    <row r="151" spans="1:14" hidden="1" x14ac:dyDescent="0.25">
      <c r="A151" s="62" t="s">
        <v>508</v>
      </c>
      <c r="B151" s="62" t="s">
        <v>508</v>
      </c>
      <c r="C151" s="62" t="s">
        <v>508</v>
      </c>
      <c r="D151" s="62" t="s">
        <v>508</v>
      </c>
      <c r="E151" s="61" t="s">
        <v>505</v>
      </c>
      <c r="F151" s="72" t="str">
        <f>Originals!B382</f>
        <v>NI PXI Platform Services Configuration</v>
      </c>
      <c r="G151" s="72" t="str">
        <f>Originals!C382</f>
        <v>18.0</v>
      </c>
      <c r="H151" s="72" t="str">
        <f>Originals!D382</f>
        <v>32</v>
      </c>
      <c r="I151" s="72" t="str">
        <f>Originals!E382</f>
        <v>2018</v>
      </c>
      <c r="J151" s="72" t="str">
        <f>Originals!F382</f>
        <v>Development</v>
      </c>
      <c r="K151" s="72" t="str">
        <f>Originals!G382</f>
        <v>NI</v>
      </c>
      <c r="L151" s="72" t="str">
        <f>Originals!H382</f>
        <v>NI PXI Platform Services Configuration 18.0</v>
      </c>
      <c r="M151" s="72" t="str">
        <f>Originals!I382</f>
        <v>CompactRIO 18.1.0</v>
      </c>
      <c r="N151" s="73" t="s">
        <v>465</v>
      </c>
    </row>
    <row r="152" spans="1:14" hidden="1" x14ac:dyDescent="0.25">
      <c r="A152" s="62" t="s">
        <v>508</v>
      </c>
      <c r="B152" s="62" t="s">
        <v>508</v>
      </c>
      <c r="C152" s="62" t="s">
        <v>508</v>
      </c>
      <c r="D152" s="61" t="s">
        <v>505</v>
      </c>
      <c r="E152" s="62" t="s">
        <v>508</v>
      </c>
      <c r="F152" s="66" t="str">
        <f>Scott!B41</f>
        <v>LabVIEW</v>
      </c>
      <c r="G152" s="66" t="str">
        <f>Scott!C41</f>
        <v>15.0.1</v>
      </c>
      <c r="H152" s="66">
        <f>Scott!D41</f>
        <v>32</v>
      </c>
      <c r="I152" s="66" t="str">
        <f>Scott!E41</f>
        <v>2015 SP1</v>
      </c>
      <c r="J152" s="66" t="str">
        <f>Scott!F41</f>
        <v>Development</v>
      </c>
      <c r="K152" s="66" t="str">
        <f>Scott!G41</f>
        <v>NI</v>
      </c>
      <c r="L152" s="66" t="str">
        <f>Scott!H41</f>
        <v>LabVIEW 2015 SP1 15.0.1</v>
      </c>
      <c r="M152" s="66" t="str">
        <f>Scott!I41</f>
        <v>LabVIEW 2015 SP1</v>
      </c>
      <c r="N152" s="67" t="s">
        <v>96</v>
      </c>
    </row>
    <row r="153" spans="1:14" x14ac:dyDescent="0.25">
      <c r="A153" s="61" t="s">
        <v>505</v>
      </c>
      <c r="B153" s="61" t="s">
        <v>505</v>
      </c>
      <c r="C153" s="62" t="s">
        <v>508</v>
      </c>
      <c r="D153" s="61" t="s">
        <v>505</v>
      </c>
      <c r="E153" s="62" t="s">
        <v>508</v>
      </c>
      <c r="F153" s="63" t="str">
        <f>Originals!B31</f>
        <v>NI R Series Multifunction RIO</v>
      </c>
      <c r="G153" s="63" t="str">
        <f>Originals!C31</f>
        <v>15.0.0</v>
      </c>
      <c r="H153" s="63" t="str">
        <f>Originals!D31</f>
        <v>32</v>
      </c>
      <c r="I153" s="63" t="str">
        <f>Originals!E31</f>
        <v>2015</v>
      </c>
      <c r="J153" s="63" t="str">
        <f>Originals!F31</f>
        <v>Development</v>
      </c>
      <c r="K153" s="63" t="str">
        <f>Originals!G31</f>
        <v>NI</v>
      </c>
      <c r="L153" s="63" t="str">
        <f>Originals!H31</f>
        <v>NI R Series Multifunction RIO 15.0.0</v>
      </c>
      <c r="M153" s="63" t="str">
        <f>Originals!I31</f>
        <v>NI Developer Suite 2015 DS2 Install</v>
      </c>
      <c r="N153" s="56" t="s">
        <v>136</v>
      </c>
    </row>
    <row r="154" spans="1:14" x14ac:dyDescent="0.25">
      <c r="A154" s="62" t="s">
        <v>508</v>
      </c>
      <c r="B154" s="62" t="s">
        <v>508</v>
      </c>
      <c r="C154" s="61" t="s">
        <v>505</v>
      </c>
      <c r="D154" s="62" t="s">
        <v>508</v>
      </c>
      <c r="E154" s="62" t="s">
        <v>508</v>
      </c>
      <c r="F154" s="64" t="str">
        <f>Originals!B274</f>
        <v>NI R Series Multifunction RIO</v>
      </c>
      <c r="G154" s="64" t="str">
        <f>Originals!C274</f>
        <v>15.5.0</v>
      </c>
      <c r="H154" s="64" t="str">
        <f>Originals!D274</f>
        <v>32</v>
      </c>
      <c r="I154" s="64">
        <f>Originals!E274</f>
        <v>2015</v>
      </c>
      <c r="J154" s="64" t="str">
        <f>Originals!F274</f>
        <v>Development</v>
      </c>
      <c r="K154" s="64" t="str">
        <f>Originals!G274</f>
        <v>NI</v>
      </c>
      <c r="L154" s="64" t="str">
        <f>Originals!H274</f>
        <v>NI R Series Multifunction RIO 15.5.0</v>
      </c>
      <c r="M154" s="64">
        <f>Originals!I274</f>
        <v>0</v>
      </c>
      <c r="N154" s="65" t="s">
        <v>2</v>
      </c>
    </row>
    <row r="155" spans="1:14" x14ac:dyDescent="0.25">
      <c r="A155" s="62" t="s">
        <v>508</v>
      </c>
      <c r="B155" s="62" t="s">
        <v>508</v>
      </c>
      <c r="C155" s="61" t="s">
        <v>505</v>
      </c>
      <c r="D155" s="62" t="s">
        <v>508</v>
      </c>
      <c r="E155" s="62" t="s">
        <v>508</v>
      </c>
      <c r="F155" s="64" t="str">
        <f>Originals!B275</f>
        <v>NI Scan Engine</v>
      </c>
      <c r="G155" s="64" t="str">
        <f>Originals!C275</f>
        <v>4.4</v>
      </c>
      <c r="H155" s="64" t="str">
        <f>Originals!D275</f>
        <v>32</v>
      </c>
      <c r="I155" s="64" t="str">
        <f>Originals!E275</f>
        <v>N/A</v>
      </c>
      <c r="J155" s="64" t="str">
        <f>Originals!F275</f>
        <v>C-RIO</v>
      </c>
      <c r="K155" s="64" t="str">
        <f>Originals!G275</f>
        <v>NI</v>
      </c>
      <c r="L155" s="64" t="str">
        <f>Originals!H275</f>
        <v>NI Scan Engine 4.4</v>
      </c>
      <c r="M155" s="64">
        <f>Originals!I275</f>
        <v>0</v>
      </c>
      <c r="N155" s="65" t="s">
        <v>507</v>
      </c>
    </row>
    <row r="156" spans="1:14" x14ac:dyDescent="0.25">
      <c r="A156" s="61" t="s">
        <v>505</v>
      </c>
      <c r="B156" s="61" t="s">
        <v>505</v>
      </c>
      <c r="C156" s="62" t="s">
        <v>508</v>
      </c>
      <c r="D156" s="61" t="s">
        <v>505</v>
      </c>
      <c r="E156" s="62" t="s">
        <v>508</v>
      </c>
      <c r="F156" s="63" t="str">
        <f>Originals!B32</f>
        <v>NI Script Editor</v>
      </c>
      <c r="G156" s="63" t="str">
        <f>Originals!C32</f>
        <v>14.0</v>
      </c>
      <c r="H156" s="63" t="str">
        <f>Originals!D32</f>
        <v>32</v>
      </c>
      <c r="I156" s="63" t="str">
        <f>Originals!E32</f>
        <v>2014</v>
      </c>
      <c r="J156" s="63" t="str">
        <f>Originals!F32</f>
        <v>Development</v>
      </c>
      <c r="K156" s="63" t="str">
        <f>Originals!G32</f>
        <v>NI</v>
      </c>
      <c r="L156" s="63" t="str">
        <f>Originals!H32</f>
        <v>NI Script Editor 14.0</v>
      </c>
      <c r="M156" s="63" t="str">
        <f>Originals!I32</f>
        <v>NI Developer Suite 2015 DS2 Install</v>
      </c>
      <c r="N156" s="56" t="s">
        <v>136</v>
      </c>
    </row>
    <row r="157" spans="1:14" hidden="1" x14ac:dyDescent="0.25">
      <c r="A157" s="62" t="s">
        <v>508</v>
      </c>
      <c r="B157" s="62" t="s">
        <v>508</v>
      </c>
      <c r="C157" s="62" t="s">
        <v>508</v>
      </c>
      <c r="D157" s="62" t="s">
        <v>508</v>
      </c>
      <c r="E157" s="61" t="s">
        <v>505</v>
      </c>
      <c r="F157" s="72" t="str">
        <f>Originals!B383</f>
        <v>NI Serial</v>
      </c>
      <c r="G157" s="72" t="str">
        <f>Originals!C383</f>
        <v>17.5</v>
      </c>
      <c r="H157" s="72" t="str">
        <f>Originals!D383</f>
        <v>32</v>
      </c>
      <c r="I157" s="72" t="str">
        <f>Originals!E383</f>
        <v>2017</v>
      </c>
      <c r="J157" s="72" t="str">
        <f>Originals!F383</f>
        <v>Runtime</v>
      </c>
      <c r="K157" s="72" t="str">
        <f>Originals!G383</f>
        <v>NI</v>
      </c>
      <c r="L157" s="72" t="str">
        <f>Originals!H383</f>
        <v>NI Serial 17.5</v>
      </c>
      <c r="M157" s="72">
        <f>Originals!I383</f>
        <v>0</v>
      </c>
      <c r="N157" s="73" t="s">
        <v>465</v>
      </c>
    </row>
    <row r="158" spans="1:14" x14ac:dyDescent="0.25">
      <c r="A158" s="62" t="s">
        <v>508</v>
      </c>
      <c r="B158" s="62" t="s">
        <v>508</v>
      </c>
      <c r="C158" s="61" t="s">
        <v>505</v>
      </c>
      <c r="D158" s="62" t="s">
        <v>508</v>
      </c>
      <c r="E158" s="62" t="s">
        <v>508</v>
      </c>
      <c r="F158" s="64" t="str">
        <f>Originals!B276</f>
        <v>NI Serial 9870 and 9871 Scan Enginer Support</v>
      </c>
      <c r="G158" s="64">
        <f>Originals!C276</f>
        <v>0</v>
      </c>
      <c r="H158" s="64" t="str">
        <f>Originals!D276</f>
        <v>32</v>
      </c>
      <c r="I158" s="64" t="str">
        <f>Originals!E276</f>
        <v>N/A</v>
      </c>
      <c r="J158" s="64" t="str">
        <f>Originals!F276</f>
        <v>C-RIO</v>
      </c>
      <c r="K158" s="64" t="str">
        <f>Originals!G276</f>
        <v>NI</v>
      </c>
      <c r="L158" s="64" t="str">
        <f>Originals!H276</f>
        <v xml:space="preserve">NI Serial 9870 and 9871 Scan Enginer Support </v>
      </c>
      <c r="M158" s="64">
        <f>Originals!I276</f>
        <v>0</v>
      </c>
      <c r="N158" s="65" t="s">
        <v>2</v>
      </c>
    </row>
    <row r="159" spans="1:14" x14ac:dyDescent="0.25">
      <c r="A159" s="61" t="s">
        <v>505</v>
      </c>
      <c r="B159" s="61" t="s">
        <v>505</v>
      </c>
      <c r="C159" s="61" t="s">
        <v>505</v>
      </c>
      <c r="D159" s="62" t="s">
        <v>508</v>
      </c>
      <c r="E159" s="62" t="s">
        <v>508</v>
      </c>
      <c r="F159" s="63" t="str">
        <f>Originals!B33</f>
        <v>NI SignalExpress</v>
      </c>
      <c r="G159" s="63">
        <f>Originals!C33</f>
        <v>0</v>
      </c>
      <c r="H159" s="63" t="str">
        <f>Originals!D33</f>
        <v>32</v>
      </c>
      <c r="I159" s="63" t="str">
        <f>Originals!E33</f>
        <v>2015</v>
      </c>
      <c r="J159" s="63" t="str">
        <f>Originals!F33</f>
        <v>Development</v>
      </c>
      <c r="K159" s="63" t="str">
        <f>Originals!G33</f>
        <v>NI</v>
      </c>
      <c r="L159" s="63" t="str">
        <f>Originals!H33</f>
        <v xml:space="preserve">NI SignalExpress </v>
      </c>
      <c r="M159" s="63" t="str">
        <f>Originals!I33</f>
        <v>NI Developer Suite 2015 DS2 Install</v>
      </c>
      <c r="N159" s="56" t="s">
        <v>136</v>
      </c>
    </row>
    <row r="160" spans="1:14" x14ac:dyDescent="0.25">
      <c r="A160" s="62" t="s">
        <v>508</v>
      </c>
      <c r="B160" s="62" t="s">
        <v>508</v>
      </c>
      <c r="C160" s="61" t="s">
        <v>505</v>
      </c>
      <c r="D160" s="61" t="s">
        <v>505</v>
      </c>
      <c r="E160" s="62" t="s">
        <v>508</v>
      </c>
      <c r="F160" s="63" t="str">
        <f>Originals!B277</f>
        <v>NI String Tools Library</v>
      </c>
      <c r="G160" s="63" t="str">
        <f>Originals!C277</f>
        <v>2.0.0.5</v>
      </c>
      <c r="H160" s="63" t="str">
        <f>Originals!D277</f>
        <v>32</v>
      </c>
      <c r="I160" s="63" t="str">
        <f>Originals!E277</f>
        <v>N/A</v>
      </c>
      <c r="J160" s="63" t="str">
        <f>Originals!F277</f>
        <v>Development</v>
      </c>
      <c r="K160" s="63" t="str">
        <f>Originals!G277</f>
        <v>NI</v>
      </c>
      <c r="L160" s="63" t="str">
        <f>Originals!H277</f>
        <v>NI String Tools Library 2.0.0.5</v>
      </c>
      <c r="M160" s="63" t="str">
        <f>Originals!I277</f>
        <v>VIPM Community</v>
      </c>
      <c r="N160" s="56" t="s">
        <v>136</v>
      </c>
    </row>
    <row r="161" spans="1:14" x14ac:dyDescent="0.25">
      <c r="A161" s="61" t="s">
        <v>505</v>
      </c>
      <c r="B161" s="61" t="s">
        <v>505</v>
      </c>
      <c r="C161" s="61" t="s">
        <v>505</v>
      </c>
      <c r="D161" s="61" t="s">
        <v>505</v>
      </c>
      <c r="E161" s="62" t="s">
        <v>508</v>
      </c>
      <c r="F161" s="63" t="str">
        <f>Originals!B34</f>
        <v>NI System Configuration</v>
      </c>
      <c r="G161" s="63" t="str">
        <f>Originals!C34</f>
        <v>19.5.0f0</v>
      </c>
      <c r="H161" s="63" t="str">
        <f>Originals!D34</f>
        <v>32</v>
      </c>
      <c r="I161" s="63" t="str">
        <f>Originals!E34</f>
        <v>2019</v>
      </c>
      <c r="J161" s="63" t="str">
        <f>Originals!F34</f>
        <v>Development</v>
      </c>
      <c r="K161" s="63" t="str">
        <f>Originals!G34</f>
        <v>NI</v>
      </c>
      <c r="L161" s="63" t="str">
        <f>Originals!H34</f>
        <v>NI System Configuration 19.5.0f0</v>
      </c>
      <c r="M161" s="63">
        <f>Originals!I34</f>
        <v>0</v>
      </c>
      <c r="N161" s="56" t="s">
        <v>136</v>
      </c>
    </row>
    <row r="162" spans="1:14" hidden="1" x14ac:dyDescent="0.25">
      <c r="A162" s="62" t="s">
        <v>508</v>
      </c>
      <c r="B162" s="62" t="s">
        <v>508</v>
      </c>
      <c r="C162" s="62" t="s">
        <v>508</v>
      </c>
      <c r="D162" s="62" t="s">
        <v>508</v>
      </c>
      <c r="E162" s="61" t="s">
        <v>505</v>
      </c>
      <c r="F162" s="72" t="str">
        <f>Originals!B384</f>
        <v>NI System Configuration</v>
      </c>
      <c r="G162" s="72" t="str">
        <f>Originals!C384</f>
        <v>18.1</v>
      </c>
      <c r="H162" s="72" t="str">
        <f>Originals!D384</f>
        <v>32</v>
      </c>
      <c r="I162" s="72" t="str">
        <f>Originals!E384</f>
        <v>2018</v>
      </c>
      <c r="J162" s="72" t="str">
        <f>Originals!F384</f>
        <v>Development</v>
      </c>
      <c r="K162" s="72" t="str">
        <f>Originals!G384</f>
        <v>NI</v>
      </c>
      <c r="L162" s="72" t="str">
        <f>Originals!H384</f>
        <v>NI System Configuration 18.1</v>
      </c>
      <c r="M162" s="72">
        <f>Originals!I384</f>
        <v>0</v>
      </c>
      <c r="N162" s="73" t="s">
        <v>465</v>
      </c>
    </row>
    <row r="163" spans="1:14" x14ac:dyDescent="0.25">
      <c r="A163" s="62" t="s">
        <v>508</v>
      </c>
      <c r="B163" s="62" t="s">
        <v>508</v>
      </c>
      <c r="C163" s="61" t="s">
        <v>505</v>
      </c>
      <c r="D163" s="62" t="s">
        <v>508</v>
      </c>
      <c r="E163" s="62" t="s">
        <v>508</v>
      </c>
      <c r="F163" s="64" t="str">
        <f>Originals!B279</f>
        <v>NI System Configuration Remote Support</v>
      </c>
      <c r="G163" s="64">
        <f>Originals!C279</f>
        <v>0</v>
      </c>
      <c r="H163" s="64" t="str">
        <f>Originals!D279</f>
        <v>32</v>
      </c>
      <c r="I163" s="64" t="str">
        <f>Originals!E279</f>
        <v>N/A</v>
      </c>
      <c r="J163" s="64" t="str">
        <f>Originals!F279</f>
        <v>C-RIO</v>
      </c>
      <c r="K163" s="64" t="str">
        <f>Originals!G279</f>
        <v>NI</v>
      </c>
      <c r="L163" s="64" t="str">
        <f>Originals!H279</f>
        <v xml:space="preserve">NI System Configuration Remote Support </v>
      </c>
      <c r="M163" s="64">
        <f>Originals!I279</f>
        <v>0</v>
      </c>
      <c r="N163" s="65" t="s">
        <v>2</v>
      </c>
    </row>
    <row r="164" spans="1:14" x14ac:dyDescent="0.25">
      <c r="A164" s="62" t="s">
        <v>508</v>
      </c>
      <c r="B164" s="62" t="s">
        <v>508</v>
      </c>
      <c r="C164" s="61" t="s">
        <v>505</v>
      </c>
      <c r="D164" s="62" t="s">
        <v>508</v>
      </c>
      <c r="E164" s="62" t="s">
        <v>508</v>
      </c>
      <c r="F164" s="64" t="str">
        <f>Originals!B280</f>
        <v>NI Systems Configuration</v>
      </c>
      <c r="G164" s="64" t="str">
        <f>Originals!C280</f>
        <v>15.3.0</v>
      </c>
      <c r="H164" s="64" t="str">
        <f>Originals!D280</f>
        <v>32</v>
      </c>
      <c r="I164" s="64" t="str">
        <f>Originals!E280</f>
        <v>2015</v>
      </c>
      <c r="J164" s="64" t="str">
        <f>Originals!F280</f>
        <v>C-RIO</v>
      </c>
      <c r="K164" s="64" t="str">
        <f>Originals!G280</f>
        <v>NI</v>
      </c>
      <c r="L164" s="64" t="str">
        <f>Originals!H280</f>
        <v>NI Systems Configuration 15.3.0</v>
      </c>
      <c r="M164" s="64">
        <f>Originals!I280</f>
        <v>0</v>
      </c>
      <c r="N164" s="65" t="s">
        <v>2</v>
      </c>
    </row>
    <row r="165" spans="1:14" x14ac:dyDescent="0.25">
      <c r="A165" s="62" t="s">
        <v>508</v>
      </c>
      <c r="B165" s="62" t="s">
        <v>508</v>
      </c>
      <c r="C165" s="61" t="s">
        <v>505</v>
      </c>
      <c r="D165" s="62" t="s">
        <v>508</v>
      </c>
      <c r="E165" s="62" t="s">
        <v>508</v>
      </c>
      <c r="F165" s="64" t="str">
        <f>Originals!B281</f>
        <v>NI Web-based Configuration and Monitoring</v>
      </c>
      <c r="G165" s="64">
        <f>Originals!C281</f>
        <v>0</v>
      </c>
      <c r="H165" s="64" t="str">
        <f>Originals!D281</f>
        <v>32</v>
      </c>
      <c r="I165" s="64" t="str">
        <f>Originals!E281</f>
        <v>N/A</v>
      </c>
      <c r="J165" s="64" t="str">
        <f>Originals!F281</f>
        <v>C-RIO</v>
      </c>
      <c r="K165" s="64" t="str">
        <f>Originals!G281</f>
        <v>NI</v>
      </c>
      <c r="L165" s="64" t="str">
        <f>Originals!H281</f>
        <v xml:space="preserve">NI Web-based Configuration and Monitoring </v>
      </c>
      <c r="M165" s="64">
        <f>Originals!I281</f>
        <v>0</v>
      </c>
      <c r="N165" s="65" t="s">
        <v>2</v>
      </c>
    </row>
    <row r="166" spans="1:14" x14ac:dyDescent="0.25">
      <c r="A166" s="62" t="s">
        <v>508</v>
      </c>
      <c r="B166" s="62" t="s">
        <v>508</v>
      </c>
      <c r="C166" s="61" t="s">
        <v>505</v>
      </c>
      <c r="D166" s="62" t="s">
        <v>508</v>
      </c>
      <c r="E166" s="62" t="s">
        <v>508</v>
      </c>
      <c r="F166" s="64" t="str">
        <f>Originals!B282</f>
        <v>NI Wireless Certificate Web Services</v>
      </c>
      <c r="G166" s="64" t="str">
        <f>Originals!C282</f>
        <v>15.0.0</v>
      </c>
      <c r="H166" s="64" t="str">
        <f>Originals!D282</f>
        <v>32</v>
      </c>
      <c r="I166" s="64" t="str">
        <f>Originals!E282</f>
        <v>2015</v>
      </c>
      <c r="J166" s="64" t="str">
        <f>Originals!F282</f>
        <v>C-RIO</v>
      </c>
      <c r="K166" s="64" t="str">
        <f>Originals!G282</f>
        <v>NI</v>
      </c>
      <c r="L166" s="64" t="str">
        <f>Originals!H282</f>
        <v>NI Wireless Certificate Web Services 15.0.0</v>
      </c>
      <c r="M166" s="64">
        <f>Originals!I282</f>
        <v>0</v>
      </c>
      <c r="N166" s="65" t="s">
        <v>2</v>
      </c>
    </row>
    <row r="167" spans="1:14" x14ac:dyDescent="0.25">
      <c r="A167" s="61" t="s">
        <v>505</v>
      </c>
      <c r="B167" s="61" t="s">
        <v>505</v>
      </c>
      <c r="C167" s="62" t="s">
        <v>508</v>
      </c>
      <c r="D167" s="61" t="s">
        <v>505</v>
      </c>
      <c r="E167" s="62" t="s">
        <v>508</v>
      </c>
      <c r="F167" s="63" t="str">
        <f>Originals!B35</f>
        <v>NI-488.2</v>
      </c>
      <c r="G167" s="63" t="str">
        <f>Originals!C35</f>
        <v>15.0.0</v>
      </c>
      <c r="H167" s="63" t="str">
        <f>Originals!D35</f>
        <v>32</v>
      </c>
      <c r="I167" s="63" t="str">
        <f>Originals!E35</f>
        <v>2015</v>
      </c>
      <c r="J167" s="63" t="str">
        <f>Originals!F35</f>
        <v>Development</v>
      </c>
      <c r="K167" s="63" t="str">
        <f>Originals!G35</f>
        <v>NI</v>
      </c>
      <c r="L167" s="63" t="str">
        <f>Originals!H35</f>
        <v>NI-488.2 15.0.0</v>
      </c>
      <c r="M167" s="63" t="str">
        <f>Originals!I35</f>
        <v>NI Developer Suite 2015 DS2 Install</v>
      </c>
      <c r="N167" s="56" t="s">
        <v>136</v>
      </c>
    </row>
    <row r="168" spans="1:14" x14ac:dyDescent="0.25">
      <c r="A168" s="61" t="s">
        <v>505</v>
      </c>
      <c r="B168" s="61" t="s">
        <v>505</v>
      </c>
      <c r="C168" s="61" t="s">
        <v>505</v>
      </c>
      <c r="D168" s="62" t="s">
        <v>508</v>
      </c>
      <c r="E168" s="62" t="s">
        <v>508</v>
      </c>
      <c r="F168" s="63" t="str">
        <f>Originals!B36</f>
        <v>NI-488.2</v>
      </c>
      <c r="G168" s="63" t="str">
        <f>Originals!C36</f>
        <v>19.5.0</v>
      </c>
      <c r="H168" s="63" t="str">
        <f>Originals!D36</f>
        <v>32</v>
      </c>
      <c r="I168" s="63" t="str">
        <f>Originals!E36</f>
        <v>2019</v>
      </c>
      <c r="J168" s="63" t="str">
        <f>Originals!F36</f>
        <v>Runtime</v>
      </c>
      <c r="K168" s="63" t="str">
        <f>Originals!G36</f>
        <v>NI</v>
      </c>
      <c r="L168" s="63" t="str">
        <f>Originals!H36</f>
        <v>NI-488.2 19.5.0</v>
      </c>
      <c r="M168" s="63">
        <f>Originals!I36</f>
        <v>0</v>
      </c>
      <c r="N168" s="56" t="s">
        <v>136</v>
      </c>
    </row>
    <row r="169" spans="1:14" x14ac:dyDescent="0.25">
      <c r="A169" s="62" t="s">
        <v>508</v>
      </c>
      <c r="B169" s="62" t="s">
        <v>508</v>
      </c>
      <c r="C169" s="61" t="s">
        <v>505</v>
      </c>
      <c r="D169" s="62" t="s">
        <v>508</v>
      </c>
      <c r="E169" s="61" t="s">
        <v>505</v>
      </c>
      <c r="F169" s="63" t="str">
        <f>Originals!B283</f>
        <v>NI-488.2</v>
      </c>
      <c r="G169" s="63" t="str">
        <f>Originals!C283</f>
        <v>15.5.0</v>
      </c>
      <c r="H169" s="63" t="str">
        <f>Originals!D283</f>
        <v>32</v>
      </c>
      <c r="I169" s="63" t="str">
        <f>Originals!E283</f>
        <v>2019</v>
      </c>
      <c r="J169" s="63" t="str">
        <f>Originals!F283</f>
        <v>Development</v>
      </c>
      <c r="K169" s="63" t="str">
        <f>Originals!G283</f>
        <v>NI</v>
      </c>
      <c r="L169" s="63" t="str">
        <f>Originals!H283</f>
        <v>NI-488.2 15.5.0</v>
      </c>
      <c r="M169" s="63">
        <f>Originals!I283</f>
        <v>0</v>
      </c>
      <c r="N169" s="56" t="s">
        <v>136</v>
      </c>
    </row>
    <row r="170" spans="1:14" hidden="1" x14ac:dyDescent="0.25">
      <c r="A170" s="62" t="s">
        <v>508</v>
      </c>
      <c r="B170" s="62" t="s">
        <v>508</v>
      </c>
      <c r="C170" s="62" t="s">
        <v>508</v>
      </c>
      <c r="D170" s="61" t="s">
        <v>505</v>
      </c>
      <c r="E170" s="62" t="s">
        <v>508</v>
      </c>
      <c r="F170" s="66" t="str">
        <f>Scott!B46</f>
        <v>LabVIEW</v>
      </c>
      <c r="G170" s="66" t="str">
        <f>Scott!C46</f>
        <v>14.0.1</v>
      </c>
      <c r="H170" s="66">
        <f>Scott!D46</f>
        <v>32</v>
      </c>
      <c r="I170" s="66" t="str">
        <f>Scott!E46</f>
        <v>2014 SP1 f11</v>
      </c>
      <c r="J170" s="66" t="str">
        <f>Scott!F46</f>
        <v>Runtime</v>
      </c>
      <c r="K170" s="66" t="str">
        <f>Scott!G46</f>
        <v>NI</v>
      </c>
      <c r="L170" s="66" t="str">
        <f>Scott!H46</f>
        <v>LabVIEW 2014 SP1 f11 14.0.1</v>
      </c>
      <c r="M170" s="66" t="str">
        <f>Scott!I46</f>
        <v>2015 SP1 Update Service</v>
      </c>
      <c r="N170" s="67" t="s">
        <v>96</v>
      </c>
    </row>
    <row r="171" spans="1:14" x14ac:dyDescent="0.25">
      <c r="A171" s="62" t="s">
        <v>508</v>
      </c>
      <c r="B171" s="62" t="s">
        <v>508</v>
      </c>
      <c r="C171" s="61" t="s">
        <v>505</v>
      </c>
      <c r="D171" s="61" t="s">
        <v>505</v>
      </c>
      <c r="E171" s="62" t="s">
        <v>508</v>
      </c>
      <c r="F171" s="92" t="str">
        <f>Originals!B285</f>
        <v>NI-CAN</v>
      </c>
      <c r="G171" s="92" t="str">
        <f>Originals!C285</f>
        <v>15.0.0f0</v>
      </c>
      <c r="H171" s="92" t="str">
        <f>Originals!D285</f>
        <v>32</v>
      </c>
      <c r="I171" s="92">
        <f>Originals!E285</f>
        <v>2015</v>
      </c>
      <c r="J171" s="92" t="str">
        <f>Originals!F285</f>
        <v>Development</v>
      </c>
      <c r="K171" s="92" t="str">
        <f>Originals!G285</f>
        <v>NI</v>
      </c>
      <c r="L171" s="92" t="str">
        <f>Originals!H285</f>
        <v>NI-CAN 15.0.0f0</v>
      </c>
      <c r="M171" s="92">
        <f>Originals!I285</f>
        <v>0</v>
      </c>
      <c r="N171" s="93" t="s">
        <v>136</v>
      </c>
    </row>
    <row r="172" spans="1:14" x14ac:dyDescent="0.25">
      <c r="A172" s="61" t="s">
        <v>505</v>
      </c>
      <c r="B172" s="61" t="s">
        <v>505</v>
      </c>
      <c r="C172" s="62" t="s">
        <v>508</v>
      </c>
      <c r="D172" s="62" t="s">
        <v>508</v>
      </c>
      <c r="E172" s="62" t="s">
        <v>508</v>
      </c>
      <c r="F172" s="63" t="str">
        <f>Originals!B37</f>
        <v>NI-DAQmx ADE Support</v>
      </c>
      <c r="G172" s="63" t="str">
        <f>Originals!C37</f>
        <v>15.0.0</v>
      </c>
      <c r="H172" s="63" t="str">
        <f>Originals!D37</f>
        <v>32</v>
      </c>
      <c r="I172" s="63" t="str">
        <f>Originals!E37</f>
        <v>2015</v>
      </c>
      <c r="J172" s="63" t="str">
        <f>Originals!F37</f>
        <v>Development</v>
      </c>
      <c r="K172" s="63" t="str">
        <f>Originals!G37</f>
        <v>NI</v>
      </c>
      <c r="L172" s="63" t="str">
        <f>Originals!H37</f>
        <v>NI-DAQmx ADE Support 15.0.0</v>
      </c>
      <c r="M172" s="63" t="str">
        <f>Originals!I37</f>
        <v>NI Developer Suite 2015 DS2 Install</v>
      </c>
      <c r="N172" s="56" t="s">
        <v>136</v>
      </c>
    </row>
    <row r="173" spans="1:14" x14ac:dyDescent="0.25">
      <c r="A173" s="62" t="s">
        <v>508</v>
      </c>
      <c r="B173" s="62" t="s">
        <v>508</v>
      </c>
      <c r="C173" s="61" t="s">
        <v>505</v>
      </c>
      <c r="D173" s="62" t="s">
        <v>508</v>
      </c>
      <c r="E173" s="62" t="s">
        <v>508</v>
      </c>
      <c r="F173" s="64" t="str">
        <f>Originals!B286</f>
        <v>NI-DAQmx ADE Support</v>
      </c>
      <c r="G173" s="64" t="str">
        <f>Originals!C286</f>
        <v>18.5.0</v>
      </c>
      <c r="H173" s="64" t="str">
        <f>Originals!D286</f>
        <v>32</v>
      </c>
      <c r="I173" s="64" t="str">
        <f>Originals!E286</f>
        <v>2018</v>
      </c>
      <c r="J173" s="64" t="str">
        <f>Originals!F286</f>
        <v>Development</v>
      </c>
      <c r="K173" s="64" t="str">
        <f>Originals!G286</f>
        <v>NI</v>
      </c>
      <c r="L173" s="64" t="str">
        <f>Originals!H286</f>
        <v>NI-DAQmx ADE Support 18.5.0</v>
      </c>
      <c r="M173" s="64">
        <f>Originals!I286</f>
        <v>0</v>
      </c>
      <c r="N173" s="65" t="s">
        <v>2</v>
      </c>
    </row>
    <row r="174" spans="1:14" x14ac:dyDescent="0.25">
      <c r="A174" s="62" t="s">
        <v>508</v>
      </c>
      <c r="B174" s="62" t="s">
        <v>508</v>
      </c>
      <c r="C174" s="62" t="s">
        <v>508</v>
      </c>
      <c r="D174" s="61" t="s">
        <v>505</v>
      </c>
      <c r="E174" s="61" t="s">
        <v>505</v>
      </c>
      <c r="F174" s="63" t="str">
        <f>Scott!B48</f>
        <v>LabVIEW</v>
      </c>
      <c r="G174" s="63" t="str">
        <f>Scott!C48</f>
        <v>19.0.0</v>
      </c>
      <c r="H174" s="63" t="str">
        <f>Scott!D48</f>
        <v>32</v>
      </c>
      <c r="I174" s="63" t="str">
        <f>Scott!E48</f>
        <v>2019</v>
      </c>
      <c r="J174" s="63" t="str">
        <f>Scott!F48</f>
        <v>Runtime</v>
      </c>
      <c r="K174" s="63" t="str">
        <f>Scott!G48</f>
        <v>NI</v>
      </c>
      <c r="L174" s="63" t="str">
        <f>Scott!H48</f>
        <v>LabVIEW 2019 19.0.0</v>
      </c>
      <c r="M174" s="63" t="str">
        <f>Scott!I48</f>
        <v>LabVIEW 2019</v>
      </c>
      <c r="N174" s="56" t="s">
        <v>136</v>
      </c>
    </row>
    <row r="175" spans="1:14" x14ac:dyDescent="0.25">
      <c r="A175" s="61" t="s">
        <v>505</v>
      </c>
      <c r="B175" s="61" t="s">
        <v>505</v>
      </c>
      <c r="C175" s="62" t="s">
        <v>508</v>
      </c>
      <c r="D175" s="62" t="s">
        <v>508</v>
      </c>
      <c r="E175" s="62" t="s">
        <v>508</v>
      </c>
      <c r="F175" s="63" t="str">
        <f>Originals!B38</f>
        <v>NI-DAQmx Device Driver</v>
      </c>
      <c r="G175" s="63" t="str">
        <f>Originals!C38</f>
        <v>15.0.0f2</v>
      </c>
      <c r="H175" s="63" t="str">
        <f>Originals!D38</f>
        <v>32</v>
      </c>
      <c r="I175" s="63" t="str">
        <f>Originals!E38</f>
        <v>2015</v>
      </c>
      <c r="J175" s="63" t="str">
        <f>Originals!F38</f>
        <v>Development</v>
      </c>
      <c r="K175" s="63" t="str">
        <f>Originals!G38</f>
        <v>NI</v>
      </c>
      <c r="L175" s="63" t="str">
        <f>Originals!H38</f>
        <v>NI-DAQmx Device Driver 15.0.0f2</v>
      </c>
      <c r="M175" s="63" t="str">
        <f>Originals!I38</f>
        <v>NI Developer Suite 2015 DS2 Install</v>
      </c>
      <c r="N175" s="56" t="s">
        <v>136</v>
      </c>
    </row>
    <row r="176" spans="1:14" x14ac:dyDescent="0.25">
      <c r="A176" s="62" t="s">
        <v>508</v>
      </c>
      <c r="B176" s="62" t="s">
        <v>508</v>
      </c>
      <c r="C176" s="61" t="s">
        <v>505</v>
      </c>
      <c r="D176" s="62" t="s">
        <v>508</v>
      </c>
      <c r="E176" s="62" t="s">
        <v>508</v>
      </c>
      <c r="F176" s="64" t="str">
        <f>Originals!B287</f>
        <v>NI-DAQmx Device Driver</v>
      </c>
      <c r="G176" s="64" t="str">
        <f>Originals!C287</f>
        <v>19.5.0f0</v>
      </c>
      <c r="H176" s="64" t="str">
        <f>Originals!D287</f>
        <v>32</v>
      </c>
      <c r="I176" s="64" t="str">
        <f>Originals!E287</f>
        <v>2019</v>
      </c>
      <c r="J176" s="64" t="str">
        <f>Originals!F287</f>
        <v>Development</v>
      </c>
      <c r="K176" s="64" t="str">
        <f>Originals!G287</f>
        <v>NI</v>
      </c>
      <c r="L176" s="64" t="str">
        <f>Originals!H287</f>
        <v>NI-DAQmx Device Driver 19.5.0f0</v>
      </c>
      <c r="M176" s="64">
        <f>Originals!I287</f>
        <v>0</v>
      </c>
      <c r="N176" s="65" t="s">
        <v>2</v>
      </c>
    </row>
    <row r="177" spans="1:14" hidden="1" x14ac:dyDescent="0.25">
      <c r="A177" s="62" t="s">
        <v>508</v>
      </c>
      <c r="B177" s="62" t="s">
        <v>508</v>
      </c>
      <c r="C177" s="62" t="s">
        <v>508</v>
      </c>
      <c r="D177" s="62" t="s">
        <v>508</v>
      </c>
      <c r="E177" s="61" t="s">
        <v>505</v>
      </c>
      <c r="F177" s="72" t="str">
        <f>Originals!B387</f>
        <v>NI-DAQmx Device Driver</v>
      </c>
      <c r="G177" s="72" t="str">
        <f>Originals!C387</f>
        <v>18.1</v>
      </c>
      <c r="H177" s="72" t="str">
        <f>Originals!D387</f>
        <v>32</v>
      </c>
      <c r="I177" s="72" t="str">
        <f>Originals!E387</f>
        <v>2018</v>
      </c>
      <c r="J177" s="72" t="str">
        <f>Originals!F387</f>
        <v>Development</v>
      </c>
      <c r="K177" s="72" t="str">
        <f>Originals!G387</f>
        <v>NI</v>
      </c>
      <c r="L177" s="72" t="str">
        <f>Originals!H387</f>
        <v>NI-DAQmx Device Driver 18.1</v>
      </c>
      <c r="M177" s="72" t="str">
        <f>Originals!I387</f>
        <v>CompactRIO 18.1.0</v>
      </c>
      <c r="N177" s="73" t="s">
        <v>465</v>
      </c>
    </row>
    <row r="178" spans="1:14" hidden="1" x14ac:dyDescent="0.25">
      <c r="A178" s="62" t="s">
        <v>508</v>
      </c>
      <c r="B178" s="62" t="s">
        <v>508</v>
      </c>
      <c r="C178" s="62" t="s">
        <v>508</v>
      </c>
      <c r="D178" s="61" t="s">
        <v>505</v>
      </c>
      <c r="E178" s="62" t="s">
        <v>508</v>
      </c>
      <c r="F178" s="66" t="str">
        <f>Scott!B49</f>
        <v>LabVIEW</v>
      </c>
      <c r="G178" s="66" t="str">
        <f>Scott!C49</f>
        <v>18.0.1</v>
      </c>
      <c r="H178" s="66" t="str">
        <f>Scott!D49</f>
        <v>32</v>
      </c>
      <c r="I178" s="66" t="str">
        <f>Scott!E49</f>
        <v>2018 SP1 f3</v>
      </c>
      <c r="J178" s="66" t="str">
        <f>Scott!F49</f>
        <v>Runtime</v>
      </c>
      <c r="K178" s="66" t="str">
        <f>Scott!G49</f>
        <v>NI</v>
      </c>
      <c r="L178" s="66" t="str">
        <f>Scott!H49</f>
        <v>LabVIEW 2019 SP1 f3 18.0.1</v>
      </c>
      <c r="M178" s="66" t="str">
        <f>Scott!I49</f>
        <v>LabVIEW 2019</v>
      </c>
      <c r="N178" s="67" t="s">
        <v>96</v>
      </c>
    </row>
    <row r="179" spans="1:14" x14ac:dyDescent="0.25">
      <c r="A179" s="61" t="s">
        <v>505</v>
      </c>
      <c r="B179" s="61" t="s">
        <v>505</v>
      </c>
      <c r="C179" s="62" t="s">
        <v>508</v>
      </c>
      <c r="D179" s="62" t="s">
        <v>508</v>
      </c>
      <c r="E179" s="62" t="s">
        <v>508</v>
      </c>
      <c r="F179" s="63" t="str">
        <f>Originals!B39</f>
        <v>NI-DAQmx MAX Configuration</v>
      </c>
      <c r="G179" s="63" t="str">
        <f>Originals!C39</f>
        <v>15.0.0</v>
      </c>
      <c r="H179" s="63" t="str">
        <f>Originals!D39</f>
        <v>32</v>
      </c>
      <c r="I179" s="63" t="str">
        <f>Originals!E39</f>
        <v>2015</v>
      </c>
      <c r="J179" s="63" t="str">
        <f>Originals!F39</f>
        <v>Development</v>
      </c>
      <c r="K179" s="63" t="str">
        <f>Originals!G39</f>
        <v>NI</v>
      </c>
      <c r="L179" s="63" t="str">
        <f>Originals!H39</f>
        <v>NI-DAQmx MAX Configuration 15.0.0</v>
      </c>
      <c r="M179" s="63" t="str">
        <f>Originals!I39</f>
        <v>NI Developer Suite 2015 DS2 Install</v>
      </c>
      <c r="N179" s="56" t="s">
        <v>136</v>
      </c>
    </row>
    <row r="180" spans="1:14" x14ac:dyDescent="0.25">
      <c r="A180" s="62" t="s">
        <v>508</v>
      </c>
      <c r="B180" s="62" t="s">
        <v>508</v>
      </c>
      <c r="C180" s="61" t="s">
        <v>505</v>
      </c>
      <c r="D180" s="62" t="s">
        <v>508</v>
      </c>
      <c r="E180" s="62" t="s">
        <v>508</v>
      </c>
      <c r="F180" s="64" t="str">
        <f>Originals!B288</f>
        <v>NI-DAQmx MAX Configuration</v>
      </c>
      <c r="G180" s="64" t="str">
        <f>Originals!C288</f>
        <v>18.5.0</v>
      </c>
      <c r="H180" s="64" t="str">
        <f>Originals!D288</f>
        <v>32</v>
      </c>
      <c r="I180" s="64" t="str">
        <f>Originals!E288</f>
        <v>2018</v>
      </c>
      <c r="J180" s="64" t="str">
        <f>Originals!F288</f>
        <v>Development</v>
      </c>
      <c r="K180" s="64" t="str">
        <f>Originals!G288</f>
        <v>NI</v>
      </c>
      <c r="L180" s="64" t="str">
        <f>Originals!H288</f>
        <v>NI-DAQmx MAX Configuration 18.5.0</v>
      </c>
      <c r="M180" s="64">
        <f>Originals!I288</f>
        <v>0</v>
      </c>
      <c r="N180" s="65" t="s">
        <v>2</v>
      </c>
    </row>
    <row r="181" spans="1:14" x14ac:dyDescent="0.25">
      <c r="A181" s="62" t="s">
        <v>508</v>
      </c>
      <c r="B181" s="62" t="s">
        <v>508</v>
      </c>
      <c r="C181" s="61" t="s">
        <v>505</v>
      </c>
      <c r="D181" s="61" t="s">
        <v>505</v>
      </c>
      <c r="E181" s="62" t="s">
        <v>508</v>
      </c>
      <c r="F181" s="63" t="str">
        <f>Scott!B50</f>
        <v>LabVIEW</v>
      </c>
      <c r="G181" s="63" t="str">
        <f>Scott!C50</f>
        <v>14.0.1</v>
      </c>
      <c r="H181" s="63">
        <f>Scott!D50</f>
        <v>64</v>
      </c>
      <c r="I181" s="63" t="str">
        <f>Scott!E50</f>
        <v>2014 SP1 f11</v>
      </c>
      <c r="J181" s="63" t="str">
        <f>Scott!F50</f>
        <v>Runtime</v>
      </c>
      <c r="K181" s="63" t="str">
        <f>Scott!G50</f>
        <v>NI</v>
      </c>
      <c r="L181" s="63" t="str">
        <f>Scott!H50</f>
        <v>LabVIEW 2014 SP1 f11 14.0.1</v>
      </c>
      <c r="M181" s="63" t="str">
        <f>Scott!I50</f>
        <v>2015 SP1 Update Service</v>
      </c>
      <c r="N181" s="56" t="s">
        <v>136</v>
      </c>
    </row>
    <row r="182" spans="1:14" x14ac:dyDescent="0.25">
      <c r="A182" s="61" t="s">
        <v>505</v>
      </c>
      <c r="B182" s="61" t="s">
        <v>505</v>
      </c>
      <c r="C182" s="62" t="s">
        <v>508</v>
      </c>
      <c r="D182" s="61" t="s">
        <v>505</v>
      </c>
      <c r="E182" s="62" t="s">
        <v>508</v>
      </c>
      <c r="F182" s="63" t="str">
        <f>Originals!B40</f>
        <v>NI-DCPower</v>
      </c>
      <c r="G182" s="63" t="str">
        <f>Originals!C40</f>
        <v>15.0</v>
      </c>
      <c r="H182" s="63" t="str">
        <f>Originals!D40</f>
        <v>32</v>
      </c>
      <c r="I182" s="63" t="str">
        <f>Originals!E40</f>
        <v>2015</v>
      </c>
      <c r="J182" s="63" t="str">
        <f>Originals!F40</f>
        <v>Development</v>
      </c>
      <c r="K182" s="63" t="str">
        <f>Originals!G40</f>
        <v>NI</v>
      </c>
      <c r="L182" s="63" t="str">
        <f>Originals!H40</f>
        <v>NI-DCPower 15.0</v>
      </c>
      <c r="M182" s="63" t="str">
        <f>Originals!I40</f>
        <v>NI Developer Suite 2015 DS2 Install</v>
      </c>
      <c r="N182" s="56" t="s">
        <v>136</v>
      </c>
    </row>
    <row r="183" spans="1:14" x14ac:dyDescent="0.25">
      <c r="A183" s="61" t="s">
        <v>505</v>
      </c>
      <c r="B183" s="61" t="s">
        <v>505</v>
      </c>
      <c r="C183" s="62" t="s">
        <v>508</v>
      </c>
      <c r="D183" s="61" t="s">
        <v>505</v>
      </c>
      <c r="E183" s="62" t="s">
        <v>508</v>
      </c>
      <c r="F183" s="63" t="str">
        <f>Originals!B42</f>
        <v>NI-DCPower Configuration Support</v>
      </c>
      <c r="G183" s="63" t="str">
        <f>Originals!C42</f>
        <v>15.0</v>
      </c>
      <c r="H183" s="63" t="str">
        <f>Originals!D42</f>
        <v>32</v>
      </c>
      <c r="I183" s="63" t="str">
        <f>Originals!E42</f>
        <v>2015</v>
      </c>
      <c r="J183" s="63" t="str">
        <f>Originals!F42</f>
        <v>Development</v>
      </c>
      <c r="K183" s="63" t="str">
        <f>Originals!G42</f>
        <v>NI</v>
      </c>
      <c r="L183" s="63" t="str">
        <f>Originals!H42</f>
        <v>NI-DCPower Configuration Support 15.0</v>
      </c>
      <c r="M183" s="63" t="str">
        <f>Originals!I42</f>
        <v>NI Developer Suite 2015 DS2 Install</v>
      </c>
      <c r="N183" s="56" t="s">
        <v>136</v>
      </c>
    </row>
    <row r="184" spans="1:14" x14ac:dyDescent="0.25">
      <c r="A184" s="61" t="s">
        <v>505</v>
      </c>
      <c r="B184" s="61" t="s">
        <v>505</v>
      </c>
      <c r="C184" s="62" t="s">
        <v>508</v>
      </c>
      <c r="D184" s="61" t="s">
        <v>505</v>
      </c>
      <c r="E184" s="62" t="s">
        <v>508</v>
      </c>
      <c r="F184" s="63" t="str">
        <f>Originals!B121</f>
        <v>NI-DCPower Development Support</v>
      </c>
      <c r="G184" s="63" t="str">
        <f>Originals!C121</f>
        <v>15.0</v>
      </c>
      <c r="H184" s="63" t="str">
        <f>Originals!D121</f>
        <v>32</v>
      </c>
      <c r="I184" s="63" t="str">
        <f>Originals!E121</f>
        <v>2015</v>
      </c>
      <c r="J184" s="63" t="str">
        <f>Originals!F121</f>
        <v>Development</v>
      </c>
      <c r="K184" s="63" t="str">
        <f>Originals!G121</f>
        <v>NI</v>
      </c>
      <c r="L184" s="63" t="str">
        <f>Originals!H121</f>
        <v>NI-DCPower Development Support 15.0</v>
      </c>
      <c r="M184" s="63" t="str">
        <f>Originals!I121</f>
        <v>NI Developer Suite 2015 DS2 Install</v>
      </c>
      <c r="N184" s="56" t="s">
        <v>136</v>
      </c>
    </row>
    <row r="185" spans="1:14" x14ac:dyDescent="0.25">
      <c r="A185" s="61" t="s">
        <v>505</v>
      </c>
      <c r="B185" s="61" t="s">
        <v>505</v>
      </c>
      <c r="C185" s="62" t="s">
        <v>508</v>
      </c>
      <c r="D185" s="61" t="s">
        <v>505</v>
      </c>
      <c r="E185" s="62" t="s">
        <v>508</v>
      </c>
      <c r="F185" s="63" t="str">
        <f>Originals!B44</f>
        <v>NI-DCPower Soft Front Panel</v>
      </c>
      <c r="G185" s="63" t="str">
        <f>Originals!C44</f>
        <v>15.0</v>
      </c>
      <c r="H185" s="63" t="str">
        <f>Originals!D44</f>
        <v>32</v>
      </c>
      <c r="I185" s="63" t="str">
        <f>Originals!E44</f>
        <v>2015</v>
      </c>
      <c r="J185" s="63" t="str">
        <f>Originals!F44</f>
        <v>Development</v>
      </c>
      <c r="K185" s="63" t="str">
        <f>Originals!G44</f>
        <v>NI</v>
      </c>
      <c r="L185" s="63" t="str">
        <f>Originals!H44</f>
        <v>NI-DCPower Soft Front Panel 15.0</v>
      </c>
      <c r="M185" s="63" t="str">
        <f>Originals!I44</f>
        <v>NI Developer Suite 2015 DS2 Install</v>
      </c>
      <c r="N185" s="56" t="s">
        <v>136</v>
      </c>
    </row>
    <row r="186" spans="1:14" x14ac:dyDescent="0.25">
      <c r="A186" s="61" t="s">
        <v>505</v>
      </c>
      <c r="B186" s="61" t="s">
        <v>505</v>
      </c>
      <c r="C186" s="62" t="s">
        <v>508</v>
      </c>
      <c r="D186" s="61" t="s">
        <v>505</v>
      </c>
      <c r="E186" s="62" t="s">
        <v>508</v>
      </c>
      <c r="F186" s="63" t="str">
        <f>Originals!B45</f>
        <v>NI-DMM</v>
      </c>
      <c r="G186" s="63" t="str">
        <f>Originals!C45</f>
        <v>15.0</v>
      </c>
      <c r="H186" s="63" t="str">
        <f>Originals!D45</f>
        <v>32</v>
      </c>
      <c r="I186" s="63" t="str">
        <f>Originals!E45</f>
        <v>2015</v>
      </c>
      <c r="J186" s="63" t="str">
        <f>Originals!F45</f>
        <v>Development</v>
      </c>
      <c r="K186" s="63" t="str">
        <f>Originals!G45</f>
        <v>NI</v>
      </c>
      <c r="L186" s="63" t="str">
        <f>Originals!H45</f>
        <v>NI-DMM 15.0</v>
      </c>
      <c r="M186" s="63" t="str">
        <f>Originals!I45</f>
        <v>NI Developer Suite 2015 DS2 Install</v>
      </c>
      <c r="N186" s="56" t="s">
        <v>136</v>
      </c>
    </row>
    <row r="187" spans="1:14" x14ac:dyDescent="0.25">
      <c r="A187" s="61" t="s">
        <v>505</v>
      </c>
      <c r="B187" s="61" t="s">
        <v>505</v>
      </c>
      <c r="C187" s="62" t="s">
        <v>508</v>
      </c>
      <c r="D187" s="61" t="s">
        <v>505</v>
      </c>
      <c r="E187" s="62" t="s">
        <v>508</v>
      </c>
      <c r="F187" s="63" t="str">
        <f>Originals!B46</f>
        <v>NI-DMM</v>
      </c>
      <c r="G187" s="63" t="str">
        <f>Originals!C46</f>
        <v>15.0</v>
      </c>
      <c r="H187" s="63" t="str">
        <f>Originals!D46</f>
        <v>32</v>
      </c>
      <c r="I187" s="63" t="str">
        <f>Originals!E46</f>
        <v>2015</v>
      </c>
      <c r="J187" s="63" t="str">
        <f>Originals!F46</f>
        <v>Runtime</v>
      </c>
      <c r="K187" s="63" t="str">
        <f>Originals!G46</f>
        <v>NI</v>
      </c>
      <c r="L187" s="63" t="str">
        <f>Originals!H46</f>
        <v>NI-DMM 15.0</v>
      </c>
      <c r="M187" s="63" t="str">
        <f>Originals!I46</f>
        <v>NI Developer Suite 2015 DS2 Install</v>
      </c>
      <c r="N187" s="56" t="s">
        <v>136</v>
      </c>
    </row>
    <row r="188" spans="1:14" x14ac:dyDescent="0.25">
      <c r="A188" s="61" t="s">
        <v>505</v>
      </c>
      <c r="B188" s="61" t="s">
        <v>505</v>
      </c>
      <c r="C188" s="62" t="s">
        <v>508</v>
      </c>
      <c r="D188" s="61" t="s">
        <v>505</v>
      </c>
      <c r="E188" s="62" t="s">
        <v>508</v>
      </c>
      <c r="F188" s="63" t="str">
        <f>Originals!B47</f>
        <v>NI-DMM Configuration Support</v>
      </c>
      <c r="G188" s="63" t="str">
        <f>Originals!C47</f>
        <v>15.0</v>
      </c>
      <c r="H188" s="63" t="str">
        <f>Originals!D47</f>
        <v>32</v>
      </c>
      <c r="I188" s="63" t="str">
        <f>Originals!E47</f>
        <v>2015</v>
      </c>
      <c r="J188" s="63" t="str">
        <f>Originals!F47</f>
        <v>Development</v>
      </c>
      <c r="K188" s="63" t="str">
        <f>Originals!G47</f>
        <v>NI</v>
      </c>
      <c r="L188" s="63" t="str">
        <f>Originals!H47</f>
        <v>NI-DMM Configuration Support 15.0</v>
      </c>
      <c r="M188" s="63" t="str">
        <f>Originals!I47</f>
        <v>NI Developer Suite 2015 DS2 Install</v>
      </c>
      <c r="N188" s="56" t="s">
        <v>136</v>
      </c>
    </row>
    <row r="189" spans="1:14" x14ac:dyDescent="0.25">
      <c r="A189" s="61" t="s">
        <v>505</v>
      </c>
      <c r="B189" s="61" t="s">
        <v>505</v>
      </c>
      <c r="C189" s="62" t="s">
        <v>508</v>
      </c>
      <c r="D189" s="61" t="s">
        <v>505</v>
      </c>
      <c r="E189" s="62" t="s">
        <v>508</v>
      </c>
      <c r="F189" s="63" t="str">
        <f>Originals!B48</f>
        <v>NI-DMM Development Support</v>
      </c>
      <c r="G189" s="63" t="str">
        <f>Originals!C48</f>
        <v>15.0</v>
      </c>
      <c r="H189" s="63" t="str">
        <f>Originals!D48</f>
        <v>32</v>
      </c>
      <c r="I189" s="63" t="str">
        <f>Originals!E48</f>
        <v>2015</v>
      </c>
      <c r="J189" s="63" t="str">
        <f>Originals!F48</f>
        <v>Development</v>
      </c>
      <c r="K189" s="63" t="str">
        <f>Originals!G48</f>
        <v>NI</v>
      </c>
      <c r="L189" s="63" t="str">
        <f>Originals!H48</f>
        <v>NI-DMM Development Support 15.0</v>
      </c>
      <c r="M189" s="63" t="str">
        <f>Originals!I48</f>
        <v>NI Developer Suite 2015 DS2 Install</v>
      </c>
      <c r="N189" s="56" t="s">
        <v>136</v>
      </c>
    </row>
    <row r="190" spans="1:14" x14ac:dyDescent="0.25">
      <c r="A190" s="61" t="s">
        <v>505</v>
      </c>
      <c r="B190" s="62" t="s">
        <v>508</v>
      </c>
      <c r="C190" s="62" t="s">
        <v>508</v>
      </c>
      <c r="D190" s="61" t="s">
        <v>505</v>
      </c>
      <c r="E190" s="62" t="s">
        <v>508</v>
      </c>
      <c r="F190" s="63" t="str">
        <f>Originals!B49</f>
        <v>NI-DMM Soft Front Panel</v>
      </c>
      <c r="G190" s="63" t="str">
        <f>Originals!C49</f>
        <v>15.0</v>
      </c>
      <c r="H190" s="63" t="str">
        <f>Originals!D49</f>
        <v>32</v>
      </c>
      <c r="I190" s="63" t="str">
        <f>Originals!E49</f>
        <v>2015</v>
      </c>
      <c r="J190" s="63" t="str">
        <f>Originals!F49</f>
        <v>Development</v>
      </c>
      <c r="K190" s="63" t="str">
        <f>Originals!G49</f>
        <v>NI</v>
      </c>
      <c r="L190" s="63" t="str">
        <f>Originals!H49</f>
        <v>NI-DMM Soft Front Panel 15.0</v>
      </c>
      <c r="M190" s="63" t="str">
        <f>Originals!I49</f>
        <v>NI Developer Suite 2015 DS2 Install</v>
      </c>
      <c r="N190" s="56" t="s">
        <v>136</v>
      </c>
    </row>
    <row r="191" spans="1:14" x14ac:dyDescent="0.25">
      <c r="A191" s="61" t="s">
        <v>505</v>
      </c>
      <c r="B191" s="61" t="s">
        <v>505</v>
      </c>
      <c r="C191" s="62" t="s">
        <v>508</v>
      </c>
      <c r="D191" s="61" t="s">
        <v>505</v>
      </c>
      <c r="E191" s="62" t="s">
        <v>508</v>
      </c>
      <c r="F191" s="63" t="str">
        <f>Originals!B50</f>
        <v>NI-FGEN</v>
      </c>
      <c r="G191" s="63" t="str">
        <f>Originals!C50</f>
        <v>15.0</v>
      </c>
      <c r="H191" s="63" t="str">
        <f>Originals!D50</f>
        <v>32</v>
      </c>
      <c r="I191" s="63" t="str">
        <f>Originals!E50</f>
        <v>2015</v>
      </c>
      <c r="J191" s="63" t="str">
        <f>Originals!F50</f>
        <v>Development</v>
      </c>
      <c r="K191" s="63" t="str">
        <f>Originals!G50</f>
        <v>NI</v>
      </c>
      <c r="L191" s="63" t="str">
        <f>Originals!H50</f>
        <v>NI-FGEN 15.0</v>
      </c>
      <c r="M191" s="63" t="str">
        <f>Originals!I50</f>
        <v>NI Developer Suite 2015 DS2 Install</v>
      </c>
      <c r="N191" s="56" t="s">
        <v>136</v>
      </c>
    </row>
    <row r="192" spans="1:14" x14ac:dyDescent="0.25">
      <c r="A192" s="61" t="s">
        <v>505</v>
      </c>
      <c r="B192" s="61" t="s">
        <v>505</v>
      </c>
      <c r="C192" s="62" t="s">
        <v>508</v>
      </c>
      <c r="D192" s="61" t="s">
        <v>505</v>
      </c>
      <c r="E192" s="62" t="s">
        <v>508</v>
      </c>
      <c r="F192" s="63" t="str">
        <f>Originals!B51</f>
        <v>NI-FGEN</v>
      </c>
      <c r="G192" s="63" t="str">
        <f>Originals!C51</f>
        <v>15.0</v>
      </c>
      <c r="H192" s="63" t="str">
        <f>Originals!D51</f>
        <v>32</v>
      </c>
      <c r="I192" s="63" t="str">
        <f>Originals!E51</f>
        <v>2015</v>
      </c>
      <c r="J192" s="63" t="str">
        <f>Originals!F51</f>
        <v>Runtime</v>
      </c>
      <c r="K192" s="63" t="str">
        <f>Originals!G51</f>
        <v>NI</v>
      </c>
      <c r="L192" s="63" t="str">
        <f>Originals!H51</f>
        <v>NI-FGEN 15.0</v>
      </c>
      <c r="M192" s="63" t="str">
        <f>Originals!I51</f>
        <v>NI Developer Suite 2015 DS2 Install</v>
      </c>
      <c r="N192" s="56" t="s">
        <v>136</v>
      </c>
    </row>
    <row r="193" spans="1:14" x14ac:dyDescent="0.25">
      <c r="A193" s="61" t="s">
        <v>505</v>
      </c>
      <c r="B193" s="61" t="s">
        <v>505</v>
      </c>
      <c r="C193" s="62" t="s">
        <v>508</v>
      </c>
      <c r="D193" s="61" t="s">
        <v>505</v>
      </c>
      <c r="E193" s="62" t="s">
        <v>508</v>
      </c>
      <c r="F193" s="63" t="str">
        <f>Originals!B52</f>
        <v>NI-FGEN Configuration Support</v>
      </c>
      <c r="G193" s="63" t="str">
        <f>Originals!C52</f>
        <v>15.0</v>
      </c>
      <c r="H193" s="63" t="str">
        <f>Originals!D52</f>
        <v>32</v>
      </c>
      <c r="I193" s="63" t="str">
        <f>Originals!E52</f>
        <v>2015</v>
      </c>
      <c r="J193" s="63" t="str">
        <f>Originals!F52</f>
        <v>Development</v>
      </c>
      <c r="K193" s="63" t="str">
        <f>Originals!G52</f>
        <v>NI</v>
      </c>
      <c r="L193" s="63" t="str">
        <f>Originals!H52</f>
        <v>NI-FGEN Configuration Support 15.0</v>
      </c>
      <c r="M193" s="63" t="str">
        <f>Originals!I52</f>
        <v>NI Developer Suite 2015 DS2 Install</v>
      </c>
      <c r="N193" s="56" t="s">
        <v>136</v>
      </c>
    </row>
    <row r="194" spans="1:14" x14ac:dyDescent="0.25">
      <c r="A194" s="61" t="s">
        <v>505</v>
      </c>
      <c r="B194" s="61" t="s">
        <v>505</v>
      </c>
      <c r="C194" s="62" t="s">
        <v>508</v>
      </c>
      <c r="D194" s="61" t="s">
        <v>505</v>
      </c>
      <c r="E194" s="62" t="s">
        <v>508</v>
      </c>
      <c r="F194" s="63" t="str">
        <f>Originals!B53</f>
        <v>NI-FGEN Development Support</v>
      </c>
      <c r="G194" s="63" t="str">
        <f>Originals!C53</f>
        <v>15.0</v>
      </c>
      <c r="H194" s="63" t="str">
        <f>Originals!D53</f>
        <v>32</v>
      </c>
      <c r="I194" s="63" t="str">
        <f>Originals!E53</f>
        <v>2015</v>
      </c>
      <c r="J194" s="63" t="str">
        <f>Originals!F53</f>
        <v>Development</v>
      </c>
      <c r="K194" s="63" t="str">
        <f>Originals!G53</f>
        <v>NI</v>
      </c>
      <c r="L194" s="63" t="str">
        <f>Originals!H53</f>
        <v>NI-FGEN Development Support 15.0</v>
      </c>
      <c r="M194" s="63" t="str">
        <f>Originals!I53</f>
        <v>NI Developer Suite 2015 DS2 Install</v>
      </c>
      <c r="N194" s="56" t="s">
        <v>136</v>
      </c>
    </row>
    <row r="195" spans="1:14" x14ac:dyDescent="0.25">
      <c r="A195" s="61" t="s">
        <v>505</v>
      </c>
      <c r="B195" s="61" t="s">
        <v>505</v>
      </c>
      <c r="C195" s="62" t="s">
        <v>508</v>
      </c>
      <c r="D195" s="61" t="s">
        <v>505</v>
      </c>
      <c r="E195" s="62" t="s">
        <v>508</v>
      </c>
      <c r="F195" s="63" t="str">
        <f>Originals!B54</f>
        <v>NI-FGEN Soft Front Panel</v>
      </c>
      <c r="G195" s="63" t="str">
        <f>Originals!C54</f>
        <v>15.0</v>
      </c>
      <c r="H195" s="63" t="str">
        <f>Originals!D54</f>
        <v>32</v>
      </c>
      <c r="I195" s="63" t="str">
        <f>Originals!E54</f>
        <v>2015</v>
      </c>
      <c r="J195" s="63" t="str">
        <f>Originals!F54</f>
        <v>Development</v>
      </c>
      <c r="K195" s="63" t="str">
        <f>Originals!G54</f>
        <v>NI</v>
      </c>
      <c r="L195" s="63" t="str">
        <f>Originals!H54</f>
        <v>NI-FGEN Soft Front Panel 15.0</v>
      </c>
      <c r="M195" s="63" t="str">
        <f>Originals!I54</f>
        <v>NI Developer Suite 2015 DS2 Install</v>
      </c>
      <c r="N195" s="56" t="s">
        <v>136</v>
      </c>
    </row>
    <row r="196" spans="1:14" x14ac:dyDescent="0.25">
      <c r="A196" s="62" t="s">
        <v>508</v>
      </c>
      <c r="B196" s="61" t="s">
        <v>505</v>
      </c>
      <c r="C196" s="62" t="s">
        <v>508</v>
      </c>
      <c r="D196" s="61" t="s">
        <v>505</v>
      </c>
      <c r="E196" s="62" t="s">
        <v>508</v>
      </c>
      <c r="F196" s="63" t="str">
        <f>Originals!B132</f>
        <v>NI-HSDIO</v>
      </c>
      <c r="G196" s="63">
        <f>Originals!C132</f>
        <v>0</v>
      </c>
      <c r="H196" s="63" t="str">
        <f>Originals!D132</f>
        <v>32</v>
      </c>
      <c r="I196" s="63" t="str">
        <f>Originals!E132</f>
        <v>2015</v>
      </c>
      <c r="J196" s="63" t="str">
        <f>Originals!F132</f>
        <v>Development</v>
      </c>
      <c r="K196" s="63" t="str">
        <f>Originals!G132</f>
        <v>NI</v>
      </c>
      <c r="L196" s="63" t="str">
        <f>Originals!H132</f>
        <v xml:space="preserve">NI-HSDIO </v>
      </c>
      <c r="M196" s="63" t="str">
        <f>Originals!I132</f>
        <v>NI Developer Suite 2015 DS2 Install</v>
      </c>
      <c r="N196" s="56" t="s">
        <v>136</v>
      </c>
    </row>
    <row r="197" spans="1:14" x14ac:dyDescent="0.25">
      <c r="A197" s="62" t="s">
        <v>508</v>
      </c>
      <c r="B197" s="61" t="s">
        <v>505</v>
      </c>
      <c r="C197" s="62" t="s">
        <v>508</v>
      </c>
      <c r="D197" s="61" t="s">
        <v>505</v>
      </c>
      <c r="E197" s="62" t="s">
        <v>508</v>
      </c>
      <c r="F197" s="63" t="str">
        <f>Originals!B133</f>
        <v>NI-HSDIO</v>
      </c>
      <c r="G197" s="63" t="str">
        <f>Originals!C133</f>
        <v>15.0</v>
      </c>
      <c r="H197" s="63" t="str">
        <f>Originals!D133</f>
        <v>32</v>
      </c>
      <c r="I197" s="63" t="str">
        <f>Originals!E133</f>
        <v>2015</v>
      </c>
      <c r="J197" s="63" t="str">
        <f>Originals!F133</f>
        <v>Runtime</v>
      </c>
      <c r="K197" s="63" t="str">
        <f>Originals!G133</f>
        <v>NI</v>
      </c>
      <c r="L197" s="63" t="str">
        <f>Originals!H133</f>
        <v>NI-HSDIO 15.0</v>
      </c>
      <c r="M197" s="63" t="str">
        <f>Originals!I133</f>
        <v>NI Developer Suite 2015 DS2 Install</v>
      </c>
      <c r="N197" s="56" t="s">
        <v>136</v>
      </c>
    </row>
    <row r="198" spans="1:14" x14ac:dyDescent="0.25">
      <c r="A198" s="62" t="s">
        <v>508</v>
      </c>
      <c r="B198" s="61" t="s">
        <v>505</v>
      </c>
      <c r="C198" s="62" t="s">
        <v>508</v>
      </c>
      <c r="D198" s="61" t="s">
        <v>505</v>
      </c>
      <c r="E198" s="62" t="s">
        <v>508</v>
      </c>
      <c r="F198" s="63" t="str">
        <f>Originals!B134</f>
        <v>NI-HSDIO Configuration Support</v>
      </c>
      <c r="G198" s="63" t="str">
        <f>Originals!C134</f>
        <v>15.0</v>
      </c>
      <c r="H198" s="63" t="str">
        <f>Originals!D134</f>
        <v>32</v>
      </c>
      <c r="I198" s="63" t="str">
        <f>Originals!E134</f>
        <v>2015</v>
      </c>
      <c r="J198" s="63" t="str">
        <f>Originals!F134</f>
        <v>Development</v>
      </c>
      <c r="K198" s="63" t="str">
        <f>Originals!G134</f>
        <v>NI</v>
      </c>
      <c r="L198" s="63" t="str">
        <f>Originals!H134</f>
        <v>NI-HSDIO Configuration Support 15.0</v>
      </c>
      <c r="M198" s="63" t="str">
        <f>Originals!I134</f>
        <v>NI Developer Suite 2015 DS2 Install</v>
      </c>
      <c r="N198" s="56" t="s">
        <v>136</v>
      </c>
    </row>
    <row r="199" spans="1:14" x14ac:dyDescent="0.25">
      <c r="A199" s="62" t="s">
        <v>508</v>
      </c>
      <c r="B199" s="61" t="s">
        <v>505</v>
      </c>
      <c r="C199" s="62" t="s">
        <v>508</v>
      </c>
      <c r="D199" s="61" t="s">
        <v>505</v>
      </c>
      <c r="E199" s="62" t="s">
        <v>508</v>
      </c>
      <c r="F199" s="63" t="str">
        <f>Originals!B135</f>
        <v>NI-HSDIO Development Support</v>
      </c>
      <c r="G199" s="63" t="str">
        <f>Originals!C135</f>
        <v>15.0</v>
      </c>
      <c r="H199" s="63" t="str">
        <f>Originals!D135</f>
        <v>32</v>
      </c>
      <c r="I199" s="63" t="str">
        <f>Originals!E135</f>
        <v>2015</v>
      </c>
      <c r="J199" s="63" t="str">
        <f>Originals!F135</f>
        <v>Development</v>
      </c>
      <c r="K199" s="63" t="str">
        <f>Originals!G135</f>
        <v>NI</v>
      </c>
      <c r="L199" s="63" t="str">
        <f>Originals!H135</f>
        <v>NI-HSDIO Development Support 15.0</v>
      </c>
      <c r="M199" s="63" t="str">
        <f>Originals!I135</f>
        <v>NI Developer Suite 2015 DS2 Install</v>
      </c>
      <c r="N199" s="56" t="s">
        <v>136</v>
      </c>
    </row>
    <row r="200" spans="1:14" x14ac:dyDescent="0.25">
      <c r="A200" s="62" t="s">
        <v>508</v>
      </c>
      <c r="B200" s="61" t="s">
        <v>505</v>
      </c>
      <c r="C200" s="62" t="s">
        <v>508</v>
      </c>
      <c r="D200" s="61" t="s">
        <v>505</v>
      </c>
      <c r="E200" s="62" t="s">
        <v>508</v>
      </c>
      <c r="F200" s="63" t="str">
        <f>Originals!B136</f>
        <v>NI-HWS</v>
      </c>
      <c r="G200" s="63" t="str">
        <f>Originals!C136</f>
        <v>15.0.0</v>
      </c>
      <c r="H200" s="63" t="str">
        <f>Originals!D136</f>
        <v>32</v>
      </c>
      <c r="I200" s="63" t="str">
        <f>Originals!E136</f>
        <v>2015</v>
      </c>
      <c r="J200" s="63" t="str">
        <f>Originals!F136</f>
        <v>Development</v>
      </c>
      <c r="K200" s="63" t="str">
        <f>Originals!G136</f>
        <v>NI</v>
      </c>
      <c r="L200" s="63" t="str">
        <f>Originals!H136</f>
        <v>NI-HWS 15.0.0</v>
      </c>
      <c r="M200" s="63" t="str">
        <f>Originals!I136</f>
        <v>NI Developer Suite 2015 DS2 Install</v>
      </c>
      <c r="N200" s="56" t="s">
        <v>136</v>
      </c>
    </row>
    <row r="201" spans="1:14" x14ac:dyDescent="0.25">
      <c r="A201" s="62" t="s">
        <v>508</v>
      </c>
      <c r="B201" s="62" t="s">
        <v>508</v>
      </c>
      <c r="C201" s="61" t="s">
        <v>505</v>
      </c>
      <c r="D201" s="62" t="s">
        <v>508</v>
      </c>
      <c r="E201" s="62" t="s">
        <v>508</v>
      </c>
      <c r="F201" s="64" t="str">
        <f>Originals!B289</f>
        <v>NI-IMAQ</v>
      </c>
      <c r="G201" s="64" t="str">
        <f>Originals!C289</f>
        <v>19.5.0</v>
      </c>
      <c r="H201" s="64" t="str">
        <f>Originals!D289</f>
        <v>32</v>
      </c>
      <c r="I201" s="64" t="str">
        <f>Originals!E289</f>
        <v>2019</v>
      </c>
      <c r="J201" s="64" t="str">
        <f>Originals!F289</f>
        <v>Development</v>
      </c>
      <c r="K201" s="64" t="str">
        <f>Originals!G289</f>
        <v>NI</v>
      </c>
      <c r="L201" s="64" t="str">
        <f>Originals!H289</f>
        <v>NI-IMAQ 19.5.0</v>
      </c>
      <c r="M201" s="64">
        <f>Originals!I289</f>
        <v>0</v>
      </c>
      <c r="N201" s="65" t="s">
        <v>2</v>
      </c>
    </row>
    <row r="202" spans="1:14" x14ac:dyDescent="0.25">
      <c r="A202" s="62" t="s">
        <v>508</v>
      </c>
      <c r="B202" s="62" t="s">
        <v>508</v>
      </c>
      <c r="C202" s="61" t="s">
        <v>505</v>
      </c>
      <c r="D202" s="62" t="s">
        <v>508</v>
      </c>
      <c r="E202" s="62" t="s">
        <v>508</v>
      </c>
      <c r="F202" s="64" t="str">
        <f>Originals!B290</f>
        <v>NI-IMAQ</v>
      </c>
      <c r="G202" s="64" t="str">
        <f>Originals!C290</f>
        <v>19.5.0</v>
      </c>
      <c r="H202" s="64" t="str">
        <f>Originals!D290</f>
        <v>32</v>
      </c>
      <c r="I202" s="64" t="str">
        <f>Originals!E290</f>
        <v>2019</v>
      </c>
      <c r="J202" s="64" t="str">
        <f>Originals!F290</f>
        <v>Runtime</v>
      </c>
      <c r="K202" s="64" t="str">
        <f>Originals!G290</f>
        <v>NI</v>
      </c>
      <c r="L202" s="64" t="str">
        <f>Originals!H290</f>
        <v>NI-IMAQ 19.5.0</v>
      </c>
      <c r="M202" s="64">
        <f>Originals!I290</f>
        <v>0</v>
      </c>
      <c r="N202" s="65" t="s">
        <v>2</v>
      </c>
    </row>
    <row r="203" spans="1:14" x14ac:dyDescent="0.25">
      <c r="A203" s="62" t="s">
        <v>508</v>
      </c>
      <c r="B203" s="62" t="s">
        <v>508</v>
      </c>
      <c r="C203" s="61" t="s">
        <v>505</v>
      </c>
      <c r="D203" s="61" t="s">
        <v>505</v>
      </c>
      <c r="E203" s="62" t="s">
        <v>508</v>
      </c>
      <c r="F203" s="63" t="str">
        <f>Scott!B71</f>
        <v>MGI Error Reporter</v>
      </c>
      <c r="G203" s="63" t="str">
        <f>Scott!C71</f>
        <v>1.0.2.5</v>
      </c>
      <c r="H203" s="63" t="str">
        <f>Scott!D71</f>
        <v>32</v>
      </c>
      <c r="I203" s="63" t="str">
        <f>Scott!E71</f>
        <v>N/A</v>
      </c>
      <c r="J203" s="63" t="str">
        <f>Scott!F71</f>
        <v>Development</v>
      </c>
      <c r="K203" s="63" t="str">
        <f>Scott!G71</f>
        <v>MGI</v>
      </c>
      <c r="L203" s="63" t="str">
        <f>Scott!H71</f>
        <v>MGI Error Reporter 1.0.2.5</v>
      </c>
      <c r="M203" s="63" t="str">
        <f>Scott!I71</f>
        <v>VIPM Community</v>
      </c>
      <c r="N203" s="56" t="s">
        <v>136</v>
      </c>
    </row>
    <row r="204" spans="1:14" x14ac:dyDescent="0.25">
      <c r="A204" s="62" t="s">
        <v>508</v>
      </c>
      <c r="B204" s="62" t="s">
        <v>508</v>
      </c>
      <c r="C204" s="61" t="s">
        <v>505</v>
      </c>
      <c r="D204" s="61" t="s">
        <v>505</v>
      </c>
      <c r="E204" s="62" t="s">
        <v>508</v>
      </c>
      <c r="F204" s="63" t="str">
        <f>Scott!B72</f>
        <v>MGI File</v>
      </c>
      <c r="G204" s="63" t="str">
        <f>Scott!C72</f>
        <v>1.1.0.4</v>
      </c>
      <c r="H204" s="63" t="str">
        <f>Scott!D72</f>
        <v>32</v>
      </c>
      <c r="I204" s="63" t="str">
        <f>Scott!E72</f>
        <v>N/A</v>
      </c>
      <c r="J204" s="63" t="str">
        <f>Scott!F72</f>
        <v>Development</v>
      </c>
      <c r="K204" s="63" t="str">
        <f>Scott!G72</f>
        <v>MGI</v>
      </c>
      <c r="L204" s="63" t="str">
        <f>Scott!H72</f>
        <v>MGI File 1.1.0.4</v>
      </c>
      <c r="M204" s="63" t="str">
        <f>Scott!I72</f>
        <v>VIPM Community</v>
      </c>
      <c r="N204" s="56" t="s">
        <v>136</v>
      </c>
    </row>
    <row r="205" spans="1:14" x14ac:dyDescent="0.25">
      <c r="A205" s="62" t="s">
        <v>508</v>
      </c>
      <c r="B205" s="62" t="s">
        <v>508</v>
      </c>
      <c r="C205" s="61" t="s">
        <v>505</v>
      </c>
      <c r="D205" s="62" t="s">
        <v>508</v>
      </c>
      <c r="E205" s="62" t="s">
        <v>508</v>
      </c>
      <c r="F205" s="64" t="str">
        <f>Originals!B291</f>
        <v>NI-IMAQ Development Support</v>
      </c>
      <c r="G205" s="64" t="str">
        <f>Originals!C291</f>
        <v>18.5.0</v>
      </c>
      <c r="H205" s="64" t="str">
        <f>Originals!D291</f>
        <v>32</v>
      </c>
      <c r="I205" s="64" t="str">
        <f>Originals!E291</f>
        <v>2018</v>
      </c>
      <c r="J205" s="64" t="str">
        <f>Originals!F291</f>
        <v>Development</v>
      </c>
      <c r="K205" s="64" t="str">
        <f>Originals!G291</f>
        <v>NI</v>
      </c>
      <c r="L205" s="64" t="str">
        <f>Originals!H291</f>
        <v>NI-IMAQ Development Support 18.5.0</v>
      </c>
      <c r="M205" s="64">
        <f>Originals!I291</f>
        <v>0</v>
      </c>
      <c r="N205" s="65" t="s">
        <v>507</v>
      </c>
    </row>
    <row r="206" spans="1:14" x14ac:dyDescent="0.25">
      <c r="A206" s="62" t="s">
        <v>508</v>
      </c>
      <c r="B206" s="62" t="s">
        <v>508</v>
      </c>
      <c r="C206" s="61" t="s">
        <v>505</v>
      </c>
      <c r="D206" s="62" t="s">
        <v>508</v>
      </c>
      <c r="E206" s="62" t="s">
        <v>508</v>
      </c>
      <c r="F206" s="64" t="str">
        <f>Originals!B292</f>
        <v>NI-IMAQ I/O</v>
      </c>
      <c r="G206" s="64" t="str">
        <f>Originals!C292</f>
        <v>18.5.0</v>
      </c>
      <c r="H206" s="64" t="str">
        <f>Originals!D292</f>
        <v>32</v>
      </c>
      <c r="I206" s="64" t="str">
        <f>Originals!E292</f>
        <v>2018</v>
      </c>
      <c r="J206" s="64" t="str">
        <f>Originals!F292</f>
        <v>Development</v>
      </c>
      <c r="K206" s="64" t="str">
        <f>Originals!G292</f>
        <v>NI</v>
      </c>
      <c r="L206" s="64" t="str">
        <f>Originals!H292</f>
        <v>NI-IMAQ I/O 18.5.0</v>
      </c>
      <c r="M206" s="64">
        <f>Originals!I292</f>
        <v>0</v>
      </c>
      <c r="N206" s="65" t="s">
        <v>2</v>
      </c>
    </row>
    <row r="207" spans="1:14" x14ac:dyDescent="0.25">
      <c r="A207" s="62" t="s">
        <v>508</v>
      </c>
      <c r="B207" s="62" t="s">
        <v>508</v>
      </c>
      <c r="C207" s="61" t="s">
        <v>505</v>
      </c>
      <c r="D207" s="62" t="s">
        <v>508</v>
      </c>
      <c r="E207" s="62" t="s">
        <v>508</v>
      </c>
      <c r="F207" s="64" t="str">
        <f>Originals!B293</f>
        <v>NI-IMAQ I/O</v>
      </c>
      <c r="G207" s="64" t="str">
        <f>Originals!C293</f>
        <v>18.5.0</v>
      </c>
      <c r="H207" s="64" t="str">
        <f>Originals!D293</f>
        <v>32</v>
      </c>
      <c r="I207" s="64" t="str">
        <f>Originals!E293</f>
        <v>2018</v>
      </c>
      <c r="J207" s="64" t="str">
        <f>Originals!F293</f>
        <v>Runtime</v>
      </c>
      <c r="K207" s="64" t="str">
        <f>Originals!G293</f>
        <v>NI</v>
      </c>
      <c r="L207" s="64" t="str">
        <f>Originals!H293</f>
        <v>NI-IMAQ I/O 18.5.0</v>
      </c>
      <c r="M207" s="64">
        <f>Originals!I293</f>
        <v>0</v>
      </c>
      <c r="N207" s="65" t="s">
        <v>2</v>
      </c>
    </row>
    <row r="208" spans="1:14" x14ac:dyDescent="0.25">
      <c r="A208" s="62" t="s">
        <v>508</v>
      </c>
      <c r="B208" s="62" t="s">
        <v>508</v>
      </c>
      <c r="C208" s="61" t="s">
        <v>505</v>
      </c>
      <c r="D208" s="61" t="s">
        <v>505</v>
      </c>
      <c r="E208" s="62" t="s">
        <v>508</v>
      </c>
      <c r="F208" s="63" t="str">
        <f>Scott!B73</f>
        <v>MGI Graph</v>
      </c>
      <c r="G208" s="63" t="str">
        <f>Scott!C73</f>
        <v>1.0.2.6</v>
      </c>
      <c r="H208" s="63" t="str">
        <f>Scott!D73</f>
        <v>32</v>
      </c>
      <c r="I208" s="63" t="str">
        <f>Scott!E73</f>
        <v>N/A</v>
      </c>
      <c r="J208" s="63" t="str">
        <f>Scott!F73</f>
        <v>Development</v>
      </c>
      <c r="K208" s="63" t="str">
        <f>Scott!G73</f>
        <v>MGI</v>
      </c>
      <c r="L208" s="63" t="str">
        <f>Scott!H73</f>
        <v>MGI Graph 1.0.2.6</v>
      </c>
      <c r="M208" s="63" t="str">
        <f>Scott!I73</f>
        <v>VIPM Community</v>
      </c>
      <c r="N208" s="56" t="s">
        <v>136</v>
      </c>
    </row>
    <row r="209" spans="1:14" x14ac:dyDescent="0.25">
      <c r="A209" s="62" t="s">
        <v>508</v>
      </c>
      <c r="B209" s="62" t="s">
        <v>508</v>
      </c>
      <c r="C209" s="61" t="s">
        <v>505</v>
      </c>
      <c r="D209" s="61" t="s">
        <v>505</v>
      </c>
      <c r="E209" s="62" t="s">
        <v>508</v>
      </c>
      <c r="F209" s="63" t="str">
        <f>Scott!B74</f>
        <v>MGI Library</v>
      </c>
      <c r="G209" s="63" t="str">
        <f>Scott!C74</f>
        <v>1.2.0.4</v>
      </c>
      <c r="H209" s="63" t="str">
        <f>Scott!D74</f>
        <v>32</v>
      </c>
      <c r="I209" s="63" t="str">
        <f>Scott!E74</f>
        <v>N/A</v>
      </c>
      <c r="J209" s="63" t="str">
        <f>Scott!F74</f>
        <v>Development</v>
      </c>
      <c r="K209" s="63" t="str">
        <f>Scott!G74</f>
        <v>MGI</v>
      </c>
      <c r="L209" s="63" t="str">
        <f>Scott!H74</f>
        <v>MGI Library 1.2.0.4</v>
      </c>
      <c r="M209" s="63" t="str">
        <f>Scott!I74</f>
        <v>VIPM Community</v>
      </c>
      <c r="N209" s="56" t="s">
        <v>136</v>
      </c>
    </row>
    <row r="210" spans="1:14" x14ac:dyDescent="0.25">
      <c r="A210" s="62" t="s">
        <v>508</v>
      </c>
      <c r="B210" s="62" t="s">
        <v>508</v>
      </c>
      <c r="C210" s="61" t="s">
        <v>505</v>
      </c>
      <c r="D210" s="62" t="s">
        <v>508</v>
      </c>
      <c r="E210" s="62" t="s">
        <v>508</v>
      </c>
      <c r="F210" s="64" t="str">
        <f>Originals!B294</f>
        <v>NI-IMAQ I/O Development Support</v>
      </c>
      <c r="G210" s="64" t="str">
        <f>Originals!C294</f>
        <v>18.5.0</v>
      </c>
      <c r="H210" s="64" t="str">
        <f>Originals!D294</f>
        <v>32</v>
      </c>
      <c r="I210" s="64" t="str">
        <f>Originals!E294</f>
        <v>2018</v>
      </c>
      <c r="J210" s="64" t="str">
        <f>Originals!F294</f>
        <v>Development</v>
      </c>
      <c r="K210" s="64" t="str">
        <f>Originals!G294</f>
        <v>NI</v>
      </c>
      <c r="L210" s="64" t="str">
        <f>Originals!H294</f>
        <v>NI-IMAQ I/O Development Support 18.5.0</v>
      </c>
      <c r="M210" s="64">
        <f>Originals!I294</f>
        <v>0</v>
      </c>
      <c r="N210" s="65" t="s">
        <v>2</v>
      </c>
    </row>
    <row r="211" spans="1:14" x14ac:dyDescent="0.25">
      <c r="A211" s="62" t="s">
        <v>508</v>
      </c>
      <c r="B211" s="62" t="s">
        <v>508</v>
      </c>
      <c r="C211" s="61" t="s">
        <v>505</v>
      </c>
      <c r="D211" s="62" t="s">
        <v>508</v>
      </c>
      <c r="E211" s="62" t="s">
        <v>508</v>
      </c>
      <c r="F211" s="64" t="str">
        <f>Originals!B295</f>
        <v>NI-IMAQdx</v>
      </c>
      <c r="G211" s="64" t="str">
        <f>Originals!C295</f>
        <v>18.5.0</v>
      </c>
      <c r="H211" s="64" t="str">
        <f>Originals!D295</f>
        <v>32</v>
      </c>
      <c r="I211" s="64" t="str">
        <f>Originals!E295</f>
        <v>2018</v>
      </c>
      <c r="J211" s="64" t="str">
        <f>Originals!F295</f>
        <v>Development</v>
      </c>
      <c r="K211" s="64" t="str">
        <f>Originals!G295</f>
        <v>NI</v>
      </c>
      <c r="L211" s="64" t="str">
        <f>Originals!H295</f>
        <v>NI-IMAQdx 18.5.0</v>
      </c>
      <c r="M211" s="64">
        <f>Originals!I295</f>
        <v>0</v>
      </c>
      <c r="N211" s="65" t="s">
        <v>2</v>
      </c>
    </row>
    <row r="212" spans="1:14" x14ac:dyDescent="0.25">
      <c r="A212" s="62" t="s">
        <v>508</v>
      </c>
      <c r="B212" s="62" t="s">
        <v>508</v>
      </c>
      <c r="C212" s="61" t="s">
        <v>505</v>
      </c>
      <c r="D212" s="62" t="s">
        <v>508</v>
      </c>
      <c r="E212" s="62" t="s">
        <v>508</v>
      </c>
      <c r="F212" s="64" t="str">
        <f>Originals!B296</f>
        <v>NI-IMAQdx</v>
      </c>
      <c r="G212" s="64" t="str">
        <f>Originals!C296</f>
        <v>18.5.0</v>
      </c>
      <c r="H212" s="64" t="str">
        <f>Originals!D296</f>
        <v>32</v>
      </c>
      <c r="I212" s="64" t="str">
        <f>Originals!E296</f>
        <v>2018</v>
      </c>
      <c r="J212" s="64" t="str">
        <f>Originals!F296</f>
        <v>Runtime</v>
      </c>
      <c r="K212" s="64" t="str">
        <f>Originals!G296</f>
        <v>NI</v>
      </c>
      <c r="L212" s="64" t="str">
        <f>Originals!H296</f>
        <v>NI-IMAQdx 18.5.0</v>
      </c>
      <c r="M212" s="64">
        <f>Originals!I296</f>
        <v>0</v>
      </c>
      <c r="N212" s="65" t="s">
        <v>2</v>
      </c>
    </row>
    <row r="213" spans="1:14" x14ac:dyDescent="0.25">
      <c r="A213" s="62" t="s">
        <v>508</v>
      </c>
      <c r="B213" s="62" t="s">
        <v>508</v>
      </c>
      <c r="C213" s="61" t="s">
        <v>505</v>
      </c>
      <c r="D213" s="61" t="s">
        <v>505</v>
      </c>
      <c r="E213" s="62" t="s">
        <v>508</v>
      </c>
      <c r="F213" s="63" t="str">
        <f>Scott!B75</f>
        <v>MGI Matrix &amp; Vector</v>
      </c>
      <c r="G213" s="63" t="str">
        <f>Scott!C75</f>
        <v>1.1.0.1</v>
      </c>
      <c r="H213" s="63" t="str">
        <f>Scott!D75</f>
        <v>32</v>
      </c>
      <c r="I213" s="63" t="str">
        <f>Scott!E75</f>
        <v>N/A</v>
      </c>
      <c r="J213" s="63" t="str">
        <f>Scott!F75</f>
        <v>Development</v>
      </c>
      <c r="K213" s="63" t="str">
        <f>Scott!G75</f>
        <v>MGI</v>
      </c>
      <c r="L213" s="63" t="str">
        <f>Scott!H75</f>
        <v>MGI Matrix &amp; Vector 1.1.0.1</v>
      </c>
      <c r="M213" s="63" t="str">
        <f>Scott!I75</f>
        <v>VIPM Community</v>
      </c>
      <c r="N213" s="56" t="s">
        <v>136</v>
      </c>
    </row>
    <row r="214" spans="1:14" x14ac:dyDescent="0.25">
      <c r="A214" s="62" t="s">
        <v>508</v>
      </c>
      <c r="B214" s="62" t="s">
        <v>508</v>
      </c>
      <c r="C214" s="61" t="s">
        <v>505</v>
      </c>
      <c r="D214" s="61" t="s">
        <v>505</v>
      </c>
      <c r="E214" s="62" t="s">
        <v>508</v>
      </c>
      <c r="F214" s="63" t="str">
        <f>Scott!B76</f>
        <v>MGI Menu Building</v>
      </c>
      <c r="G214" s="63" t="str">
        <f>Scott!C76</f>
        <v>1.0.1.4</v>
      </c>
      <c r="H214" s="63" t="str">
        <f>Scott!D76</f>
        <v>32</v>
      </c>
      <c r="I214" s="63" t="str">
        <f>Scott!E76</f>
        <v>N/A</v>
      </c>
      <c r="J214" s="63" t="str">
        <f>Scott!F76</f>
        <v>Development</v>
      </c>
      <c r="K214" s="63" t="str">
        <f>Scott!G76</f>
        <v>MGI</v>
      </c>
      <c r="L214" s="63" t="str">
        <f>Scott!H76</f>
        <v>MGI Menu Building 1.0.1.4</v>
      </c>
      <c r="M214" s="63" t="str">
        <f>Scott!I76</f>
        <v>VIPM Community</v>
      </c>
      <c r="N214" s="56" t="s">
        <v>136</v>
      </c>
    </row>
    <row r="215" spans="1:14" x14ac:dyDescent="0.25">
      <c r="A215" s="62" t="s">
        <v>508</v>
      </c>
      <c r="B215" s="62" t="s">
        <v>508</v>
      </c>
      <c r="C215" s="61" t="s">
        <v>505</v>
      </c>
      <c r="D215" s="62" t="s">
        <v>508</v>
      </c>
      <c r="E215" s="62" t="s">
        <v>508</v>
      </c>
      <c r="F215" s="64" t="str">
        <f>Originals!B297</f>
        <v>NI-IMAQdx Development Support</v>
      </c>
      <c r="G215" s="64" t="str">
        <f>Originals!C297</f>
        <v>18.5.0</v>
      </c>
      <c r="H215" s="64" t="str">
        <f>Originals!D297</f>
        <v>32</v>
      </c>
      <c r="I215" s="64" t="str">
        <f>Originals!E297</f>
        <v>2018</v>
      </c>
      <c r="J215" s="64" t="str">
        <f>Originals!F297</f>
        <v>Development</v>
      </c>
      <c r="K215" s="64" t="str">
        <f>Originals!G297</f>
        <v>NI</v>
      </c>
      <c r="L215" s="64" t="str">
        <f>Originals!H297</f>
        <v>NI-IMAQdx Development Support 18.5.0</v>
      </c>
      <c r="M215" s="64">
        <f>Originals!I297</f>
        <v>0</v>
      </c>
      <c r="N215" s="65" t="s">
        <v>2</v>
      </c>
    </row>
    <row r="216" spans="1:14" x14ac:dyDescent="0.25">
      <c r="A216" s="62" t="s">
        <v>508</v>
      </c>
      <c r="B216" s="61" t="s">
        <v>505</v>
      </c>
      <c r="C216" s="61" t="s">
        <v>505</v>
      </c>
      <c r="D216" s="62" t="s">
        <v>508</v>
      </c>
      <c r="E216" s="62" t="s">
        <v>508</v>
      </c>
      <c r="F216" s="63" t="str">
        <f>Originals!B137</f>
        <v>NI-Industrial Communications for EtherCAT</v>
      </c>
      <c r="G216" s="63" t="str">
        <f>Originals!C137</f>
        <v>15.0.0f3</v>
      </c>
      <c r="H216" s="63" t="str">
        <f>Originals!D137</f>
        <v>32</v>
      </c>
      <c r="I216" s="63" t="str">
        <f>Originals!E137</f>
        <v>2015</v>
      </c>
      <c r="J216" s="63" t="str">
        <f>Originals!F137</f>
        <v>Development</v>
      </c>
      <c r="K216" s="63" t="str">
        <f>Originals!G137</f>
        <v>NI</v>
      </c>
      <c r="L216" s="63" t="str">
        <f>Originals!H137</f>
        <v>NI-Industrial Communications for EtherCAT 15.0.0f3</v>
      </c>
      <c r="M216" s="63" t="str">
        <f>Originals!I137</f>
        <v>NI-Industrial Communications for EtherCAT on "Y' Drive</v>
      </c>
      <c r="N216" s="56" t="s">
        <v>136</v>
      </c>
    </row>
    <row r="217" spans="1:14" x14ac:dyDescent="0.25">
      <c r="A217" s="62" t="s">
        <v>508</v>
      </c>
      <c r="B217" s="62" t="s">
        <v>508</v>
      </c>
      <c r="C217" s="61" t="s">
        <v>505</v>
      </c>
      <c r="D217" s="62" t="s">
        <v>508</v>
      </c>
      <c r="E217" s="62" t="s">
        <v>508</v>
      </c>
      <c r="F217" s="64" t="str">
        <f>Originals!B298</f>
        <v>NI-Industrial Communications for EtherCAT</v>
      </c>
      <c r="G217" s="64" t="str">
        <f>Originals!C298</f>
        <v>15.0</v>
      </c>
      <c r="H217" s="64" t="str">
        <f>Originals!D298</f>
        <v>32</v>
      </c>
      <c r="I217" s="64" t="str">
        <f>Originals!E298</f>
        <v>2015</v>
      </c>
      <c r="J217" s="64" t="str">
        <f>Originals!F298</f>
        <v>Development</v>
      </c>
      <c r="K217" s="64" t="str">
        <f>Originals!G298</f>
        <v>NI</v>
      </c>
      <c r="L217" s="64" t="str">
        <f>Originals!H298</f>
        <v>NI-Industrial Communications for EtherCAT 15.0</v>
      </c>
      <c r="M217" s="64" t="str">
        <f>Originals!I298</f>
        <v>NI-Industrial Communications for EtherCAT on "Y' Drive</v>
      </c>
      <c r="N217" s="65" t="s">
        <v>507</v>
      </c>
    </row>
    <row r="218" spans="1:14" x14ac:dyDescent="0.25">
      <c r="A218" s="62" t="s">
        <v>508</v>
      </c>
      <c r="B218" s="62" t="s">
        <v>508</v>
      </c>
      <c r="C218" s="61" t="s">
        <v>505</v>
      </c>
      <c r="D218" s="62" t="s">
        <v>508</v>
      </c>
      <c r="E218" s="62" t="s">
        <v>508</v>
      </c>
      <c r="F218" s="64" t="str">
        <f>Originals!B299</f>
        <v>NI-Industrial Communications for EtherCAT</v>
      </c>
      <c r="G218" s="64">
        <f>Originals!C299</f>
        <v>0</v>
      </c>
      <c r="H218" s="64" t="str">
        <f>Originals!D299</f>
        <v>32</v>
      </c>
      <c r="I218" s="64" t="str">
        <f>Originals!E299</f>
        <v>N/A</v>
      </c>
      <c r="J218" s="64" t="str">
        <f>Originals!F299</f>
        <v>C-RIO</v>
      </c>
      <c r="K218" s="64" t="str">
        <f>Originals!G299</f>
        <v>NI</v>
      </c>
      <c r="L218" s="64" t="str">
        <f>Originals!H299</f>
        <v xml:space="preserve">NI-Industrial Communications for EtherCAT </v>
      </c>
      <c r="M218" s="64">
        <f>Originals!I299</f>
        <v>0</v>
      </c>
      <c r="N218" s="65" t="s">
        <v>507</v>
      </c>
    </row>
    <row r="219" spans="1:14" hidden="1" x14ac:dyDescent="0.25">
      <c r="A219" s="62" t="s">
        <v>508</v>
      </c>
      <c r="B219" s="62" t="s">
        <v>508</v>
      </c>
      <c r="C219" s="62" t="s">
        <v>508</v>
      </c>
      <c r="D219" s="62" t="s">
        <v>508</v>
      </c>
      <c r="E219" s="61" t="s">
        <v>505</v>
      </c>
      <c r="F219" s="72" t="str">
        <f>Originals!B389</f>
        <v>NI-Industrial Communications for EtherCAT</v>
      </c>
      <c r="G219" s="72" t="str">
        <f>Originals!C389</f>
        <v>18.0</v>
      </c>
      <c r="H219" s="72" t="str">
        <f>Originals!D389</f>
        <v>32</v>
      </c>
      <c r="I219" s="72" t="str">
        <f>Originals!E389</f>
        <v>2018</v>
      </c>
      <c r="J219" s="72" t="str">
        <f>Originals!F389</f>
        <v>Development</v>
      </c>
      <c r="K219" s="72" t="str">
        <f>Originals!G389</f>
        <v>NI</v>
      </c>
      <c r="L219" s="72" t="str">
        <f>Originals!H389</f>
        <v>NI-Industrial Communications for EtherCAT 18.0</v>
      </c>
      <c r="M219" s="72">
        <f>Originals!I389</f>
        <v>0</v>
      </c>
      <c r="N219" s="73" t="s">
        <v>465</v>
      </c>
    </row>
    <row r="220" spans="1:14" x14ac:dyDescent="0.25">
      <c r="A220" s="62" t="s">
        <v>508</v>
      </c>
      <c r="B220" s="62" t="s">
        <v>508</v>
      </c>
      <c r="C220" s="61" t="s">
        <v>505</v>
      </c>
      <c r="D220" s="61" t="s">
        <v>505</v>
      </c>
      <c r="E220" s="62" t="s">
        <v>508</v>
      </c>
      <c r="F220" s="63" t="str">
        <f>Scott!B77</f>
        <v>MGI Monitored Actor</v>
      </c>
      <c r="G220" s="63" t="str">
        <f>Scott!C77</f>
        <v>2.0.0.23</v>
      </c>
      <c r="H220" s="63" t="str">
        <f>Scott!D77</f>
        <v>32</v>
      </c>
      <c r="I220" s="63" t="str">
        <f>Scott!E77</f>
        <v>N/A</v>
      </c>
      <c r="J220" s="63" t="str">
        <f>Scott!F77</f>
        <v>Development</v>
      </c>
      <c r="K220" s="63" t="str">
        <f>Scott!G77</f>
        <v>MGI</v>
      </c>
      <c r="L220" s="63" t="str">
        <f>Scott!H77</f>
        <v>MGI Monitored Actor 2.0.0.23</v>
      </c>
      <c r="M220" s="63" t="str">
        <f>Scott!I77</f>
        <v>VIPM Community</v>
      </c>
      <c r="N220" s="56" t="s">
        <v>136</v>
      </c>
    </row>
    <row r="221" spans="1:14" hidden="1" x14ac:dyDescent="0.25">
      <c r="A221" s="62" t="s">
        <v>508</v>
      </c>
      <c r="B221" s="61" t="s">
        <v>505</v>
      </c>
      <c r="C221" s="62" t="s">
        <v>508</v>
      </c>
      <c r="D221" s="62" t="s">
        <v>508</v>
      </c>
      <c r="E221" s="62" t="s">
        <v>508</v>
      </c>
      <c r="F221" s="70" t="str">
        <f>Originals!B138</f>
        <v>NI-PAL</v>
      </c>
      <c r="G221" s="70" t="str">
        <f>Originals!C138</f>
        <v>19.0.0</v>
      </c>
      <c r="H221" s="70" t="str">
        <f>Originals!D138</f>
        <v>32</v>
      </c>
      <c r="I221" s="70" t="str">
        <f>Originals!E138</f>
        <v>2019</v>
      </c>
      <c r="J221" s="70" t="str">
        <f>Originals!F138</f>
        <v>Development</v>
      </c>
      <c r="K221" s="70" t="str">
        <f>Originals!G138</f>
        <v>NI</v>
      </c>
      <c r="L221" s="70" t="str">
        <f>Originals!H138</f>
        <v>NI-PAL 19.0.0</v>
      </c>
      <c r="M221" s="70">
        <f>Originals!I138</f>
        <v>0</v>
      </c>
      <c r="N221" s="71" t="s">
        <v>1</v>
      </c>
    </row>
    <row r="222" spans="1:14" hidden="1" x14ac:dyDescent="0.25">
      <c r="A222" s="62" t="s">
        <v>508</v>
      </c>
      <c r="B222" s="62" t="s">
        <v>508</v>
      </c>
      <c r="C222" s="62" t="s">
        <v>508</v>
      </c>
      <c r="D222" s="62" t="s">
        <v>508</v>
      </c>
      <c r="E222" s="61" t="s">
        <v>505</v>
      </c>
      <c r="F222" s="72" t="str">
        <f>Originals!B390</f>
        <v>NI-PAL</v>
      </c>
      <c r="G222" s="72" t="str">
        <f>Originals!C390</f>
        <v>18.2</v>
      </c>
      <c r="H222" s="72" t="str">
        <f>Originals!D390</f>
        <v>32</v>
      </c>
      <c r="I222" s="72" t="str">
        <f>Originals!E390</f>
        <v>2018</v>
      </c>
      <c r="J222" s="72" t="str">
        <f>Originals!F390</f>
        <v>Development</v>
      </c>
      <c r="K222" s="72" t="str">
        <f>Originals!G390</f>
        <v>NI</v>
      </c>
      <c r="L222" s="72" t="str">
        <f>Originals!H390</f>
        <v>NI-PAL 18.2</v>
      </c>
      <c r="M222" s="72">
        <f>Originals!I390</f>
        <v>0</v>
      </c>
      <c r="N222" s="73" t="s">
        <v>465</v>
      </c>
    </row>
    <row r="223" spans="1:14" x14ac:dyDescent="0.25">
      <c r="A223" s="61" t="s">
        <v>505</v>
      </c>
      <c r="B223" s="62" t="s">
        <v>508</v>
      </c>
      <c r="C223" s="61" t="s">
        <v>505</v>
      </c>
      <c r="D223" s="61" t="s">
        <v>505</v>
      </c>
      <c r="E223" s="62" t="s">
        <v>508</v>
      </c>
      <c r="F223" s="63" t="str">
        <f>Originals!B55</f>
        <v>NI-PAL Software</v>
      </c>
      <c r="G223" s="63" t="str">
        <f>Originals!C55</f>
        <v>19.0.0</v>
      </c>
      <c r="H223" s="63" t="str">
        <f>Originals!D55</f>
        <v>32</v>
      </c>
      <c r="I223" s="63" t="str">
        <f>Originals!E55</f>
        <v>2019</v>
      </c>
      <c r="J223" s="63" t="str">
        <f>Originals!F55</f>
        <v>Development</v>
      </c>
      <c r="K223" s="63" t="str">
        <f>Originals!G55</f>
        <v>NI</v>
      </c>
      <c r="L223" s="63" t="str">
        <f>Originals!H55</f>
        <v>NI-PAL Software 19.0.0</v>
      </c>
      <c r="M223" s="63" t="str">
        <f>Originals!I55</f>
        <v>LabVIEW 2019</v>
      </c>
      <c r="N223" s="56" t="s">
        <v>136</v>
      </c>
    </row>
    <row r="224" spans="1:14" x14ac:dyDescent="0.25">
      <c r="A224" s="61" t="s">
        <v>505</v>
      </c>
      <c r="B224" s="61" t="s">
        <v>505</v>
      </c>
      <c r="C224" s="62" t="s">
        <v>508</v>
      </c>
      <c r="D224" s="61" t="s">
        <v>505</v>
      </c>
      <c r="E224" s="62" t="s">
        <v>508</v>
      </c>
      <c r="F224" s="63" t="str">
        <f>Originals!B56</f>
        <v>NI-RIO</v>
      </c>
      <c r="G224" s="63" t="str">
        <f>Originals!C56</f>
        <v>15.0.0</v>
      </c>
      <c r="H224" s="63" t="str">
        <f>Originals!D56</f>
        <v>32</v>
      </c>
      <c r="I224" s="63" t="str">
        <f>Originals!E56</f>
        <v>2015</v>
      </c>
      <c r="J224" s="63" t="str">
        <f>Originals!F56</f>
        <v>Development</v>
      </c>
      <c r="K224" s="63" t="str">
        <f>Originals!G56</f>
        <v>NI</v>
      </c>
      <c r="L224" s="63" t="str">
        <f>Originals!H56</f>
        <v>NI-RIO 15.0.0</v>
      </c>
      <c r="M224" s="63" t="str">
        <f>Originals!I56</f>
        <v>NI Developer Suite 2015 DS2 Install</v>
      </c>
      <c r="N224" s="56" t="s">
        <v>136</v>
      </c>
    </row>
    <row r="225" spans="1:14" x14ac:dyDescent="0.25">
      <c r="A225" s="62" t="s">
        <v>508</v>
      </c>
      <c r="B225" s="62" t="s">
        <v>508</v>
      </c>
      <c r="C225" s="61" t="s">
        <v>505</v>
      </c>
      <c r="D225" s="62" t="s">
        <v>508</v>
      </c>
      <c r="E225" s="62" t="s">
        <v>508</v>
      </c>
      <c r="F225" s="64" t="str">
        <f>Originals!B302</f>
        <v>NI-RIO</v>
      </c>
      <c r="G225" s="64" t="str">
        <f>Originals!C302</f>
        <v>15.5</v>
      </c>
      <c r="H225" s="64" t="str">
        <f>Originals!D302</f>
        <v>32</v>
      </c>
      <c r="I225" s="64" t="str">
        <f>Originals!E302</f>
        <v>2015</v>
      </c>
      <c r="J225" s="64" t="str">
        <f>Originals!F302</f>
        <v>C-RIO</v>
      </c>
      <c r="K225" s="64" t="str">
        <f>Originals!G302</f>
        <v>NI</v>
      </c>
      <c r="L225" s="64" t="str">
        <f>Originals!H302</f>
        <v>NI-RIO 15.5</v>
      </c>
      <c r="M225" s="64">
        <f>Originals!I302</f>
        <v>0</v>
      </c>
      <c r="N225" s="65" t="s">
        <v>2</v>
      </c>
    </row>
    <row r="226" spans="1:14" x14ac:dyDescent="0.25">
      <c r="A226" s="62" t="s">
        <v>508</v>
      </c>
      <c r="B226" s="62" t="s">
        <v>508</v>
      </c>
      <c r="C226" s="61" t="s">
        <v>505</v>
      </c>
      <c r="D226" s="62" t="s">
        <v>508</v>
      </c>
      <c r="E226" s="62" t="s">
        <v>508</v>
      </c>
      <c r="F226" s="64" t="str">
        <f>Originals!B303</f>
        <v>NI-RIO</v>
      </c>
      <c r="G226" s="64" t="str">
        <f>Originals!C303</f>
        <v>18.5.0</v>
      </c>
      <c r="H226" s="64" t="str">
        <f>Originals!D303</f>
        <v>32</v>
      </c>
      <c r="I226" s="64" t="str">
        <f>Originals!E303</f>
        <v>2018</v>
      </c>
      <c r="J226" s="64" t="str">
        <f>Originals!F303</f>
        <v>Development</v>
      </c>
      <c r="K226" s="64" t="str">
        <f>Originals!G303</f>
        <v>NI</v>
      </c>
      <c r="L226" s="64" t="str">
        <f>Originals!H303</f>
        <v>NI-RIO 18.5.0</v>
      </c>
      <c r="M226" s="64">
        <f>Originals!I303</f>
        <v>0</v>
      </c>
      <c r="N226" s="65" t="s">
        <v>2</v>
      </c>
    </row>
    <row r="227" spans="1:14" hidden="1" x14ac:dyDescent="0.25">
      <c r="A227" s="62" t="s">
        <v>508</v>
      </c>
      <c r="B227" s="62" t="s">
        <v>508</v>
      </c>
      <c r="C227" s="62" t="s">
        <v>508</v>
      </c>
      <c r="D227" s="62" t="s">
        <v>508</v>
      </c>
      <c r="E227" s="61" t="s">
        <v>505</v>
      </c>
      <c r="F227" s="72" t="str">
        <f>Originals!B391</f>
        <v>NI-RIO</v>
      </c>
      <c r="G227" s="72" t="str">
        <f>Originals!C391</f>
        <v>18.0</v>
      </c>
      <c r="H227" s="72" t="str">
        <f>Originals!D391</f>
        <v>32</v>
      </c>
      <c r="I227" s="72" t="str">
        <f>Originals!E391</f>
        <v>2018</v>
      </c>
      <c r="J227" s="72" t="str">
        <f>Originals!F391</f>
        <v>Development</v>
      </c>
      <c r="K227" s="72" t="str">
        <f>Originals!G391</f>
        <v>NI</v>
      </c>
      <c r="L227" s="72" t="str">
        <f>Originals!H391</f>
        <v>NI-RIO 18.0</v>
      </c>
      <c r="M227" s="72">
        <f>Originals!I391</f>
        <v>0</v>
      </c>
      <c r="N227" s="73" t="s">
        <v>465</v>
      </c>
    </row>
    <row r="228" spans="1:14" x14ac:dyDescent="0.25">
      <c r="A228" s="62" t="s">
        <v>508</v>
      </c>
      <c r="B228" s="62" t="s">
        <v>508</v>
      </c>
      <c r="C228" s="61" t="s">
        <v>505</v>
      </c>
      <c r="D228" s="62" t="s">
        <v>508</v>
      </c>
      <c r="E228" s="62" t="s">
        <v>508</v>
      </c>
      <c r="F228" s="64" t="str">
        <f>Originals!B305</f>
        <v>NI-RIO IO Scan</v>
      </c>
      <c r="G228" s="64" t="str">
        <f>Originals!C305</f>
        <v>15.5</v>
      </c>
      <c r="H228" s="64" t="str">
        <f>Originals!D305</f>
        <v>32</v>
      </c>
      <c r="I228" s="64" t="str">
        <f>Originals!E305</f>
        <v>2015</v>
      </c>
      <c r="J228" s="64" t="str">
        <f>Originals!F305</f>
        <v>C-RIO</v>
      </c>
      <c r="K228" s="64" t="str">
        <f>Originals!G305</f>
        <v>NI</v>
      </c>
      <c r="L228" s="64" t="str">
        <f>Originals!H305</f>
        <v>NI-RIO IO Scan 15.5</v>
      </c>
      <c r="M228" s="64">
        <f>Originals!I305</f>
        <v>0</v>
      </c>
      <c r="N228" s="65" t="s">
        <v>2</v>
      </c>
    </row>
    <row r="229" spans="1:14" x14ac:dyDescent="0.25">
      <c r="A229" s="61" t="s">
        <v>505</v>
      </c>
      <c r="B229" s="61" t="s">
        <v>505</v>
      </c>
      <c r="C229" s="62" t="s">
        <v>508</v>
      </c>
      <c r="D229" s="61" t="s">
        <v>505</v>
      </c>
      <c r="E229" s="62" t="s">
        <v>508</v>
      </c>
      <c r="F229" s="63" t="str">
        <f>Originals!B57</f>
        <v>NI-SCOPE</v>
      </c>
      <c r="G229" s="63" t="str">
        <f>Originals!C57</f>
        <v>15.0</v>
      </c>
      <c r="H229" s="63" t="str">
        <f>Originals!D57</f>
        <v>32</v>
      </c>
      <c r="I229" s="63" t="str">
        <f>Originals!E57</f>
        <v>2015</v>
      </c>
      <c r="J229" s="63" t="str">
        <f>Originals!F57</f>
        <v>Development</v>
      </c>
      <c r="K229" s="63" t="str">
        <f>Originals!G57</f>
        <v>NI</v>
      </c>
      <c r="L229" s="63" t="str">
        <f>Originals!H57</f>
        <v>NI-SCOPE 15.0</v>
      </c>
      <c r="M229" s="63" t="str">
        <f>Originals!I57</f>
        <v>NI Developer Suite 2015 DS2 Install</v>
      </c>
      <c r="N229" s="56" t="s">
        <v>136</v>
      </c>
    </row>
    <row r="230" spans="1:14" x14ac:dyDescent="0.25">
      <c r="A230" s="61" t="s">
        <v>505</v>
      </c>
      <c r="B230" s="61" t="s">
        <v>505</v>
      </c>
      <c r="C230" s="62" t="s">
        <v>508</v>
      </c>
      <c r="D230" s="61" t="s">
        <v>505</v>
      </c>
      <c r="E230" s="62" t="s">
        <v>508</v>
      </c>
      <c r="F230" s="63" t="str">
        <f>Originals!B58</f>
        <v>NI-SCOPE</v>
      </c>
      <c r="G230" s="63" t="str">
        <f>Originals!C58</f>
        <v>15.0</v>
      </c>
      <c r="H230" s="63" t="str">
        <f>Originals!D58</f>
        <v>32</v>
      </c>
      <c r="I230" s="63" t="str">
        <f>Originals!E58</f>
        <v>2015</v>
      </c>
      <c r="J230" s="63" t="str">
        <f>Originals!F58</f>
        <v>Runtime</v>
      </c>
      <c r="K230" s="63" t="str">
        <f>Originals!G58</f>
        <v>NI</v>
      </c>
      <c r="L230" s="63" t="str">
        <f>Originals!H58</f>
        <v>NI-SCOPE 15.0</v>
      </c>
      <c r="M230" s="63" t="str">
        <f>Originals!I58</f>
        <v>NI Developer Suite 2015 DS2 Install</v>
      </c>
      <c r="N230" s="56" t="s">
        <v>136</v>
      </c>
    </row>
    <row r="231" spans="1:14" x14ac:dyDescent="0.25">
      <c r="A231" s="61" t="s">
        <v>505</v>
      </c>
      <c r="B231" s="61" t="s">
        <v>505</v>
      </c>
      <c r="C231" s="62" t="s">
        <v>508</v>
      </c>
      <c r="D231" s="61" t="s">
        <v>505</v>
      </c>
      <c r="E231" s="62" t="s">
        <v>508</v>
      </c>
      <c r="F231" s="63" t="str">
        <f>Originals!B142</f>
        <v>NI-SCOPE Configuration Support</v>
      </c>
      <c r="G231" s="63" t="str">
        <f>Originals!C142</f>
        <v>15.0</v>
      </c>
      <c r="H231" s="63" t="str">
        <f>Originals!D142</f>
        <v>32</v>
      </c>
      <c r="I231" s="63" t="str">
        <f>Originals!E142</f>
        <v>2015</v>
      </c>
      <c r="J231" s="63" t="str">
        <f>Originals!F142</f>
        <v>Development</v>
      </c>
      <c r="K231" s="63" t="str">
        <f>Originals!G142</f>
        <v>NI</v>
      </c>
      <c r="L231" s="63" t="str">
        <f>Originals!H142</f>
        <v>NI-SCOPE Configuration Support 15.0</v>
      </c>
      <c r="M231" s="63" t="str">
        <f>Originals!I142</f>
        <v>NI Developer Suite 2015 DS2 Install</v>
      </c>
      <c r="N231" s="56" t="s">
        <v>136</v>
      </c>
    </row>
    <row r="232" spans="1:14" x14ac:dyDescent="0.25">
      <c r="A232" s="61" t="s">
        <v>505</v>
      </c>
      <c r="B232" s="61" t="s">
        <v>505</v>
      </c>
      <c r="C232" s="62" t="s">
        <v>508</v>
      </c>
      <c r="D232" s="61" t="s">
        <v>505</v>
      </c>
      <c r="E232" s="62" t="s">
        <v>508</v>
      </c>
      <c r="F232" s="63" t="str">
        <f>Originals!B60</f>
        <v>NI-SCOPE Development Support</v>
      </c>
      <c r="G232" s="63" t="str">
        <f>Originals!C60</f>
        <v>15.0</v>
      </c>
      <c r="H232" s="63" t="str">
        <f>Originals!D60</f>
        <v>32</v>
      </c>
      <c r="I232" s="63" t="str">
        <f>Originals!E60</f>
        <v>2015</v>
      </c>
      <c r="J232" s="63" t="str">
        <f>Originals!F60</f>
        <v>Development</v>
      </c>
      <c r="K232" s="63" t="str">
        <f>Originals!G60</f>
        <v>NI</v>
      </c>
      <c r="L232" s="63" t="str">
        <f>Originals!H60</f>
        <v>NI-SCOPE Development Support 15.0</v>
      </c>
      <c r="M232" s="63" t="str">
        <f>Originals!I60</f>
        <v>NI Developer Suite 2015 DS2 Install</v>
      </c>
      <c r="N232" s="56" t="s">
        <v>136</v>
      </c>
    </row>
    <row r="233" spans="1:14" x14ac:dyDescent="0.25">
      <c r="A233" s="61" t="s">
        <v>505</v>
      </c>
      <c r="B233" s="61" t="s">
        <v>505</v>
      </c>
      <c r="C233" s="62" t="s">
        <v>508</v>
      </c>
      <c r="D233" s="61" t="s">
        <v>505</v>
      </c>
      <c r="E233" s="62" t="s">
        <v>508</v>
      </c>
      <c r="F233" s="63" t="str">
        <f>Originals!B61</f>
        <v>NI-SCOPE Soft Front Panel</v>
      </c>
      <c r="G233" s="63" t="str">
        <f>Originals!C61</f>
        <v>15.0</v>
      </c>
      <c r="H233" s="63" t="str">
        <f>Originals!D61</f>
        <v>32</v>
      </c>
      <c r="I233" s="63" t="str">
        <f>Originals!E61</f>
        <v>2015</v>
      </c>
      <c r="J233" s="63" t="str">
        <f>Originals!F61</f>
        <v>Development</v>
      </c>
      <c r="K233" s="63" t="str">
        <f>Originals!G61</f>
        <v>NI</v>
      </c>
      <c r="L233" s="63" t="str">
        <f>Originals!H61</f>
        <v>NI-SCOPE Soft Front Panel 15.0</v>
      </c>
      <c r="M233" s="63" t="str">
        <f>Originals!I61</f>
        <v>NI Developer Suite 2015 DS2 Install</v>
      </c>
      <c r="N233" s="56" t="s">
        <v>136</v>
      </c>
    </row>
    <row r="234" spans="1:14" x14ac:dyDescent="0.25">
      <c r="A234" s="61" t="s">
        <v>505</v>
      </c>
      <c r="B234" s="61" t="s">
        <v>505</v>
      </c>
      <c r="C234" s="62" t="s">
        <v>508</v>
      </c>
      <c r="D234" s="62" t="s">
        <v>508</v>
      </c>
      <c r="E234" s="62" t="s">
        <v>508</v>
      </c>
      <c r="F234" s="63" t="str">
        <f>Originals!B62</f>
        <v>NI-Serial</v>
      </c>
      <c r="G234" s="63" t="str">
        <f>Originals!C62</f>
        <v>18.5.0f0</v>
      </c>
      <c r="H234" s="63" t="str">
        <f>Originals!D62</f>
        <v>32</v>
      </c>
      <c r="I234" s="63" t="str">
        <f>Originals!E62</f>
        <v>2018</v>
      </c>
      <c r="J234" s="63" t="str">
        <f>Originals!F62</f>
        <v>Runtime</v>
      </c>
      <c r="K234" s="63" t="str">
        <f>Originals!G62</f>
        <v>NI</v>
      </c>
      <c r="L234" s="63" t="str">
        <f>Originals!H62</f>
        <v>NI-Serial 18.5.0f0</v>
      </c>
      <c r="M234" s="63">
        <f>Originals!I62</f>
        <v>0</v>
      </c>
      <c r="N234" s="56" t="s">
        <v>136</v>
      </c>
    </row>
    <row r="235" spans="1:14" hidden="1" x14ac:dyDescent="0.25">
      <c r="A235" s="62" t="s">
        <v>508</v>
      </c>
      <c r="B235" s="62" t="s">
        <v>508</v>
      </c>
      <c r="C235" s="62" t="s">
        <v>508</v>
      </c>
      <c r="D235" s="61" t="s">
        <v>505</v>
      </c>
      <c r="E235" s="62" t="s">
        <v>508</v>
      </c>
      <c r="F235" s="66" t="str">
        <f>Scott!B85</f>
        <v>MGI String</v>
      </c>
      <c r="G235" s="66" t="str">
        <f>Scott!C85</f>
        <v>1.1.1.5</v>
      </c>
      <c r="H235" s="66" t="str">
        <f>Scott!D85</f>
        <v>32</v>
      </c>
      <c r="I235" s="66" t="str">
        <f>Scott!E85</f>
        <v>N/A</v>
      </c>
      <c r="J235" s="66" t="str">
        <f>Scott!F85</f>
        <v>Development</v>
      </c>
      <c r="K235" s="66" t="str">
        <f>Scott!G85</f>
        <v>MGI</v>
      </c>
      <c r="L235" s="66" t="str">
        <f>Scott!H85</f>
        <v>MGI String 1.1.1.5</v>
      </c>
      <c r="M235" s="66" t="str">
        <f>Scott!I85</f>
        <v>VIPM Community</v>
      </c>
      <c r="N235" s="67" t="s">
        <v>96</v>
      </c>
    </row>
    <row r="236" spans="1:14" x14ac:dyDescent="0.25">
      <c r="A236" s="62" t="s">
        <v>508</v>
      </c>
      <c r="B236" s="62" t="s">
        <v>508</v>
      </c>
      <c r="C236" s="61" t="s">
        <v>505</v>
      </c>
      <c r="D236" s="62" t="s">
        <v>508</v>
      </c>
      <c r="E236" s="62" t="s">
        <v>508</v>
      </c>
      <c r="F236" s="64" t="str">
        <f>Originals!B307</f>
        <v>NI-Serial</v>
      </c>
      <c r="G236" s="64" t="str">
        <f>Originals!C307</f>
        <v>18.5.0f0</v>
      </c>
      <c r="H236" s="64" t="str">
        <f>Originals!D307</f>
        <v>32</v>
      </c>
      <c r="I236" s="64" t="str">
        <f>Originals!E307</f>
        <v>2018</v>
      </c>
      <c r="J236" s="64" t="str">
        <f>Originals!F307</f>
        <v>Runtime</v>
      </c>
      <c r="K236" s="64" t="str">
        <f>Originals!G307</f>
        <v>NI</v>
      </c>
      <c r="L236" s="64" t="str">
        <f>Originals!H307</f>
        <v>NI-Serial 18.5.0f0</v>
      </c>
      <c r="M236" s="64">
        <f>Originals!I307</f>
        <v>0</v>
      </c>
      <c r="N236" s="65" t="s">
        <v>2</v>
      </c>
    </row>
    <row r="237" spans="1:14" x14ac:dyDescent="0.25">
      <c r="A237" s="61" t="s">
        <v>505</v>
      </c>
      <c r="B237" s="61" t="s">
        <v>505</v>
      </c>
      <c r="C237" s="62" t="s">
        <v>508</v>
      </c>
      <c r="D237" s="62" t="s">
        <v>508</v>
      </c>
      <c r="E237" s="62" t="s">
        <v>508</v>
      </c>
      <c r="F237" s="63" t="str">
        <f>Originals!B63</f>
        <v>NI-Serial Configuration</v>
      </c>
      <c r="G237" s="63" t="str">
        <f>Originals!C63</f>
        <v>15.0.0f0</v>
      </c>
      <c r="H237" s="63" t="str">
        <f>Originals!D63</f>
        <v>32</v>
      </c>
      <c r="I237" s="63" t="str">
        <f>Originals!E63</f>
        <v>2015</v>
      </c>
      <c r="J237" s="63" t="str">
        <f>Originals!F63</f>
        <v>Development</v>
      </c>
      <c r="K237" s="63" t="str">
        <f>Originals!G63</f>
        <v>NI</v>
      </c>
      <c r="L237" s="63" t="str">
        <f>Originals!H63</f>
        <v>NI-Serial Configuration 15.0.0f0</v>
      </c>
      <c r="M237" s="63" t="str">
        <f>Originals!I63</f>
        <v>NI Developer Suite 2015 DS2 Install</v>
      </c>
      <c r="N237" s="56" t="s">
        <v>136</v>
      </c>
    </row>
    <row r="238" spans="1:14" x14ac:dyDescent="0.25">
      <c r="A238" s="62" t="s">
        <v>508</v>
      </c>
      <c r="B238" s="62" t="s">
        <v>508</v>
      </c>
      <c r="C238" s="61" t="s">
        <v>505</v>
      </c>
      <c r="D238" s="62" t="s">
        <v>508</v>
      </c>
      <c r="E238" s="62" t="s">
        <v>508</v>
      </c>
      <c r="F238" s="64" t="str">
        <f>Originals!B306</f>
        <v>NI-Serial Configuration</v>
      </c>
      <c r="G238" s="64" t="str">
        <f>Originals!C306</f>
        <v>18.5.0f0</v>
      </c>
      <c r="H238" s="64" t="str">
        <f>Originals!D306</f>
        <v>32</v>
      </c>
      <c r="I238" s="64" t="str">
        <f>Originals!E306</f>
        <v>2018</v>
      </c>
      <c r="J238" s="64" t="str">
        <f>Originals!F306</f>
        <v>Development</v>
      </c>
      <c r="K238" s="64" t="str">
        <f>Originals!G306</f>
        <v>NI</v>
      </c>
      <c r="L238" s="64" t="str">
        <f>Originals!H306</f>
        <v>NI-Serial Configuration 18.5.0f0</v>
      </c>
      <c r="M238" s="64">
        <f>Originals!I306</f>
        <v>0</v>
      </c>
      <c r="N238" s="65" t="s">
        <v>2</v>
      </c>
    </row>
    <row r="239" spans="1:14" x14ac:dyDescent="0.25">
      <c r="A239" s="62" t="s">
        <v>508</v>
      </c>
      <c r="B239" s="62" t="s">
        <v>508</v>
      </c>
      <c r="C239" s="62" t="s">
        <v>508</v>
      </c>
      <c r="D239" s="61" t="s">
        <v>505</v>
      </c>
      <c r="E239" s="61" t="s">
        <v>505</v>
      </c>
      <c r="F239" s="63" t="str">
        <f>Scott!B86</f>
        <v>MGI Timing</v>
      </c>
      <c r="G239" s="63" t="str">
        <f>Scott!C86</f>
        <v>1.1.0.2</v>
      </c>
      <c r="H239" s="63" t="str">
        <f>Scott!D86</f>
        <v>32</v>
      </c>
      <c r="I239" s="63" t="str">
        <f>Scott!E86</f>
        <v>N/A</v>
      </c>
      <c r="J239" s="63" t="str">
        <f>Scott!F86</f>
        <v>Development</v>
      </c>
      <c r="K239" s="63" t="str">
        <f>Scott!G86</f>
        <v>MGI</v>
      </c>
      <c r="L239" s="63" t="str">
        <f>Scott!H86</f>
        <v>MGI Timing 1.1.0.2</v>
      </c>
      <c r="M239" s="63" t="str">
        <f>Scott!I86</f>
        <v>VIPM Community</v>
      </c>
      <c r="N239" s="56" t="s">
        <v>136</v>
      </c>
    </row>
    <row r="240" spans="1:14" x14ac:dyDescent="0.25">
      <c r="A240" s="61" t="s">
        <v>505</v>
      </c>
      <c r="B240" s="61" t="s">
        <v>505</v>
      </c>
      <c r="C240" s="62" t="s">
        <v>508</v>
      </c>
      <c r="D240" s="61" t="s">
        <v>505</v>
      </c>
      <c r="E240" s="62" t="s">
        <v>508</v>
      </c>
      <c r="F240" s="63" t="str">
        <f>Originals!B64</f>
        <v>NI-SWITCH</v>
      </c>
      <c r="G240" s="63" t="str">
        <f>Originals!C64</f>
        <v>15.0</v>
      </c>
      <c r="H240" s="63" t="str">
        <f>Originals!D64</f>
        <v>32</v>
      </c>
      <c r="I240" s="63" t="str">
        <f>Originals!E64</f>
        <v>2015</v>
      </c>
      <c r="J240" s="63" t="str">
        <f>Originals!F64</f>
        <v>Development</v>
      </c>
      <c r="K240" s="63" t="str">
        <f>Originals!G64</f>
        <v>NI</v>
      </c>
      <c r="L240" s="63" t="str">
        <f>Originals!H64</f>
        <v>NI-SWITCH 15.0</v>
      </c>
      <c r="M240" s="63" t="str">
        <f>Originals!I64</f>
        <v>NI Developer Suite 2015 DS2 Install</v>
      </c>
      <c r="N240" s="56" t="s">
        <v>136</v>
      </c>
    </row>
    <row r="241" spans="1:14" x14ac:dyDescent="0.25">
      <c r="A241" s="62" t="s">
        <v>508</v>
      </c>
      <c r="B241" s="61" t="s">
        <v>505</v>
      </c>
      <c r="C241" s="62" t="s">
        <v>508</v>
      </c>
      <c r="D241" s="61" t="s">
        <v>505</v>
      </c>
      <c r="E241" s="62" t="s">
        <v>508</v>
      </c>
      <c r="F241" s="63" t="str">
        <f>Originals!B148</f>
        <v>NI-SWITCH</v>
      </c>
      <c r="G241" s="63" t="str">
        <f>Originals!C148</f>
        <v>15.0</v>
      </c>
      <c r="H241" s="63" t="str">
        <f>Originals!D148</f>
        <v>32</v>
      </c>
      <c r="I241" s="63" t="str">
        <f>Originals!E148</f>
        <v>2015</v>
      </c>
      <c r="J241" s="63" t="str">
        <f>Originals!F148</f>
        <v>Runtime</v>
      </c>
      <c r="K241" s="63" t="str">
        <f>Originals!G148</f>
        <v>NI</v>
      </c>
      <c r="L241" s="63" t="str">
        <f>Originals!H148</f>
        <v>NI-SWITCH 15.0</v>
      </c>
      <c r="M241" s="63" t="str">
        <f>Originals!I148</f>
        <v>NI Developer Suite 2015 DS2 Install</v>
      </c>
      <c r="N241" s="56" t="s">
        <v>136</v>
      </c>
    </row>
    <row r="242" spans="1:14" x14ac:dyDescent="0.25">
      <c r="A242" s="61" t="s">
        <v>505</v>
      </c>
      <c r="B242" s="61" t="s">
        <v>505</v>
      </c>
      <c r="C242" s="62" t="s">
        <v>508</v>
      </c>
      <c r="D242" s="61" t="s">
        <v>505</v>
      </c>
      <c r="E242" s="62" t="s">
        <v>508</v>
      </c>
      <c r="F242" s="63" t="str">
        <f>Originals!B65</f>
        <v>NI-SWITCH Configuration Support</v>
      </c>
      <c r="G242" s="63" t="str">
        <f>Originals!C65</f>
        <v>15.0</v>
      </c>
      <c r="H242" s="63" t="str">
        <f>Originals!D65</f>
        <v>32</v>
      </c>
      <c r="I242" s="63" t="str">
        <f>Originals!E65</f>
        <v>2015</v>
      </c>
      <c r="J242" s="63" t="str">
        <f>Originals!F65</f>
        <v>Development</v>
      </c>
      <c r="K242" s="63" t="str">
        <f>Originals!G65</f>
        <v>NI</v>
      </c>
      <c r="L242" s="63" t="str">
        <f>Originals!H65</f>
        <v>NI-SWITCH Configuration Support 15.0</v>
      </c>
      <c r="M242" s="63" t="str">
        <f>Originals!I65</f>
        <v>NI Developer Suite 2015 DS2 Install</v>
      </c>
      <c r="N242" s="56" t="s">
        <v>136</v>
      </c>
    </row>
    <row r="243" spans="1:14" x14ac:dyDescent="0.25">
      <c r="A243" s="61" t="s">
        <v>505</v>
      </c>
      <c r="B243" s="61" t="s">
        <v>505</v>
      </c>
      <c r="C243" s="62" t="s">
        <v>508</v>
      </c>
      <c r="D243" s="61" t="s">
        <v>505</v>
      </c>
      <c r="E243" s="62" t="s">
        <v>508</v>
      </c>
      <c r="F243" s="63" t="str">
        <f>Originals!B66</f>
        <v>NI-SWITCH Development Support</v>
      </c>
      <c r="G243" s="63" t="str">
        <f>Originals!C66</f>
        <v>15.0</v>
      </c>
      <c r="H243" s="63" t="str">
        <f>Originals!D66</f>
        <v>32</v>
      </c>
      <c r="I243" s="63" t="str">
        <f>Originals!E66</f>
        <v>2015</v>
      </c>
      <c r="J243" s="63" t="str">
        <f>Originals!F66</f>
        <v>Development</v>
      </c>
      <c r="K243" s="63" t="str">
        <f>Originals!G66</f>
        <v>NI</v>
      </c>
      <c r="L243" s="63" t="str">
        <f>Originals!H66</f>
        <v>NI-SWITCH Development Support 15.0</v>
      </c>
      <c r="M243" s="63" t="str">
        <f>Originals!I66</f>
        <v>NI Developer Suite 2015 DS2 Install</v>
      </c>
      <c r="N243" s="56" t="s">
        <v>136</v>
      </c>
    </row>
    <row r="244" spans="1:14" x14ac:dyDescent="0.25">
      <c r="A244" s="61" t="s">
        <v>505</v>
      </c>
      <c r="B244" s="61" t="s">
        <v>505</v>
      </c>
      <c r="C244" s="62" t="s">
        <v>508</v>
      </c>
      <c r="D244" s="61" t="s">
        <v>505</v>
      </c>
      <c r="E244" s="62" t="s">
        <v>508</v>
      </c>
      <c r="F244" s="63" t="str">
        <f>Originals!B67</f>
        <v>NI-SWITCH Soft Front Panel</v>
      </c>
      <c r="G244" s="63" t="str">
        <f>Originals!C67</f>
        <v>15.0.0</v>
      </c>
      <c r="H244" s="63" t="str">
        <f>Originals!D67</f>
        <v>32</v>
      </c>
      <c r="I244" s="63" t="str">
        <f>Originals!E67</f>
        <v>2015</v>
      </c>
      <c r="J244" s="63" t="str">
        <f>Originals!F67</f>
        <v>Development</v>
      </c>
      <c r="K244" s="63" t="str">
        <f>Originals!G67</f>
        <v>NI</v>
      </c>
      <c r="L244" s="63" t="str">
        <f>Originals!H67</f>
        <v>NI-SWITCH Soft Front Panel 15.0.0</v>
      </c>
      <c r="M244" s="63" t="str">
        <f>Originals!I67</f>
        <v>NI Developer Suite 2015 DS2 Install</v>
      </c>
      <c r="N244" s="56" t="s">
        <v>136</v>
      </c>
    </row>
    <row r="245" spans="1:14" hidden="1" x14ac:dyDescent="0.25">
      <c r="A245" s="61" t="s">
        <v>505</v>
      </c>
      <c r="B245" s="62" t="s">
        <v>508</v>
      </c>
      <c r="C245" s="62" t="s">
        <v>508</v>
      </c>
      <c r="D245" s="62" t="s">
        <v>508</v>
      </c>
      <c r="E245" s="62" t="s">
        <v>508</v>
      </c>
      <c r="F245" s="68" t="str">
        <f>Originals!B68</f>
        <v>NI-SWITCH Support</v>
      </c>
      <c r="G245" s="68" t="str">
        <f>Originals!C68</f>
        <v>15.0</v>
      </c>
      <c r="H245" s="68" t="str">
        <f>Originals!D68</f>
        <v>32</v>
      </c>
      <c r="I245" s="68" t="str">
        <f>Originals!E68</f>
        <v>2015</v>
      </c>
      <c r="J245" s="68" t="str">
        <f>Originals!F68</f>
        <v>Runtime</v>
      </c>
      <c r="K245" s="68" t="str">
        <f>Originals!G68</f>
        <v>NI</v>
      </c>
      <c r="L245" s="68" t="str">
        <f>Originals!H68</f>
        <v>NI-SWITCH Support 15.0</v>
      </c>
      <c r="M245" s="68" t="str">
        <f>Originals!I68</f>
        <v>NI Developer Suite 2015 DS2 Install</v>
      </c>
      <c r="N245" s="69" t="s">
        <v>0</v>
      </c>
    </row>
    <row r="246" spans="1:14" x14ac:dyDescent="0.25">
      <c r="A246" s="61" t="s">
        <v>505</v>
      </c>
      <c r="B246" s="61" t="s">
        <v>505</v>
      </c>
      <c r="C246" s="61" t="s">
        <v>505</v>
      </c>
      <c r="D246" s="62" t="s">
        <v>508</v>
      </c>
      <c r="E246" s="62" t="s">
        <v>508</v>
      </c>
      <c r="F246" s="63" t="str">
        <f>Originals!B69</f>
        <v>NI-Sync</v>
      </c>
      <c r="G246" s="63" t="str">
        <f>Originals!C69</f>
        <v>15.0.0f0</v>
      </c>
      <c r="H246" s="63" t="str">
        <f>Originals!D69</f>
        <v>32</v>
      </c>
      <c r="I246" s="63" t="str">
        <f>Originals!E69</f>
        <v>2015</v>
      </c>
      <c r="J246" s="63" t="str">
        <f>Originals!F69</f>
        <v>Development</v>
      </c>
      <c r="K246" s="63" t="str">
        <f>Originals!G69</f>
        <v>NI</v>
      </c>
      <c r="L246" s="63" t="str">
        <f>Originals!H69</f>
        <v>NI-Sync 15.0.0f0</v>
      </c>
      <c r="M246" s="63" t="str">
        <f>Originals!I69</f>
        <v>NI Developer Suite 2015 DS2 Install</v>
      </c>
      <c r="N246" s="56" t="s">
        <v>136</v>
      </c>
    </row>
    <row r="247" spans="1:14" x14ac:dyDescent="0.25">
      <c r="A247" s="62" t="s">
        <v>508</v>
      </c>
      <c r="B247" s="62" t="s">
        <v>508</v>
      </c>
      <c r="C247" s="61" t="s">
        <v>505</v>
      </c>
      <c r="D247" s="62" t="s">
        <v>508</v>
      </c>
      <c r="E247" s="62" t="s">
        <v>508</v>
      </c>
      <c r="F247" s="64" t="str">
        <f>Originals!B308</f>
        <v>NI-Sync</v>
      </c>
      <c r="G247" s="64" t="str">
        <f>Originals!C308</f>
        <v>15.0.1f0</v>
      </c>
      <c r="H247" s="64" t="str">
        <f>Originals!D308</f>
        <v>32</v>
      </c>
      <c r="I247" s="64" t="str">
        <f>Originals!E308</f>
        <v>2015</v>
      </c>
      <c r="J247" s="64" t="str">
        <f>Originals!F308</f>
        <v>Runtime</v>
      </c>
      <c r="K247" s="64" t="str">
        <f>Originals!G308</f>
        <v>NI</v>
      </c>
      <c r="L247" s="64" t="str">
        <f>Originals!H308</f>
        <v>NI-Sync 15.0.1f0</v>
      </c>
      <c r="M247" s="64">
        <f>Originals!I308</f>
        <v>0</v>
      </c>
      <c r="N247" s="65" t="s">
        <v>2</v>
      </c>
    </row>
    <row r="248" spans="1:14" hidden="1" x14ac:dyDescent="0.25">
      <c r="A248" s="62" t="s">
        <v>508</v>
      </c>
      <c r="B248" s="62" t="s">
        <v>508</v>
      </c>
      <c r="C248" s="62" t="s">
        <v>508</v>
      </c>
      <c r="D248" s="61" t="s">
        <v>505</v>
      </c>
      <c r="E248" s="62" t="s">
        <v>508</v>
      </c>
      <c r="F248" s="66" t="str">
        <f>Scott!B92</f>
        <v>NI Asynchronous Message Communication (AMC) Library</v>
      </c>
      <c r="G248" s="66" t="str">
        <f>Scott!C92</f>
        <v>3.3.1.22</v>
      </c>
      <c r="H248" s="66" t="str">
        <f>Scott!D92</f>
        <v>32</v>
      </c>
      <c r="I248" s="66" t="str">
        <f>Scott!E92</f>
        <v>N/A</v>
      </c>
      <c r="J248" s="66" t="str">
        <f>Scott!F92</f>
        <v>Development</v>
      </c>
      <c r="K248" s="66" t="str">
        <f>Scott!G92</f>
        <v>NI</v>
      </c>
      <c r="L248" s="66" t="str">
        <f>Scott!H92</f>
        <v>NI Asynchronous Message Communication (AMC) Library 3.3.1.22</v>
      </c>
      <c r="M248" s="66" t="str">
        <f>Scott!I92</f>
        <v>VIPM Community</v>
      </c>
      <c r="N248" s="67" t="s">
        <v>96</v>
      </c>
    </row>
    <row r="249" spans="1:14" x14ac:dyDescent="0.25">
      <c r="A249" s="61" t="s">
        <v>505</v>
      </c>
      <c r="B249" s="61" t="s">
        <v>505</v>
      </c>
      <c r="C249" s="62" t="s">
        <v>508</v>
      </c>
      <c r="D249" s="61" t="s">
        <v>505</v>
      </c>
      <c r="E249" s="62" t="s">
        <v>508</v>
      </c>
      <c r="F249" s="63" t="str">
        <f>Originals!B70</f>
        <v>NI-TClk</v>
      </c>
      <c r="G249" s="63" t="str">
        <f>Originals!C70</f>
        <v>15.0</v>
      </c>
      <c r="H249" s="63" t="str">
        <f>Originals!D70</f>
        <v>32</v>
      </c>
      <c r="I249" s="63" t="str">
        <f>Originals!E70</f>
        <v>2015</v>
      </c>
      <c r="J249" s="63" t="str">
        <f>Originals!F70</f>
        <v>Development</v>
      </c>
      <c r="K249" s="63" t="str">
        <f>Originals!G70</f>
        <v>NI</v>
      </c>
      <c r="L249" s="63" t="str">
        <f>Originals!H70</f>
        <v>NI-TClk 15.0</v>
      </c>
      <c r="M249" s="63" t="str">
        <f>Originals!I70</f>
        <v>NI Developer Suite 2015 DS2 Install</v>
      </c>
      <c r="N249" s="56" t="s">
        <v>136</v>
      </c>
    </row>
    <row r="250" spans="1:14" x14ac:dyDescent="0.25">
      <c r="A250" s="61" t="s">
        <v>505</v>
      </c>
      <c r="B250" s="61" t="s">
        <v>505</v>
      </c>
      <c r="C250" s="61" t="s">
        <v>505</v>
      </c>
      <c r="D250" s="61" t="s">
        <v>505</v>
      </c>
      <c r="E250" s="62" t="s">
        <v>508</v>
      </c>
      <c r="F250" s="63" t="str">
        <f>Originals!B71</f>
        <v>NI-TimeSync</v>
      </c>
      <c r="G250" s="63" t="str">
        <f>Originals!C71</f>
        <v>15.0.0f0</v>
      </c>
      <c r="H250" s="63" t="str">
        <f>Originals!D71</f>
        <v>32</v>
      </c>
      <c r="I250" s="63" t="str">
        <f>Originals!E71</f>
        <v>2015</v>
      </c>
      <c r="J250" s="63" t="str">
        <f>Originals!F71</f>
        <v>Development</v>
      </c>
      <c r="K250" s="63" t="str">
        <f>Originals!G71</f>
        <v>NI</v>
      </c>
      <c r="L250" s="63" t="str">
        <f>Originals!H71</f>
        <v>NI-TimeSync 15.0.0f0</v>
      </c>
      <c r="M250" s="63" t="str">
        <f>Originals!I71</f>
        <v>NI Developer Suite 2015 DS2 Install</v>
      </c>
      <c r="N250" s="56" t="s">
        <v>136</v>
      </c>
    </row>
    <row r="251" spans="1:14" x14ac:dyDescent="0.25">
      <c r="A251" s="61" t="s">
        <v>505</v>
      </c>
      <c r="B251" s="62" t="s">
        <v>508</v>
      </c>
      <c r="C251" s="62" t="s">
        <v>508</v>
      </c>
      <c r="D251" s="61" t="s">
        <v>505</v>
      </c>
      <c r="E251" s="62" t="s">
        <v>508</v>
      </c>
      <c r="F251" s="63" t="str">
        <f>Originals!B72</f>
        <v>NI-USI</v>
      </c>
      <c r="G251" s="63" t="str">
        <f>Originals!C72</f>
        <v>15.0.1.6118</v>
      </c>
      <c r="H251" s="63" t="str">
        <f>Originals!D72</f>
        <v>32</v>
      </c>
      <c r="I251" s="63" t="str">
        <f>Originals!E72</f>
        <v>2015</v>
      </c>
      <c r="J251" s="63" t="str">
        <f>Originals!F72</f>
        <v>Development</v>
      </c>
      <c r="K251" s="63" t="str">
        <f>Originals!G72</f>
        <v>NI</v>
      </c>
      <c r="L251" s="63" t="str">
        <f>Originals!H72</f>
        <v>NI-USI 15.0.1.6118</v>
      </c>
      <c r="M251" s="63" t="str">
        <f>Originals!I72</f>
        <v>LabVIEW 2015 SP1</v>
      </c>
      <c r="N251" s="56" t="s">
        <v>136</v>
      </c>
    </row>
    <row r="252" spans="1:14" hidden="1" x14ac:dyDescent="0.25">
      <c r="A252" s="62" t="s">
        <v>508</v>
      </c>
      <c r="B252" s="61" t="s">
        <v>505</v>
      </c>
      <c r="C252" s="62" t="s">
        <v>508</v>
      </c>
      <c r="D252" s="62" t="s">
        <v>508</v>
      </c>
      <c r="E252" s="62" t="s">
        <v>508</v>
      </c>
      <c r="F252" s="70" t="str">
        <f>Originals!B155</f>
        <v>NI-USI</v>
      </c>
      <c r="G252" s="70" t="str">
        <f>Originals!C155</f>
        <v>17.0.0.6654</v>
      </c>
      <c r="H252" s="70" t="str">
        <f>Originals!D155</f>
        <v>32</v>
      </c>
      <c r="I252" s="70" t="str">
        <f>Originals!E155</f>
        <v>2017</v>
      </c>
      <c r="J252" s="70" t="str">
        <f>Originals!F155</f>
        <v>Development</v>
      </c>
      <c r="K252" s="70" t="str">
        <f>Originals!G155</f>
        <v>NI</v>
      </c>
      <c r="L252" s="70" t="str">
        <f>Originals!H155</f>
        <v>NI-USI 17.0.0.6654</v>
      </c>
      <c r="M252" s="70">
        <f>Originals!I155</f>
        <v>0</v>
      </c>
      <c r="N252" s="71" t="s">
        <v>1</v>
      </c>
    </row>
    <row r="253" spans="1:14" x14ac:dyDescent="0.25">
      <c r="A253" s="62" t="s">
        <v>508</v>
      </c>
      <c r="B253" s="62" t="s">
        <v>508</v>
      </c>
      <c r="C253" s="61" t="s">
        <v>505</v>
      </c>
      <c r="D253" s="62" t="s">
        <v>508</v>
      </c>
      <c r="E253" s="62" t="s">
        <v>508</v>
      </c>
      <c r="F253" s="64" t="str">
        <f>Originals!B311</f>
        <v>NI-USI</v>
      </c>
      <c r="G253" s="64" t="str">
        <f>Originals!C311</f>
        <v>18.5.5.7372</v>
      </c>
      <c r="H253" s="64" t="str">
        <f>Originals!D311</f>
        <v>32</v>
      </c>
      <c r="I253" s="64" t="str">
        <f>Originals!E311</f>
        <v>2018</v>
      </c>
      <c r="J253" s="64" t="str">
        <f>Originals!F311</f>
        <v>Development</v>
      </c>
      <c r="K253" s="64" t="str">
        <f>Originals!G311</f>
        <v>NI</v>
      </c>
      <c r="L253" s="64" t="str">
        <f>Originals!H311</f>
        <v>NI-USI 18.5.5.7372</v>
      </c>
      <c r="M253" s="64">
        <f>Originals!I311</f>
        <v>0</v>
      </c>
      <c r="N253" s="65" t="s">
        <v>2</v>
      </c>
    </row>
    <row r="254" spans="1:14" hidden="1" x14ac:dyDescent="0.25">
      <c r="A254" s="62" t="s">
        <v>508</v>
      </c>
      <c r="B254" s="62" t="s">
        <v>508</v>
      </c>
      <c r="C254" s="62" t="s">
        <v>508</v>
      </c>
      <c r="D254" s="62" t="s">
        <v>508</v>
      </c>
      <c r="E254" s="61" t="s">
        <v>505</v>
      </c>
      <c r="F254" s="72" t="str">
        <f>Originals!B393</f>
        <v>NI-USI</v>
      </c>
      <c r="G254" s="72" t="str">
        <f>Originals!C393</f>
        <v>17.0.1</v>
      </c>
      <c r="H254" s="72" t="str">
        <f>Originals!D393</f>
        <v>32</v>
      </c>
      <c r="I254" s="72" t="str">
        <f>Originals!E393</f>
        <v>2018</v>
      </c>
      <c r="J254" s="72" t="str">
        <f>Originals!F393</f>
        <v>Development</v>
      </c>
      <c r="K254" s="72" t="str">
        <f>Originals!G393</f>
        <v>NI</v>
      </c>
      <c r="L254" s="72" t="str">
        <f>Originals!H393</f>
        <v>NI-USI 17.0.1</v>
      </c>
      <c r="M254" s="72">
        <f>Originals!I393</f>
        <v>0</v>
      </c>
      <c r="N254" s="73" t="s">
        <v>465</v>
      </c>
    </row>
    <row r="255" spans="1:14" x14ac:dyDescent="0.25">
      <c r="A255" s="61" t="s">
        <v>505</v>
      </c>
      <c r="B255" s="61" t="s">
        <v>505</v>
      </c>
      <c r="C255" s="62" t="s">
        <v>508</v>
      </c>
      <c r="D255" s="62" t="s">
        <v>508</v>
      </c>
      <c r="E255" s="62" t="s">
        <v>508</v>
      </c>
      <c r="F255" s="63" t="str">
        <f>Originals!B73</f>
        <v>NI-VISA</v>
      </c>
      <c r="G255" s="63" t="str">
        <f>Originals!C73</f>
        <v>19.5</v>
      </c>
      <c r="H255" s="63" t="str">
        <f>Originals!D73</f>
        <v>32</v>
      </c>
      <c r="I255" s="63" t="str">
        <f>Originals!E73</f>
        <v>2019</v>
      </c>
      <c r="J255" s="63" t="str">
        <f>Originals!F73</f>
        <v>Development</v>
      </c>
      <c r="K255" s="63" t="str">
        <f>Originals!G73</f>
        <v>NI</v>
      </c>
      <c r="L255" s="63" t="str">
        <f>Originals!H73</f>
        <v>NI-VISA 19.5</v>
      </c>
      <c r="M255" s="63">
        <f>Originals!I73</f>
        <v>0</v>
      </c>
      <c r="N255" s="56" t="s">
        <v>136</v>
      </c>
    </row>
    <row r="256" spans="1:14" x14ac:dyDescent="0.25">
      <c r="A256" s="61" t="s">
        <v>505</v>
      </c>
      <c r="B256" s="61" t="s">
        <v>505</v>
      </c>
      <c r="C256" s="61" t="s">
        <v>505</v>
      </c>
      <c r="D256" s="62" t="s">
        <v>508</v>
      </c>
      <c r="E256" s="62" t="s">
        <v>508</v>
      </c>
      <c r="F256" s="63" t="str">
        <f>Originals!B74</f>
        <v>NI-VISA</v>
      </c>
      <c r="G256" s="63" t="str">
        <f>Originals!C74</f>
        <v>19.5</v>
      </c>
      <c r="H256" s="63" t="str">
        <f>Originals!D74</f>
        <v>32</v>
      </c>
      <c r="I256" s="63" t="str">
        <f>Originals!E74</f>
        <v>2019</v>
      </c>
      <c r="J256" s="63" t="str">
        <f>Originals!F74</f>
        <v>Runtime</v>
      </c>
      <c r="K256" s="63" t="str">
        <f>Originals!G74</f>
        <v>NI</v>
      </c>
      <c r="L256" s="63" t="str">
        <f>Originals!H74</f>
        <v>NI-VISA 19.5</v>
      </c>
      <c r="M256" s="63">
        <f>Originals!I74</f>
        <v>0</v>
      </c>
      <c r="N256" s="56" t="s">
        <v>136</v>
      </c>
    </row>
    <row r="257" spans="1:14" x14ac:dyDescent="0.25">
      <c r="A257" s="62" t="s">
        <v>508</v>
      </c>
      <c r="B257" s="62" t="s">
        <v>508</v>
      </c>
      <c r="C257" s="61" t="s">
        <v>505</v>
      </c>
      <c r="D257" s="62" t="s">
        <v>508</v>
      </c>
      <c r="E257" s="62" t="s">
        <v>508</v>
      </c>
      <c r="F257" s="64" t="str">
        <f>Originals!B312</f>
        <v>NI-VISA</v>
      </c>
      <c r="G257" s="64" t="str">
        <f>Originals!C312</f>
        <v>15.5.0</v>
      </c>
      <c r="H257" s="64" t="str">
        <f>Originals!D312</f>
        <v>32</v>
      </c>
      <c r="I257" s="64" t="str">
        <f>Originals!E312</f>
        <v>2015</v>
      </c>
      <c r="J257" s="64" t="str">
        <f>Originals!F312</f>
        <v>C-RIO</v>
      </c>
      <c r="K257" s="64" t="str">
        <f>Originals!G312</f>
        <v>NI</v>
      </c>
      <c r="L257" s="64" t="str">
        <f>Originals!H312</f>
        <v>NI-VISA 15.5.0</v>
      </c>
      <c r="M257" s="64">
        <f>Originals!I312</f>
        <v>0</v>
      </c>
      <c r="N257" s="65" t="s">
        <v>2</v>
      </c>
    </row>
    <row r="258" spans="1:14" x14ac:dyDescent="0.25">
      <c r="A258" s="62" t="s">
        <v>508</v>
      </c>
      <c r="B258" s="62" t="s">
        <v>508</v>
      </c>
      <c r="C258" s="61" t="s">
        <v>505</v>
      </c>
      <c r="D258" s="62" t="s">
        <v>508</v>
      </c>
      <c r="E258" s="62" t="s">
        <v>508</v>
      </c>
      <c r="F258" s="64" t="str">
        <f>Originals!B313</f>
        <v>NI-VISA</v>
      </c>
      <c r="G258" s="64">
        <f>Originals!C313</f>
        <v>19.5</v>
      </c>
      <c r="H258" s="64" t="str">
        <f>Originals!D313</f>
        <v>32</v>
      </c>
      <c r="I258" s="64" t="str">
        <f>Originals!E313</f>
        <v>2019</v>
      </c>
      <c r="J258" s="64" t="str">
        <f>Originals!F313</f>
        <v>Development</v>
      </c>
      <c r="K258" s="64" t="str">
        <f>Originals!G313</f>
        <v>NI</v>
      </c>
      <c r="L258" s="64" t="str">
        <f>Originals!H313</f>
        <v>NI-VISA 19.5</v>
      </c>
      <c r="M258" s="64">
        <f>Originals!I313</f>
        <v>0</v>
      </c>
      <c r="N258" s="65" t="s">
        <v>2</v>
      </c>
    </row>
    <row r="259" spans="1:14" hidden="1" x14ac:dyDescent="0.25">
      <c r="A259" s="62" t="s">
        <v>508</v>
      </c>
      <c r="B259" s="62" t="s">
        <v>508</v>
      </c>
      <c r="C259" s="62" t="s">
        <v>508</v>
      </c>
      <c r="D259" s="62" t="s">
        <v>508</v>
      </c>
      <c r="E259" s="61" t="s">
        <v>505</v>
      </c>
      <c r="F259" s="72" t="str">
        <f>Originals!B394</f>
        <v>NI-VISA</v>
      </c>
      <c r="G259" s="72" t="str">
        <f>Originals!C394</f>
        <v>18.0</v>
      </c>
      <c r="H259" s="72" t="str">
        <f>Originals!D394</f>
        <v>32</v>
      </c>
      <c r="I259" s="72" t="str">
        <f>Originals!E394</f>
        <v>2018</v>
      </c>
      <c r="J259" s="72" t="str">
        <f>Originals!F394</f>
        <v>Development</v>
      </c>
      <c r="K259" s="72" t="str">
        <f>Originals!G394</f>
        <v>NI</v>
      </c>
      <c r="L259" s="72" t="str">
        <f>Originals!H394</f>
        <v>NI-VISA 18.0</v>
      </c>
      <c r="M259" s="72">
        <f>Originals!I394</f>
        <v>0</v>
      </c>
      <c r="N259" s="73" t="s">
        <v>465</v>
      </c>
    </row>
    <row r="260" spans="1:14" hidden="1" x14ac:dyDescent="0.25">
      <c r="A260" s="62" t="s">
        <v>508</v>
      </c>
      <c r="B260" s="62" t="s">
        <v>508</v>
      </c>
      <c r="C260" s="62" t="s">
        <v>508</v>
      </c>
      <c r="D260" s="62" t="s">
        <v>508</v>
      </c>
      <c r="E260" s="61" t="s">
        <v>505</v>
      </c>
      <c r="F260" s="72" t="str">
        <f>Originals!B395</f>
        <v>NI-VISA</v>
      </c>
      <c r="G260" s="72" t="str">
        <f>Originals!C395</f>
        <v>18.0</v>
      </c>
      <c r="H260" s="72" t="str">
        <f>Originals!D395</f>
        <v>31</v>
      </c>
      <c r="I260" s="72" t="str">
        <f>Originals!E395</f>
        <v>2018</v>
      </c>
      <c r="J260" s="72" t="str">
        <f>Originals!F395</f>
        <v>Runtime</v>
      </c>
      <c r="K260" s="72" t="str">
        <f>Originals!G395</f>
        <v>NI</v>
      </c>
      <c r="L260" s="72" t="str">
        <f>Originals!H395</f>
        <v>NI-VISA 18.0</v>
      </c>
      <c r="M260" s="72">
        <f>Originals!I395</f>
        <v>0</v>
      </c>
      <c r="N260" s="73" t="s">
        <v>465</v>
      </c>
    </row>
    <row r="261" spans="1:14" hidden="1" x14ac:dyDescent="0.25">
      <c r="A261" s="62" t="s">
        <v>508</v>
      </c>
      <c r="B261" s="62" t="s">
        <v>508</v>
      </c>
      <c r="C261" s="62" t="s">
        <v>508</v>
      </c>
      <c r="D261" s="61" t="s">
        <v>505</v>
      </c>
      <c r="E261" s="62" t="s">
        <v>508</v>
      </c>
      <c r="F261" s="66" t="str">
        <f>Scott!B97</f>
        <v>NI Modbus Library</v>
      </c>
      <c r="G261" s="66" t="str">
        <f>Scott!C97</f>
        <v>1.2.1.42</v>
      </c>
      <c r="H261" s="66" t="str">
        <f>Scott!D97</f>
        <v>32</v>
      </c>
      <c r="I261" s="66" t="str">
        <f>Scott!E97</f>
        <v>N/A</v>
      </c>
      <c r="J261" s="66" t="str">
        <f>Scott!F97</f>
        <v>Development</v>
      </c>
      <c r="K261" s="66" t="str">
        <f>Scott!G97</f>
        <v>NI</v>
      </c>
      <c r="L261" s="66" t="str">
        <f>Scott!H97</f>
        <v>NI Modbus Library 1.2.1.42</v>
      </c>
      <c r="M261" s="66" t="str">
        <f>Scott!I97</f>
        <v>VIPM Community</v>
      </c>
      <c r="N261" s="67" t="s">
        <v>96</v>
      </c>
    </row>
    <row r="262" spans="1:14" hidden="1" x14ac:dyDescent="0.25">
      <c r="A262" s="62" t="s">
        <v>508</v>
      </c>
      <c r="B262" s="62" t="s">
        <v>508</v>
      </c>
      <c r="C262" s="62" t="s">
        <v>508</v>
      </c>
      <c r="D262" s="61" t="s">
        <v>505</v>
      </c>
      <c r="E262" s="62" t="s">
        <v>508</v>
      </c>
      <c r="F262" s="66" t="str">
        <f>Scott!B99</f>
        <v>NI PXI Platform Services</v>
      </c>
      <c r="G262" s="66" t="str">
        <f>Scott!C99</f>
        <v>15.0.0f1</v>
      </c>
      <c r="H262" s="66">
        <f>Scott!D99</f>
        <v>32</v>
      </c>
      <c r="I262" s="66">
        <f>Scott!E99</f>
        <v>2015</v>
      </c>
      <c r="J262" s="66" t="str">
        <f>Scott!F99</f>
        <v>Runtime</v>
      </c>
      <c r="K262" s="66" t="str">
        <f>Scott!G99</f>
        <v>NI</v>
      </c>
      <c r="L262" s="66" t="str">
        <f>Scott!H99</f>
        <v>NI PXI Platform Services 15.0.0f1</v>
      </c>
      <c r="M262" s="66" t="str">
        <f>Scott!I99</f>
        <v>NI Developer Suite 2015 DS2 Install</v>
      </c>
      <c r="N262" s="67" t="s">
        <v>96</v>
      </c>
    </row>
    <row r="263" spans="1:14" x14ac:dyDescent="0.25">
      <c r="A263" s="61" t="s">
        <v>505</v>
      </c>
      <c r="B263" s="61" t="s">
        <v>505</v>
      </c>
      <c r="C263" s="62" t="s">
        <v>508</v>
      </c>
      <c r="D263" s="62" t="s">
        <v>508</v>
      </c>
      <c r="E263" s="61" t="s">
        <v>505</v>
      </c>
      <c r="F263" s="63" t="str">
        <f>Originals!B75</f>
        <v>NIvisaic.exe</v>
      </c>
      <c r="G263" s="63" t="str">
        <f>Originals!C75</f>
        <v>15.0.0.49152</v>
      </c>
      <c r="H263" s="63" t="str">
        <f>Originals!D75</f>
        <v>32</v>
      </c>
      <c r="I263" s="63" t="str">
        <f>Originals!E75</f>
        <v>2019</v>
      </c>
      <c r="J263" s="63" t="str">
        <f>Originals!F75</f>
        <v>Development</v>
      </c>
      <c r="K263" s="63" t="str">
        <f>Originals!G75</f>
        <v>NI</v>
      </c>
      <c r="L263" s="63" t="str">
        <f>Originals!H75</f>
        <v>NIvisaic.exe 15.0.0.49152</v>
      </c>
      <c r="M263" s="63" t="str">
        <f>Originals!I75</f>
        <v>NI Developer Suite 2015 DS2 Install</v>
      </c>
      <c r="N263" s="56" t="s">
        <v>136</v>
      </c>
    </row>
    <row r="264" spans="1:14" x14ac:dyDescent="0.25">
      <c r="A264" s="62" t="s">
        <v>508</v>
      </c>
      <c r="B264" s="62" t="s">
        <v>508</v>
      </c>
      <c r="C264" s="61" t="s">
        <v>505</v>
      </c>
      <c r="D264" s="62" t="s">
        <v>508</v>
      </c>
      <c r="E264" s="62" t="s">
        <v>508</v>
      </c>
      <c r="F264" s="64" t="str">
        <f>Originals!B315</f>
        <v>NIvisaic.exe</v>
      </c>
      <c r="G264" s="64" t="str">
        <f>Originals!C315</f>
        <v>18.5.0.49152</v>
      </c>
      <c r="H264" s="64" t="str">
        <f>Originals!D315</f>
        <v>32</v>
      </c>
      <c r="I264" s="64" t="str">
        <f>Originals!E315</f>
        <v>2018</v>
      </c>
      <c r="J264" s="64" t="str">
        <f>Originals!F315</f>
        <v>Development</v>
      </c>
      <c r="K264" s="64" t="str">
        <f>Originals!G315</f>
        <v>NI</v>
      </c>
      <c r="L264" s="64" t="str">
        <f>Originals!H315</f>
        <v>NIvisaic.exe 18.5.0.49152</v>
      </c>
      <c r="M264" s="64" t="str">
        <f>Originals!I315</f>
        <v>NI Developer Suite 2015 DS2 Install</v>
      </c>
      <c r="N264" s="65" t="s">
        <v>2</v>
      </c>
    </row>
    <row r="265" spans="1:14" x14ac:dyDescent="0.25">
      <c r="A265" s="61" t="s">
        <v>505</v>
      </c>
      <c r="B265" s="61" t="s">
        <v>505</v>
      </c>
      <c r="C265" s="61" t="s">
        <v>505</v>
      </c>
      <c r="D265" s="61" t="s">
        <v>505</v>
      </c>
      <c r="E265" s="62" t="s">
        <v>508</v>
      </c>
      <c r="F265" s="63" t="str">
        <f>Originals!B76</f>
        <v>NiVisaServer.exe</v>
      </c>
      <c r="G265" s="63" t="str">
        <f>Originals!C76</f>
        <v>15.0.0.49152</v>
      </c>
      <c r="H265" s="63" t="str">
        <f>Originals!D76</f>
        <v>32</v>
      </c>
      <c r="I265" s="63" t="str">
        <f>Originals!E76</f>
        <v>2019</v>
      </c>
      <c r="J265" s="63" t="str">
        <f>Originals!F76</f>
        <v>Development</v>
      </c>
      <c r="K265" s="63" t="str">
        <f>Originals!G76</f>
        <v>NI</v>
      </c>
      <c r="L265" s="63" t="str">
        <f>Originals!H76</f>
        <v>NiVisaServer.exe 15.0.0.49152</v>
      </c>
      <c r="M265" s="63" t="str">
        <f>Originals!I76</f>
        <v>NI Developer Suite 2015 DS2 Install</v>
      </c>
      <c r="N265" s="56" t="s">
        <v>136</v>
      </c>
    </row>
    <row r="266" spans="1:14" x14ac:dyDescent="0.25">
      <c r="A266" s="62" t="s">
        <v>508</v>
      </c>
      <c r="B266" s="62" t="s">
        <v>508</v>
      </c>
      <c r="C266" s="61" t="s">
        <v>505</v>
      </c>
      <c r="D266" s="62" t="s">
        <v>508</v>
      </c>
      <c r="E266" s="62" t="s">
        <v>508</v>
      </c>
      <c r="F266" s="64" t="str">
        <f>Originals!B317</f>
        <v>NI-Watchdog</v>
      </c>
      <c r="G266" s="64" t="str">
        <f>Originals!C317</f>
        <v>15.0.0</v>
      </c>
      <c r="H266" s="64" t="str">
        <f>Originals!D317</f>
        <v>32</v>
      </c>
      <c r="I266" s="64" t="str">
        <f>Originals!E317</f>
        <v>2015</v>
      </c>
      <c r="J266" s="64" t="str">
        <f>Originals!F317</f>
        <v>C-RIO</v>
      </c>
      <c r="K266" s="64" t="str">
        <f>Originals!G317</f>
        <v>NI</v>
      </c>
      <c r="L266" s="64" t="str">
        <f>Originals!H317</f>
        <v>NI-Watchdog 15.0.0</v>
      </c>
      <c r="M266" s="64">
        <f>Originals!I317</f>
        <v>0</v>
      </c>
      <c r="N266" s="65" t="s">
        <v>2</v>
      </c>
    </row>
    <row r="267" spans="1:14" x14ac:dyDescent="0.25">
      <c r="A267" s="62" t="s">
        <v>508</v>
      </c>
      <c r="B267" s="62" t="s">
        <v>508</v>
      </c>
      <c r="C267" s="61" t="s">
        <v>505</v>
      </c>
      <c r="D267" s="62" t="s">
        <v>508</v>
      </c>
      <c r="E267" s="62" t="s">
        <v>508</v>
      </c>
      <c r="F267" s="64" t="str">
        <f>Originals!B318</f>
        <v>NI-XNET</v>
      </c>
      <c r="G267" s="64" t="str">
        <f>Originals!C318</f>
        <v>18.5.0f0</v>
      </c>
      <c r="H267" s="64" t="str">
        <f>Originals!D318</f>
        <v>32</v>
      </c>
      <c r="I267" s="64" t="str">
        <f>Originals!E318</f>
        <v>2018</v>
      </c>
      <c r="J267" s="64" t="str">
        <f>Originals!F318</f>
        <v>Development</v>
      </c>
      <c r="K267" s="64" t="str">
        <f>Originals!G318</f>
        <v>NI</v>
      </c>
      <c r="L267" s="64" t="str">
        <f>Originals!H318</f>
        <v>NI-XNET 18.5.0f0</v>
      </c>
      <c r="M267" s="64">
        <f>Originals!I318</f>
        <v>0</v>
      </c>
      <c r="N267" s="65" t="s">
        <v>2</v>
      </c>
    </row>
    <row r="268" spans="1:14" x14ac:dyDescent="0.25">
      <c r="A268" s="62" t="s">
        <v>508</v>
      </c>
      <c r="B268" s="62" t="s">
        <v>508</v>
      </c>
      <c r="C268" s="61" t="s">
        <v>505</v>
      </c>
      <c r="D268" s="62" t="s">
        <v>508</v>
      </c>
      <c r="E268" s="62" t="s">
        <v>508</v>
      </c>
      <c r="F268" s="64" t="str">
        <f>Originals!B319</f>
        <v>NI-XNET</v>
      </c>
      <c r="G268" s="64" t="str">
        <f>Originals!C319</f>
        <v>18.5.0f1</v>
      </c>
      <c r="H268" s="64" t="str">
        <f>Originals!D319</f>
        <v>32</v>
      </c>
      <c r="I268" s="64" t="str">
        <f>Originals!E319</f>
        <v>2018</v>
      </c>
      <c r="J268" s="64" t="str">
        <f>Originals!F319</f>
        <v>Runtime</v>
      </c>
      <c r="K268" s="64" t="str">
        <f>Originals!G319</f>
        <v>NI</v>
      </c>
      <c r="L268" s="64" t="str">
        <f>Originals!H319</f>
        <v>NI-XNET 18.5.0f1</v>
      </c>
      <c r="M268" s="64">
        <f>Originals!I319</f>
        <v>0</v>
      </c>
      <c r="N268" s="65" t="s">
        <v>2</v>
      </c>
    </row>
    <row r="269" spans="1:14" hidden="1" x14ac:dyDescent="0.25">
      <c r="A269" s="62" t="s">
        <v>508</v>
      </c>
      <c r="B269" s="62" t="s">
        <v>508</v>
      </c>
      <c r="C269" s="62" t="s">
        <v>508</v>
      </c>
      <c r="D269" s="61" t="s">
        <v>505</v>
      </c>
      <c r="E269" s="62" t="s">
        <v>508</v>
      </c>
      <c r="F269" s="66" t="str">
        <f>Scott!B102</f>
        <v>NI Script Editor</v>
      </c>
      <c r="G269" s="66" t="str">
        <f>Scott!C102</f>
        <v>14.0</v>
      </c>
      <c r="H269" s="66">
        <f>Scott!D102</f>
        <v>32</v>
      </c>
      <c r="I269" s="66">
        <f>Scott!E102</f>
        <v>2014</v>
      </c>
      <c r="J269" s="66" t="str">
        <f>Scott!F102</f>
        <v>Development</v>
      </c>
      <c r="K269" s="66" t="str">
        <f>Scott!G102</f>
        <v>NI</v>
      </c>
      <c r="L269" s="66" t="str">
        <f>Scott!H102</f>
        <v>NI Script Editor 14.0</v>
      </c>
      <c r="M269" s="66" t="str">
        <f>Scott!I102</f>
        <v>NI Developer Suite 2015 DS2 Install</v>
      </c>
      <c r="N269" s="67" t="s">
        <v>96</v>
      </c>
    </row>
    <row r="270" spans="1:14" x14ac:dyDescent="0.25">
      <c r="A270" s="62" t="s">
        <v>508</v>
      </c>
      <c r="B270" s="62" t="s">
        <v>508</v>
      </c>
      <c r="C270" s="61" t="s">
        <v>505</v>
      </c>
      <c r="D270" s="61" t="s">
        <v>505</v>
      </c>
      <c r="E270" s="62" t="s">
        <v>508</v>
      </c>
      <c r="F270" s="63" t="str">
        <f>Originals!B320</f>
        <v>OpenG Application Control Library</v>
      </c>
      <c r="G270" s="63" t="str">
        <f>Originals!C320</f>
        <v>4.1.0.7</v>
      </c>
      <c r="H270" s="63" t="str">
        <f>Originals!D320</f>
        <v>32</v>
      </c>
      <c r="I270" s="63" t="str">
        <f>Originals!E320</f>
        <v>N/A</v>
      </c>
      <c r="J270" s="63" t="str">
        <f>Originals!F320</f>
        <v>Development</v>
      </c>
      <c r="K270" s="63" t="str">
        <f>Originals!G320</f>
        <v>OpenG.org</v>
      </c>
      <c r="L270" s="63" t="str">
        <f>Originals!H320</f>
        <v>OpenG Application Control Library 4.1.0.7</v>
      </c>
      <c r="M270" s="63" t="str">
        <f>Originals!I320</f>
        <v>VIPM Community</v>
      </c>
      <c r="N270" s="56" t="s">
        <v>136</v>
      </c>
    </row>
    <row r="271" spans="1:14" x14ac:dyDescent="0.25">
      <c r="A271" s="62" t="s">
        <v>508</v>
      </c>
      <c r="B271" s="62" t="s">
        <v>508</v>
      </c>
      <c r="C271" s="61" t="s">
        <v>505</v>
      </c>
      <c r="D271" s="61" t="s">
        <v>505</v>
      </c>
      <c r="E271" s="62" t="s">
        <v>508</v>
      </c>
      <c r="F271" s="63" t="str">
        <f>Originals!B321</f>
        <v>OpenG Array Library</v>
      </c>
      <c r="G271" s="63" t="str">
        <f>Originals!C321</f>
        <v>4.1.1.14</v>
      </c>
      <c r="H271" s="63" t="str">
        <f>Originals!D321</f>
        <v>32</v>
      </c>
      <c r="I271" s="63" t="str">
        <f>Originals!E321</f>
        <v>N/A</v>
      </c>
      <c r="J271" s="63" t="str">
        <f>Originals!F321</f>
        <v>Development</v>
      </c>
      <c r="K271" s="63" t="str">
        <f>Originals!G321</f>
        <v>OpenG.org</v>
      </c>
      <c r="L271" s="63" t="str">
        <f>Originals!H321</f>
        <v>OpenG Array Library 4.1.1.14</v>
      </c>
      <c r="M271" s="63" t="str">
        <f>Originals!I321</f>
        <v>VIPM Community</v>
      </c>
      <c r="N271" s="56" t="s">
        <v>136</v>
      </c>
    </row>
    <row r="272" spans="1:14" x14ac:dyDescent="0.25">
      <c r="A272" s="62" t="s">
        <v>508</v>
      </c>
      <c r="B272" s="62" t="s">
        <v>508</v>
      </c>
      <c r="C272" s="61" t="s">
        <v>505</v>
      </c>
      <c r="D272" s="61" t="s">
        <v>505</v>
      </c>
      <c r="E272" s="62" t="s">
        <v>508</v>
      </c>
      <c r="F272" s="63" t="str">
        <f>Originals!B322</f>
        <v>OpenG Boolean Library</v>
      </c>
      <c r="G272" s="63" t="str">
        <f>Originals!C322</f>
        <v>4.0.0.7</v>
      </c>
      <c r="H272" s="63" t="str">
        <f>Originals!D322</f>
        <v>32</v>
      </c>
      <c r="I272" s="63" t="str">
        <f>Originals!E322</f>
        <v>N/A</v>
      </c>
      <c r="J272" s="63" t="str">
        <f>Originals!F322</f>
        <v>Development</v>
      </c>
      <c r="K272" s="63" t="str">
        <f>Originals!G322</f>
        <v>OpenG.org</v>
      </c>
      <c r="L272" s="63" t="str">
        <f>Originals!H322</f>
        <v>OpenG Boolean Library 4.0.0.7</v>
      </c>
      <c r="M272" s="63" t="str">
        <f>Originals!I322</f>
        <v>VIPM Community</v>
      </c>
      <c r="N272" s="56" t="s">
        <v>136</v>
      </c>
    </row>
    <row r="273" spans="1:14" x14ac:dyDescent="0.25">
      <c r="A273" s="62" t="s">
        <v>508</v>
      </c>
      <c r="B273" s="62" t="s">
        <v>508</v>
      </c>
      <c r="C273" s="61" t="s">
        <v>505</v>
      </c>
      <c r="D273" s="61" t="s">
        <v>505</v>
      </c>
      <c r="E273" s="62" t="s">
        <v>508</v>
      </c>
      <c r="F273" s="63" t="str">
        <f>Originals!B323</f>
        <v>OpenG Builder</v>
      </c>
      <c r="G273" s="63" t="str">
        <f>Originals!C323</f>
        <v>3.0.1-2</v>
      </c>
      <c r="H273" s="63" t="str">
        <f>Originals!D323</f>
        <v>32</v>
      </c>
      <c r="I273" s="63" t="str">
        <f>Originals!E323</f>
        <v>N/A</v>
      </c>
      <c r="J273" s="63" t="str">
        <f>Originals!F323</f>
        <v>Development</v>
      </c>
      <c r="K273" s="63" t="str">
        <f>Originals!G323</f>
        <v>OpenG.org</v>
      </c>
      <c r="L273" s="63" t="str">
        <f>Originals!H323</f>
        <v>OpenG Builder 3.0.1-2</v>
      </c>
      <c r="M273" s="63" t="str">
        <f>Originals!I323</f>
        <v>VIPM Community</v>
      </c>
      <c r="N273" s="56" t="s">
        <v>136</v>
      </c>
    </row>
    <row r="274" spans="1:14" x14ac:dyDescent="0.25">
      <c r="A274" s="62" t="s">
        <v>508</v>
      </c>
      <c r="B274" s="62" t="s">
        <v>508</v>
      </c>
      <c r="C274" s="61" t="s">
        <v>505</v>
      </c>
      <c r="D274" s="61" t="s">
        <v>505</v>
      </c>
      <c r="E274" s="62" t="s">
        <v>508</v>
      </c>
      <c r="F274" s="63" t="str">
        <f>Originals!B324</f>
        <v>OpenG Buttons Library</v>
      </c>
      <c r="G274" s="63" t="str">
        <f>Originals!C324</f>
        <v>4.0.0.7</v>
      </c>
      <c r="H274" s="63" t="str">
        <f>Originals!D324</f>
        <v>32</v>
      </c>
      <c r="I274" s="63" t="str">
        <f>Originals!E324</f>
        <v>N/A</v>
      </c>
      <c r="J274" s="63" t="str">
        <f>Originals!F324</f>
        <v>Development</v>
      </c>
      <c r="K274" s="63" t="str">
        <f>Originals!G324</f>
        <v>OpenG.org</v>
      </c>
      <c r="L274" s="63" t="str">
        <f>Originals!H324</f>
        <v>OpenG Buttons Library 4.0.0.7</v>
      </c>
      <c r="M274" s="63" t="str">
        <f>Originals!I324</f>
        <v>VIPM Community</v>
      </c>
      <c r="N274" s="56" t="s">
        <v>136</v>
      </c>
    </row>
    <row r="275" spans="1:14" x14ac:dyDescent="0.25">
      <c r="A275" s="62" t="s">
        <v>508</v>
      </c>
      <c r="B275" s="62" t="s">
        <v>508</v>
      </c>
      <c r="C275" s="61" t="s">
        <v>505</v>
      </c>
      <c r="D275" s="61" t="s">
        <v>505</v>
      </c>
      <c r="E275" s="62" t="s">
        <v>508</v>
      </c>
      <c r="F275" s="63" t="str">
        <f>Originals!B325</f>
        <v>OpenG Compare VI To Disk Tool</v>
      </c>
      <c r="G275" s="63" t="str">
        <f>Originals!C325</f>
        <v>4.0.0.9</v>
      </c>
      <c r="H275" s="63" t="str">
        <f>Originals!D325</f>
        <v>32</v>
      </c>
      <c r="I275" s="63" t="str">
        <f>Originals!E325</f>
        <v>N/A</v>
      </c>
      <c r="J275" s="63" t="str">
        <f>Originals!F325</f>
        <v>Development</v>
      </c>
      <c r="K275" s="63" t="str">
        <f>Originals!G325</f>
        <v>OpenG.org</v>
      </c>
      <c r="L275" s="63" t="str">
        <f>Originals!H325</f>
        <v>OpenG Compare VI To Disk Tool 4.0.0.9</v>
      </c>
      <c r="M275" s="63" t="str">
        <f>Originals!I325</f>
        <v>VIPM Community</v>
      </c>
      <c r="N275" s="56" t="s">
        <v>136</v>
      </c>
    </row>
    <row r="276" spans="1:14" x14ac:dyDescent="0.25">
      <c r="A276" s="62" t="s">
        <v>508</v>
      </c>
      <c r="B276" s="62" t="s">
        <v>508</v>
      </c>
      <c r="C276" s="61" t="s">
        <v>505</v>
      </c>
      <c r="D276" s="61" t="s">
        <v>505</v>
      </c>
      <c r="E276" s="62" t="s">
        <v>508</v>
      </c>
      <c r="F276" s="63" t="str">
        <f>Originals!B326</f>
        <v>OpenG Comparison Library</v>
      </c>
      <c r="G276" s="63" t="str">
        <f>Originals!C326</f>
        <v>4.0.0.3</v>
      </c>
      <c r="H276" s="63" t="str">
        <f>Originals!D326</f>
        <v>32</v>
      </c>
      <c r="I276" s="63" t="str">
        <f>Originals!E326</f>
        <v>N/A</v>
      </c>
      <c r="J276" s="63" t="str">
        <f>Originals!F326</f>
        <v>Development</v>
      </c>
      <c r="K276" s="63" t="str">
        <f>Originals!G326</f>
        <v>OpenG.org</v>
      </c>
      <c r="L276" s="63" t="str">
        <f>Originals!H326</f>
        <v>OpenG Comparison Library 4.0.0.3</v>
      </c>
      <c r="M276" s="63" t="str">
        <f>Originals!I326</f>
        <v>VIPM Community</v>
      </c>
      <c r="N276" s="56" t="s">
        <v>136</v>
      </c>
    </row>
    <row r="277" spans="1:14" x14ac:dyDescent="0.25">
      <c r="A277" s="62" t="s">
        <v>508</v>
      </c>
      <c r="B277" s="62" t="s">
        <v>508</v>
      </c>
      <c r="C277" s="61" t="s">
        <v>505</v>
      </c>
      <c r="D277" s="61" t="s">
        <v>505</v>
      </c>
      <c r="E277" s="62" t="s">
        <v>508</v>
      </c>
      <c r="F277" s="63" t="str">
        <f>Originals!B327</f>
        <v>OpenG Dictionary Library</v>
      </c>
      <c r="G277" s="63" t="str">
        <f>Originals!C327</f>
        <v>4.0.0.4</v>
      </c>
      <c r="H277" s="63" t="str">
        <f>Originals!D327</f>
        <v>32</v>
      </c>
      <c r="I277" s="63" t="str">
        <f>Originals!E327</f>
        <v>N/A</v>
      </c>
      <c r="J277" s="63" t="str">
        <f>Originals!F327</f>
        <v>Development</v>
      </c>
      <c r="K277" s="63" t="str">
        <f>Originals!G327</f>
        <v>OpenG.org</v>
      </c>
      <c r="L277" s="63" t="str">
        <f>Originals!H327</f>
        <v>OpenG Dictionary Library 4.0.0.4</v>
      </c>
      <c r="M277" s="63" t="str">
        <f>Originals!I327</f>
        <v>VIPM Community</v>
      </c>
      <c r="N277" s="56" t="s">
        <v>136</v>
      </c>
    </row>
    <row r="278" spans="1:14" x14ac:dyDescent="0.25">
      <c r="A278" s="62" t="s">
        <v>508</v>
      </c>
      <c r="B278" s="62" t="s">
        <v>508</v>
      </c>
      <c r="C278" s="61" t="s">
        <v>505</v>
      </c>
      <c r="D278" s="61" t="s">
        <v>505</v>
      </c>
      <c r="E278" s="62" t="s">
        <v>508</v>
      </c>
      <c r="F278" s="63" t="str">
        <f>Originals!B328</f>
        <v>OpenG Error Library</v>
      </c>
      <c r="G278" s="63" t="str">
        <f>Originals!C328</f>
        <v>4.2.0.23</v>
      </c>
      <c r="H278" s="63" t="str">
        <f>Originals!D328</f>
        <v>32</v>
      </c>
      <c r="I278" s="63" t="str">
        <f>Originals!E328</f>
        <v>N/A</v>
      </c>
      <c r="J278" s="63" t="str">
        <f>Originals!F328</f>
        <v>Development</v>
      </c>
      <c r="K278" s="63" t="str">
        <f>Originals!G328</f>
        <v>OpenG.org</v>
      </c>
      <c r="L278" s="63" t="str">
        <f>Originals!H328</f>
        <v>OpenG Error Library 4.2.0.23</v>
      </c>
      <c r="M278" s="63" t="str">
        <f>Originals!I328</f>
        <v>VIPM Community</v>
      </c>
      <c r="N278" s="56" t="s">
        <v>136</v>
      </c>
    </row>
    <row r="279" spans="1:14" x14ac:dyDescent="0.25">
      <c r="A279" s="62" t="s">
        <v>508</v>
      </c>
      <c r="B279" s="62" t="s">
        <v>508</v>
      </c>
      <c r="C279" s="61" t="s">
        <v>505</v>
      </c>
      <c r="D279" s="61" t="s">
        <v>505</v>
      </c>
      <c r="E279" s="62" t="s">
        <v>508</v>
      </c>
      <c r="F279" s="63" t="str">
        <f>Originals!B329</f>
        <v>OpenG File Library</v>
      </c>
      <c r="G279" s="63" t="str">
        <f>Originals!C329</f>
        <v>4.0.1.22</v>
      </c>
      <c r="H279" s="63" t="str">
        <f>Originals!D329</f>
        <v>32</v>
      </c>
      <c r="I279" s="63" t="str">
        <f>Originals!E329</f>
        <v>N/A</v>
      </c>
      <c r="J279" s="63" t="str">
        <f>Originals!F329</f>
        <v>Development</v>
      </c>
      <c r="K279" s="63" t="str">
        <f>Originals!G329</f>
        <v>OpenG.org</v>
      </c>
      <c r="L279" s="63" t="str">
        <f>Originals!H329</f>
        <v>OpenG File Library 4.0.1.22</v>
      </c>
      <c r="M279" s="63" t="str">
        <f>Originals!I329</f>
        <v>VIPM Community</v>
      </c>
      <c r="N279" s="56" t="s">
        <v>136</v>
      </c>
    </row>
    <row r="280" spans="1:14" x14ac:dyDescent="0.25">
      <c r="A280" s="62" t="s">
        <v>508</v>
      </c>
      <c r="B280" s="62" t="s">
        <v>508</v>
      </c>
      <c r="C280" s="61" t="s">
        <v>505</v>
      </c>
      <c r="D280" s="61" t="s">
        <v>505</v>
      </c>
      <c r="E280" s="62" t="s">
        <v>508</v>
      </c>
      <c r="F280" s="63" t="str">
        <f>Originals!B330</f>
        <v>OpenG LabPython Library</v>
      </c>
      <c r="G280" s="63" t="str">
        <f>Originals!C330</f>
        <v>4.0.0.4</v>
      </c>
      <c r="H280" s="63" t="str">
        <f>Originals!D330</f>
        <v>32</v>
      </c>
      <c r="I280" s="63" t="str">
        <f>Originals!E330</f>
        <v>N/A</v>
      </c>
      <c r="J280" s="63" t="str">
        <f>Originals!F330</f>
        <v>Development</v>
      </c>
      <c r="K280" s="63" t="str">
        <f>Originals!G330</f>
        <v>OpenG_org</v>
      </c>
      <c r="L280" s="63" t="str">
        <f>Originals!H330</f>
        <v>OpenG LabPython Library 4.0.0.4</v>
      </c>
      <c r="M280" s="63" t="str">
        <f>Originals!I330</f>
        <v>VIPM Community</v>
      </c>
      <c r="N280" s="56" t="s">
        <v>136</v>
      </c>
    </row>
    <row r="281" spans="1:14" x14ac:dyDescent="0.25">
      <c r="A281" s="62" t="s">
        <v>508</v>
      </c>
      <c r="B281" s="62" t="s">
        <v>508</v>
      </c>
      <c r="C281" s="61" t="s">
        <v>505</v>
      </c>
      <c r="D281" s="61" t="s">
        <v>505</v>
      </c>
      <c r="E281" s="62" t="s">
        <v>508</v>
      </c>
      <c r="F281" s="64" t="str">
        <f>Originals!B331</f>
        <v>OpenG LabVIEW Data Library</v>
      </c>
      <c r="G281" s="64" t="str">
        <f>Originals!C331</f>
        <v>4.2.0.21</v>
      </c>
      <c r="H281" s="64" t="str">
        <f>Originals!D331</f>
        <v>32</v>
      </c>
      <c r="I281" s="64" t="str">
        <f>Originals!E331</f>
        <v>N/A</v>
      </c>
      <c r="J281" s="64" t="str">
        <f>Originals!F331</f>
        <v>Development</v>
      </c>
      <c r="K281" s="64" t="str">
        <f>Originals!G331</f>
        <v>Openg.org</v>
      </c>
      <c r="L281" s="64" t="str">
        <f>Originals!H331</f>
        <v>OpenG LabVIEW Data Library 4.2.0.21</v>
      </c>
      <c r="M281" s="64" t="str">
        <f>Originals!I331</f>
        <v>VIPM Community</v>
      </c>
      <c r="N281" s="65" t="s">
        <v>2</v>
      </c>
    </row>
    <row r="282" spans="1:14" x14ac:dyDescent="0.25">
      <c r="A282" s="62" t="s">
        <v>508</v>
      </c>
      <c r="B282" s="62" t="s">
        <v>508</v>
      </c>
      <c r="C282" s="61" t="s">
        <v>505</v>
      </c>
      <c r="D282" s="61" t="s">
        <v>505</v>
      </c>
      <c r="E282" s="62" t="s">
        <v>508</v>
      </c>
      <c r="F282" s="63" t="str">
        <f>Originals!B332</f>
        <v>OpenG LabVIEW ZIP Library</v>
      </c>
      <c r="G282" s="63" t="str">
        <f>Originals!C332</f>
        <v>4.0.0-2</v>
      </c>
      <c r="H282" s="63" t="str">
        <f>Originals!D332</f>
        <v>32</v>
      </c>
      <c r="I282" s="63" t="str">
        <f>Originals!E332</f>
        <v>N/A</v>
      </c>
      <c r="J282" s="63" t="str">
        <f>Originals!F332</f>
        <v>Development</v>
      </c>
      <c r="K282" s="63" t="str">
        <f>Originals!G332</f>
        <v>OpenG.org</v>
      </c>
      <c r="L282" s="63" t="str">
        <f>Originals!H332</f>
        <v>OpenG LabVIEW ZIP Library 4.0.0-2</v>
      </c>
      <c r="M282" s="63" t="str">
        <f>Originals!I332</f>
        <v>VIPM Community</v>
      </c>
      <c r="N282" s="56" t="s">
        <v>136</v>
      </c>
    </row>
    <row r="283" spans="1:14" x14ac:dyDescent="0.25">
      <c r="A283" s="62" t="s">
        <v>508</v>
      </c>
      <c r="B283" s="62" t="s">
        <v>508</v>
      </c>
      <c r="C283" s="61" t="s">
        <v>505</v>
      </c>
      <c r="D283" s="61" t="s">
        <v>505</v>
      </c>
      <c r="E283" s="62" t="s">
        <v>508</v>
      </c>
      <c r="F283" s="63" t="str">
        <f>Originals!B333</f>
        <v>OpenG Large File Library</v>
      </c>
      <c r="G283" s="63" t="str">
        <f>Originals!C333</f>
        <v>4.0.0.3</v>
      </c>
      <c r="H283" s="63" t="str">
        <f>Originals!D333</f>
        <v>32</v>
      </c>
      <c r="I283" s="63" t="str">
        <f>Originals!E333</f>
        <v>N/A</v>
      </c>
      <c r="J283" s="63" t="str">
        <f>Originals!F333</f>
        <v>Development</v>
      </c>
      <c r="K283" s="63" t="str">
        <f>Originals!G333</f>
        <v>OpenG.org</v>
      </c>
      <c r="L283" s="63" t="str">
        <f>Originals!H333</f>
        <v>OpenG Large File Library 4.0.0.3</v>
      </c>
      <c r="M283" s="63" t="str">
        <f>Originals!I333</f>
        <v>VIPM Community</v>
      </c>
      <c r="N283" s="56" t="s">
        <v>136</v>
      </c>
    </row>
    <row r="284" spans="1:14" x14ac:dyDescent="0.25">
      <c r="A284" s="62" t="s">
        <v>508</v>
      </c>
      <c r="B284" s="62" t="s">
        <v>508</v>
      </c>
      <c r="C284" s="61" t="s">
        <v>505</v>
      </c>
      <c r="D284" s="61" t="s">
        <v>505</v>
      </c>
      <c r="E284" s="62" t="s">
        <v>508</v>
      </c>
      <c r="F284" s="63" t="str">
        <f>Originals!B334</f>
        <v>OpenG Locate File In Project Tool</v>
      </c>
      <c r="G284" s="63" t="str">
        <f>Originals!C334</f>
        <v>4.0.0.7</v>
      </c>
      <c r="H284" s="63" t="str">
        <f>Originals!D334</f>
        <v>32</v>
      </c>
      <c r="I284" s="63" t="str">
        <f>Originals!E334</f>
        <v>N/A</v>
      </c>
      <c r="J284" s="63" t="str">
        <f>Originals!F334</f>
        <v>Development</v>
      </c>
      <c r="K284" s="63" t="str">
        <f>Originals!G334</f>
        <v>OpenG.org</v>
      </c>
      <c r="L284" s="63" t="str">
        <f>Originals!H334</f>
        <v>OpenG Locate File In Project Tool 4.0.0.7</v>
      </c>
      <c r="M284" s="63" t="str">
        <f>Originals!I334</f>
        <v>VIPM Community</v>
      </c>
      <c r="N284" s="56" t="s">
        <v>136</v>
      </c>
    </row>
    <row r="285" spans="1:14" x14ac:dyDescent="0.25">
      <c r="A285" s="62" t="s">
        <v>508</v>
      </c>
      <c r="B285" s="62" t="s">
        <v>508</v>
      </c>
      <c r="C285" s="61" t="s">
        <v>505</v>
      </c>
      <c r="D285" s="61" t="s">
        <v>505</v>
      </c>
      <c r="E285" s="62" t="s">
        <v>508</v>
      </c>
      <c r="F285" s="63" t="str">
        <f>Originals!B335</f>
        <v>OpenG MD5 Digest Library</v>
      </c>
      <c r="G285" s="63" t="str">
        <f>Originals!C335</f>
        <v>4.1.1.10</v>
      </c>
      <c r="H285" s="63" t="str">
        <f>Originals!D335</f>
        <v>32</v>
      </c>
      <c r="I285" s="63" t="str">
        <f>Originals!E335</f>
        <v>N/A</v>
      </c>
      <c r="J285" s="63" t="str">
        <f>Originals!F335</f>
        <v>Development</v>
      </c>
      <c r="K285" s="63" t="str">
        <f>Originals!G335</f>
        <v>OpenG.org</v>
      </c>
      <c r="L285" s="63" t="str">
        <f>Originals!H335</f>
        <v>OpenG MD5 Digest Library 4.1.1.10</v>
      </c>
      <c r="M285" s="63" t="str">
        <f>Originals!I335</f>
        <v>VIPM Community</v>
      </c>
      <c r="N285" s="56" t="s">
        <v>136</v>
      </c>
    </row>
    <row r="286" spans="1:14" x14ac:dyDescent="0.25">
      <c r="A286" s="62" t="s">
        <v>508</v>
      </c>
      <c r="B286" s="62" t="s">
        <v>508</v>
      </c>
      <c r="C286" s="61" t="s">
        <v>505</v>
      </c>
      <c r="D286" s="61" t="s">
        <v>505</v>
      </c>
      <c r="E286" s="62" t="s">
        <v>508</v>
      </c>
      <c r="F286" s="63" t="str">
        <f>Originals!B336</f>
        <v>OpenG Message Queue Library</v>
      </c>
      <c r="G286" s="63" t="str">
        <f>Originals!C336</f>
        <v>4.0.0.15</v>
      </c>
      <c r="H286" s="63" t="str">
        <f>Originals!D336</f>
        <v>32</v>
      </c>
      <c r="I286" s="63" t="str">
        <f>Originals!E336</f>
        <v>N/A</v>
      </c>
      <c r="J286" s="63" t="str">
        <f>Originals!F336</f>
        <v>Development</v>
      </c>
      <c r="K286" s="63" t="str">
        <f>Originals!G336</f>
        <v>OpenG.org</v>
      </c>
      <c r="L286" s="63" t="str">
        <f>Originals!H336</f>
        <v>OpenG Message Queue Library 4.0.0.15</v>
      </c>
      <c r="M286" s="63" t="str">
        <f>Originals!I336</f>
        <v>VIPM Community</v>
      </c>
      <c r="N286" s="56" t="s">
        <v>136</v>
      </c>
    </row>
    <row r="287" spans="1:14" x14ac:dyDescent="0.25">
      <c r="A287" s="62" t="s">
        <v>508</v>
      </c>
      <c r="B287" s="62" t="s">
        <v>508</v>
      </c>
      <c r="C287" s="61" t="s">
        <v>505</v>
      </c>
      <c r="D287" s="61" t="s">
        <v>505</v>
      </c>
      <c r="E287" s="62" t="s">
        <v>508</v>
      </c>
      <c r="F287" s="63" t="str">
        <f>Originals!B337</f>
        <v>OpenG Numeric Library</v>
      </c>
      <c r="G287" s="63" t="str">
        <f>Originals!C337</f>
        <v>4.1.0.8</v>
      </c>
      <c r="H287" s="63" t="str">
        <f>Originals!D337</f>
        <v>32</v>
      </c>
      <c r="I287" s="63" t="str">
        <f>Originals!E337</f>
        <v>N/A</v>
      </c>
      <c r="J287" s="63" t="str">
        <f>Originals!F337</f>
        <v>Development</v>
      </c>
      <c r="K287" s="63" t="str">
        <f>Originals!G337</f>
        <v>OpenG.org</v>
      </c>
      <c r="L287" s="63" t="str">
        <f>Originals!H337</f>
        <v>OpenG Numeric Library 4.1.0.8</v>
      </c>
      <c r="M287" s="63" t="str">
        <f>Originals!I337</f>
        <v>VIPM Community</v>
      </c>
      <c r="N287" s="56" t="s">
        <v>136</v>
      </c>
    </row>
    <row r="288" spans="1:14" x14ac:dyDescent="0.25">
      <c r="A288" s="62" t="s">
        <v>508</v>
      </c>
      <c r="B288" s="62" t="s">
        <v>508</v>
      </c>
      <c r="C288" s="61" t="s">
        <v>505</v>
      </c>
      <c r="D288" s="61" t="s">
        <v>505</v>
      </c>
      <c r="E288" s="62" t="s">
        <v>508</v>
      </c>
      <c r="F288" s="63" t="str">
        <f>Originals!B338</f>
        <v>OpenG Picture Library</v>
      </c>
      <c r="G288" s="63" t="str">
        <f>Originals!C338</f>
        <v>4.0.0.13</v>
      </c>
      <c r="H288" s="63" t="str">
        <f>Originals!D338</f>
        <v>32</v>
      </c>
      <c r="I288" s="63" t="str">
        <f>Originals!E338</f>
        <v>N/A</v>
      </c>
      <c r="J288" s="63" t="str">
        <f>Originals!F338</f>
        <v>Development</v>
      </c>
      <c r="K288" s="63" t="str">
        <f>Originals!G338</f>
        <v>OpenG.org</v>
      </c>
      <c r="L288" s="63" t="str">
        <f>Originals!H338</f>
        <v>OpenG Picture Library 4.0.0.13</v>
      </c>
      <c r="M288" s="63" t="str">
        <f>Originals!I338</f>
        <v>VIPM Community</v>
      </c>
      <c r="N288" s="56" t="s">
        <v>136</v>
      </c>
    </row>
    <row r="289" spans="1:14" x14ac:dyDescent="0.25">
      <c r="A289" s="62" t="s">
        <v>508</v>
      </c>
      <c r="B289" s="62" t="s">
        <v>508</v>
      </c>
      <c r="C289" s="61" t="s">
        <v>505</v>
      </c>
      <c r="D289" s="61" t="s">
        <v>505</v>
      </c>
      <c r="E289" s="62" t="s">
        <v>508</v>
      </c>
      <c r="F289" s="63" t="str">
        <f>Originals!B339</f>
        <v>OpenG Port IO</v>
      </c>
      <c r="G289" s="63" t="str">
        <f>Originals!C339</f>
        <v>4.0.0-2</v>
      </c>
      <c r="H289" s="63" t="str">
        <f>Originals!D339</f>
        <v>32</v>
      </c>
      <c r="I289" s="63" t="str">
        <f>Originals!E339</f>
        <v>N/A</v>
      </c>
      <c r="J289" s="63" t="str">
        <f>Originals!F339</f>
        <v>Development</v>
      </c>
      <c r="K289" s="63" t="str">
        <f>Originals!G339</f>
        <v>OpenG.org</v>
      </c>
      <c r="L289" s="63" t="str">
        <f>Originals!H339</f>
        <v>OpenG Port IO 4.0.0-2</v>
      </c>
      <c r="M289" s="63" t="str">
        <f>Originals!I339</f>
        <v>VIPM Community</v>
      </c>
      <c r="N289" s="56" t="s">
        <v>136</v>
      </c>
    </row>
    <row r="290" spans="1:14" x14ac:dyDescent="0.25">
      <c r="A290" s="62" t="s">
        <v>508</v>
      </c>
      <c r="B290" s="62" t="s">
        <v>508</v>
      </c>
      <c r="C290" s="61" t="s">
        <v>505</v>
      </c>
      <c r="D290" s="61" t="s">
        <v>505</v>
      </c>
      <c r="E290" s="62" t="s">
        <v>508</v>
      </c>
      <c r="F290" s="63" t="str">
        <f>Originals!B340</f>
        <v>OpenG Rename Folder of VIs Tool</v>
      </c>
      <c r="G290" s="63" t="str">
        <f>Originals!C340</f>
        <v>4.0.0.15</v>
      </c>
      <c r="H290" s="63" t="str">
        <f>Originals!D340</f>
        <v>32</v>
      </c>
      <c r="I290" s="63" t="str">
        <f>Originals!E340</f>
        <v>N/A</v>
      </c>
      <c r="J290" s="63" t="str">
        <f>Originals!F340</f>
        <v>Development</v>
      </c>
      <c r="K290" s="63" t="str">
        <f>Originals!G340</f>
        <v>OpenG.org</v>
      </c>
      <c r="L290" s="63" t="str">
        <f>Originals!H340</f>
        <v>OpenG Rename Folder of VIs Tool 4.0.0.15</v>
      </c>
      <c r="M290" s="63" t="str">
        <f>Originals!I340</f>
        <v>VIPM Community</v>
      </c>
      <c r="N290" s="56" t="s">
        <v>136</v>
      </c>
    </row>
    <row r="291" spans="1:14" x14ac:dyDescent="0.25">
      <c r="A291" s="62" t="s">
        <v>508</v>
      </c>
      <c r="B291" s="62" t="s">
        <v>508</v>
      </c>
      <c r="C291" s="61" t="s">
        <v>505</v>
      </c>
      <c r="D291" s="61" t="s">
        <v>505</v>
      </c>
      <c r="E291" s="62" t="s">
        <v>508</v>
      </c>
      <c r="F291" s="63" t="str">
        <f>Originals!B341</f>
        <v>OpenG String Library</v>
      </c>
      <c r="G291" s="63" t="str">
        <f>Originals!C341</f>
        <v>4.1.0.12</v>
      </c>
      <c r="H291" s="63" t="str">
        <f>Originals!D341</f>
        <v>32</v>
      </c>
      <c r="I291" s="63" t="str">
        <f>Originals!E341</f>
        <v>N/A</v>
      </c>
      <c r="J291" s="63" t="str">
        <f>Originals!F341</f>
        <v>Development</v>
      </c>
      <c r="K291" s="63" t="str">
        <f>Originals!G341</f>
        <v>OpenG.org</v>
      </c>
      <c r="L291" s="63" t="str">
        <f>Originals!H341</f>
        <v>OpenG String Library 4.1.0.12</v>
      </c>
      <c r="M291" s="63" t="str">
        <f>Originals!I341</f>
        <v>VIPM Community</v>
      </c>
      <c r="N291" s="56" t="s">
        <v>136</v>
      </c>
    </row>
    <row r="292" spans="1:14" x14ac:dyDescent="0.25">
      <c r="A292" s="62" t="s">
        <v>508</v>
      </c>
      <c r="B292" s="62" t="s">
        <v>508</v>
      </c>
      <c r="C292" s="61" t="s">
        <v>505</v>
      </c>
      <c r="D292" s="61" t="s">
        <v>505</v>
      </c>
      <c r="E292" s="62" t="s">
        <v>508</v>
      </c>
      <c r="F292" s="63" t="str">
        <f>Originals!B342</f>
        <v>OpenG Time Library</v>
      </c>
      <c r="G292" s="63" t="str">
        <f>Originals!C342</f>
        <v>4.0.1.3</v>
      </c>
      <c r="H292" s="63" t="str">
        <f>Originals!D342</f>
        <v>32</v>
      </c>
      <c r="I292" s="63" t="str">
        <f>Originals!E342</f>
        <v>N/A</v>
      </c>
      <c r="J292" s="63" t="str">
        <f>Originals!F342</f>
        <v>Development</v>
      </c>
      <c r="K292" s="63" t="str">
        <f>Originals!G342</f>
        <v>OpenG.org</v>
      </c>
      <c r="L292" s="63" t="str">
        <f>Originals!H342</f>
        <v>OpenG Time Library 4.0.1.3</v>
      </c>
      <c r="M292" s="63" t="str">
        <f>Originals!I342</f>
        <v>VIPM Community</v>
      </c>
      <c r="N292" s="56" t="s">
        <v>136</v>
      </c>
    </row>
    <row r="293" spans="1:14" x14ac:dyDescent="0.25">
      <c r="A293" s="62" t="s">
        <v>508</v>
      </c>
      <c r="B293" s="62" t="s">
        <v>508</v>
      </c>
      <c r="C293" s="61" t="s">
        <v>505</v>
      </c>
      <c r="D293" s="61" t="s">
        <v>505</v>
      </c>
      <c r="E293" s="62" t="s">
        <v>508</v>
      </c>
      <c r="F293" s="63" t="str">
        <f>Originals!B343</f>
        <v>OpenG Toolkit</v>
      </c>
      <c r="G293" s="63" t="str">
        <f>Originals!C343</f>
        <v>4.0.1.9</v>
      </c>
      <c r="H293" s="63" t="str">
        <f>Originals!D343</f>
        <v>32</v>
      </c>
      <c r="I293" s="63" t="str">
        <f>Originals!E343</f>
        <v>N/A</v>
      </c>
      <c r="J293" s="63" t="str">
        <f>Originals!F343</f>
        <v>Development</v>
      </c>
      <c r="K293" s="63" t="str">
        <f>Originals!G343</f>
        <v>OpenG.org</v>
      </c>
      <c r="L293" s="63" t="str">
        <f>Originals!H343</f>
        <v>OpenG Toolkit 4.0.1.9</v>
      </c>
      <c r="M293" s="63" t="str">
        <f>Originals!I343</f>
        <v>VIPM Community</v>
      </c>
      <c r="N293" s="56" t="s">
        <v>136</v>
      </c>
    </row>
    <row r="294" spans="1:14" x14ac:dyDescent="0.25">
      <c r="A294" s="62" t="s">
        <v>508</v>
      </c>
      <c r="B294" s="62" t="s">
        <v>508</v>
      </c>
      <c r="C294" s="61" t="s">
        <v>505</v>
      </c>
      <c r="D294" s="61" t="s">
        <v>505</v>
      </c>
      <c r="E294" s="62" t="s">
        <v>508</v>
      </c>
      <c r="F294" s="63" t="str">
        <f>Originals!B344</f>
        <v>OpenG Variant Configuration File Library</v>
      </c>
      <c r="G294" s="63" t="str">
        <f>Originals!C344</f>
        <v>4.0.0.5</v>
      </c>
      <c r="H294" s="63" t="str">
        <f>Originals!D344</f>
        <v>32</v>
      </c>
      <c r="I294" s="63" t="str">
        <f>Originals!E344</f>
        <v>N/A</v>
      </c>
      <c r="J294" s="63" t="str">
        <f>Originals!F344</f>
        <v>Development</v>
      </c>
      <c r="K294" s="63" t="str">
        <f>Originals!G344</f>
        <v>OpenG.org</v>
      </c>
      <c r="L294" s="63" t="str">
        <f>Originals!H344</f>
        <v>OpenG Variant Configuration File Library 4.0.0.5</v>
      </c>
      <c r="M294" s="63" t="str">
        <f>Originals!I344</f>
        <v>VIPM Community</v>
      </c>
      <c r="N294" s="56" t="s">
        <v>136</v>
      </c>
    </row>
    <row r="295" spans="1:14" x14ac:dyDescent="0.25">
      <c r="A295" s="62" t="s">
        <v>508</v>
      </c>
      <c r="B295" s="62" t="s">
        <v>508</v>
      </c>
      <c r="C295" s="61" t="s">
        <v>505</v>
      </c>
      <c r="D295" s="61" t="s">
        <v>505</v>
      </c>
      <c r="E295" s="62" t="s">
        <v>508</v>
      </c>
      <c r="F295" s="63" t="str">
        <f>Originals!B345</f>
        <v>OpenGDS</v>
      </c>
      <c r="G295" s="63" t="str">
        <f>Originals!C345</f>
        <v>1.1.17</v>
      </c>
      <c r="H295" s="63" t="str">
        <f>Originals!D345</f>
        <v>32</v>
      </c>
      <c r="I295" s="63" t="str">
        <f>Originals!E345</f>
        <v>N/A</v>
      </c>
      <c r="J295" s="63" t="str">
        <f>Originals!F345</f>
        <v>Development</v>
      </c>
      <c r="K295" s="63" t="str">
        <f>Originals!G345</f>
        <v>OpenGDS</v>
      </c>
      <c r="L295" s="63" t="str">
        <f>Originals!H345</f>
        <v>OpenGDS 1.1.17</v>
      </c>
      <c r="M295" s="63" t="str">
        <f>Originals!I345</f>
        <v>VIPM Community</v>
      </c>
      <c r="N295" s="56" t="s">
        <v>136</v>
      </c>
    </row>
    <row r="296" spans="1:14" hidden="1" x14ac:dyDescent="0.25">
      <c r="A296" s="62" t="s">
        <v>508</v>
      </c>
      <c r="B296" s="62" t="s">
        <v>508</v>
      </c>
      <c r="C296" s="62" t="s">
        <v>508</v>
      </c>
      <c r="D296" s="61" t="s">
        <v>505</v>
      </c>
      <c r="E296" s="62" t="s">
        <v>508</v>
      </c>
      <c r="F296" s="66" t="str">
        <f>Scott!B103</f>
        <v>NI SignalExpress</v>
      </c>
      <c r="G296" s="66" t="str">
        <f>Scott!C103</f>
        <v>15.0</v>
      </c>
      <c r="H296" s="66">
        <f>Scott!D103</f>
        <v>32</v>
      </c>
      <c r="I296" s="66">
        <f>Scott!E103</f>
        <v>2015</v>
      </c>
      <c r="J296" s="66" t="str">
        <f>Scott!F103</f>
        <v>Development</v>
      </c>
      <c r="K296" s="66" t="str">
        <f>Scott!G103</f>
        <v>NI</v>
      </c>
      <c r="L296" s="66" t="str">
        <f>Scott!H103</f>
        <v>NI SignalExpress 15.0</v>
      </c>
      <c r="M296" s="66" t="str">
        <f>Scott!I103</f>
        <v>NI Developer Suite 2015 DS2 Install</v>
      </c>
      <c r="N296" s="67" t="s">
        <v>96</v>
      </c>
    </row>
    <row r="297" spans="1:14" hidden="1" x14ac:dyDescent="0.25">
      <c r="A297" s="62" t="s">
        <v>508</v>
      </c>
      <c r="B297" s="62" t="s">
        <v>508</v>
      </c>
      <c r="C297" s="62" t="s">
        <v>508</v>
      </c>
      <c r="D297" s="61" t="s">
        <v>505</v>
      </c>
      <c r="E297" s="62" t="s">
        <v>508</v>
      </c>
      <c r="F297" s="66" t="str">
        <f>Scott!B104</f>
        <v>NI System Configuration</v>
      </c>
      <c r="G297" s="66" t="str">
        <f>Scott!C104</f>
        <v>19.0.0f0</v>
      </c>
      <c r="H297" s="66">
        <f>Scott!D104</f>
        <v>32</v>
      </c>
      <c r="I297" s="66">
        <f>Scott!E104</f>
        <v>2019</v>
      </c>
      <c r="J297" s="66" t="str">
        <f>Scott!F104</f>
        <v>Development</v>
      </c>
      <c r="K297" s="66" t="str">
        <f>Scott!G104</f>
        <v>NI</v>
      </c>
      <c r="L297" s="66" t="str">
        <f>Scott!H104</f>
        <v>NI System Configuration 19.0.0f0</v>
      </c>
      <c r="M297" s="66" t="str">
        <f>Scott!I104</f>
        <v>LabVIEW 2019</v>
      </c>
      <c r="N297" s="67" t="s">
        <v>96</v>
      </c>
    </row>
    <row r="298" spans="1:14" x14ac:dyDescent="0.25">
      <c r="A298" s="61" t="s">
        <v>505</v>
      </c>
      <c r="B298" s="61" t="s">
        <v>505</v>
      </c>
      <c r="C298" s="61" t="s">
        <v>505</v>
      </c>
      <c r="D298" s="61" t="s">
        <v>505</v>
      </c>
      <c r="E298" s="61" t="s">
        <v>505</v>
      </c>
      <c r="F298" s="63" t="str">
        <f>Originals!B77</f>
        <v>Real-Time</v>
      </c>
      <c r="G298" s="63" t="str">
        <f>Originals!C77</f>
        <v>15.0.1</v>
      </c>
      <c r="H298" s="63" t="str">
        <f>Originals!D77</f>
        <v>32</v>
      </c>
      <c r="I298" s="63" t="str">
        <f>Originals!E77</f>
        <v>2015</v>
      </c>
      <c r="J298" s="63" t="str">
        <f>Originals!F77</f>
        <v>Development</v>
      </c>
      <c r="K298" s="63" t="str">
        <f>Originals!G77</f>
        <v>NI</v>
      </c>
      <c r="L298" s="63" t="str">
        <f>Originals!H77</f>
        <v>Real-Time 15.0.1</v>
      </c>
      <c r="M298" s="63" t="str">
        <f>Originals!I77</f>
        <v>2015 SP1 Update Service</v>
      </c>
      <c r="N298" s="56" t="s">
        <v>136</v>
      </c>
    </row>
    <row r="299" spans="1:14" hidden="1" x14ac:dyDescent="0.25">
      <c r="A299" s="62" t="s">
        <v>508</v>
      </c>
      <c r="B299" s="62" t="s">
        <v>508</v>
      </c>
      <c r="C299" s="62" t="s">
        <v>508</v>
      </c>
      <c r="D299" s="61" t="s">
        <v>505</v>
      </c>
      <c r="E299" s="62" t="s">
        <v>508</v>
      </c>
      <c r="F299" s="66" t="str">
        <f>Scott!B105</f>
        <v>NI-488.2</v>
      </c>
      <c r="G299" s="66" t="str">
        <f>Scott!C105</f>
        <v>19.0.0</v>
      </c>
      <c r="H299" s="66">
        <f>Scott!D105</f>
        <v>32</v>
      </c>
      <c r="I299" s="66">
        <f>Scott!E105</f>
        <v>2019</v>
      </c>
      <c r="J299" s="66" t="str">
        <f>Scott!F105</f>
        <v>Runtime</v>
      </c>
      <c r="K299" s="66" t="str">
        <f>Scott!G105</f>
        <v>NI</v>
      </c>
      <c r="L299" s="66" t="str">
        <f>Scott!H105</f>
        <v>NI-488.2 19.0.0</v>
      </c>
      <c r="M299" s="66" t="str">
        <f>Scott!I105</f>
        <v>LabVIEW 2019</v>
      </c>
      <c r="N299" s="67" t="s">
        <v>96</v>
      </c>
    </row>
    <row r="300" spans="1:14" hidden="1" x14ac:dyDescent="0.25">
      <c r="A300" s="62" t="s">
        <v>508</v>
      </c>
      <c r="B300" s="62" t="s">
        <v>508</v>
      </c>
      <c r="C300" s="62" t="s">
        <v>508</v>
      </c>
      <c r="D300" s="61" t="s">
        <v>505</v>
      </c>
      <c r="E300" s="62" t="s">
        <v>508</v>
      </c>
      <c r="F300" s="66" t="str">
        <f>Scott!B107</f>
        <v>NI-CAN</v>
      </c>
      <c r="G300" s="66" t="str">
        <f>Scott!C107</f>
        <v>15.0.0f0</v>
      </c>
      <c r="H300" s="66" t="str">
        <f>Scott!D107</f>
        <v>32</v>
      </c>
      <c r="I300" s="66">
        <f>Scott!E107</f>
        <v>2015</v>
      </c>
      <c r="J300" s="66" t="str">
        <f>Scott!F107</f>
        <v>Development</v>
      </c>
      <c r="K300" s="66" t="str">
        <f>Scott!G107</f>
        <v>NI</v>
      </c>
      <c r="L300" s="66" t="str">
        <f>Scott!H107</f>
        <v>NI-CAN 15.0.0f0</v>
      </c>
      <c r="M300" s="66" t="str">
        <f>Scott!I107</f>
        <v>NI CAN 15.0</v>
      </c>
      <c r="N300" s="67" t="s">
        <v>96</v>
      </c>
    </row>
    <row r="301" spans="1:14" x14ac:dyDescent="0.25">
      <c r="A301" s="61" t="s">
        <v>505</v>
      </c>
      <c r="B301" s="61" t="s">
        <v>505</v>
      </c>
      <c r="C301" s="61" t="s">
        <v>505</v>
      </c>
      <c r="D301" s="61" t="s">
        <v>505</v>
      </c>
      <c r="E301" s="61" t="s">
        <v>505</v>
      </c>
      <c r="F301" s="63" t="str">
        <f>Originals!B78</f>
        <v>Real-Time Trace Viewer - LabVIEW 2015 Support</v>
      </c>
      <c r="G301" s="63" t="str">
        <f>Originals!C78</f>
        <v>15.0.1</v>
      </c>
      <c r="H301" s="63" t="str">
        <f>Originals!D78</f>
        <v>32</v>
      </c>
      <c r="I301" s="63" t="str">
        <f>Originals!E78</f>
        <v>2015</v>
      </c>
      <c r="J301" s="63" t="str">
        <f>Originals!F78</f>
        <v>Development</v>
      </c>
      <c r="K301" s="63" t="str">
        <f>Originals!G78</f>
        <v>NI</v>
      </c>
      <c r="L301" s="63" t="str">
        <f>Originals!H78</f>
        <v>Real-Time Trace Viewer - LabVIEW 2015 Support 15.0.1</v>
      </c>
      <c r="M301" s="63" t="str">
        <f>Originals!I78</f>
        <v>2015 SP1 Update Service</v>
      </c>
      <c r="N301" s="56" t="s">
        <v>136</v>
      </c>
    </row>
    <row r="302" spans="1:14" x14ac:dyDescent="0.25">
      <c r="A302" s="61" t="s">
        <v>505</v>
      </c>
      <c r="B302" s="61" t="s">
        <v>505</v>
      </c>
      <c r="C302" s="61" t="s">
        <v>505</v>
      </c>
      <c r="D302" s="61" t="s">
        <v>505</v>
      </c>
      <c r="E302" s="61" t="s">
        <v>505</v>
      </c>
      <c r="F302" s="63" t="str">
        <f>Originals!B79</f>
        <v>Report Generation Toolkit For Microsoft Office</v>
      </c>
      <c r="G302" s="63" t="str">
        <f>Originals!C79</f>
        <v>15.0.0</v>
      </c>
      <c r="H302" s="63" t="str">
        <f>Originals!D79</f>
        <v>32</v>
      </c>
      <c r="I302" s="63" t="str">
        <f>Originals!E79</f>
        <v>2015</v>
      </c>
      <c r="J302" s="63" t="str">
        <f>Originals!F79</f>
        <v>Development</v>
      </c>
      <c r="K302" s="63" t="str">
        <f>Originals!G79</f>
        <v>NI</v>
      </c>
      <c r="L302" s="63" t="str">
        <f>Originals!H79</f>
        <v>Report Generation Toolkit For Microsoft Office 15.0.0</v>
      </c>
      <c r="M302" s="63" t="str">
        <f>Originals!I79</f>
        <v>NI Developer Suite 2015 DS2 Install</v>
      </c>
      <c r="N302" s="56" t="s">
        <v>136</v>
      </c>
    </row>
    <row r="303" spans="1:14" x14ac:dyDescent="0.25">
      <c r="A303" s="62" t="s">
        <v>508</v>
      </c>
      <c r="B303" s="62" t="s">
        <v>508</v>
      </c>
      <c r="C303" s="61" t="s">
        <v>505</v>
      </c>
      <c r="D303" s="62" t="s">
        <v>508</v>
      </c>
      <c r="E303" s="62" t="s">
        <v>508</v>
      </c>
      <c r="F303" s="64" t="str">
        <f>Originals!B350</f>
        <v>Run-Time Enginer for Web Services</v>
      </c>
      <c r="G303" s="64" t="str">
        <f>Originals!C350</f>
        <v>15.0.0</v>
      </c>
      <c r="H303" s="64" t="str">
        <f>Originals!D350</f>
        <v>32</v>
      </c>
      <c r="I303" s="64" t="str">
        <f>Originals!E350</f>
        <v>2015</v>
      </c>
      <c r="J303" s="64" t="str">
        <f>Originals!F350</f>
        <v>C-RIO</v>
      </c>
      <c r="K303" s="64" t="str">
        <f>Originals!G350</f>
        <v>NI</v>
      </c>
      <c r="L303" s="64" t="str">
        <f>Originals!H350</f>
        <v>Run-Time Enginer for Web Services 15.0.0</v>
      </c>
      <c r="M303" s="64">
        <f>Originals!I350</f>
        <v>0</v>
      </c>
      <c r="N303" s="65" t="s">
        <v>2</v>
      </c>
    </row>
    <row r="304" spans="1:14" hidden="1" x14ac:dyDescent="0.25">
      <c r="A304" s="62" t="s">
        <v>508</v>
      </c>
      <c r="B304" s="62" t="s">
        <v>508</v>
      </c>
      <c r="C304" s="62" t="s">
        <v>508</v>
      </c>
      <c r="D304" s="61" t="s">
        <v>505</v>
      </c>
      <c r="E304" s="62" t="s">
        <v>508</v>
      </c>
      <c r="F304" s="66" t="str">
        <f>Scott!B110</f>
        <v>NI-DAQmx MAX Configuration</v>
      </c>
      <c r="G304" s="66" t="str">
        <f>Scott!C110</f>
        <v>18.1.0</v>
      </c>
      <c r="H304" s="66" t="str">
        <f>Scott!D110</f>
        <v>32</v>
      </c>
      <c r="I304" s="66" t="str">
        <f>Scott!E110</f>
        <v>2018</v>
      </c>
      <c r="J304" s="66" t="str">
        <f>Scott!F110</f>
        <v>Development</v>
      </c>
      <c r="K304" s="66" t="str">
        <f>Scott!G110</f>
        <v>NI</v>
      </c>
      <c r="L304" s="66" t="str">
        <f>Scott!H110</f>
        <v>NI-DAQmx MAX Configuration 18.1.0</v>
      </c>
      <c r="M304" s="66" t="str">
        <f>Scott!I110</f>
        <v>CompactRIO 18.1.0</v>
      </c>
      <c r="N304" s="67" t="s">
        <v>96</v>
      </c>
    </row>
    <row r="305" spans="1:14" x14ac:dyDescent="0.25">
      <c r="A305" s="62" t="s">
        <v>508</v>
      </c>
      <c r="B305" s="62" t="s">
        <v>508</v>
      </c>
      <c r="C305" s="61" t="s">
        <v>505</v>
      </c>
      <c r="D305" s="62" t="s">
        <v>508</v>
      </c>
      <c r="E305" s="62" t="s">
        <v>508</v>
      </c>
      <c r="F305" s="64" t="str">
        <f>Originals!B351</f>
        <v>Software Management Web Support</v>
      </c>
      <c r="G305" s="64" t="str">
        <f>Originals!C351</f>
        <v>15.0.0</v>
      </c>
      <c r="H305" s="64" t="str">
        <f>Originals!D351</f>
        <v>32</v>
      </c>
      <c r="I305" s="64" t="str">
        <f>Originals!E351</f>
        <v>2015</v>
      </c>
      <c r="J305" s="64" t="str">
        <f>Originals!F351</f>
        <v>C-RIO</v>
      </c>
      <c r="K305" s="64" t="str">
        <f>Originals!G351</f>
        <v>NI</v>
      </c>
      <c r="L305" s="64" t="str">
        <f>Originals!H351</f>
        <v>Software Management Web Support 15.0.0</v>
      </c>
      <c r="M305" s="64">
        <f>Originals!I351</f>
        <v>0</v>
      </c>
      <c r="N305" s="65" t="s">
        <v>2</v>
      </c>
    </row>
    <row r="306" spans="1:14" hidden="1" x14ac:dyDescent="0.25">
      <c r="A306" s="62" t="s">
        <v>508</v>
      </c>
      <c r="B306" s="62" t="s">
        <v>508</v>
      </c>
      <c r="C306" s="62" t="s">
        <v>508</v>
      </c>
      <c r="D306" s="61" t="s">
        <v>505</v>
      </c>
      <c r="E306" s="62" t="s">
        <v>508</v>
      </c>
      <c r="F306" s="66" t="str">
        <f>Scott!B111</f>
        <v>NI-DCPower</v>
      </c>
      <c r="G306" s="66">
        <f>Scott!C111</f>
        <v>0</v>
      </c>
      <c r="H306" s="66">
        <f>Scott!D111</f>
        <v>32</v>
      </c>
      <c r="I306" s="66">
        <f>Scott!E111</f>
        <v>2015</v>
      </c>
      <c r="J306" s="66" t="str">
        <f>Scott!F111</f>
        <v>Development</v>
      </c>
      <c r="K306" s="66" t="str">
        <f>Scott!G111</f>
        <v>NI</v>
      </c>
      <c r="L306" s="66" t="str">
        <f>Scott!H111</f>
        <v xml:space="preserve">NI-DCPower </v>
      </c>
      <c r="M306" s="66" t="str">
        <f>Scott!I111</f>
        <v>NI Developer Suite 2015 DS2 Install</v>
      </c>
      <c r="N306" s="67" t="s">
        <v>96</v>
      </c>
    </row>
    <row r="307" spans="1:14" x14ac:dyDescent="0.25">
      <c r="A307" s="62" t="s">
        <v>508</v>
      </c>
      <c r="B307" s="62" t="s">
        <v>508</v>
      </c>
      <c r="C307" s="61" t="s">
        <v>505</v>
      </c>
      <c r="D307" s="62" t="s">
        <v>508</v>
      </c>
      <c r="E307" s="62" t="s">
        <v>508</v>
      </c>
      <c r="F307" s="64" t="str">
        <f>Originals!B352</f>
        <v>SSL Support for LabVIEW</v>
      </c>
      <c r="G307" s="64" t="str">
        <f>Originals!C352</f>
        <v>15.0.0</v>
      </c>
      <c r="H307" s="64" t="str">
        <f>Originals!D352</f>
        <v>32</v>
      </c>
      <c r="I307" s="64" t="str">
        <f>Originals!E352</f>
        <v>2015</v>
      </c>
      <c r="J307" s="64" t="str">
        <f>Originals!F352</f>
        <v>C-RIO</v>
      </c>
      <c r="K307" s="64" t="str">
        <f>Originals!G352</f>
        <v>NI</v>
      </c>
      <c r="L307" s="64" t="str">
        <f>Originals!H352</f>
        <v>SSL Support for LabVIEW 15.0.0</v>
      </c>
      <c r="M307" s="64">
        <f>Originals!I352</f>
        <v>0</v>
      </c>
      <c r="N307" s="65" t="s">
        <v>2</v>
      </c>
    </row>
    <row r="308" spans="1:14" hidden="1" x14ac:dyDescent="0.25">
      <c r="A308" s="61" t="s">
        <v>505</v>
      </c>
      <c r="B308" s="61" t="s">
        <v>505</v>
      </c>
      <c r="C308" s="62" t="s">
        <v>508</v>
      </c>
      <c r="D308" s="61" t="s">
        <v>505</v>
      </c>
      <c r="E308" s="62" t="s">
        <v>508</v>
      </c>
      <c r="F308" s="66" t="str">
        <f>Originals!B80</f>
        <v>Statechart Module</v>
      </c>
      <c r="G308" s="66" t="str">
        <f>Originals!C80</f>
        <v>15.0</v>
      </c>
      <c r="H308" s="66" t="str">
        <f>Originals!D80</f>
        <v>32</v>
      </c>
      <c r="I308" s="66" t="str">
        <f>Originals!E80</f>
        <v>2015</v>
      </c>
      <c r="J308" s="66" t="str">
        <f>Originals!F80</f>
        <v>Development</v>
      </c>
      <c r="K308" s="66" t="str">
        <f>Originals!G80</f>
        <v>NI</v>
      </c>
      <c r="L308" s="66" t="str">
        <f>Originals!H80</f>
        <v>Statechart Module 15.0</v>
      </c>
      <c r="M308" s="66" t="str">
        <f>Originals!I80</f>
        <v>NI Developer Suite 2015 DS2 Install</v>
      </c>
      <c r="N308" s="67" t="s">
        <v>96</v>
      </c>
    </row>
    <row r="309" spans="1:14" x14ac:dyDescent="0.25">
      <c r="A309" s="62" t="s">
        <v>508</v>
      </c>
      <c r="B309" s="62" t="s">
        <v>508</v>
      </c>
      <c r="C309" s="61" t="s">
        <v>505</v>
      </c>
      <c r="D309" s="61" t="s">
        <v>505</v>
      </c>
      <c r="E309" s="62" t="s">
        <v>508</v>
      </c>
      <c r="F309" s="63" t="str">
        <f>Originals!B353</f>
        <v>Structure Error Handler</v>
      </c>
      <c r="G309" s="63" t="str">
        <f>Originals!C353</f>
        <v>2.1.10.1</v>
      </c>
      <c r="H309" s="63" t="str">
        <f>Originals!D353</f>
        <v>32</v>
      </c>
      <c r="I309" s="63" t="str">
        <f>Originals!E353</f>
        <v>N/A</v>
      </c>
      <c r="J309" s="63" t="str">
        <f>Originals!F353</f>
        <v>Development</v>
      </c>
      <c r="K309" s="63" t="str">
        <f>Originals!G353</f>
        <v>NI</v>
      </c>
      <c r="L309" s="63" t="str">
        <f>Originals!H353</f>
        <v>Structure Error Handler 2.1.10.1</v>
      </c>
      <c r="M309" s="63" t="str">
        <f>Originals!I353</f>
        <v>VIPM Community</v>
      </c>
      <c r="N309" s="56" t="s">
        <v>136</v>
      </c>
    </row>
    <row r="310" spans="1:14" x14ac:dyDescent="0.25">
      <c r="A310" s="62" t="s">
        <v>508</v>
      </c>
      <c r="B310" s="62" t="s">
        <v>508</v>
      </c>
      <c r="C310" s="61" t="s">
        <v>505</v>
      </c>
      <c r="D310" s="62" t="s">
        <v>508</v>
      </c>
      <c r="E310" s="62" t="s">
        <v>508</v>
      </c>
      <c r="F310" s="64" t="str">
        <f>Originals!B354</f>
        <v>Time Configuration Web Support</v>
      </c>
      <c r="G310" s="64" t="str">
        <f>Originals!C354</f>
        <v>15.0.0</v>
      </c>
      <c r="H310" s="64" t="str">
        <f>Originals!D354</f>
        <v>32</v>
      </c>
      <c r="I310" s="64" t="str">
        <f>Originals!E354</f>
        <v>2015</v>
      </c>
      <c r="J310" s="64" t="str">
        <f>Originals!F354</f>
        <v>C-RIO</v>
      </c>
      <c r="K310" s="64" t="str">
        <f>Originals!G354</f>
        <v>NI</v>
      </c>
      <c r="L310" s="64" t="str">
        <f>Originals!H354</f>
        <v>Time Configuration Web Support 15.0.0</v>
      </c>
      <c r="M310" s="64">
        <f>Originals!I354</f>
        <v>0</v>
      </c>
      <c r="N310" s="65" t="s">
        <v>2</v>
      </c>
    </row>
    <row r="311" spans="1:14" x14ac:dyDescent="0.25">
      <c r="A311" s="62" t="s">
        <v>508</v>
      </c>
      <c r="B311" s="62" t="s">
        <v>508</v>
      </c>
      <c r="C311" s="61" t="s">
        <v>505</v>
      </c>
      <c r="D311" s="61" t="s">
        <v>505</v>
      </c>
      <c r="E311" s="62" t="s">
        <v>508</v>
      </c>
      <c r="F311" s="63" t="str">
        <f>Originals!B355</f>
        <v>UI Tools</v>
      </c>
      <c r="G311" s="63" t="str">
        <f>Originals!C355</f>
        <v>1.4.1.74</v>
      </c>
      <c r="H311" s="63" t="str">
        <f>Originals!D355</f>
        <v>32</v>
      </c>
      <c r="I311" s="63" t="str">
        <f>Originals!E355</f>
        <v>N/A</v>
      </c>
      <c r="J311" s="63" t="str">
        <f>Originals!F355</f>
        <v>Development</v>
      </c>
      <c r="K311" s="63" t="str">
        <f>Originals!G355</f>
        <v>LAVA</v>
      </c>
      <c r="L311" s="63" t="str">
        <f>Originals!H355</f>
        <v>UI Tools 1.4.1.74</v>
      </c>
      <c r="M311" s="63" t="str">
        <f>Originals!I355</f>
        <v>VIPM Community</v>
      </c>
      <c r="N311" s="56" t="s">
        <v>136</v>
      </c>
    </row>
    <row r="312" spans="1:14" x14ac:dyDescent="0.25">
      <c r="A312" s="61" t="s">
        <v>505</v>
      </c>
      <c r="B312" s="61" t="s">
        <v>505</v>
      </c>
      <c r="C312" s="62" t="s">
        <v>508</v>
      </c>
      <c r="D312" s="61" t="s">
        <v>505</v>
      </c>
      <c r="E312" s="62" t="s">
        <v>508</v>
      </c>
      <c r="F312" s="63" t="str">
        <f>Originals!B81</f>
        <v>Unit Test Framework Toolkit</v>
      </c>
      <c r="G312" s="63" t="str">
        <f>Originals!C81</f>
        <v>15.0.0</v>
      </c>
      <c r="H312" s="63" t="str">
        <f>Originals!D81</f>
        <v>32</v>
      </c>
      <c r="I312" s="63" t="str">
        <f>Originals!E81</f>
        <v>2015</v>
      </c>
      <c r="J312" s="63" t="str">
        <f>Originals!F81</f>
        <v>Development</v>
      </c>
      <c r="K312" s="63" t="str">
        <f>Originals!G81</f>
        <v>NI</v>
      </c>
      <c r="L312" s="63" t="str">
        <f>Originals!H81</f>
        <v>Unit Test Framework Toolkit 15.0.0</v>
      </c>
      <c r="M312" s="63" t="str">
        <f>Originals!I81</f>
        <v>NI Developer Suite 2015 DS2 Install</v>
      </c>
      <c r="N312" s="56" t="s">
        <v>136</v>
      </c>
    </row>
    <row r="313" spans="1:14" x14ac:dyDescent="0.25">
      <c r="A313" s="62" t="s">
        <v>508</v>
      </c>
      <c r="B313" s="62" t="s">
        <v>508</v>
      </c>
      <c r="C313" s="61" t="s">
        <v>505</v>
      </c>
      <c r="D313" s="61" t="s">
        <v>505</v>
      </c>
      <c r="E313" s="62" t="s">
        <v>508</v>
      </c>
      <c r="F313" s="63" t="str">
        <f>Scott!B114</f>
        <v>NI-DCPower Development Support</v>
      </c>
      <c r="G313" s="63" t="str">
        <f>Scott!C114</f>
        <v>15.0</v>
      </c>
      <c r="H313" s="63">
        <f>Scott!D114</f>
        <v>32</v>
      </c>
      <c r="I313" s="63">
        <f>Scott!E114</f>
        <v>2015</v>
      </c>
      <c r="J313" s="63" t="str">
        <f>Scott!F114</f>
        <v>Development</v>
      </c>
      <c r="K313" s="63" t="str">
        <f>Scott!G114</f>
        <v>NI</v>
      </c>
      <c r="L313" s="63" t="str">
        <f>Scott!H114</f>
        <v>NI-DCPower Development Support 15.0</v>
      </c>
      <c r="M313" s="63" t="str">
        <f>Scott!I114</f>
        <v>NI Developer Suite 2015 DS2 Install</v>
      </c>
      <c r="N313" s="56" t="s">
        <v>136</v>
      </c>
    </row>
    <row r="314" spans="1:14" x14ac:dyDescent="0.25">
      <c r="A314" s="62" t="s">
        <v>508</v>
      </c>
      <c r="B314" s="62" t="s">
        <v>508</v>
      </c>
      <c r="C314" s="61" t="s">
        <v>505</v>
      </c>
      <c r="D314" s="62" t="s">
        <v>508</v>
      </c>
      <c r="E314" s="62" t="s">
        <v>508</v>
      </c>
      <c r="F314" s="64" t="str">
        <f>Originals!B357</f>
        <v>Variable Client Support for LabVIEW RT</v>
      </c>
      <c r="G314" s="64" t="str">
        <f>Originals!C357</f>
        <v>15.0.0</v>
      </c>
      <c r="H314" s="64" t="str">
        <f>Originals!D357</f>
        <v>32</v>
      </c>
      <c r="I314" s="64" t="str">
        <f>Originals!E357</f>
        <v>2015</v>
      </c>
      <c r="J314" s="64" t="str">
        <f>Originals!F357</f>
        <v>C-RIO</v>
      </c>
      <c r="K314" s="64" t="str">
        <f>Originals!G357</f>
        <v>NI</v>
      </c>
      <c r="L314" s="64" t="str">
        <f>Originals!H357</f>
        <v>Variable Client Support for LabVIEW RT 15.0.0</v>
      </c>
      <c r="M314" s="64">
        <f>Originals!I357</f>
        <v>0</v>
      </c>
      <c r="N314" s="65" t="s">
        <v>2</v>
      </c>
    </row>
    <row r="315" spans="1:14" x14ac:dyDescent="0.25">
      <c r="A315" s="62" t="s">
        <v>508</v>
      </c>
      <c r="B315" s="62" t="s">
        <v>508</v>
      </c>
      <c r="C315" s="61" t="s">
        <v>505</v>
      </c>
      <c r="D315" s="62" t="s">
        <v>508</v>
      </c>
      <c r="E315" s="62" t="s">
        <v>508</v>
      </c>
      <c r="F315" s="64" t="str">
        <f>Originals!B358</f>
        <v>Variable Legacy Protocol Support</v>
      </c>
      <c r="G315" s="64" t="str">
        <f>Originals!C358</f>
        <v>5.7.1</v>
      </c>
      <c r="H315" s="64" t="str">
        <f>Originals!D358</f>
        <v>32</v>
      </c>
      <c r="I315" s="64" t="str">
        <f>Originals!E358</f>
        <v>2015</v>
      </c>
      <c r="J315" s="64" t="str">
        <f>Originals!F358</f>
        <v>C-RIO</v>
      </c>
      <c r="K315" s="64" t="str">
        <f>Originals!G358</f>
        <v>NI</v>
      </c>
      <c r="L315" s="64" t="str">
        <f>Originals!H358</f>
        <v>Variable Legacy Protocol Support 5.7.1</v>
      </c>
      <c r="M315" s="64">
        <f>Originals!I358</f>
        <v>0</v>
      </c>
      <c r="N315" s="65" t="s">
        <v>2</v>
      </c>
    </row>
    <row r="316" spans="1:14" x14ac:dyDescent="0.25">
      <c r="A316" s="62" t="s">
        <v>508</v>
      </c>
      <c r="B316" s="62" t="s">
        <v>508</v>
      </c>
      <c r="C316" s="61" t="s">
        <v>505</v>
      </c>
      <c r="D316" s="62" t="s">
        <v>508</v>
      </c>
      <c r="E316" s="62" t="s">
        <v>508</v>
      </c>
      <c r="F316" s="64" t="str">
        <f>Originals!B359</f>
        <v>Variable Legacy Server Support</v>
      </c>
      <c r="G316" s="64" t="str">
        <f>Originals!C359</f>
        <v>5.7.1</v>
      </c>
      <c r="H316" s="64" t="str">
        <f>Originals!D359</f>
        <v>32</v>
      </c>
      <c r="I316" s="64" t="str">
        <f>Originals!E359</f>
        <v>2015</v>
      </c>
      <c r="J316" s="64" t="str">
        <f>Originals!F359</f>
        <v>C-RIO</v>
      </c>
      <c r="K316" s="64" t="str">
        <f>Originals!G359</f>
        <v>NI</v>
      </c>
      <c r="L316" s="64" t="str">
        <f>Originals!H359</f>
        <v>Variable Legacy Server Support 5.7.1</v>
      </c>
      <c r="M316" s="64">
        <f>Originals!I359</f>
        <v>0</v>
      </c>
      <c r="N316" s="65" t="s">
        <v>2</v>
      </c>
    </row>
    <row r="317" spans="1:14" x14ac:dyDescent="0.25">
      <c r="A317" s="61" t="s">
        <v>505</v>
      </c>
      <c r="B317" s="61" t="s">
        <v>505</v>
      </c>
      <c r="C317" s="62" t="s">
        <v>508</v>
      </c>
      <c r="D317" s="61" t="s">
        <v>505</v>
      </c>
      <c r="E317" s="62" t="s">
        <v>508</v>
      </c>
      <c r="F317" s="63" t="str">
        <f>Originals!B82</f>
        <v>VI Analyzer Toolkit</v>
      </c>
      <c r="G317" s="63" t="str">
        <f>Originals!C82</f>
        <v>15.0.0</v>
      </c>
      <c r="H317" s="63" t="str">
        <f>Originals!D82</f>
        <v>32</v>
      </c>
      <c r="I317" s="63" t="str">
        <f>Originals!E82</f>
        <v>2015</v>
      </c>
      <c r="J317" s="63" t="str">
        <f>Originals!F82</f>
        <v>Development</v>
      </c>
      <c r="K317" s="63" t="str">
        <f>Originals!G82</f>
        <v>NI</v>
      </c>
      <c r="L317" s="63" t="str">
        <f>Originals!H82</f>
        <v>VI Analyzer Toolkit 15.0.0</v>
      </c>
      <c r="M317" s="63" t="str">
        <f>Originals!I82</f>
        <v>NI Developer Suite 2015 DS2 Install</v>
      </c>
      <c r="N317" s="56" t="s">
        <v>136</v>
      </c>
    </row>
    <row r="318" spans="1:14" x14ac:dyDescent="0.25">
      <c r="A318" s="62" t="s">
        <v>508</v>
      </c>
      <c r="B318" s="62" t="s">
        <v>508</v>
      </c>
      <c r="C318" s="61" t="s">
        <v>505</v>
      </c>
      <c r="D318" s="62" t="s">
        <v>508</v>
      </c>
      <c r="E318" s="62" t="s">
        <v>508</v>
      </c>
      <c r="F318" s="64" t="str">
        <f>Originals!B360</f>
        <v>Vision Assistant</v>
      </c>
      <c r="G318" s="64" t="str">
        <f>Originals!C360</f>
        <v>18.5.0</v>
      </c>
      <c r="H318" s="64" t="str">
        <f>Originals!D360</f>
        <v>32</v>
      </c>
      <c r="I318" s="64" t="str">
        <f>Originals!E360</f>
        <v>2018</v>
      </c>
      <c r="J318" s="64" t="str">
        <f>Originals!F360</f>
        <v>Development</v>
      </c>
      <c r="K318" s="64" t="str">
        <f>Originals!G360</f>
        <v>NI</v>
      </c>
      <c r="L318" s="64" t="str">
        <f>Originals!H360</f>
        <v>Vision Assistant 18.5.0</v>
      </c>
      <c r="M318" s="64">
        <f>Originals!I360</f>
        <v>0</v>
      </c>
      <c r="N318" s="65" t="s">
        <v>2</v>
      </c>
    </row>
    <row r="319" spans="1:14" x14ac:dyDescent="0.25">
      <c r="A319" s="62" t="s">
        <v>508</v>
      </c>
      <c r="B319" s="62" t="s">
        <v>508</v>
      </c>
      <c r="C319" s="61" t="s">
        <v>505</v>
      </c>
      <c r="D319" s="62" t="s">
        <v>508</v>
      </c>
      <c r="E319" s="62" t="s">
        <v>508</v>
      </c>
      <c r="F319" s="64" t="str">
        <f>Originals!B361</f>
        <v>Vision Assistant</v>
      </c>
      <c r="G319" s="64" t="str">
        <f>Originals!C361</f>
        <v>18.5.0</v>
      </c>
      <c r="H319" s="64" t="str">
        <f>Originals!D361</f>
        <v>64</v>
      </c>
      <c r="I319" s="64" t="str">
        <f>Originals!E361</f>
        <v>2018</v>
      </c>
      <c r="J319" s="64" t="str">
        <f>Originals!F361</f>
        <v>Development</v>
      </c>
      <c r="K319" s="64" t="str">
        <f>Originals!G361</f>
        <v>NI</v>
      </c>
      <c r="L319" s="64" t="str">
        <f>Originals!H361</f>
        <v>Vision Assistant 18.5.0</v>
      </c>
      <c r="M319" s="64">
        <f>Originals!I361</f>
        <v>0</v>
      </c>
      <c r="N319" s="65" t="s">
        <v>2</v>
      </c>
    </row>
    <row r="320" spans="1:14" x14ac:dyDescent="0.25">
      <c r="A320" s="62" t="s">
        <v>508</v>
      </c>
      <c r="B320" s="62" t="s">
        <v>508</v>
      </c>
      <c r="C320" s="61" t="s">
        <v>505</v>
      </c>
      <c r="D320" s="62" t="s">
        <v>508</v>
      </c>
      <c r="E320" s="62" t="s">
        <v>508</v>
      </c>
      <c r="F320" s="64" t="str">
        <f>Originals!B362</f>
        <v>Vision Common Resources</v>
      </c>
      <c r="G320" s="64" t="str">
        <f>Originals!C362</f>
        <v>19.5.0</v>
      </c>
      <c r="H320" s="64" t="str">
        <f>Originals!D362</f>
        <v>32</v>
      </c>
      <c r="I320" s="64" t="str">
        <f>Originals!E362</f>
        <v>2019</v>
      </c>
      <c r="J320" s="64" t="str">
        <f>Originals!F362</f>
        <v>Development</v>
      </c>
      <c r="K320" s="64" t="str">
        <f>Originals!G362</f>
        <v>NI</v>
      </c>
      <c r="L320" s="64" t="str">
        <f>Originals!H362</f>
        <v>Vision Common Resources 19.5.0</v>
      </c>
      <c r="M320" s="64">
        <f>Originals!I362</f>
        <v>0</v>
      </c>
      <c r="N320" s="65" t="s">
        <v>2</v>
      </c>
    </row>
    <row r="321" spans="1:14" hidden="1" x14ac:dyDescent="0.25">
      <c r="A321" s="62" t="s">
        <v>508</v>
      </c>
      <c r="B321" s="62" t="s">
        <v>508</v>
      </c>
      <c r="C321" s="62" t="s">
        <v>508</v>
      </c>
      <c r="D321" s="61" t="s">
        <v>505</v>
      </c>
      <c r="E321" s="62" t="s">
        <v>508</v>
      </c>
      <c r="F321" s="66" t="str">
        <f>Scott!B116</f>
        <v>NI-DMM</v>
      </c>
      <c r="G321" s="66">
        <f>Scott!C116</f>
        <v>0</v>
      </c>
      <c r="H321" s="66">
        <f>Scott!D116</f>
        <v>32</v>
      </c>
      <c r="I321" s="66">
        <f>Scott!E116</f>
        <v>2015</v>
      </c>
      <c r="J321" s="66" t="str">
        <f>Scott!F116</f>
        <v>Development</v>
      </c>
      <c r="K321" s="66" t="str">
        <f>Scott!G116</f>
        <v>NI</v>
      </c>
      <c r="L321" s="66" t="str">
        <f>Scott!H116</f>
        <v xml:space="preserve">NI-DMM </v>
      </c>
      <c r="M321" s="66" t="str">
        <f>Scott!I116</f>
        <v>NI Developer Suite 2015 DS2 Install</v>
      </c>
      <c r="N321" s="67" t="s">
        <v>96</v>
      </c>
    </row>
    <row r="322" spans="1:14" x14ac:dyDescent="0.25">
      <c r="A322" s="62" t="s">
        <v>508</v>
      </c>
      <c r="B322" s="62" t="s">
        <v>508</v>
      </c>
      <c r="C322" s="61" t="s">
        <v>505</v>
      </c>
      <c r="D322" s="62" t="s">
        <v>508</v>
      </c>
      <c r="E322" s="62" t="s">
        <v>508</v>
      </c>
      <c r="F322" s="64" t="str">
        <f>Originals!B363</f>
        <v>Vision Development Module</v>
      </c>
      <c r="G322" s="64" t="str">
        <f>Originals!C363</f>
        <v>18.5.0</v>
      </c>
      <c r="H322" s="64" t="str">
        <f>Originals!D363</f>
        <v>32</v>
      </c>
      <c r="I322" s="64" t="str">
        <f>Originals!E363</f>
        <v>2018</v>
      </c>
      <c r="J322" s="64" t="str">
        <f>Originals!F363</f>
        <v>Development</v>
      </c>
      <c r="K322" s="64" t="str">
        <f>Originals!G363</f>
        <v>NI</v>
      </c>
      <c r="L322" s="64" t="str">
        <f>Originals!H363</f>
        <v>Vision Development Module 18.5.0</v>
      </c>
      <c r="M322" s="64">
        <f>Originals!I363</f>
        <v>0</v>
      </c>
      <c r="N322" s="65" t="s">
        <v>2</v>
      </c>
    </row>
    <row r="323" spans="1:14" x14ac:dyDescent="0.25">
      <c r="A323" s="62" t="s">
        <v>508</v>
      </c>
      <c r="B323" s="62" t="s">
        <v>508</v>
      </c>
      <c r="C323" s="61" t="s">
        <v>505</v>
      </c>
      <c r="D323" s="62" t="s">
        <v>508</v>
      </c>
      <c r="E323" s="62" t="s">
        <v>508</v>
      </c>
      <c r="F323" s="64" t="str">
        <f>Originals!B364</f>
        <v>Vision Development Module</v>
      </c>
      <c r="G323" s="64" t="str">
        <f>Originals!C364</f>
        <v>19.5.0</v>
      </c>
      <c r="H323" s="64" t="str">
        <f>Originals!D364</f>
        <v>32</v>
      </c>
      <c r="I323" s="64" t="str">
        <f>Originals!E364</f>
        <v>2019</v>
      </c>
      <c r="J323" s="64" t="str">
        <f>Originals!F364</f>
        <v>Development</v>
      </c>
      <c r="K323" s="64" t="str">
        <f>Originals!G364</f>
        <v>NI</v>
      </c>
      <c r="L323" s="64" t="str">
        <f>Originals!H364</f>
        <v>Vision Development Module 19.5.0</v>
      </c>
      <c r="M323" s="64">
        <f>Originals!I364</f>
        <v>0</v>
      </c>
      <c r="N323" s="65" t="s">
        <v>2</v>
      </c>
    </row>
    <row r="324" spans="1:14" hidden="1" x14ac:dyDescent="0.25">
      <c r="A324" s="62" t="s">
        <v>508</v>
      </c>
      <c r="B324" s="62" t="s">
        <v>508</v>
      </c>
      <c r="C324" s="62" t="s">
        <v>508</v>
      </c>
      <c r="D324" s="61" t="s">
        <v>505</v>
      </c>
      <c r="E324" s="62" t="s">
        <v>508</v>
      </c>
      <c r="F324" s="66" t="str">
        <f>Scott!B117</f>
        <v>NI-DMM</v>
      </c>
      <c r="G324" s="66" t="str">
        <f>Scott!C117</f>
        <v>15.0</v>
      </c>
      <c r="H324" s="66">
        <f>Scott!D117</f>
        <v>32</v>
      </c>
      <c r="I324" s="66">
        <f>Scott!E117</f>
        <v>2015</v>
      </c>
      <c r="J324" s="66" t="str">
        <f>Scott!F117</f>
        <v>Runtime</v>
      </c>
      <c r="K324" s="66" t="str">
        <f>Scott!G117</f>
        <v>NI</v>
      </c>
      <c r="L324" s="66" t="str">
        <f>Scott!H117</f>
        <v>NI-DMM 15.0</v>
      </c>
      <c r="M324" s="66" t="str">
        <f>Scott!I117</f>
        <v>NI Developer Suite 2015 DS2 Install</v>
      </c>
      <c r="N324" s="67" t="s">
        <v>96</v>
      </c>
    </row>
    <row r="325" spans="1:14" x14ac:dyDescent="0.25">
      <c r="A325" s="62" t="s">
        <v>508</v>
      </c>
      <c r="B325" s="62" t="s">
        <v>508</v>
      </c>
      <c r="C325" s="61" t="s">
        <v>505</v>
      </c>
      <c r="D325" s="62" t="s">
        <v>508</v>
      </c>
      <c r="E325" s="62" t="s">
        <v>508</v>
      </c>
      <c r="F325" s="64" t="str">
        <f>Originals!B365</f>
        <v>Vision Development Module Development Support</v>
      </c>
      <c r="G325" s="64" t="str">
        <f>Originals!C365</f>
        <v>18.5.0 SP1</v>
      </c>
      <c r="H325" s="64" t="str">
        <f>Originals!D365</f>
        <v>32</v>
      </c>
      <c r="I325" s="64" t="str">
        <f>Originals!E365</f>
        <v>2018</v>
      </c>
      <c r="J325" s="64" t="str">
        <f>Originals!F365</f>
        <v>Development</v>
      </c>
      <c r="K325" s="64" t="str">
        <f>Originals!G365</f>
        <v>NI</v>
      </c>
      <c r="L325" s="64" t="str">
        <f>Originals!H365</f>
        <v>Vision Development Module Development Support 18.5.0 SP1</v>
      </c>
      <c r="M325" s="64">
        <f>Originals!I365</f>
        <v>0</v>
      </c>
      <c r="N325" s="65" t="s">
        <v>2</v>
      </c>
    </row>
    <row r="326" spans="1:14" x14ac:dyDescent="0.25">
      <c r="A326" s="62" t="s">
        <v>508</v>
      </c>
      <c r="B326" s="62" t="s">
        <v>508</v>
      </c>
      <c r="C326" s="61" t="s">
        <v>505</v>
      </c>
      <c r="D326" s="62" t="s">
        <v>508</v>
      </c>
      <c r="E326" s="62" t="s">
        <v>508</v>
      </c>
      <c r="F326" s="64" t="str">
        <f>Originals!B366</f>
        <v>Vision Development Module Support</v>
      </c>
      <c r="G326" s="64" t="str">
        <f>Originals!C366</f>
        <v>19.5.0 SP1</v>
      </c>
      <c r="H326" s="64" t="str">
        <f>Originals!D366</f>
        <v>32</v>
      </c>
      <c r="I326" s="64" t="str">
        <f>Originals!E366</f>
        <v>2019</v>
      </c>
      <c r="J326" s="64" t="str">
        <f>Originals!F366</f>
        <v>Runtime</v>
      </c>
      <c r="K326" s="64" t="str">
        <f>Originals!G366</f>
        <v>NI</v>
      </c>
      <c r="L326" s="64" t="str">
        <f>Originals!H366</f>
        <v>Vision Development Module Support 19.5.0 SP1</v>
      </c>
      <c r="M326" s="64">
        <f>Originals!I366</f>
        <v>0</v>
      </c>
      <c r="N326" s="65" t="s">
        <v>2</v>
      </c>
    </row>
    <row r="327" spans="1:14" hidden="1" x14ac:dyDescent="0.25">
      <c r="A327" s="62" t="s">
        <v>508</v>
      </c>
      <c r="B327" s="62" t="s">
        <v>508</v>
      </c>
      <c r="C327" s="62" t="s">
        <v>508</v>
      </c>
      <c r="D327" s="61" t="s">
        <v>505</v>
      </c>
      <c r="E327" s="62" t="s">
        <v>508</v>
      </c>
      <c r="F327" s="66" t="str">
        <f>Scott!B118</f>
        <v>NI-DMM Configuration Support</v>
      </c>
      <c r="G327" s="66" t="str">
        <f>Scott!C118</f>
        <v>15.0</v>
      </c>
      <c r="H327" s="66">
        <f>Scott!D118</f>
        <v>32</v>
      </c>
      <c r="I327" s="66">
        <f>Scott!E118</f>
        <v>2015</v>
      </c>
      <c r="J327" s="66" t="str">
        <f>Scott!F118</f>
        <v>Development</v>
      </c>
      <c r="K327" s="66" t="str">
        <f>Scott!G118</f>
        <v>NI</v>
      </c>
      <c r="L327" s="66" t="str">
        <f>Scott!H118</f>
        <v>NI-DMM Configuration Support 15.0</v>
      </c>
      <c r="M327" s="66" t="str">
        <f>Scott!I118</f>
        <v>NI Developer Suite 2015 DS2 Install</v>
      </c>
      <c r="N327" s="67" t="s">
        <v>96</v>
      </c>
    </row>
    <row r="328" spans="1:14" x14ac:dyDescent="0.25">
      <c r="A328" s="62" t="s">
        <v>508</v>
      </c>
      <c r="B328" s="62" t="s">
        <v>508</v>
      </c>
      <c r="C328" s="61" t="s">
        <v>505</v>
      </c>
      <c r="D328" s="62" t="s">
        <v>508</v>
      </c>
      <c r="E328" s="62" t="s">
        <v>508</v>
      </c>
      <c r="F328" s="64" t="str">
        <f>Originals!B367</f>
        <v>WebDAV Cleitn with SSL Support</v>
      </c>
      <c r="G328" s="64" t="str">
        <f>Originals!C367</f>
        <v>15.0.0</v>
      </c>
      <c r="H328" s="64" t="str">
        <f>Originals!D367</f>
        <v>32</v>
      </c>
      <c r="I328" s="64" t="str">
        <f>Originals!E367</f>
        <v>2015</v>
      </c>
      <c r="J328" s="64" t="str">
        <f>Originals!F367</f>
        <v>C-RIO</v>
      </c>
      <c r="K328" s="64" t="str">
        <f>Originals!G367</f>
        <v>NI</v>
      </c>
      <c r="L328" s="64" t="str">
        <f>Originals!H367</f>
        <v>WebDAV Cleitn with SSL Support 15.0.0</v>
      </c>
      <c r="M328" s="64">
        <f>Originals!I367</f>
        <v>0</v>
      </c>
      <c r="N328" s="65" t="s">
        <v>2</v>
      </c>
    </row>
    <row r="329" spans="1:14" x14ac:dyDescent="0.25">
      <c r="A329" s="62" t="s">
        <v>508</v>
      </c>
      <c r="B329" s="62" t="s">
        <v>508</v>
      </c>
      <c r="C329" s="61" t="s">
        <v>505</v>
      </c>
      <c r="D329" s="62" t="s">
        <v>508</v>
      </c>
      <c r="E329" s="62" t="s">
        <v>508</v>
      </c>
      <c r="F329" s="64" t="str">
        <f>Originals!B368</f>
        <v>WebDAV Server</v>
      </c>
      <c r="G329" s="64" t="str">
        <f>Originals!C368</f>
        <v>15.0.0</v>
      </c>
      <c r="H329" s="64" t="str">
        <f>Originals!D368</f>
        <v>32</v>
      </c>
      <c r="I329" s="64" t="str">
        <f>Originals!E368</f>
        <v>2015</v>
      </c>
      <c r="J329" s="64" t="str">
        <f>Originals!F368</f>
        <v>C-RIO</v>
      </c>
      <c r="K329" s="64" t="str">
        <f>Originals!G368</f>
        <v>NI</v>
      </c>
      <c r="L329" s="64" t="str">
        <f>Originals!H368</f>
        <v>WebDAV Server 15.0.0</v>
      </c>
      <c r="M329" s="64">
        <f>Originals!I368</f>
        <v>0</v>
      </c>
      <c r="N329" s="65" t="s">
        <v>2</v>
      </c>
    </row>
  </sheetData>
  <autoFilter ref="A3:N329" xr:uid="{F37F7356-5D70-4488-95B0-A7D7F394D7AB}">
    <filterColumn colId="13">
      <filters>
        <filter val="N/A"/>
        <filter val="Vinnie"/>
      </filters>
    </filterColumn>
    <sortState xmlns:xlrd2="http://schemas.microsoft.com/office/spreadsheetml/2017/richdata2" ref="A4:N329">
      <sortCondition ref="F3:F329"/>
    </sortState>
  </autoFilter>
  <mergeCells count="1">
    <mergeCell ref="A1:M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EC44D-299B-4E51-833E-785FEE1FBFDE}">
  <sheetPr codeName="Sheet8"/>
  <dimension ref="A1:I243"/>
  <sheetViews>
    <sheetView showZeros="0" workbookViewId="0">
      <pane ySplit="3" topLeftCell="A224" activePane="bottomLeft" state="frozen"/>
      <selection pane="bottomLeft" activeCell="H239" sqref="A239:H242"/>
    </sheetView>
  </sheetViews>
  <sheetFormatPr defaultColWidth="9.28515625" defaultRowHeight="13.5" x14ac:dyDescent="0.25"/>
  <cols>
    <col min="1" max="1" width="45.140625" style="5" bestFit="1" customWidth="1"/>
    <col min="2" max="2" width="27" style="11" bestFit="1" customWidth="1"/>
    <col min="3" max="3" width="12.28515625" style="12" bestFit="1" customWidth="1"/>
    <col min="4" max="4" width="11.42578125" style="12" bestFit="1" customWidth="1"/>
    <col min="5" max="5" width="26.7109375" style="12" bestFit="1" customWidth="1"/>
    <col min="6" max="6" width="10.28515625" style="12" bestFit="1" customWidth="1"/>
    <col min="7" max="7" width="64.28515625" style="5" bestFit="1" customWidth="1"/>
    <col min="8" max="8" width="44" style="5" customWidth="1"/>
    <col min="9" max="16384" width="9.28515625" style="5"/>
  </cols>
  <sheetData>
    <row r="1" spans="1:8" x14ac:dyDescent="0.25">
      <c r="A1" s="98" t="s">
        <v>496</v>
      </c>
      <c r="B1" s="98"/>
      <c r="C1" s="98"/>
      <c r="D1" s="98"/>
      <c r="E1" s="98"/>
      <c r="F1" s="98"/>
      <c r="G1" s="98"/>
      <c r="H1" s="103"/>
    </row>
    <row r="2" spans="1:8" ht="14.25" thickBot="1" x14ac:dyDescent="0.3">
      <c r="A2" s="104"/>
      <c r="B2" s="104"/>
      <c r="C2" s="104"/>
      <c r="D2" s="104"/>
      <c r="E2" s="104"/>
      <c r="F2" s="104"/>
      <c r="G2" s="104"/>
      <c r="H2" s="105"/>
    </row>
    <row r="3" spans="1:8" ht="15" x14ac:dyDescent="0.25">
      <c r="A3" s="1" t="s">
        <v>99</v>
      </c>
      <c r="B3" s="2" t="s">
        <v>3</v>
      </c>
      <c r="C3" s="1" t="s">
        <v>4</v>
      </c>
      <c r="D3" s="1" t="s">
        <v>5</v>
      </c>
      <c r="E3" s="1" t="s">
        <v>100</v>
      </c>
      <c r="F3" s="1" t="s">
        <v>6</v>
      </c>
      <c r="G3" s="3" t="s">
        <v>101</v>
      </c>
      <c r="H3" s="4" t="s">
        <v>7</v>
      </c>
    </row>
    <row r="4" spans="1:8" x14ac:dyDescent="0.25">
      <c r="A4" s="6" t="s">
        <v>14</v>
      </c>
      <c r="B4" s="6" t="s">
        <v>9</v>
      </c>
      <c r="C4" s="6">
        <v>32</v>
      </c>
      <c r="D4" s="6">
        <v>2015</v>
      </c>
      <c r="E4" s="6" t="s">
        <v>12</v>
      </c>
      <c r="F4" s="6" t="s">
        <v>13</v>
      </c>
      <c r="G4" s="6" t="str">
        <f t="shared" ref="G4:G14" si="0">A4&amp;" "&amp;B4</f>
        <v>CompactRIO 15.0.0</v>
      </c>
      <c r="H4" s="6" t="s">
        <v>42</v>
      </c>
    </row>
    <row r="5" spans="1:8" x14ac:dyDescent="0.25">
      <c r="A5" s="6" t="s">
        <v>15</v>
      </c>
      <c r="B5" s="6" t="s">
        <v>9</v>
      </c>
      <c r="C5" s="6">
        <v>32</v>
      </c>
      <c r="D5" s="6">
        <v>2015</v>
      </c>
      <c r="E5" s="6" t="s">
        <v>12</v>
      </c>
      <c r="F5" s="6" t="s">
        <v>13</v>
      </c>
      <c r="G5" s="6" t="str">
        <f t="shared" si="0"/>
        <v>C Series Module Support 15.0.0</v>
      </c>
      <c r="H5" s="6" t="s">
        <v>42</v>
      </c>
    </row>
    <row r="6" spans="1:8" x14ac:dyDescent="0.25">
      <c r="A6" s="6" t="s">
        <v>16</v>
      </c>
      <c r="B6" s="6" t="s">
        <v>17</v>
      </c>
      <c r="C6" s="6">
        <v>32</v>
      </c>
      <c r="D6" s="6">
        <v>2015</v>
      </c>
      <c r="E6" s="6" t="s">
        <v>12</v>
      </c>
      <c r="F6" s="6" t="s">
        <v>13</v>
      </c>
      <c r="G6" s="6" t="str">
        <f t="shared" si="0"/>
        <v>NI-DAQmx Device Driver 15.0.0f2</v>
      </c>
      <c r="H6" s="6" t="s">
        <v>42</v>
      </c>
    </row>
    <row r="7" spans="1:8" x14ac:dyDescent="0.25">
      <c r="A7" s="6" t="s">
        <v>18</v>
      </c>
      <c r="B7" s="6" t="s">
        <v>9</v>
      </c>
      <c r="C7" s="6">
        <v>32</v>
      </c>
      <c r="D7" s="6">
        <v>2015</v>
      </c>
      <c r="E7" s="6" t="s">
        <v>12</v>
      </c>
      <c r="F7" s="6" t="s">
        <v>13</v>
      </c>
      <c r="G7" s="6" t="str">
        <f t="shared" si="0"/>
        <v>NI-DAQmx ADE Support 15.0.0</v>
      </c>
      <c r="H7" s="6" t="s">
        <v>42</v>
      </c>
    </row>
    <row r="8" spans="1:8" x14ac:dyDescent="0.25">
      <c r="A8" s="6" t="s">
        <v>19</v>
      </c>
      <c r="B8" s="6" t="s">
        <v>9</v>
      </c>
      <c r="C8" s="6">
        <v>32</v>
      </c>
      <c r="D8" s="6">
        <v>2015</v>
      </c>
      <c r="E8" s="6" t="s">
        <v>12</v>
      </c>
      <c r="F8" s="6" t="s">
        <v>13</v>
      </c>
      <c r="G8" s="6" t="str">
        <f t="shared" si="0"/>
        <v>NI-DAQmx MAX Configuration 15.0.0</v>
      </c>
      <c r="H8" s="6" t="s">
        <v>42</v>
      </c>
    </row>
    <row r="9" spans="1:8" x14ac:dyDescent="0.25">
      <c r="A9" s="6" t="s">
        <v>20</v>
      </c>
      <c r="B9" s="6">
        <v>14</v>
      </c>
      <c r="C9" s="6">
        <v>32</v>
      </c>
      <c r="D9" s="6">
        <v>2015</v>
      </c>
      <c r="E9" s="6" t="s">
        <v>12</v>
      </c>
      <c r="F9" s="6" t="s">
        <v>13</v>
      </c>
      <c r="G9" s="6" t="str">
        <f t="shared" si="0"/>
        <v>NI Script Editor 14</v>
      </c>
      <c r="H9" s="6" t="s">
        <v>42</v>
      </c>
    </row>
    <row r="10" spans="1:8" x14ac:dyDescent="0.25">
      <c r="A10" s="6" t="s">
        <v>21</v>
      </c>
      <c r="B10" s="6"/>
      <c r="C10" s="6">
        <v>32</v>
      </c>
      <c r="D10" s="6">
        <v>2015</v>
      </c>
      <c r="E10" s="6" t="s">
        <v>12</v>
      </c>
      <c r="F10" s="6" t="s">
        <v>13</v>
      </c>
      <c r="G10" s="6" t="str">
        <f>A10</f>
        <v>NI-DMM</v>
      </c>
      <c r="H10" s="6" t="s">
        <v>42</v>
      </c>
    </row>
    <row r="11" spans="1:8" x14ac:dyDescent="0.25">
      <c r="A11" s="6" t="s">
        <v>123</v>
      </c>
      <c r="B11" s="6">
        <v>15</v>
      </c>
      <c r="C11" s="6">
        <v>32</v>
      </c>
      <c r="D11" s="6">
        <v>2015</v>
      </c>
      <c r="E11" s="6" t="s">
        <v>12</v>
      </c>
      <c r="F11" s="6" t="s">
        <v>13</v>
      </c>
      <c r="G11" s="6" t="str">
        <f t="shared" si="0"/>
        <v>NI-DMM Configuration Support 15</v>
      </c>
      <c r="H11" s="6" t="s">
        <v>42</v>
      </c>
    </row>
    <row r="12" spans="1:8" x14ac:dyDescent="0.25">
      <c r="A12" s="6" t="s">
        <v>124</v>
      </c>
      <c r="B12" s="6">
        <v>15</v>
      </c>
      <c r="C12" s="6">
        <v>32</v>
      </c>
      <c r="D12" s="6">
        <v>2015</v>
      </c>
      <c r="E12" s="6" t="s">
        <v>12</v>
      </c>
      <c r="F12" s="6" t="s">
        <v>13</v>
      </c>
      <c r="G12" s="6" t="str">
        <f t="shared" si="0"/>
        <v>NI-DMM Development Support 15</v>
      </c>
      <c r="H12" s="6" t="s">
        <v>42</v>
      </c>
    </row>
    <row r="13" spans="1:8" x14ac:dyDescent="0.25">
      <c r="A13" s="6" t="s">
        <v>21</v>
      </c>
      <c r="B13" s="6">
        <v>15</v>
      </c>
      <c r="C13" s="6">
        <v>32</v>
      </c>
      <c r="D13" s="6">
        <v>2015</v>
      </c>
      <c r="E13" s="6" t="s">
        <v>24</v>
      </c>
      <c r="F13" s="6" t="s">
        <v>13</v>
      </c>
      <c r="G13" s="6" t="str">
        <f t="shared" si="0"/>
        <v>NI-DMM 15</v>
      </c>
      <c r="H13" s="6" t="s">
        <v>42</v>
      </c>
    </row>
    <row r="14" spans="1:8" x14ac:dyDescent="0.25">
      <c r="A14" s="6" t="s">
        <v>25</v>
      </c>
      <c r="B14" s="6" t="s">
        <v>9</v>
      </c>
      <c r="C14" s="6">
        <v>32</v>
      </c>
      <c r="D14" s="6">
        <v>2015</v>
      </c>
      <c r="E14" s="6" t="s">
        <v>12</v>
      </c>
      <c r="F14" s="6" t="s">
        <v>13</v>
      </c>
      <c r="G14" s="6" t="str">
        <f t="shared" si="0"/>
        <v>DMM Soft Front Panel 15.0.0</v>
      </c>
      <c r="H14" s="6" t="s">
        <v>42</v>
      </c>
    </row>
    <row r="15" spans="1:8" x14ac:dyDescent="0.25">
      <c r="A15" s="6" t="s">
        <v>26</v>
      </c>
      <c r="B15" s="6"/>
      <c r="C15" s="6">
        <v>32</v>
      </c>
      <c r="D15" s="6">
        <v>2015</v>
      </c>
      <c r="E15" s="6" t="s">
        <v>12</v>
      </c>
      <c r="F15" s="6" t="s">
        <v>13</v>
      </c>
      <c r="G15" s="6" t="str">
        <f>$G$14</f>
        <v>DMM Soft Front Panel 15.0.0</v>
      </c>
      <c r="H15" s="6" t="s">
        <v>42</v>
      </c>
    </row>
    <row r="16" spans="1:8" x14ac:dyDescent="0.25">
      <c r="A16" s="6" t="s">
        <v>22</v>
      </c>
      <c r="B16" s="6">
        <v>15</v>
      </c>
      <c r="C16" s="6">
        <v>32</v>
      </c>
      <c r="D16" s="6">
        <v>2015</v>
      </c>
      <c r="E16" s="6" t="s">
        <v>12</v>
      </c>
      <c r="F16" s="6" t="s">
        <v>13</v>
      </c>
      <c r="G16" s="6" t="str">
        <f>$G$14</f>
        <v>DMM Soft Front Panel 15.0.0</v>
      </c>
      <c r="H16" s="6" t="s">
        <v>42</v>
      </c>
    </row>
    <row r="17" spans="1:8" x14ac:dyDescent="0.25">
      <c r="A17" s="6" t="s">
        <v>23</v>
      </c>
      <c r="B17" s="6">
        <v>15</v>
      </c>
      <c r="C17" s="6">
        <v>32</v>
      </c>
      <c r="D17" s="6">
        <v>2015</v>
      </c>
      <c r="E17" s="6" t="s">
        <v>12</v>
      </c>
      <c r="F17" s="6" t="s">
        <v>13</v>
      </c>
      <c r="G17" s="6" t="str">
        <f>$G$14</f>
        <v>DMM Soft Front Panel 15.0.0</v>
      </c>
      <c r="H17" s="6" t="s">
        <v>42</v>
      </c>
    </row>
    <row r="18" spans="1:8" x14ac:dyDescent="0.25">
      <c r="A18" s="6" t="s">
        <v>26</v>
      </c>
      <c r="B18" s="6">
        <v>15</v>
      </c>
      <c r="C18" s="6">
        <v>32</v>
      </c>
      <c r="D18" s="6">
        <v>2015</v>
      </c>
      <c r="E18" s="6" t="s">
        <v>24</v>
      </c>
      <c r="F18" s="6" t="s">
        <v>13</v>
      </c>
      <c r="G18" s="6" t="str">
        <f>$G$14</f>
        <v>DMM Soft Front Panel 15.0.0</v>
      </c>
      <c r="H18" s="6" t="s">
        <v>42</v>
      </c>
    </row>
    <row r="19" spans="1:8" x14ac:dyDescent="0.25">
      <c r="A19" s="6" t="s">
        <v>27</v>
      </c>
      <c r="B19" s="6">
        <v>15</v>
      </c>
      <c r="C19" s="6">
        <v>32</v>
      </c>
      <c r="D19" s="6">
        <v>2015</v>
      </c>
      <c r="E19" s="6" t="s">
        <v>12</v>
      </c>
      <c r="F19" s="6" t="s">
        <v>13</v>
      </c>
      <c r="G19" s="6" t="str">
        <f>$G$14</f>
        <v>DMM Soft Front Panel 15.0.0</v>
      </c>
      <c r="H19" s="6" t="s">
        <v>42</v>
      </c>
    </row>
    <row r="20" spans="1:8" x14ac:dyDescent="0.25">
      <c r="A20" s="6" t="s">
        <v>28</v>
      </c>
      <c r="B20" s="6" t="s">
        <v>9</v>
      </c>
      <c r="C20" s="6">
        <v>32</v>
      </c>
      <c r="D20" s="6">
        <v>2015</v>
      </c>
      <c r="E20" s="6" t="s">
        <v>24</v>
      </c>
      <c r="F20" s="6" t="s">
        <v>13</v>
      </c>
      <c r="G20" s="6" t="str">
        <f t="shared" ref="G20:G39" si="1">A20&amp;" "&amp;B20</f>
        <v>NI-488.2 15.0.0</v>
      </c>
      <c r="H20" s="6" t="s">
        <v>42</v>
      </c>
    </row>
    <row r="21" spans="1:8" x14ac:dyDescent="0.25">
      <c r="A21" s="6" t="s">
        <v>28</v>
      </c>
      <c r="B21" s="6" t="s">
        <v>9</v>
      </c>
      <c r="C21" s="6">
        <v>32</v>
      </c>
      <c r="D21" s="6">
        <v>2015</v>
      </c>
      <c r="E21" s="6" t="s">
        <v>12</v>
      </c>
      <c r="F21" s="6" t="s">
        <v>13</v>
      </c>
      <c r="G21" s="6" t="str">
        <f t="shared" si="1"/>
        <v>NI-488.2 15.0.0</v>
      </c>
      <c r="H21" s="6" t="s">
        <v>42</v>
      </c>
    </row>
    <row r="22" spans="1:8" x14ac:dyDescent="0.25">
      <c r="A22" s="6" t="s">
        <v>29</v>
      </c>
      <c r="B22" s="6" t="s">
        <v>30</v>
      </c>
      <c r="C22" s="6">
        <v>32</v>
      </c>
      <c r="D22" s="6">
        <v>2015</v>
      </c>
      <c r="E22" s="6" t="s">
        <v>12</v>
      </c>
      <c r="F22" s="6" t="s">
        <v>13</v>
      </c>
      <c r="G22" s="6" t="str">
        <f t="shared" si="1"/>
        <v>NI I/O Trace 15.0.0f0</v>
      </c>
      <c r="H22" s="6" t="s">
        <v>42</v>
      </c>
    </row>
    <row r="23" spans="1:8" x14ac:dyDescent="0.25">
      <c r="A23" s="6" t="s">
        <v>31</v>
      </c>
      <c r="B23" s="6">
        <v>15</v>
      </c>
      <c r="C23" s="6">
        <v>32</v>
      </c>
      <c r="D23" s="6">
        <v>2015</v>
      </c>
      <c r="E23" s="6" t="s">
        <v>12</v>
      </c>
      <c r="F23" s="6" t="s">
        <v>13</v>
      </c>
      <c r="G23" s="6" t="str">
        <f t="shared" si="1"/>
        <v>IVI Compliance Package 15</v>
      </c>
      <c r="H23" s="6" t="s">
        <v>42</v>
      </c>
    </row>
    <row r="24" spans="1:8" x14ac:dyDescent="0.25">
      <c r="A24" s="6" t="s">
        <v>32</v>
      </c>
      <c r="B24" s="6" t="s">
        <v>9</v>
      </c>
      <c r="C24" s="6">
        <v>32</v>
      </c>
      <c r="D24" s="6">
        <v>2015</v>
      </c>
      <c r="E24" s="6" t="s">
        <v>12</v>
      </c>
      <c r="F24" s="6" t="s">
        <v>13</v>
      </c>
      <c r="G24" s="6" t="str">
        <f t="shared" si="1"/>
        <v>LabVIEW 15.0.0</v>
      </c>
      <c r="H24" s="6" t="s">
        <v>42</v>
      </c>
    </row>
    <row r="25" spans="1:8" x14ac:dyDescent="0.25">
      <c r="A25" s="6" t="s">
        <v>8</v>
      </c>
      <c r="B25" s="6" t="s">
        <v>9</v>
      </c>
      <c r="C25" s="6">
        <v>32</v>
      </c>
      <c r="D25" s="6">
        <v>2015</v>
      </c>
      <c r="E25" s="6" t="s">
        <v>12</v>
      </c>
      <c r="F25" s="6" t="s">
        <v>13</v>
      </c>
      <c r="G25" s="6" t="str">
        <f t="shared" si="1"/>
        <v>Advanced Signal Processing Toolkit 15.0.0</v>
      </c>
      <c r="H25" s="6" t="s">
        <v>42</v>
      </c>
    </row>
    <row r="26" spans="1:8" x14ac:dyDescent="0.25">
      <c r="A26" s="6" t="s">
        <v>33</v>
      </c>
      <c r="B26" s="6" t="s">
        <v>9</v>
      </c>
      <c r="C26" s="6">
        <v>32</v>
      </c>
      <c r="D26" s="6">
        <v>2015</v>
      </c>
      <c r="E26" s="6" t="s">
        <v>12</v>
      </c>
      <c r="F26" s="6" t="s">
        <v>13</v>
      </c>
      <c r="G26" s="6" t="str">
        <f t="shared" si="1"/>
        <v>Database Connectivity Toolkit 15.0.0</v>
      </c>
      <c r="H26" s="6" t="s">
        <v>42</v>
      </c>
    </row>
    <row r="27" spans="1:8" x14ac:dyDescent="0.25">
      <c r="A27" s="6" t="s">
        <v>34</v>
      </c>
      <c r="B27" s="6" t="s">
        <v>9</v>
      </c>
      <c r="C27" s="6">
        <v>32</v>
      </c>
      <c r="D27" s="6">
        <v>2015</v>
      </c>
      <c r="E27" s="6" t="s">
        <v>12</v>
      </c>
      <c r="F27" s="6" t="s">
        <v>13</v>
      </c>
      <c r="G27" s="6" t="str">
        <f t="shared" si="1"/>
        <v>Digital Filter Design Toolkit 15.0.0</v>
      </c>
      <c r="H27" s="6" t="s">
        <v>42</v>
      </c>
    </row>
    <row r="28" spans="1:8" x14ac:dyDescent="0.25">
      <c r="A28" s="6" t="s">
        <v>35</v>
      </c>
      <c r="B28" s="6" t="s">
        <v>9</v>
      </c>
      <c r="C28" s="6">
        <v>32</v>
      </c>
      <c r="D28" s="6">
        <v>2015</v>
      </c>
      <c r="E28" s="6" t="s">
        <v>12</v>
      </c>
      <c r="F28" s="6" t="s">
        <v>13</v>
      </c>
      <c r="G28" s="6" t="str">
        <f t="shared" si="1"/>
        <v>Real-Time 15.0.0</v>
      </c>
      <c r="H28" s="6" t="s">
        <v>42</v>
      </c>
    </row>
    <row r="29" spans="1:8" x14ac:dyDescent="0.25">
      <c r="A29" s="6" t="s">
        <v>36</v>
      </c>
      <c r="B29" s="6" t="s">
        <v>9</v>
      </c>
      <c r="C29" s="6">
        <v>32</v>
      </c>
      <c r="D29" s="6">
        <v>2015</v>
      </c>
      <c r="E29" s="6" t="s">
        <v>12</v>
      </c>
      <c r="F29" s="6" t="s">
        <v>13</v>
      </c>
      <c r="G29" s="6" t="str">
        <f t="shared" si="1"/>
        <v>Real-Time Trace Viewer - LabVIEW 2015 Support 15.0.0</v>
      </c>
      <c r="H29" s="6" t="s">
        <v>42</v>
      </c>
    </row>
    <row r="30" spans="1:8" x14ac:dyDescent="0.25">
      <c r="A30" s="6" t="s">
        <v>37</v>
      </c>
      <c r="B30" s="6" t="s">
        <v>9</v>
      </c>
      <c r="C30" s="6">
        <v>32</v>
      </c>
      <c r="D30" s="6">
        <v>2015</v>
      </c>
      <c r="E30" s="6" t="s">
        <v>12</v>
      </c>
      <c r="F30" s="6" t="s">
        <v>13</v>
      </c>
      <c r="G30" s="6" t="str">
        <f t="shared" si="1"/>
        <v>Report Generation Toolkit For Microsoft Office 15.0.0</v>
      </c>
      <c r="H30" s="6" t="s">
        <v>42</v>
      </c>
    </row>
    <row r="31" spans="1:8" x14ac:dyDescent="0.25">
      <c r="A31" s="6" t="s">
        <v>38</v>
      </c>
      <c r="B31" s="6">
        <v>15</v>
      </c>
      <c r="C31" s="6">
        <v>32</v>
      </c>
      <c r="D31" s="6">
        <v>2015</v>
      </c>
      <c r="E31" s="6" t="s">
        <v>12</v>
      </c>
      <c r="F31" s="6" t="s">
        <v>13</v>
      </c>
      <c r="G31" s="6" t="str">
        <f t="shared" si="1"/>
        <v>Statechart Module 15</v>
      </c>
      <c r="H31" s="6" t="s">
        <v>42</v>
      </c>
    </row>
    <row r="32" spans="1:8" x14ac:dyDescent="0.25">
      <c r="A32" s="6" t="s">
        <v>39</v>
      </c>
      <c r="B32" s="6" t="s">
        <v>9</v>
      </c>
      <c r="C32" s="6">
        <v>32</v>
      </c>
      <c r="D32" s="6">
        <v>2015</v>
      </c>
      <c r="E32" s="6" t="s">
        <v>12</v>
      </c>
      <c r="F32" s="6" t="s">
        <v>13</v>
      </c>
      <c r="G32" s="6" t="str">
        <f t="shared" si="1"/>
        <v>Unit Test Framework Toolkit 15.0.0</v>
      </c>
      <c r="H32" s="6" t="s">
        <v>42</v>
      </c>
    </row>
    <row r="33" spans="1:8" x14ac:dyDescent="0.25">
      <c r="A33" s="6" t="s">
        <v>40</v>
      </c>
      <c r="B33" s="6" t="s">
        <v>9</v>
      </c>
      <c r="C33" s="6">
        <v>32</v>
      </c>
      <c r="D33" s="6">
        <v>2015</v>
      </c>
      <c r="E33" s="6" t="s">
        <v>12</v>
      </c>
      <c r="F33" s="6" t="s">
        <v>13</v>
      </c>
      <c r="G33" s="6" t="str">
        <f t="shared" si="1"/>
        <v>VI Analyzer Toolkit 15.0.0</v>
      </c>
      <c r="H33" s="6" t="s">
        <v>42</v>
      </c>
    </row>
    <row r="34" spans="1:8" x14ac:dyDescent="0.25">
      <c r="A34" s="6" t="s">
        <v>32</v>
      </c>
      <c r="B34" s="6" t="s">
        <v>9</v>
      </c>
      <c r="C34" s="6">
        <v>64</v>
      </c>
      <c r="D34" s="6">
        <v>2015</v>
      </c>
      <c r="E34" s="6" t="s">
        <v>12</v>
      </c>
      <c r="F34" s="6" t="s">
        <v>13</v>
      </c>
      <c r="G34" s="6" t="str">
        <f t="shared" si="1"/>
        <v>LabVIEW 15.0.0</v>
      </c>
      <c r="H34" s="6" t="s">
        <v>42</v>
      </c>
    </row>
    <row r="35" spans="1:8" x14ac:dyDescent="0.25">
      <c r="A35" s="6" t="s">
        <v>32</v>
      </c>
      <c r="B35" s="6" t="s">
        <v>105</v>
      </c>
      <c r="C35" s="6">
        <v>32</v>
      </c>
      <c r="D35" s="6" t="s">
        <v>106</v>
      </c>
      <c r="E35" s="6" t="s">
        <v>24</v>
      </c>
      <c r="F35" s="6" t="s">
        <v>13</v>
      </c>
      <c r="G35" s="6" t="str">
        <f t="shared" si="1"/>
        <v>LabVIEW 12.0.1</v>
      </c>
      <c r="H35" s="6" t="s">
        <v>42</v>
      </c>
    </row>
    <row r="36" spans="1:8" x14ac:dyDescent="0.25">
      <c r="A36" s="6" t="s">
        <v>32</v>
      </c>
      <c r="B36" s="6" t="s">
        <v>105</v>
      </c>
      <c r="C36" s="6">
        <v>64</v>
      </c>
      <c r="D36" s="6" t="s">
        <v>410</v>
      </c>
      <c r="E36" s="6" t="s">
        <v>24</v>
      </c>
      <c r="F36" s="6" t="s">
        <v>13</v>
      </c>
      <c r="G36" s="6" t="str">
        <f t="shared" si="1"/>
        <v>LabVIEW 12.0.1</v>
      </c>
      <c r="H36" s="6" t="s">
        <v>42</v>
      </c>
    </row>
    <row r="37" spans="1:8" x14ac:dyDescent="0.25">
      <c r="A37" s="6" t="s">
        <v>41</v>
      </c>
      <c r="B37" s="8" t="s">
        <v>30</v>
      </c>
      <c r="C37" s="6">
        <v>32</v>
      </c>
      <c r="D37" s="6">
        <v>2015</v>
      </c>
      <c r="E37" s="6" t="s">
        <v>12</v>
      </c>
      <c r="F37" s="6" t="s">
        <v>13</v>
      </c>
      <c r="G37" s="6" t="str">
        <f t="shared" si="1"/>
        <v>Measurement &amp; Automation Explorer 15.0.0f0</v>
      </c>
      <c r="H37" s="6" t="s">
        <v>42</v>
      </c>
    </row>
    <row r="38" spans="1:8" ht="27" x14ac:dyDescent="0.25">
      <c r="A38" s="6" t="s">
        <v>43</v>
      </c>
      <c r="B38" s="8" t="s">
        <v>44</v>
      </c>
      <c r="C38" s="6">
        <v>32</v>
      </c>
      <c r="D38" s="6">
        <v>2015</v>
      </c>
      <c r="E38" s="6" t="s">
        <v>12</v>
      </c>
      <c r="F38" s="6" t="s">
        <v>13</v>
      </c>
      <c r="G38" s="6" t="str">
        <f t="shared" si="1"/>
        <v>Measurement Studio Visual Studio 2010 Support - See individual versions below.</v>
      </c>
      <c r="H38" s="6" t="s">
        <v>42</v>
      </c>
    </row>
    <row r="39" spans="1:8" x14ac:dyDescent="0.25">
      <c r="A39" s="6" t="s">
        <v>115</v>
      </c>
      <c r="B39" s="6"/>
      <c r="C39" s="6">
        <v>32</v>
      </c>
      <c r="D39" s="6">
        <v>2015</v>
      </c>
      <c r="E39" s="6" t="s">
        <v>12</v>
      </c>
      <c r="F39" s="6" t="s">
        <v>13</v>
      </c>
      <c r="G39" s="6" t="str">
        <f t="shared" si="1"/>
        <v xml:space="preserve">Measurement Studio DotNET </v>
      </c>
      <c r="H39" s="6" t="s">
        <v>42</v>
      </c>
    </row>
    <row r="40" spans="1:8" x14ac:dyDescent="0.25">
      <c r="A40" s="6" t="s">
        <v>116</v>
      </c>
      <c r="B40" s="6" t="s">
        <v>45</v>
      </c>
      <c r="C40" s="6">
        <v>32</v>
      </c>
      <c r="D40" s="6">
        <v>2015</v>
      </c>
      <c r="E40" s="6" t="s">
        <v>12</v>
      </c>
      <c r="F40" s="6" t="s">
        <v>13</v>
      </c>
      <c r="G40" s="6" t="str">
        <f>$G$39</f>
        <v xml:space="preserve">Measurement Studio DotNET </v>
      </c>
      <c r="H40" s="6" t="s">
        <v>42</v>
      </c>
    </row>
    <row r="41" spans="1:8" x14ac:dyDescent="0.25">
      <c r="A41" s="6" t="s">
        <v>116</v>
      </c>
      <c r="B41" s="6" t="s">
        <v>45</v>
      </c>
      <c r="C41" s="6">
        <v>64</v>
      </c>
      <c r="D41" s="6">
        <v>2015</v>
      </c>
      <c r="E41" s="6" t="s">
        <v>12</v>
      </c>
      <c r="F41" s="6" t="s">
        <v>13</v>
      </c>
      <c r="G41" s="6" t="str">
        <f>$G$39</f>
        <v xml:space="preserve">Measurement Studio DotNET </v>
      </c>
      <c r="H41" s="6" t="s">
        <v>42</v>
      </c>
    </row>
    <row r="42" spans="1:8" x14ac:dyDescent="0.25">
      <c r="A42" s="6" t="s">
        <v>46</v>
      </c>
      <c r="B42" s="6" t="s">
        <v>47</v>
      </c>
      <c r="C42" s="6">
        <v>32</v>
      </c>
      <c r="D42" s="6">
        <v>2015</v>
      </c>
      <c r="E42" s="6" t="s">
        <v>12</v>
      </c>
      <c r="F42" s="6" t="s">
        <v>13</v>
      </c>
      <c r="G42" s="6" t="str">
        <f>A42&amp;" "&amp;B42</f>
        <v>NI-USI 15.0.0.5998</v>
      </c>
      <c r="H42" s="6" t="s">
        <v>42</v>
      </c>
    </row>
    <row r="43" spans="1:8" x14ac:dyDescent="0.25">
      <c r="A43" s="6" t="s">
        <v>48</v>
      </c>
      <c r="B43" s="6"/>
      <c r="C43" s="6">
        <v>32</v>
      </c>
      <c r="D43" s="6">
        <v>2015</v>
      </c>
      <c r="E43" s="6" t="s">
        <v>12</v>
      </c>
      <c r="F43" s="6" t="s">
        <v>13</v>
      </c>
      <c r="G43" s="6" t="str">
        <f>A43&amp;" "&amp;B43</f>
        <v xml:space="preserve">NI-DCPower </v>
      </c>
      <c r="H43" s="6" t="s">
        <v>42</v>
      </c>
    </row>
    <row r="44" spans="1:8" x14ac:dyDescent="0.25">
      <c r="A44" s="6" t="s">
        <v>22</v>
      </c>
      <c r="B44" s="6">
        <v>15</v>
      </c>
      <c r="C44" s="6">
        <v>32</v>
      </c>
      <c r="D44" s="6">
        <v>2015</v>
      </c>
      <c r="E44" s="6" t="s">
        <v>12</v>
      </c>
      <c r="F44" s="6" t="s">
        <v>13</v>
      </c>
      <c r="G44" s="6" t="str">
        <f t="shared" ref="G44:G47" si="2">A44&amp;" "&amp;B44</f>
        <v>Configuration Support 15</v>
      </c>
      <c r="H44" s="6" t="s">
        <v>42</v>
      </c>
    </row>
    <row r="45" spans="1:8" x14ac:dyDescent="0.25">
      <c r="A45" s="6" t="s">
        <v>23</v>
      </c>
      <c r="B45" s="6">
        <v>15</v>
      </c>
      <c r="C45" s="6">
        <v>32</v>
      </c>
      <c r="D45" s="6">
        <v>2015</v>
      </c>
      <c r="E45" s="6" t="s">
        <v>12</v>
      </c>
      <c r="F45" s="6" t="s">
        <v>13</v>
      </c>
      <c r="G45" s="6" t="str">
        <f t="shared" si="2"/>
        <v>Development Support 15</v>
      </c>
      <c r="H45" s="6" t="s">
        <v>42</v>
      </c>
    </row>
    <row r="46" spans="1:8" x14ac:dyDescent="0.25">
      <c r="A46" s="6" t="s">
        <v>48</v>
      </c>
      <c r="B46" s="6">
        <v>15</v>
      </c>
      <c r="C46" s="6">
        <v>32</v>
      </c>
      <c r="D46" s="6">
        <v>2015</v>
      </c>
      <c r="E46" s="6" t="s">
        <v>24</v>
      </c>
      <c r="F46" s="6" t="s">
        <v>13</v>
      </c>
      <c r="G46" s="6" t="str">
        <f t="shared" si="2"/>
        <v>NI-DCPower 15</v>
      </c>
      <c r="H46" s="6" t="s">
        <v>42</v>
      </c>
    </row>
    <row r="47" spans="1:8" x14ac:dyDescent="0.25">
      <c r="A47" s="6" t="s">
        <v>49</v>
      </c>
      <c r="B47" s="6">
        <v>15</v>
      </c>
      <c r="C47" s="6">
        <v>32</v>
      </c>
      <c r="D47" s="6">
        <v>2015</v>
      </c>
      <c r="E47" s="6" t="s">
        <v>12</v>
      </c>
      <c r="F47" s="6" t="s">
        <v>13</v>
      </c>
      <c r="G47" s="6" t="str">
        <f t="shared" si="2"/>
        <v>NI-DCPower Soft Front Panel 15</v>
      </c>
      <c r="H47" s="6" t="s">
        <v>42</v>
      </c>
    </row>
    <row r="48" spans="1:8" x14ac:dyDescent="0.25">
      <c r="A48" s="6" t="s">
        <v>50</v>
      </c>
      <c r="B48" s="6"/>
      <c r="C48" s="6">
        <v>32</v>
      </c>
      <c r="D48" s="6">
        <v>2015</v>
      </c>
      <c r="E48" s="6" t="s">
        <v>12</v>
      </c>
      <c r="F48" s="6" t="s">
        <v>13</v>
      </c>
      <c r="G48" s="6" t="str">
        <f>A48&amp;" "&amp;B48</f>
        <v xml:space="preserve">NI-HSDIO </v>
      </c>
      <c r="H48" s="6" t="s">
        <v>42</v>
      </c>
    </row>
    <row r="49" spans="1:8" x14ac:dyDescent="0.25">
      <c r="A49" s="6" t="s">
        <v>22</v>
      </c>
      <c r="B49" s="6">
        <v>15</v>
      </c>
      <c r="C49" s="6">
        <v>32</v>
      </c>
      <c r="D49" s="6">
        <v>2015</v>
      </c>
      <c r="E49" s="6" t="s">
        <v>12</v>
      </c>
      <c r="F49" s="6" t="s">
        <v>13</v>
      </c>
      <c r="G49" s="6" t="str">
        <f t="shared" ref="G49:G51" si="3">A49&amp;" "&amp;B49</f>
        <v>Configuration Support 15</v>
      </c>
      <c r="H49" s="6" t="s">
        <v>42</v>
      </c>
    </row>
    <row r="50" spans="1:8" x14ac:dyDescent="0.25">
      <c r="A50" s="6" t="s">
        <v>23</v>
      </c>
      <c r="B50" s="6">
        <v>15</v>
      </c>
      <c r="C50" s="6">
        <v>32</v>
      </c>
      <c r="D50" s="6">
        <v>2015</v>
      </c>
      <c r="E50" s="6" t="s">
        <v>12</v>
      </c>
      <c r="F50" s="6" t="s">
        <v>13</v>
      </c>
      <c r="G50" s="6" t="str">
        <f t="shared" si="3"/>
        <v>Development Support 15</v>
      </c>
      <c r="H50" s="6" t="s">
        <v>42</v>
      </c>
    </row>
    <row r="51" spans="1:8" x14ac:dyDescent="0.25">
      <c r="A51" s="6" t="s">
        <v>50</v>
      </c>
      <c r="B51" s="6">
        <v>15</v>
      </c>
      <c r="C51" s="6">
        <v>32</v>
      </c>
      <c r="D51" s="6">
        <v>2015</v>
      </c>
      <c r="E51" s="6" t="s">
        <v>24</v>
      </c>
      <c r="F51" s="6" t="s">
        <v>13</v>
      </c>
      <c r="G51" s="6" t="str">
        <f t="shared" si="3"/>
        <v>NI-HSDIO 15</v>
      </c>
      <c r="H51" s="6" t="s">
        <v>42</v>
      </c>
    </row>
    <row r="52" spans="1:8" x14ac:dyDescent="0.25">
      <c r="A52" s="6" t="s">
        <v>51</v>
      </c>
      <c r="B52" s="6" t="s">
        <v>9</v>
      </c>
      <c r="C52" s="6">
        <v>32</v>
      </c>
      <c r="D52" s="6">
        <v>2015</v>
      </c>
      <c r="E52" s="6" t="s">
        <v>12</v>
      </c>
      <c r="F52" s="6" t="s">
        <v>13</v>
      </c>
      <c r="G52" s="6" t="str">
        <f t="shared" ref="G52:G66" si="4">A52&amp;" "&amp;B52</f>
        <v>NI-HWS 15.0.0</v>
      </c>
      <c r="H52" s="6" t="s">
        <v>42</v>
      </c>
    </row>
    <row r="53" spans="1:8" x14ac:dyDescent="0.25">
      <c r="A53" s="6" t="s">
        <v>52</v>
      </c>
      <c r="B53" s="6" t="s">
        <v>53</v>
      </c>
      <c r="C53" s="6">
        <v>32</v>
      </c>
      <c r="D53" s="6">
        <v>2015</v>
      </c>
      <c r="E53" s="6" t="s">
        <v>12</v>
      </c>
      <c r="F53" s="6" t="s">
        <v>13</v>
      </c>
      <c r="G53" s="6" t="str">
        <f t="shared" si="4"/>
        <v>NI PXI Platform Services Configuration 15.0.0f1</v>
      </c>
      <c r="H53" s="6" t="s">
        <v>42</v>
      </c>
    </row>
    <row r="54" spans="1:8" x14ac:dyDescent="0.25">
      <c r="A54" s="6" t="s">
        <v>140</v>
      </c>
      <c r="B54" s="6" t="s">
        <v>53</v>
      </c>
      <c r="C54" s="6">
        <v>32</v>
      </c>
      <c r="D54" s="6">
        <v>2015</v>
      </c>
      <c r="E54" s="6" t="s">
        <v>24</v>
      </c>
      <c r="F54" s="6" t="s">
        <v>13</v>
      </c>
      <c r="G54" s="6" t="str">
        <f t="shared" si="4"/>
        <v>NI PXI Platform Services 15.0.0f1</v>
      </c>
      <c r="H54" s="6" t="s">
        <v>42</v>
      </c>
    </row>
    <row r="55" spans="1:8" x14ac:dyDescent="0.25">
      <c r="A55" s="6" t="s">
        <v>54</v>
      </c>
      <c r="B55" s="6" t="s">
        <v>9</v>
      </c>
      <c r="C55" s="6">
        <v>32</v>
      </c>
      <c r="D55" s="6">
        <v>2015</v>
      </c>
      <c r="E55" s="6" t="s">
        <v>12</v>
      </c>
      <c r="F55" s="6" t="s">
        <v>13</v>
      </c>
      <c r="G55" s="6" t="str">
        <f t="shared" si="4"/>
        <v>NI-RIO 15.0.0</v>
      </c>
      <c r="H55" s="6" t="s">
        <v>42</v>
      </c>
    </row>
    <row r="56" spans="1:8" x14ac:dyDescent="0.25">
      <c r="A56" s="6" t="s">
        <v>55</v>
      </c>
      <c r="B56" s="6" t="s">
        <v>9</v>
      </c>
      <c r="C56" s="6">
        <v>32</v>
      </c>
      <c r="D56" s="6">
        <v>2015</v>
      </c>
      <c r="E56" s="6" t="s">
        <v>12</v>
      </c>
      <c r="F56" s="6" t="s">
        <v>13</v>
      </c>
      <c r="G56" s="6" t="str">
        <f t="shared" si="4"/>
        <v>NI R Series Multifunction RIO 15.0.0</v>
      </c>
      <c r="H56" s="6" t="s">
        <v>42</v>
      </c>
    </row>
    <row r="57" spans="1:8" x14ac:dyDescent="0.25">
      <c r="A57" s="6" t="s">
        <v>56</v>
      </c>
      <c r="B57" s="6" t="s">
        <v>30</v>
      </c>
      <c r="C57" s="6">
        <v>32</v>
      </c>
      <c r="D57" s="6">
        <v>2015</v>
      </c>
      <c r="E57" s="6" t="s">
        <v>12</v>
      </c>
      <c r="F57" s="6" t="s">
        <v>13</v>
      </c>
      <c r="G57" s="6" t="str">
        <f t="shared" si="4"/>
        <v>NI-Sync 15.0.0f0</v>
      </c>
      <c r="H57" s="6" t="s">
        <v>42</v>
      </c>
    </row>
    <row r="58" spans="1:8" x14ac:dyDescent="0.25">
      <c r="A58" s="6" t="s">
        <v>57</v>
      </c>
      <c r="B58" s="6" t="s">
        <v>30</v>
      </c>
      <c r="C58" s="6">
        <v>32</v>
      </c>
      <c r="D58" s="6">
        <v>2015</v>
      </c>
      <c r="E58" s="6" t="s">
        <v>12</v>
      </c>
      <c r="F58" s="6" t="s">
        <v>13</v>
      </c>
      <c r="G58" s="6" t="str">
        <f t="shared" si="4"/>
        <v>NI-TimeSync 15.0.0f0</v>
      </c>
      <c r="H58" s="6" t="s">
        <v>42</v>
      </c>
    </row>
    <row r="59" spans="1:8" x14ac:dyDescent="0.25">
      <c r="A59" s="6" t="s">
        <v>58</v>
      </c>
      <c r="B59" s="6" t="s">
        <v>30</v>
      </c>
      <c r="C59" s="6">
        <v>32</v>
      </c>
      <c r="D59" s="6">
        <v>2015</v>
      </c>
      <c r="E59" s="6" t="s">
        <v>12</v>
      </c>
      <c r="F59" s="6" t="s">
        <v>13</v>
      </c>
      <c r="G59" s="6" t="str">
        <f t="shared" si="4"/>
        <v>FlexRIO 15.0.0f0</v>
      </c>
      <c r="H59" s="6" t="s">
        <v>42</v>
      </c>
    </row>
    <row r="60" spans="1:8" x14ac:dyDescent="0.25">
      <c r="A60" s="6" t="s">
        <v>59</v>
      </c>
      <c r="B60" s="6" t="s">
        <v>9</v>
      </c>
      <c r="C60" s="6">
        <v>32</v>
      </c>
      <c r="D60" s="6">
        <v>2015</v>
      </c>
      <c r="E60" s="6" t="s">
        <v>12</v>
      </c>
      <c r="F60" s="6" t="s">
        <v>13</v>
      </c>
      <c r="G60" s="6" t="str">
        <f t="shared" si="4"/>
        <v>NI-PAL Software 15.0.0</v>
      </c>
      <c r="H60" s="6" t="s">
        <v>42</v>
      </c>
    </row>
    <row r="61" spans="1:8" x14ac:dyDescent="0.25">
      <c r="A61" s="6" t="s">
        <v>60</v>
      </c>
      <c r="B61" s="6" t="s">
        <v>30</v>
      </c>
      <c r="C61" s="6">
        <v>32</v>
      </c>
      <c r="D61" s="6">
        <v>2015</v>
      </c>
      <c r="E61" s="6" t="s">
        <v>12</v>
      </c>
      <c r="F61" s="6" t="s">
        <v>13</v>
      </c>
      <c r="G61" s="6" t="str">
        <f t="shared" si="4"/>
        <v>NI 1588-2008 Network Management 15.0.0f0</v>
      </c>
      <c r="H61" s="6" t="s">
        <v>42</v>
      </c>
    </row>
    <row r="62" spans="1:8" x14ac:dyDescent="0.25">
      <c r="A62" s="6" t="s">
        <v>61</v>
      </c>
      <c r="B62" s="6"/>
      <c r="C62" s="6">
        <v>32</v>
      </c>
      <c r="D62" s="6">
        <v>2015</v>
      </c>
      <c r="E62" s="6" t="s">
        <v>12</v>
      </c>
      <c r="F62" s="6" t="s">
        <v>13</v>
      </c>
      <c r="G62" s="6" t="str">
        <f t="shared" si="4"/>
        <v xml:space="preserve">NI-SCOPE </v>
      </c>
      <c r="H62" s="6" t="s">
        <v>42</v>
      </c>
    </row>
    <row r="63" spans="1:8" x14ac:dyDescent="0.25">
      <c r="A63" s="6" t="s">
        <v>22</v>
      </c>
      <c r="B63" s="6">
        <v>15</v>
      </c>
      <c r="C63" s="6">
        <v>32</v>
      </c>
      <c r="D63" s="6">
        <v>2015</v>
      </c>
      <c r="E63" s="6" t="s">
        <v>12</v>
      </c>
      <c r="F63" s="6" t="s">
        <v>13</v>
      </c>
      <c r="G63" s="6" t="str">
        <f t="shared" si="4"/>
        <v>Configuration Support 15</v>
      </c>
      <c r="H63" s="6" t="s">
        <v>42</v>
      </c>
    </row>
    <row r="64" spans="1:8" x14ac:dyDescent="0.25">
      <c r="A64" s="6" t="s">
        <v>23</v>
      </c>
      <c r="B64" s="6">
        <v>15</v>
      </c>
      <c r="C64" s="6">
        <v>32</v>
      </c>
      <c r="D64" s="6">
        <v>2015</v>
      </c>
      <c r="E64" s="6" t="s">
        <v>12</v>
      </c>
      <c r="F64" s="6" t="s">
        <v>13</v>
      </c>
      <c r="G64" s="6" t="str">
        <f t="shared" si="4"/>
        <v>Development Support 15</v>
      </c>
      <c r="H64" s="6" t="s">
        <v>42</v>
      </c>
    </row>
    <row r="65" spans="1:8" x14ac:dyDescent="0.25">
      <c r="A65" s="6" t="s">
        <v>61</v>
      </c>
      <c r="B65" s="6">
        <v>15</v>
      </c>
      <c r="C65" s="6">
        <v>32</v>
      </c>
      <c r="D65" s="6">
        <v>2015</v>
      </c>
      <c r="E65" s="6" t="s">
        <v>24</v>
      </c>
      <c r="F65" s="6" t="s">
        <v>13</v>
      </c>
      <c r="G65" s="6" t="str">
        <f t="shared" si="4"/>
        <v>NI-SCOPE 15</v>
      </c>
      <c r="H65" s="6" t="s">
        <v>42</v>
      </c>
    </row>
    <row r="66" spans="1:8" x14ac:dyDescent="0.25">
      <c r="A66" s="6" t="s">
        <v>62</v>
      </c>
      <c r="B66" s="6">
        <v>15</v>
      </c>
      <c r="C66" s="6">
        <v>32</v>
      </c>
      <c r="D66" s="6">
        <v>2015</v>
      </c>
      <c r="E66" s="6" t="s">
        <v>12</v>
      </c>
      <c r="F66" s="6" t="s">
        <v>13</v>
      </c>
      <c r="G66" s="6" t="str">
        <f t="shared" si="4"/>
        <v>SCOPE Soft Front Panel 15</v>
      </c>
      <c r="H66" s="6" t="s">
        <v>42</v>
      </c>
    </row>
    <row r="67" spans="1:8" x14ac:dyDescent="0.25">
      <c r="A67" s="6" t="s">
        <v>129</v>
      </c>
      <c r="B67" s="6" t="s">
        <v>30</v>
      </c>
      <c r="C67" s="6">
        <v>32</v>
      </c>
      <c r="D67" s="6">
        <v>2015</v>
      </c>
      <c r="E67" s="6" t="s">
        <v>24</v>
      </c>
      <c r="F67" s="6" t="s">
        <v>13</v>
      </c>
      <c r="G67" s="6" t="str">
        <f>A67&amp;" "&amp;B67</f>
        <v>NI-Serial 15.0.0f0</v>
      </c>
      <c r="H67" s="6" t="s">
        <v>42</v>
      </c>
    </row>
    <row r="68" spans="1:8" x14ac:dyDescent="0.25">
      <c r="A68" s="6" t="s">
        <v>64</v>
      </c>
      <c r="B68" s="6" t="s">
        <v>30</v>
      </c>
      <c r="C68" s="6">
        <v>32</v>
      </c>
      <c r="D68" s="6">
        <v>2015</v>
      </c>
      <c r="E68" s="6" t="s">
        <v>12</v>
      </c>
      <c r="F68" s="6" t="s">
        <v>13</v>
      </c>
      <c r="G68" s="6" t="str">
        <f>A68&amp;" "&amp;B68</f>
        <v>NI-Serial Configuration 15.0.0f0</v>
      </c>
      <c r="H68" s="6" t="s">
        <v>42</v>
      </c>
    </row>
    <row r="69" spans="1:8" x14ac:dyDescent="0.25">
      <c r="A69" s="6" t="s">
        <v>65</v>
      </c>
      <c r="B69" s="6">
        <v>15</v>
      </c>
      <c r="C69" s="6">
        <v>32</v>
      </c>
      <c r="D69" s="6">
        <v>2015</v>
      </c>
      <c r="E69" s="6" t="s">
        <v>12</v>
      </c>
      <c r="F69" s="6" t="s">
        <v>13</v>
      </c>
      <c r="G69" s="6" t="str">
        <f>A69&amp;" "&amp;B69</f>
        <v>NI SignalExpress 15</v>
      </c>
      <c r="H69" s="6" t="s">
        <v>42</v>
      </c>
    </row>
    <row r="70" spans="1:8" x14ac:dyDescent="0.25">
      <c r="A70" s="6" t="s">
        <v>66</v>
      </c>
      <c r="B70" s="6">
        <v>15</v>
      </c>
      <c r="C70" s="6">
        <v>32</v>
      </c>
      <c r="D70" s="6">
        <v>2015</v>
      </c>
      <c r="E70" s="6" t="s">
        <v>12</v>
      </c>
      <c r="F70" s="6" t="s">
        <v>13</v>
      </c>
      <c r="G70" s="6" t="str">
        <f>A70&amp;" "&amp;B70</f>
        <v>NI-SWITCH 15</v>
      </c>
      <c r="H70" s="6" t="s">
        <v>42</v>
      </c>
    </row>
    <row r="71" spans="1:8" x14ac:dyDescent="0.25">
      <c r="A71" s="6" t="s">
        <v>22</v>
      </c>
      <c r="B71" s="6">
        <v>15</v>
      </c>
      <c r="C71" s="6">
        <v>32</v>
      </c>
      <c r="D71" s="6">
        <v>2015</v>
      </c>
      <c r="E71" s="6" t="s">
        <v>12</v>
      </c>
      <c r="F71" s="6" t="s">
        <v>13</v>
      </c>
      <c r="G71" s="6" t="str">
        <f>$G$70</f>
        <v>NI-SWITCH 15</v>
      </c>
      <c r="H71" s="6" t="s">
        <v>42</v>
      </c>
    </row>
    <row r="72" spans="1:8" x14ac:dyDescent="0.25">
      <c r="A72" s="6" t="s">
        <v>23</v>
      </c>
      <c r="B72" s="6">
        <v>15</v>
      </c>
      <c r="C72" s="6">
        <v>32</v>
      </c>
      <c r="D72" s="6">
        <v>2015</v>
      </c>
      <c r="E72" s="6" t="s">
        <v>12</v>
      </c>
      <c r="F72" s="6" t="s">
        <v>13</v>
      </c>
      <c r="G72" s="6" t="str">
        <f>$G$70</f>
        <v>NI-SWITCH 15</v>
      </c>
      <c r="H72" s="6" t="s">
        <v>42</v>
      </c>
    </row>
    <row r="73" spans="1:8" x14ac:dyDescent="0.25">
      <c r="A73" s="6" t="s">
        <v>66</v>
      </c>
      <c r="B73" s="6">
        <v>15</v>
      </c>
      <c r="C73" s="6">
        <v>32</v>
      </c>
      <c r="D73" s="6">
        <v>2015</v>
      </c>
      <c r="E73" s="6" t="s">
        <v>24</v>
      </c>
      <c r="F73" s="6" t="s">
        <v>13</v>
      </c>
      <c r="G73" s="6" t="str">
        <f>$G$70</f>
        <v>NI-SWITCH 15</v>
      </c>
      <c r="H73" s="6" t="s">
        <v>42</v>
      </c>
    </row>
    <row r="74" spans="1:8" x14ac:dyDescent="0.25">
      <c r="A74" s="6" t="s">
        <v>67</v>
      </c>
      <c r="B74" s="6" t="s">
        <v>9</v>
      </c>
      <c r="C74" s="6">
        <v>32</v>
      </c>
      <c r="D74" s="6">
        <v>2015</v>
      </c>
      <c r="E74" s="6" t="s">
        <v>12</v>
      </c>
      <c r="F74" s="6" t="s">
        <v>13</v>
      </c>
      <c r="G74" s="6" t="str">
        <f>$G$70</f>
        <v>NI-SWITCH 15</v>
      </c>
      <c r="H74" s="6" t="s">
        <v>42</v>
      </c>
    </row>
    <row r="75" spans="1:8" x14ac:dyDescent="0.25">
      <c r="A75" s="6" t="s">
        <v>68</v>
      </c>
      <c r="B75" s="6" t="s">
        <v>30</v>
      </c>
      <c r="C75" s="6">
        <v>32</v>
      </c>
      <c r="D75" s="6">
        <v>2015</v>
      </c>
      <c r="E75" s="6" t="s">
        <v>12</v>
      </c>
      <c r="F75" s="6" t="s">
        <v>13</v>
      </c>
      <c r="G75" s="6" t="str">
        <f t="shared" ref="G75:G86" si="5">A75&amp;" "&amp;B75</f>
        <v>NI System Configuration 15.0.0f0</v>
      </c>
      <c r="H75" s="6" t="s">
        <v>42</v>
      </c>
    </row>
    <row r="76" spans="1:8" x14ac:dyDescent="0.25">
      <c r="A76" s="6" t="s">
        <v>69</v>
      </c>
      <c r="B76" s="6">
        <v>15</v>
      </c>
      <c r="C76" s="6">
        <v>32</v>
      </c>
      <c r="D76" s="6">
        <v>2015</v>
      </c>
      <c r="E76" s="6" t="s">
        <v>12</v>
      </c>
      <c r="F76" s="6" t="s">
        <v>13</v>
      </c>
      <c r="G76" s="6" t="str">
        <f t="shared" si="5"/>
        <v>NI-TClk 15</v>
      </c>
      <c r="H76" s="6" t="s">
        <v>42</v>
      </c>
    </row>
    <row r="77" spans="1:8" x14ac:dyDescent="0.25">
      <c r="A77" s="6" t="s">
        <v>70</v>
      </c>
      <c r="B77" s="6">
        <v>15</v>
      </c>
      <c r="C77" s="6">
        <v>32</v>
      </c>
      <c r="D77" s="6">
        <v>2015</v>
      </c>
      <c r="E77" s="6" t="s">
        <v>12</v>
      </c>
      <c r="F77" s="6" t="s">
        <v>13</v>
      </c>
      <c r="G77" s="6" t="str">
        <f t="shared" si="5"/>
        <v>NI-VISA 15</v>
      </c>
      <c r="H77" s="6" t="s">
        <v>42</v>
      </c>
    </row>
    <row r="78" spans="1:8" x14ac:dyDescent="0.25">
      <c r="A78" s="6" t="s">
        <v>71</v>
      </c>
      <c r="B78" s="6" t="s">
        <v>72</v>
      </c>
      <c r="C78" s="6">
        <v>32</v>
      </c>
      <c r="D78" s="6">
        <v>2015</v>
      </c>
      <c r="E78" s="6" t="s">
        <v>12</v>
      </c>
      <c r="F78" s="6" t="s">
        <v>13</v>
      </c>
      <c r="G78" s="6" t="str">
        <f t="shared" si="5"/>
        <v>NiVisaServer.exe 15.0.0.49152</v>
      </c>
      <c r="H78" s="6" t="s">
        <v>42</v>
      </c>
    </row>
    <row r="79" spans="1:8" x14ac:dyDescent="0.25">
      <c r="A79" s="6" t="s">
        <v>73</v>
      </c>
      <c r="B79" s="6" t="s">
        <v>72</v>
      </c>
      <c r="C79" s="6">
        <v>32</v>
      </c>
      <c r="D79" s="6">
        <v>2015</v>
      </c>
      <c r="E79" s="6" t="s">
        <v>12</v>
      </c>
      <c r="F79" s="6" t="s">
        <v>13</v>
      </c>
      <c r="G79" s="6" t="str">
        <f t="shared" si="5"/>
        <v>NIvisaic.exe 15.0.0.49152</v>
      </c>
      <c r="H79" s="6" t="s">
        <v>42</v>
      </c>
    </row>
    <row r="80" spans="1:8" x14ac:dyDescent="0.25">
      <c r="A80" s="6" t="s">
        <v>70</v>
      </c>
      <c r="B80" s="6">
        <v>15</v>
      </c>
      <c r="C80" s="6">
        <v>32</v>
      </c>
      <c r="D80" s="6">
        <v>2015</v>
      </c>
      <c r="E80" s="6" t="s">
        <v>24</v>
      </c>
      <c r="F80" s="6" t="s">
        <v>13</v>
      </c>
      <c r="G80" s="6" t="str">
        <f t="shared" si="5"/>
        <v>NI-VISA 15</v>
      </c>
      <c r="H80" s="6" t="s">
        <v>42</v>
      </c>
    </row>
    <row r="81" spans="1:8" x14ac:dyDescent="0.25">
      <c r="A81" s="6" t="s">
        <v>32</v>
      </c>
      <c r="B81" s="6" t="s">
        <v>137</v>
      </c>
      <c r="C81" s="6">
        <v>32</v>
      </c>
      <c r="D81" s="6" t="s">
        <v>108</v>
      </c>
      <c r="E81" s="6" t="s">
        <v>24</v>
      </c>
      <c r="F81" s="6" t="s">
        <v>13</v>
      </c>
      <c r="G81" s="6" t="str">
        <f t="shared" si="5"/>
        <v>LabVIEW 13.0.1</v>
      </c>
      <c r="H81" s="6" t="s">
        <v>42</v>
      </c>
    </row>
    <row r="82" spans="1:8" x14ac:dyDescent="0.25">
      <c r="A82" s="6" t="s">
        <v>32</v>
      </c>
      <c r="B82" s="6" t="s">
        <v>110</v>
      </c>
      <c r="C82" s="6">
        <v>32</v>
      </c>
      <c r="D82" s="6" t="s">
        <v>138</v>
      </c>
      <c r="E82" s="6" t="s">
        <v>24</v>
      </c>
      <c r="F82" s="6" t="s">
        <v>13</v>
      </c>
      <c r="G82" s="6" t="str">
        <f t="shared" si="5"/>
        <v>LabVIEW 14.0.1</v>
      </c>
      <c r="H82" s="6" t="s">
        <v>42</v>
      </c>
    </row>
    <row r="83" spans="1:8" x14ac:dyDescent="0.25">
      <c r="A83" s="6" t="s">
        <v>32</v>
      </c>
      <c r="B83" s="6" t="s">
        <v>9</v>
      </c>
      <c r="C83" s="6">
        <v>32</v>
      </c>
      <c r="D83" s="6">
        <v>2015</v>
      </c>
      <c r="E83" s="6" t="s">
        <v>24</v>
      </c>
      <c r="F83" s="6" t="s">
        <v>13</v>
      </c>
      <c r="G83" s="6" t="str">
        <f t="shared" si="5"/>
        <v>LabVIEW 15.0.0</v>
      </c>
      <c r="H83" s="6" t="s">
        <v>42</v>
      </c>
    </row>
    <row r="84" spans="1:8" x14ac:dyDescent="0.25">
      <c r="A84" s="6" t="s">
        <v>32</v>
      </c>
      <c r="B84" s="6" t="s">
        <v>110</v>
      </c>
      <c r="C84" s="6">
        <v>64</v>
      </c>
      <c r="D84" s="6" t="s">
        <v>411</v>
      </c>
      <c r="E84" s="6" t="s">
        <v>24</v>
      </c>
      <c r="F84" s="6" t="s">
        <v>13</v>
      </c>
      <c r="G84" s="6" t="str">
        <f t="shared" si="5"/>
        <v>LabVIEW 14.0.1</v>
      </c>
      <c r="H84" s="6" t="s">
        <v>42</v>
      </c>
    </row>
    <row r="85" spans="1:8" x14ac:dyDescent="0.25">
      <c r="A85" s="6" t="s">
        <v>32</v>
      </c>
      <c r="B85" s="6" t="s">
        <v>9</v>
      </c>
      <c r="C85" s="6">
        <v>64</v>
      </c>
      <c r="D85" s="6">
        <v>2015</v>
      </c>
      <c r="E85" s="6" t="s">
        <v>24</v>
      </c>
      <c r="F85" s="6" t="s">
        <v>13</v>
      </c>
      <c r="G85" s="6" t="str">
        <f t="shared" si="5"/>
        <v>LabVIEW 15.0.0</v>
      </c>
      <c r="H85" s="6" t="s">
        <v>42</v>
      </c>
    </row>
    <row r="86" spans="1:8" x14ac:dyDescent="0.25">
      <c r="A86" s="6" t="s">
        <v>75</v>
      </c>
      <c r="B86" s="6" t="s">
        <v>9</v>
      </c>
      <c r="C86" s="6" t="s">
        <v>10</v>
      </c>
      <c r="D86" s="6" t="s">
        <v>11</v>
      </c>
      <c r="E86" s="6" t="s">
        <v>12</v>
      </c>
      <c r="F86" s="6" t="s">
        <v>13</v>
      </c>
      <c r="G86" s="6" t="str">
        <f t="shared" si="5"/>
        <v>CVI 15.0.0</v>
      </c>
      <c r="H86" s="6" t="s">
        <v>42</v>
      </c>
    </row>
    <row r="87" spans="1:8" x14ac:dyDescent="0.25">
      <c r="A87" s="6" t="s">
        <v>76</v>
      </c>
      <c r="B87" s="6" t="s">
        <v>77</v>
      </c>
      <c r="C87" s="6" t="s">
        <v>10</v>
      </c>
      <c r="D87" s="6" t="s">
        <v>11</v>
      </c>
      <c r="E87" s="6" t="s">
        <v>12</v>
      </c>
      <c r="F87" s="6" t="s">
        <v>13</v>
      </c>
      <c r="G87" s="6" t="str">
        <f>A87</f>
        <v>CVI AddOns</v>
      </c>
      <c r="H87" s="6" t="s">
        <v>42</v>
      </c>
    </row>
    <row r="88" spans="1:8" x14ac:dyDescent="0.25">
      <c r="A88" s="6" t="s">
        <v>78</v>
      </c>
      <c r="B88" s="6" t="s">
        <v>79</v>
      </c>
      <c r="C88" s="6">
        <v>32</v>
      </c>
      <c r="D88" s="6">
        <v>2015</v>
      </c>
      <c r="E88" s="6" t="s">
        <v>12</v>
      </c>
      <c r="F88" s="6" t="s">
        <v>13</v>
      </c>
      <c r="G88" s="6" t="str">
        <f t="shared" ref="G88:G105" si="6">A88&amp;" "&amp;B88</f>
        <v>PID Toolkit 2.1.0</v>
      </c>
      <c r="H88" s="6" t="s">
        <v>42</v>
      </c>
    </row>
    <row r="89" spans="1:8" x14ac:dyDescent="0.25">
      <c r="A89" s="6" t="s">
        <v>80</v>
      </c>
      <c r="B89" s="6" t="s">
        <v>81</v>
      </c>
      <c r="C89" s="6">
        <v>32</v>
      </c>
      <c r="D89" s="6">
        <v>2015</v>
      </c>
      <c r="E89" s="6" t="s">
        <v>12</v>
      </c>
      <c r="F89" s="6" t="s">
        <v>13</v>
      </c>
      <c r="G89" s="6" t="str">
        <f t="shared" si="6"/>
        <v>Profiler Toolkit 1.0.0</v>
      </c>
      <c r="H89" s="6" t="s">
        <v>42</v>
      </c>
    </row>
    <row r="90" spans="1:8" x14ac:dyDescent="0.25">
      <c r="A90" s="6" t="s">
        <v>82</v>
      </c>
      <c r="B90" s="6" t="s">
        <v>9</v>
      </c>
      <c r="C90" s="6">
        <v>32</v>
      </c>
      <c r="D90" s="6">
        <v>2015</v>
      </c>
      <c r="E90" s="6" t="s">
        <v>12</v>
      </c>
      <c r="F90" s="6" t="s">
        <v>13</v>
      </c>
      <c r="G90" s="6" t="str">
        <f t="shared" si="6"/>
        <v>Real-Time Trace Viewer - CVI Support 15.0.0</v>
      </c>
      <c r="H90" s="6" t="s">
        <v>42</v>
      </c>
    </row>
    <row r="91" spans="1:8" x14ac:dyDescent="0.25">
      <c r="A91" s="6" t="s">
        <v>83</v>
      </c>
      <c r="B91" s="6" t="s">
        <v>84</v>
      </c>
      <c r="C91" s="6">
        <v>32</v>
      </c>
      <c r="D91" s="6">
        <v>2015</v>
      </c>
      <c r="E91" s="6" t="s">
        <v>12</v>
      </c>
      <c r="F91" s="6" t="s">
        <v>13</v>
      </c>
      <c r="G91" s="6" t="str">
        <f t="shared" si="6"/>
        <v>Signal Processing Toolkit 7.0.2</v>
      </c>
      <c r="H91" s="6" t="s">
        <v>42</v>
      </c>
    </row>
    <row r="92" spans="1:8" x14ac:dyDescent="0.25">
      <c r="A92" s="6" t="s">
        <v>85</v>
      </c>
      <c r="B92" s="6" t="s">
        <v>86</v>
      </c>
      <c r="C92" s="6">
        <v>32</v>
      </c>
      <c r="D92" s="6">
        <v>2015</v>
      </c>
      <c r="E92" s="6" t="s">
        <v>12</v>
      </c>
      <c r="F92" s="6" t="s">
        <v>13</v>
      </c>
      <c r="G92" s="6" t="str">
        <f t="shared" si="6"/>
        <v>SQL Toolkit 2.3.0</v>
      </c>
      <c r="H92" s="6" t="s">
        <v>42</v>
      </c>
    </row>
    <row r="93" spans="1:8" x14ac:dyDescent="0.25">
      <c r="A93" s="6" t="s">
        <v>75</v>
      </c>
      <c r="B93" s="6" t="s">
        <v>87</v>
      </c>
      <c r="C93" s="6" t="s">
        <v>10</v>
      </c>
      <c r="D93" s="6" t="s">
        <v>11</v>
      </c>
      <c r="E93" s="6" t="s">
        <v>24</v>
      </c>
      <c r="F93" s="6" t="s">
        <v>13</v>
      </c>
      <c r="G93" s="6" t="str">
        <f t="shared" si="6"/>
        <v>CVI 15.0.0.408</v>
      </c>
      <c r="H93" s="6" t="s">
        <v>42</v>
      </c>
    </row>
    <row r="94" spans="1:8" x14ac:dyDescent="0.25">
      <c r="A94" s="6" t="s">
        <v>88</v>
      </c>
      <c r="B94" s="6" t="s">
        <v>89</v>
      </c>
      <c r="C94" s="6">
        <v>32</v>
      </c>
      <c r="D94" s="6">
        <v>2015</v>
      </c>
      <c r="E94" s="6" t="s">
        <v>12</v>
      </c>
      <c r="F94" s="6" t="s">
        <v>13</v>
      </c>
      <c r="G94" s="6" t="str">
        <f t="shared" si="6"/>
        <v>DataFinder Toolkit 15.0.06020</v>
      </c>
      <c r="H94" s="6" t="s">
        <v>42</v>
      </c>
    </row>
    <row r="95" spans="1:8" x14ac:dyDescent="0.25">
      <c r="A95" s="6" t="s">
        <v>104</v>
      </c>
      <c r="B95" s="6" t="s">
        <v>9</v>
      </c>
      <c r="C95" s="6">
        <v>32</v>
      </c>
      <c r="D95" s="6">
        <v>2015</v>
      </c>
      <c r="E95" s="6" t="s">
        <v>12</v>
      </c>
      <c r="F95" s="6" t="s">
        <v>13</v>
      </c>
      <c r="G95" s="6" t="str">
        <f t="shared" si="6"/>
        <v>MathScript RT Module 15.0.0</v>
      </c>
      <c r="H95" s="6" t="s">
        <v>42</v>
      </c>
    </row>
    <row r="96" spans="1:8" x14ac:dyDescent="0.25">
      <c r="A96" s="9" t="s">
        <v>75</v>
      </c>
      <c r="B96" s="9" t="s">
        <v>90</v>
      </c>
      <c r="C96" s="9">
        <v>32</v>
      </c>
      <c r="D96" s="9" t="s">
        <v>11</v>
      </c>
      <c r="E96" s="9" t="s">
        <v>24</v>
      </c>
      <c r="F96" s="9" t="s">
        <v>13</v>
      </c>
      <c r="G96" s="9" t="str">
        <f t="shared" si="6"/>
        <v>CVI 13.0.2.278</v>
      </c>
      <c r="H96" s="9" t="s">
        <v>91</v>
      </c>
    </row>
    <row r="97" spans="1:8" x14ac:dyDescent="0.25">
      <c r="A97" s="9" t="s">
        <v>32</v>
      </c>
      <c r="B97" s="9" t="s">
        <v>92</v>
      </c>
      <c r="C97" s="9">
        <v>32</v>
      </c>
      <c r="D97" s="9" t="s">
        <v>11</v>
      </c>
      <c r="E97" s="9" t="s">
        <v>12</v>
      </c>
      <c r="F97" s="9" t="s">
        <v>13</v>
      </c>
      <c r="G97" s="9" t="str">
        <f t="shared" si="6"/>
        <v>LabVIEW 15.0.1</v>
      </c>
      <c r="H97" s="9" t="s">
        <v>91</v>
      </c>
    </row>
    <row r="98" spans="1:8" x14ac:dyDescent="0.25">
      <c r="A98" s="9" t="s">
        <v>33</v>
      </c>
      <c r="B98" s="9" t="s">
        <v>9</v>
      </c>
      <c r="C98" s="9">
        <v>32</v>
      </c>
      <c r="D98" s="9" t="s">
        <v>11</v>
      </c>
      <c r="E98" s="9" t="s">
        <v>12</v>
      </c>
      <c r="F98" s="9" t="s">
        <v>13</v>
      </c>
      <c r="G98" s="9" t="str">
        <f t="shared" si="6"/>
        <v>Database Connectivity Toolkit 15.0.0</v>
      </c>
      <c r="H98" s="9" t="s">
        <v>91</v>
      </c>
    </row>
    <row r="99" spans="1:8" x14ac:dyDescent="0.25">
      <c r="A99" s="9" t="s">
        <v>37</v>
      </c>
      <c r="B99" s="9" t="s">
        <v>9</v>
      </c>
      <c r="C99" s="9">
        <v>32</v>
      </c>
      <c r="D99" s="9" t="s">
        <v>11</v>
      </c>
      <c r="E99" s="9" t="s">
        <v>12</v>
      </c>
      <c r="F99" s="9" t="s">
        <v>13</v>
      </c>
      <c r="G99" s="9" t="str">
        <f t="shared" si="6"/>
        <v>Report Generation Toolkit For Microsoft Office 15.0.0</v>
      </c>
      <c r="H99" s="9" t="s">
        <v>91</v>
      </c>
    </row>
    <row r="100" spans="1:8" x14ac:dyDescent="0.25">
      <c r="A100" s="9" t="s">
        <v>32</v>
      </c>
      <c r="B100" s="9" t="s">
        <v>110</v>
      </c>
      <c r="C100" s="9">
        <v>32</v>
      </c>
      <c r="D100" s="9" t="s">
        <v>139</v>
      </c>
      <c r="E100" s="9" t="s">
        <v>24</v>
      </c>
      <c r="F100" s="9" t="s">
        <v>13</v>
      </c>
      <c r="G100" s="9" t="str">
        <f t="shared" si="6"/>
        <v>LabVIEW 14.0.1</v>
      </c>
      <c r="H100" s="9" t="s">
        <v>91</v>
      </c>
    </row>
    <row r="101" spans="1:8" x14ac:dyDescent="0.25">
      <c r="A101" s="9" t="s">
        <v>41</v>
      </c>
      <c r="B101" s="10" t="s">
        <v>94</v>
      </c>
      <c r="C101" s="9">
        <v>32</v>
      </c>
      <c r="D101" s="9" t="s">
        <v>11</v>
      </c>
      <c r="E101" s="9" t="s">
        <v>12</v>
      </c>
      <c r="F101" s="9" t="s">
        <v>13</v>
      </c>
      <c r="G101" s="9" t="str">
        <f t="shared" si="6"/>
        <v>Measurement &amp; Automation Explorer 15.3.0f0</v>
      </c>
      <c r="H101" s="9" t="s">
        <v>91</v>
      </c>
    </row>
    <row r="102" spans="1:8" x14ac:dyDescent="0.25">
      <c r="A102" s="9" t="s">
        <v>46</v>
      </c>
      <c r="B102" s="9" t="s">
        <v>95</v>
      </c>
      <c r="C102" s="9">
        <v>32</v>
      </c>
      <c r="D102" s="9" t="s">
        <v>11</v>
      </c>
      <c r="E102" s="9" t="s">
        <v>12</v>
      </c>
      <c r="F102" s="9" t="s">
        <v>13</v>
      </c>
      <c r="G102" s="9" t="str">
        <f t="shared" si="6"/>
        <v>NI-USI 15.0.1.6118</v>
      </c>
      <c r="H102" s="9" t="s">
        <v>91</v>
      </c>
    </row>
    <row r="103" spans="1:8" x14ac:dyDescent="0.25">
      <c r="A103" s="9" t="s">
        <v>68</v>
      </c>
      <c r="B103" s="9" t="s">
        <v>94</v>
      </c>
      <c r="C103" s="9">
        <v>32</v>
      </c>
      <c r="D103" s="9" t="s">
        <v>11</v>
      </c>
      <c r="E103" s="9" t="s">
        <v>12</v>
      </c>
      <c r="F103" s="9" t="s">
        <v>13</v>
      </c>
      <c r="G103" s="9" t="str">
        <f t="shared" si="6"/>
        <v>NI System Configuration 15.3.0f0</v>
      </c>
      <c r="H103" s="9" t="s">
        <v>91</v>
      </c>
    </row>
    <row r="104" spans="1:8" x14ac:dyDescent="0.25">
      <c r="A104" s="9" t="s">
        <v>32</v>
      </c>
      <c r="B104" s="9" t="s">
        <v>92</v>
      </c>
      <c r="C104" s="9">
        <v>32</v>
      </c>
      <c r="D104" s="9" t="s">
        <v>111</v>
      </c>
      <c r="E104" s="9" t="s">
        <v>24</v>
      </c>
      <c r="F104" s="9" t="s">
        <v>13</v>
      </c>
      <c r="G104" s="9" t="str">
        <f t="shared" si="6"/>
        <v>LabVIEW 15.0.1</v>
      </c>
      <c r="H104" s="9" t="s">
        <v>91</v>
      </c>
    </row>
    <row r="105" spans="1:8" x14ac:dyDescent="0.25">
      <c r="A105" s="9" t="s">
        <v>75</v>
      </c>
      <c r="B105" s="9" t="s">
        <v>87</v>
      </c>
      <c r="C105" s="9">
        <v>32</v>
      </c>
      <c r="D105" s="9">
        <v>2015</v>
      </c>
      <c r="E105" s="9" t="s">
        <v>24</v>
      </c>
      <c r="F105" s="9" t="s">
        <v>13</v>
      </c>
      <c r="G105" s="9" t="str">
        <f t="shared" si="6"/>
        <v>CVI 15.0.0.408</v>
      </c>
      <c r="H105" s="9" t="s">
        <v>91</v>
      </c>
    </row>
    <row r="106" spans="1:8" x14ac:dyDescent="0.25">
      <c r="A106" s="14" t="s">
        <v>35</v>
      </c>
      <c r="B106" s="15" t="s">
        <v>92</v>
      </c>
      <c r="C106" s="15">
        <v>32</v>
      </c>
      <c r="D106" s="15">
        <v>2015</v>
      </c>
      <c r="E106" s="15" t="s">
        <v>12</v>
      </c>
      <c r="F106" s="15" t="s">
        <v>13</v>
      </c>
      <c r="G106" s="14" t="s">
        <v>417</v>
      </c>
      <c r="H106" s="14" t="s">
        <v>464</v>
      </c>
    </row>
    <row r="107" spans="1:8" x14ac:dyDescent="0.25">
      <c r="A107" s="14" t="s">
        <v>36</v>
      </c>
      <c r="B107" s="15" t="s">
        <v>92</v>
      </c>
      <c r="C107" s="15">
        <v>32</v>
      </c>
      <c r="D107" s="15">
        <v>2015</v>
      </c>
      <c r="E107" s="15" t="s">
        <v>12</v>
      </c>
      <c r="F107" s="15" t="s">
        <v>13</v>
      </c>
      <c r="G107" s="14" t="s">
        <v>419</v>
      </c>
      <c r="H107" s="14" t="s">
        <v>464</v>
      </c>
    </row>
    <row r="108" spans="1:8" x14ac:dyDescent="0.25">
      <c r="A108" s="14" t="s">
        <v>59</v>
      </c>
      <c r="B108" s="15" t="s">
        <v>412</v>
      </c>
      <c r="C108" s="15">
        <v>32</v>
      </c>
      <c r="D108" s="15">
        <v>2015</v>
      </c>
      <c r="E108" s="15" t="s">
        <v>12</v>
      </c>
      <c r="F108" s="15" t="s">
        <v>13</v>
      </c>
      <c r="G108" s="14" t="s">
        <v>420</v>
      </c>
      <c r="H108" s="14" t="s">
        <v>464</v>
      </c>
    </row>
    <row r="109" spans="1:8" x14ac:dyDescent="0.25">
      <c r="A109" s="14" t="s">
        <v>70</v>
      </c>
      <c r="B109" s="15" t="s">
        <v>170</v>
      </c>
      <c r="C109" s="15">
        <v>32</v>
      </c>
      <c r="D109" s="15">
        <v>2015</v>
      </c>
      <c r="E109" s="15" t="s">
        <v>12</v>
      </c>
      <c r="F109" s="15" t="s">
        <v>13</v>
      </c>
      <c r="G109" s="14" t="s">
        <v>421</v>
      </c>
      <c r="H109" s="14" t="s">
        <v>464</v>
      </c>
    </row>
    <row r="110" spans="1:8" x14ac:dyDescent="0.25">
      <c r="A110" s="14" t="s">
        <v>70</v>
      </c>
      <c r="B110" s="15" t="s">
        <v>170</v>
      </c>
      <c r="C110" s="15">
        <v>32</v>
      </c>
      <c r="D110" s="15">
        <v>2015</v>
      </c>
      <c r="E110" s="15" t="s">
        <v>24</v>
      </c>
      <c r="F110" s="15" t="s">
        <v>13</v>
      </c>
      <c r="G110" s="14" t="s">
        <v>421</v>
      </c>
      <c r="H110" s="14" t="s">
        <v>464</v>
      </c>
    </row>
    <row r="111" spans="1:8" x14ac:dyDescent="0.25">
      <c r="A111" s="14" t="s">
        <v>32</v>
      </c>
      <c r="B111" s="15" t="s">
        <v>110</v>
      </c>
      <c r="C111" s="15">
        <v>32</v>
      </c>
      <c r="D111" s="15" t="s">
        <v>109</v>
      </c>
      <c r="E111" s="15" t="s">
        <v>24</v>
      </c>
      <c r="F111" s="15" t="s">
        <v>13</v>
      </c>
      <c r="G111" s="14" t="s">
        <v>418</v>
      </c>
      <c r="H111" s="14" t="s">
        <v>464</v>
      </c>
    </row>
    <row r="112" spans="1:8" x14ac:dyDescent="0.25">
      <c r="A112" s="14" t="s">
        <v>32</v>
      </c>
      <c r="B112" s="15" t="s">
        <v>92</v>
      </c>
      <c r="C112" s="15">
        <v>32</v>
      </c>
      <c r="D112" s="15" t="s">
        <v>413</v>
      </c>
      <c r="E112" s="15" t="s">
        <v>24</v>
      </c>
      <c r="F112" s="15" t="s">
        <v>13</v>
      </c>
      <c r="G112" s="14" t="s">
        <v>422</v>
      </c>
      <c r="H112" s="14" t="s">
        <v>464</v>
      </c>
    </row>
    <row r="113" spans="1:9" x14ac:dyDescent="0.25">
      <c r="A113" s="14" t="s">
        <v>32</v>
      </c>
      <c r="B113" s="15" t="s">
        <v>110</v>
      </c>
      <c r="C113" s="15">
        <v>64</v>
      </c>
      <c r="D113" s="15" t="s">
        <v>109</v>
      </c>
      <c r="E113" s="15" t="s">
        <v>24</v>
      </c>
      <c r="F113" s="15" t="s">
        <v>13</v>
      </c>
      <c r="G113" s="14" t="s">
        <v>418</v>
      </c>
      <c r="H113" s="14" t="s">
        <v>464</v>
      </c>
    </row>
    <row r="114" spans="1:9" x14ac:dyDescent="0.25">
      <c r="A114" s="14" t="s">
        <v>32</v>
      </c>
      <c r="B114" s="15" t="s">
        <v>9</v>
      </c>
      <c r="C114" s="15">
        <v>64</v>
      </c>
      <c r="D114" s="15" t="s">
        <v>414</v>
      </c>
      <c r="E114" s="15" t="s">
        <v>24</v>
      </c>
      <c r="F114" s="15" t="s">
        <v>13</v>
      </c>
      <c r="G114" s="14" t="s">
        <v>423</v>
      </c>
      <c r="H114" s="14" t="s">
        <v>464</v>
      </c>
    </row>
    <row r="115" spans="1:9" x14ac:dyDescent="0.25">
      <c r="A115" s="16" t="s">
        <v>143</v>
      </c>
      <c r="B115" s="16" t="s">
        <v>144</v>
      </c>
      <c r="C115" s="16">
        <v>64</v>
      </c>
      <c r="D115" s="16">
        <v>2015</v>
      </c>
      <c r="E115" s="16" t="s">
        <v>12</v>
      </c>
      <c r="F115" s="16" t="s">
        <v>13</v>
      </c>
      <c r="G115" s="16" t="str">
        <f t="shared" ref="G115:G141" si="7">A115&amp;" "&amp;D115&amp;" "&amp;B115</f>
        <v>NI-Industrial Communications for EtherCAT 2015 15.0.0f3</v>
      </c>
      <c r="H115" s="16" t="s">
        <v>542</v>
      </c>
    </row>
    <row r="116" spans="1:9" ht="14.25" x14ac:dyDescent="0.25">
      <c r="A116" s="18" t="s">
        <v>16</v>
      </c>
      <c r="B116" s="18" t="s">
        <v>426</v>
      </c>
      <c r="C116" s="17" t="s">
        <v>10</v>
      </c>
      <c r="D116" s="17" t="s">
        <v>119</v>
      </c>
      <c r="E116" s="17" t="s">
        <v>12</v>
      </c>
      <c r="F116" s="17" t="s">
        <v>13</v>
      </c>
      <c r="G116" s="19" t="str">
        <f t="shared" ref="G116:G138" si="8">A116&amp;" "&amp;B116</f>
        <v>NI-DAQmx Device Driver 19.0.0f1</v>
      </c>
      <c r="H116" s="19" t="s">
        <v>424</v>
      </c>
      <c r="I116" s="7"/>
    </row>
    <row r="117" spans="1:9" ht="14.25" x14ac:dyDescent="0.25">
      <c r="A117" s="18" t="s">
        <v>28</v>
      </c>
      <c r="B117" s="18" t="s">
        <v>135</v>
      </c>
      <c r="C117" s="17" t="s">
        <v>10</v>
      </c>
      <c r="D117" s="17" t="s">
        <v>119</v>
      </c>
      <c r="E117" s="17" t="s">
        <v>24</v>
      </c>
      <c r="F117" s="17" t="s">
        <v>13</v>
      </c>
      <c r="G117" s="19" t="str">
        <f t="shared" si="8"/>
        <v>NI-488.2 19.0.0</v>
      </c>
      <c r="H117" s="19" t="s">
        <v>424</v>
      </c>
      <c r="I117" s="7"/>
    </row>
    <row r="118" spans="1:9" ht="14.25" x14ac:dyDescent="0.25">
      <c r="A118" s="18" t="s">
        <v>366</v>
      </c>
      <c r="B118" s="18" t="s">
        <v>135</v>
      </c>
      <c r="C118" s="17" t="s">
        <v>10</v>
      </c>
      <c r="D118" s="17" t="s">
        <v>119</v>
      </c>
      <c r="E118" s="17" t="s">
        <v>12</v>
      </c>
      <c r="F118" s="17" t="s">
        <v>13</v>
      </c>
      <c r="G118" s="19" t="str">
        <f t="shared" si="8"/>
        <v>NI-IMAQ 19.0.0</v>
      </c>
      <c r="H118" s="19" t="s">
        <v>424</v>
      </c>
      <c r="I118" s="7"/>
    </row>
    <row r="119" spans="1:9" ht="14.25" x14ac:dyDescent="0.25">
      <c r="A119" s="18" t="s">
        <v>366</v>
      </c>
      <c r="B119" s="18" t="s">
        <v>135</v>
      </c>
      <c r="C119" s="17" t="s">
        <v>10</v>
      </c>
      <c r="D119" s="17" t="s">
        <v>119</v>
      </c>
      <c r="E119" s="17" t="s">
        <v>24</v>
      </c>
      <c r="F119" s="17" t="s">
        <v>13</v>
      </c>
      <c r="G119" s="19" t="str">
        <f t="shared" si="8"/>
        <v>NI-IMAQ 19.0.0</v>
      </c>
      <c r="H119" s="19" t="s">
        <v>424</v>
      </c>
      <c r="I119" s="7"/>
    </row>
    <row r="120" spans="1:9" ht="14.25" x14ac:dyDescent="0.25">
      <c r="A120" s="18" t="s">
        <v>368</v>
      </c>
      <c r="B120" s="18" t="s">
        <v>135</v>
      </c>
      <c r="C120" s="17" t="s">
        <v>10</v>
      </c>
      <c r="D120" s="17" t="s">
        <v>119</v>
      </c>
      <c r="E120" s="17" t="s">
        <v>12</v>
      </c>
      <c r="F120" s="17" t="s">
        <v>13</v>
      </c>
      <c r="G120" s="19" t="str">
        <f t="shared" si="8"/>
        <v>NI-IMAQ I/O 19.0.0</v>
      </c>
      <c r="H120" s="19" t="s">
        <v>424</v>
      </c>
      <c r="I120" s="7"/>
    </row>
    <row r="121" spans="1:9" ht="14.25" x14ac:dyDescent="0.25">
      <c r="A121" s="18" t="s">
        <v>368</v>
      </c>
      <c r="B121" s="18" t="s">
        <v>135</v>
      </c>
      <c r="C121" s="17" t="s">
        <v>10</v>
      </c>
      <c r="D121" s="17" t="s">
        <v>119</v>
      </c>
      <c r="E121" s="17" t="s">
        <v>24</v>
      </c>
      <c r="F121" s="17" t="s">
        <v>13</v>
      </c>
      <c r="G121" s="19" t="str">
        <f t="shared" si="8"/>
        <v>NI-IMAQ I/O 19.0.0</v>
      </c>
      <c r="H121" s="19" t="s">
        <v>424</v>
      </c>
      <c r="I121" s="7"/>
    </row>
    <row r="122" spans="1:9" ht="14.25" x14ac:dyDescent="0.25">
      <c r="A122" s="18" t="s">
        <v>370</v>
      </c>
      <c r="B122" s="18" t="s">
        <v>135</v>
      </c>
      <c r="C122" s="17" t="s">
        <v>10</v>
      </c>
      <c r="D122" s="17" t="s">
        <v>119</v>
      </c>
      <c r="E122" s="17" t="s">
        <v>12</v>
      </c>
      <c r="F122" s="17" t="s">
        <v>13</v>
      </c>
      <c r="G122" s="19" t="str">
        <f t="shared" si="8"/>
        <v>Vision Common Resources 19.0.0</v>
      </c>
      <c r="H122" s="19" t="s">
        <v>424</v>
      </c>
      <c r="I122" s="7"/>
    </row>
    <row r="123" spans="1:9" ht="14.25" x14ac:dyDescent="0.25">
      <c r="A123" s="18" t="s">
        <v>371</v>
      </c>
      <c r="B123" s="18" t="s">
        <v>429</v>
      </c>
      <c r="C123" s="17" t="s">
        <v>10</v>
      </c>
      <c r="D123" s="17" t="s">
        <v>119</v>
      </c>
      <c r="E123" s="17" t="s">
        <v>12</v>
      </c>
      <c r="F123" s="17" t="s">
        <v>13</v>
      </c>
      <c r="G123" s="19" t="str">
        <f t="shared" si="8"/>
        <v>Image Processing and Machine Vision 19.0.0.49152</v>
      </c>
      <c r="H123" s="19" t="s">
        <v>424</v>
      </c>
      <c r="I123" s="7"/>
    </row>
    <row r="124" spans="1:9" ht="14.25" x14ac:dyDescent="0.25">
      <c r="A124" s="18" t="s">
        <v>373</v>
      </c>
      <c r="B124" s="18" t="s">
        <v>429</v>
      </c>
      <c r="C124" s="17" t="s">
        <v>10</v>
      </c>
      <c r="D124" s="17" t="s">
        <v>119</v>
      </c>
      <c r="E124" s="17" t="s">
        <v>12</v>
      </c>
      <c r="F124" s="17" t="s">
        <v>13</v>
      </c>
      <c r="G124" s="19" t="str">
        <f t="shared" si="8"/>
        <v>Image Services 19.0.0.49152</v>
      </c>
      <c r="H124" s="19" t="s">
        <v>424</v>
      </c>
      <c r="I124" s="7"/>
    </row>
    <row r="125" spans="1:9" ht="14.25" x14ac:dyDescent="0.25">
      <c r="A125" s="18" t="s">
        <v>29</v>
      </c>
      <c r="B125" s="18" t="s">
        <v>430</v>
      </c>
      <c r="C125" s="17" t="s">
        <v>10</v>
      </c>
      <c r="D125" s="17" t="s">
        <v>119</v>
      </c>
      <c r="E125" s="17" t="s">
        <v>12</v>
      </c>
      <c r="F125" s="17" t="s">
        <v>13</v>
      </c>
      <c r="G125" s="19" t="str">
        <f t="shared" si="8"/>
        <v>NI I/O Trace 19.0.0f0</v>
      </c>
      <c r="H125" s="19" t="s">
        <v>424</v>
      </c>
      <c r="I125" s="7"/>
    </row>
    <row r="126" spans="1:9" ht="14.25" x14ac:dyDescent="0.25">
      <c r="A126" s="18" t="s">
        <v>382</v>
      </c>
      <c r="B126" s="18" t="s">
        <v>135</v>
      </c>
      <c r="C126" s="17" t="s">
        <v>10</v>
      </c>
      <c r="D126" s="17" t="s">
        <v>119</v>
      </c>
      <c r="E126" s="17" t="s">
        <v>12</v>
      </c>
      <c r="F126" s="17" t="s">
        <v>13</v>
      </c>
      <c r="G126" s="19" t="str">
        <f t="shared" si="8"/>
        <v>NI-IMAQdx 19.0.0</v>
      </c>
      <c r="H126" s="19" t="s">
        <v>424</v>
      </c>
      <c r="I126" s="7"/>
    </row>
    <row r="127" spans="1:9" ht="14.25" x14ac:dyDescent="0.25">
      <c r="A127" s="18" t="s">
        <v>382</v>
      </c>
      <c r="B127" s="18" t="s">
        <v>135</v>
      </c>
      <c r="C127" s="17" t="s">
        <v>10</v>
      </c>
      <c r="D127" s="17" t="s">
        <v>119</v>
      </c>
      <c r="E127" s="17" t="s">
        <v>24</v>
      </c>
      <c r="F127" s="17" t="s">
        <v>13</v>
      </c>
      <c r="G127" s="19" t="str">
        <f t="shared" si="8"/>
        <v>NI-IMAQdx 19.0.0</v>
      </c>
      <c r="H127" s="19" t="s">
        <v>424</v>
      </c>
      <c r="I127" s="7"/>
    </row>
    <row r="128" spans="1:9" ht="14.25" x14ac:dyDescent="0.25">
      <c r="A128" s="18" t="s">
        <v>384</v>
      </c>
      <c r="B128" s="18" t="s">
        <v>429</v>
      </c>
      <c r="C128" s="17" t="s">
        <v>10</v>
      </c>
      <c r="D128" s="17" t="s">
        <v>119</v>
      </c>
      <c r="E128" s="17" t="s">
        <v>12</v>
      </c>
      <c r="F128" s="17" t="s">
        <v>13</v>
      </c>
      <c r="G128" s="19" t="str">
        <f t="shared" si="8"/>
        <v>USB3 Vision Driver 19.0.0.49152</v>
      </c>
      <c r="H128" s="19" t="s">
        <v>424</v>
      </c>
      <c r="I128" s="7"/>
    </row>
    <row r="129" spans="1:9" ht="14.25" x14ac:dyDescent="0.25">
      <c r="A129" s="18" t="s">
        <v>437</v>
      </c>
      <c r="B129" s="18" t="s">
        <v>438</v>
      </c>
      <c r="C129" s="17" t="s">
        <v>10</v>
      </c>
      <c r="D129" s="17" t="s">
        <v>119</v>
      </c>
      <c r="E129" s="17" t="s">
        <v>12</v>
      </c>
      <c r="F129" s="17" t="s">
        <v>13</v>
      </c>
      <c r="G129" s="19" t="str">
        <f t="shared" si="8"/>
        <v>GigE Vision Driver 1.9.3.49152</v>
      </c>
      <c r="H129" s="19" t="s">
        <v>424</v>
      </c>
      <c r="I129" s="7"/>
    </row>
    <row r="130" spans="1:9" ht="14.25" x14ac:dyDescent="0.25">
      <c r="A130" s="18" t="s">
        <v>140</v>
      </c>
      <c r="B130" s="18" t="s">
        <v>426</v>
      </c>
      <c r="C130" s="17" t="s">
        <v>10</v>
      </c>
      <c r="D130" s="17" t="s">
        <v>119</v>
      </c>
      <c r="E130" s="17" t="s">
        <v>24</v>
      </c>
      <c r="F130" s="17" t="s">
        <v>13</v>
      </c>
      <c r="G130" s="19" t="str">
        <f t="shared" si="8"/>
        <v>NI PXI Platform Services 19.0.0f1</v>
      </c>
      <c r="H130" s="19" t="s">
        <v>424</v>
      </c>
      <c r="I130" s="7"/>
    </row>
    <row r="131" spans="1:9" ht="14.25" x14ac:dyDescent="0.25">
      <c r="A131" s="18" t="s">
        <v>396</v>
      </c>
      <c r="B131" s="18" t="s">
        <v>426</v>
      </c>
      <c r="C131" s="17" t="s">
        <v>10</v>
      </c>
      <c r="D131" s="17" t="s">
        <v>119</v>
      </c>
      <c r="E131" s="17" t="s">
        <v>24</v>
      </c>
      <c r="F131" s="17" t="s">
        <v>13</v>
      </c>
      <c r="G131" s="19" t="str">
        <f t="shared" si="8"/>
        <v>NI-XNET 19.0.0f1</v>
      </c>
      <c r="H131" s="19" t="s">
        <v>424</v>
      </c>
      <c r="I131" s="7"/>
    </row>
    <row r="132" spans="1:9" ht="14.25" x14ac:dyDescent="0.25">
      <c r="A132" s="18" t="s">
        <v>59</v>
      </c>
      <c r="B132" s="18" t="s">
        <v>135</v>
      </c>
      <c r="C132" s="17" t="s">
        <v>10</v>
      </c>
      <c r="D132" s="17" t="s">
        <v>119</v>
      </c>
      <c r="E132" s="17" t="s">
        <v>12</v>
      </c>
      <c r="F132" s="17" t="s">
        <v>13</v>
      </c>
      <c r="G132" s="19" t="str">
        <f t="shared" si="8"/>
        <v>NI-PAL Software 19.0.0</v>
      </c>
      <c r="H132" s="19" t="s">
        <v>424</v>
      </c>
      <c r="I132" s="7"/>
    </row>
    <row r="133" spans="1:9" ht="14.25" x14ac:dyDescent="0.25">
      <c r="A133" s="18" t="s">
        <v>129</v>
      </c>
      <c r="B133" s="18" t="s">
        <v>430</v>
      </c>
      <c r="C133" s="17" t="s">
        <v>10</v>
      </c>
      <c r="D133" s="17" t="s">
        <v>119</v>
      </c>
      <c r="E133" s="17" t="s">
        <v>24</v>
      </c>
      <c r="F133" s="17" t="s">
        <v>13</v>
      </c>
      <c r="G133" s="19" t="str">
        <f t="shared" si="8"/>
        <v>NI-Serial 19.0.0f0</v>
      </c>
      <c r="H133" s="19" t="s">
        <v>424</v>
      </c>
      <c r="I133" s="7"/>
    </row>
    <row r="134" spans="1:9" ht="14.25" x14ac:dyDescent="0.25">
      <c r="A134" s="18" t="s">
        <v>68</v>
      </c>
      <c r="B134" s="18" t="s">
        <v>430</v>
      </c>
      <c r="C134" s="17" t="s">
        <v>10</v>
      </c>
      <c r="D134" s="17" t="s">
        <v>119</v>
      </c>
      <c r="E134" s="17" t="s">
        <v>12</v>
      </c>
      <c r="F134" s="17" t="s">
        <v>13</v>
      </c>
      <c r="G134" s="19" t="str">
        <f t="shared" si="8"/>
        <v>NI System Configuration 19.0.0f0</v>
      </c>
      <c r="H134" s="19" t="s">
        <v>424</v>
      </c>
      <c r="I134" s="7"/>
    </row>
    <row r="135" spans="1:9" ht="14.25" x14ac:dyDescent="0.25">
      <c r="A135" s="18" t="s">
        <v>70</v>
      </c>
      <c r="B135" s="18">
        <v>19</v>
      </c>
      <c r="C135" s="17" t="s">
        <v>10</v>
      </c>
      <c r="D135" s="17" t="s">
        <v>119</v>
      </c>
      <c r="E135" s="17" t="s">
        <v>12</v>
      </c>
      <c r="F135" s="17" t="s">
        <v>13</v>
      </c>
      <c r="G135" s="19" t="str">
        <f t="shared" si="8"/>
        <v>NI-VISA 19</v>
      </c>
      <c r="H135" s="19" t="s">
        <v>424</v>
      </c>
      <c r="I135" s="7"/>
    </row>
    <row r="136" spans="1:9" ht="14.25" x14ac:dyDescent="0.25">
      <c r="A136" s="18" t="s">
        <v>70</v>
      </c>
      <c r="B136" s="18">
        <v>19</v>
      </c>
      <c r="C136" s="17" t="s">
        <v>10</v>
      </c>
      <c r="D136" s="17" t="s">
        <v>119</v>
      </c>
      <c r="E136" s="17" t="s">
        <v>24</v>
      </c>
      <c r="F136" s="17" t="s">
        <v>13</v>
      </c>
      <c r="G136" s="19" t="str">
        <f t="shared" si="8"/>
        <v>NI-VISA 19</v>
      </c>
      <c r="H136" s="19" t="s">
        <v>424</v>
      </c>
      <c r="I136" s="7"/>
    </row>
    <row r="137" spans="1:9" ht="14.25" x14ac:dyDescent="0.25">
      <c r="A137" s="18" t="s">
        <v>390</v>
      </c>
      <c r="B137" s="18" t="s">
        <v>135</v>
      </c>
      <c r="C137" s="17" t="s">
        <v>10</v>
      </c>
      <c r="D137" s="17" t="s">
        <v>119</v>
      </c>
      <c r="E137" s="17" t="s">
        <v>12</v>
      </c>
      <c r="F137" s="17" t="s">
        <v>13</v>
      </c>
      <c r="G137" s="19" t="str">
        <f t="shared" si="8"/>
        <v>Vision Development Module 19.0.0</v>
      </c>
      <c r="H137" s="19" t="s">
        <v>424</v>
      </c>
      <c r="I137" s="7"/>
    </row>
    <row r="138" spans="1:9" ht="14.25" x14ac:dyDescent="0.25">
      <c r="A138" s="18" t="s">
        <v>451</v>
      </c>
      <c r="B138" s="18" t="s">
        <v>135</v>
      </c>
      <c r="C138" s="17" t="s">
        <v>10</v>
      </c>
      <c r="D138" s="17" t="s">
        <v>119</v>
      </c>
      <c r="E138" s="17" t="s">
        <v>24</v>
      </c>
      <c r="F138" s="17" t="s">
        <v>13</v>
      </c>
      <c r="G138" s="19" t="str">
        <f t="shared" si="8"/>
        <v>Vision Development Support 19.0.0</v>
      </c>
      <c r="H138" s="19" t="s">
        <v>424</v>
      </c>
      <c r="I138" s="7"/>
    </row>
    <row r="139" spans="1:9" ht="14.25" x14ac:dyDescent="0.25">
      <c r="A139" s="18" t="s">
        <v>32</v>
      </c>
      <c r="B139" s="18" t="s">
        <v>92</v>
      </c>
      <c r="C139" s="17" t="s">
        <v>10</v>
      </c>
      <c r="D139" s="17" t="s">
        <v>111</v>
      </c>
      <c r="E139" s="17" t="s">
        <v>24</v>
      </c>
      <c r="F139" s="17" t="s">
        <v>13</v>
      </c>
      <c r="G139" s="19" t="str">
        <f t="shared" si="7"/>
        <v>LabVIEW 2015 SP1 15.0.1</v>
      </c>
      <c r="H139" s="19" t="s">
        <v>424</v>
      </c>
      <c r="I139" s="7"/>
    </row>
    <row r="140" spans="1:9" ht="14.25" x14ac:dyDescent="0.25">
      <c r="A140" s="18" t="s">
        <v>32</v>
      </c>
      <c r="B140" s="18" t="s">
        <v>402</v>
      </c>
      <c r="C140" s="17" t="s">
        <v>10</v>
      </c>
      <c r="D140" s="17" t="s">
        <v>113</v>
      </c>
      <c r="E140" s="17" t="s">
        <v>24</v>
      </c>
      <c r="F140" s="17" t="s">
        <v>13</v>
      </c>
      <c r="G140" s="19" t="str">
        <f t="shared" si="7"/>
        <v>LabVIEW 2019 SP1 f3 18.0.1</v>
      </c>
      <c r="H140" s="19" t="s">
        <v>424</v>
      </c>
      <c r="I140" s="7"/>
    </row>
    <row r="141" spans="1:9" ht="14.25" x14ac:dyDescent="0.25">
      <c r="A141" s="18" t="s">
        <v>32</v>
      </c>
      <c r="B141" s="18" t="s">
        <v>135</v>
      </c>
      <c r="C141" s="17" t="s">
        <v>10</v>
      </c>
      <c r="D141" s="17" t="s">
        <v>119</v>
      </c>
      <c r="E141" s="17" t="s">
        <v>24</v>
      </c>
      <c r="F141" s="17" t="s">
        <v>13</v>
      </c>
      <c r="G141" s="19" t="str">
        <f t="shared" si="7"/>
        <v>LabVIEW 2019 19.0.0</v>
      </c>
      <c r="H141" s="19" t="s">
        <v>424</v>
      </c>
      <c r="I141" s="7"/>
    </row>
    <row r="142" spans="1:9" ht="15" x14ac:dyDescent="0.25">
      <c r="A142" s="44" t="s">
        <v>14</v>
      </c>
      <c r="B142" s="44" t="s">
        <v>477</v>
      </c>
      <c r="C142" s="42" t="s">
        <v>10</v>
      </c>
      <c r="D142" s="42" t="s">
        <v>130</v>
      </c>
      <c r="E142" s="42" t="s">
        <v>484</v>
      </c>
      <c r="F142" s="42" t="s">
        <v>13</v>
      </c>
      <c r="G142" s="43" t="str">
        <f t="shared" ref="G142:G149" si="9">A142&amp;" "&amp;B142</f>
        <v>CompactRIO 18.1.0</v>
      </c>
      <c r="H142" s="43" t="s">
        <v>476</v>
      </c>
      <c r="I142" s="7"/>
    </row>
    <row r="143" spans="1:9" ht="15" x14ac:dyDescent="0.25">
      <c r="A143" s="44" t="s">
        <v>15</v>
      </c>
      <c r="B143" s="44" t="s">
        <v>477</v>
      </c>
      <c r="C143" s="42" t="s">
        <v>10</v>
      </c>
      <c r="D143" s="42" t="s">
        <v>130</v>
      </c>
      <c r="E143" s="42" t="s">
        <v>484</v>
      </c>
      <c r="F143" s="42" t="s">
        <v>13</v>
      </c>
      <c r="G143" s="43" t="str">
        <f t="shared" si="9"/>
        <v>C Series Module Support 18.1.0</v>
      </c>
      <c r="H143" s="43" t="s">
        <v>476</v>
      </c>
      <c r="I143" s="7"/>
    </row>
    <row r="144" spans="1:9" ht="15" x14ac:dyDescent="0.25">
      <c r="A144" s="44" t="s">
        <v>18</v>
      </c>
      <c r="B144" s="44" t="s">
        <v>477</v>
      </c>
      <c r="C144" s="42" t="s">
        <v>10</v>
      </c>
      <c r="D144" s="42" t="s">
        <v>130</v>
      </c>
      <c r="E144" s="42" t="s">
        <v>484</v>
      </c>
      <c r="F144" s="42" t="s">
        <v>13</v>
      </c>
      <c r="G144" s="43" t="str">
        <f t="shared" si="9"/>
        <v>NI-DAQmx ADE Support 18.1.0</v>
      </c>
      <c r="H144" s="43" t="s">
        <v>476</v>
      </c>
    </row>
    <row r="145" spans="1:9" ht="15" x14ac:dyDescent="0.25">
      <c r="A145" s="44" t="s">
        <v>19</v>
      </c>
      <c r="B145" s="44" t="s">
        <v>477</v>
      </c>
      <c r="C145" s="42" t="s">
        <v>10</v>
      </c>
      <c r="D145" s="42" t="s">
        <v>130</v>
      </c>
      <c r="E145" s="42" t="s">
        <v>484</v>
      </c>
      <c r="F145" s="42" t="s">
        <v>13</v>
      </c>
      <c r="G145" s="43" t="str">
        <f t="shared" si="9"/>
        <v>NI-DAQmx MAX Configuration 18.1.0</v>
      </c>
      <c r="H145" s="43" t="s">
        <v>476</v>
      </c>
    </row>
    <row r="146" spans="1:9" ht="15" x14ac:dyDescent="0.25">
      <c r="A146" s="44" t="s">
        <v>41</v>
      </c>
      <c r="B146" s="44" t="s">
        <v>478</v>
      </c>
      <c r="C146" s="42" t="s">
        <v>10</v>
      </c>
      <c r="D146" s="42" t="s">
        <v>130</v>
      </c>
      <c r="E146" s="42" t="s">
        <v>484</v>
      </c>
      <c r="F146" s="42" t="s">
        <v>13</v>
      </c>
      <c r="G146" s="43" t="str">
        <f t="shared" si="9"/>
        <v>Measurement &amp; Automation Explorer 18.0.0f0</v>
      </c>
      <c r="H146" s="43" t="s">
        <v>476</v>
      </c>
    </row>
    <row r="147" spans="1:9" ht="15" x14ac:dyDescent="0.25">
      <c r="A147" s="44" t="s">
        <v>52</v>
      </c>
      <c r="B147" s="44" t="s">
        <v>478</v>
      </c>
      <c r="C147" s="42" t="s">
        <v>10</v>
      </c>
      <c r="D147" s="42" t="s">
        <v>130</v>
      </c>
      <c r="E147" s="42" t="s">
        <v>484</v>
      </c>
      <c r="F147" s="42" t="s">
        <v>13</v>
      </c>
      <c r="G147" s="43" t="str">
        <f t="shared" si="9"/>
        <v>NI PXI Platform Services Configuration 18.0.0f0</v>
      </c>
      <c r="H147" s="43" t="s">
        <v>476</v>
      </c>
    </row>
    <row r="148" spans="1:9" ht="15" x14ac:dyDescent="0.25">
      <c r="A148" s="44" t="s">
        <v>64</v>
      </c>
      <c r="B148" s="44" t="s">
        <v>480</v>
      </c>
      <c r="C148" s="42" t="s">
        <v>10</v>
      </c>
      <c r="D148" s="42" t="s">
        <v>153</v>
      </c>
      <c r="E148" s="42" t="s">
        <v>484</v>
      </c>
      <c r="F148" s="42" t="s">
        <v>13</v>
      </c>
      <c r="G148" s="43" t="str">
        <f t="shared" si="9"/>
        <v>NI-Serial Configuration 17.5.0f0</v>
      </c>
      <c r="H148" s="43" t="s">
        <v>476</v>
      </c>
    </row>
    <row r="149" spans="1:9" ht="15" x14ac:dyDescent="0.25">
      <c r="A149" s="44" t="s">
        <v>440</v>
      </c>
      <c r="B149" s="44" t="s">
        <v>477</v>
      </c>
      <c r="C149" s="42" t="s">
        <v>10</v>
      </c>
      <c r="D149" s="42" t="s">
        <v>130</v>
      </c>
      <c r="E149" s="42" t="s">
        <v>484</v>
      </c>
      <c r="F149" s="42" t="s">
        <v>13</v>
      </c>
      <c r="G149" s="43" t="str">
        <f t="shared" si="9"/>
        <v>Soft Front Panel 18.1.0</v>
      </c>
      <c r="H149" s="43" t="s">
        <v>476</v>
      </c>
    </row>
    <row r="150" spans="1:9" ht="15" x14ac:dyDescent="0.25">
      <c r="A150" s="44" t="s">
        <v>32</v>
      </c>
      <c r="B150" s="44" t="s">
        <v>404</v>
      </c>
      <c r="C150" s="42" t="s">
        <v>10</v>
      </c>
      <c r="D150" s="42" t="s">
        <v>467</v>
      </c>
      <c r="E150" s="42" t="s">
        <v>24</v>
      </c>
      <c r="F150" s="42" t="s">
        <v>13</v>
      </c>
      <c r="G150" s="43" t="str">
        <f t="shared" ref="G150:G151" si="10">A150&amp;" "&amp;D150&amp;" "&amp;B150</f>
        <v>LabVIEW 2016 f5 16.0.0</v>
      </c>
      <c r="H150" s="43" t="s">
        <v>476</v>
      </c>
    </row>
    <row r="151" spans="1:9" ht="15" x14ac:dyDescent="0.25">
      <c r="A151" s="44" t="s">
        <v>32</v>
      </c>
      <c r="B151" s="44" t="s">
        <v>406</v>
      </c>
      <c r="C151" s="42" t="s">
        <v>10</v>
      </c>
      <c r="D151" s="42" t="s">
        <v>485</v>
      </c>
      <c r="E151" s="42" t="s">
        <v>24</v>
      </c>
      <c r="F151" s="42" t="s">
        <v>13</v>
      </c>
      <c r="G151" s="43" t="str">
        <f t="shared" si="10"/>
        <v>LabVIEW 2017 SP1 f2 17.0.1</v>
      </c>
      <c r="H151" s="43" t="s">
        <v>476</v>
      </c>
    </row>
    <row r="152" spans="1:9" ht="15" x14ac:dyDescent="0.25">
      <c r="A152" s="44" t="s">
        <v>56</v>
      </c>
      <c r="B152" s="44" t="s">
        <v>479</v>
      </c>
      <c r="C152" s="42" t="s">
        <v>10</v>
      </c>
      <c r="D152" s="42" t="s">
        <v>130</v>
      </c>
      <c r="E152" s="42" t="s">
        <v>484</v>
      </c>
      <c r="F152" s="42" t="s">
        <v>13</v>
      </c>
      <c r="G152" s="43" t="str">
        <f t="shared" ref="G152:G153" si="11">A152&amp;" "&amp;B152</f>
        <v>NI-Sync 18.1.0f0</v>
      </c>
      <c r="H152" s="43" t="s">
        <v>476</v>
      </c>
    </row>
    <row r="153" spans="1:9" ht="15" x14ac:dyDescent="0.25">
      <c r="A153" s="49" t="s">
        <v>143</v>
      </c>
      <c r="B153" s="50" t="s">
        <v>493</v>
      </c>
      <c r="C153" s="51" t="s">
        <v>10</v>
      </c>
      <c r="D153" s="51" t="s">
        <v>130</v>
      </c>
      <c r="E153" s="51" t="s">
        <v>12</v>
      </c>
      <c r="F153" s="51" t="s">
        <v>13</v>
      </c>
      <c r="G153" s="49" t="str">
        <f t="shared" si="11"/>
        <v>NI-Industrial Communications for EtherCAT 18.0.0f1</v>
      </c>
      <c r="H153" s="49" t="s">
        <v>494</v>
      </c>
      <c r="I153" s="7"/>
    </row>
    <row r="154" spans="1:9" ht="15" x14ac:dyDescent="0.25">
      <c r="A154" s="87" t="s">
        <v>363</v>
      </c>
      <c r="B154" s="88" t="s">
        <v>30</v>
      </c>
      <c r="C154" s="86" t="s">
        <v>10</v>
      </c>
      <c r="D154" s="86">
        <v>2015</v>
      </c>
      <c r="E154" s="86" t="s">
        <v>12</v>
      </c>
      <c r="F154" s="86" t="s">
        <v>13</v>
      </c>
      <c r="G154" s="87" t="s">
        <v>544</v>
      </c>
      <c r="H154" s="87" t="s">
        <v>543</v>
      </c>
      <c r="I154" s="7"/>
    </row>
    <row r="155" spans="1:9" ht="15" x14ac:dyDescent="0.25">
      <c r="A155" s="52" t="s">
        <v>32</v>
      </c>
      <c r="B155" s="52" t="s">
        <v>406</v>
      </c>
      <c r="C155" s="53" t="s">
        <v>10</v>
      </c>
      <c r="D155" s="53" t="s">
        <v>407</v>
      </c>
      <c r="E155" s="53" t="s">
        <v>24</v>
      </c>
      <c r="F155" s="53" t="s">
        <v>13</v>
      </c>
      <c r="G155" s="54" t="str">
        <f t="shared" ref="G155" si="12">A155&amp;" "&amp;D155&amp;" "&amp;B155</f>
        <v>LabVIEW 2017 SP1 f3 17.0.1</v>
      </c>
      <c r="H155" s="54" t="s">
        <v>497</v>
      </c>
      <c r="I155" s="7"/>
    </row>
    <row r="156" spans="1:9" ht="15" x14ac:dyDescent="0.25">
      <c r="A156" s="82" t="s">
        <v>157</v>
      </c>
      <c r="B156" s="82"/>
      <c r="C156" s="83" t="s">
        <v>10</v>
      </c>
      <c r="D156" s="83"/>
      <c r="E156" s="83" t="s">
        <v>12</v>
      </c>
      <c r="F156" s="83"/>
      <c r="G156" s="84" t="s">
        <v>491</v>
      </c>
      <c r="H156" s="85" t="s">
        <v>534</v>
      </c>
      <c r="I156" s="7"/>
    </row>
    <row r="157" spans="1:9" x14ac:dyDescent="0.25">
      <c r="A157" s="80" t="s">
        <v>313</v>
      </c>
      <c r="B157" s="81" t="s">
        <v>314</v>
      </c>
      <c r="C157" s="81" t="s">
        <v>10</v>
      </c>
      <c r="D157" s="81" t="s">
        <v>136</v>
      </c>
      <c r="E157" s="81" t="s">
        <v>12</v>
      </c>
      <c r="F157" s="81" t="s">
        <v>315</v>
      </c>
      <c r="G157" s="80" t="s">
        <v>510</v>
      </c>
      <c r="H157" s="80" t="s">
        <v>202</v>
      </c>
    </row>
    <row r="158" spans="1:9" x14ac:dyDescent="0.25">
      <c r="A158" s="78" t="s">
        <v>316</v>
      </c>
      <c r="B158" s="79" t="s">
        <v>317</v>
      </c>
      <c r="C158" s="79" t="s">
        <v>10</v>
      </c>
      <c r="D158" s="79" t="s">
        <v>136</v>
      </c>
      <c r="E158" s="79" t="s">
        <v>12</v>
      </c>
      <c r="F158" s="79" t="s">
        <v>315</v>
      </c>
      <c r="G158" s="78" t="s">
        <v>511</v>
      </c>
      <c r="H158" s="78" t="s">
        <v>202</v>
      </c>
    </row>
    <row r="159" spans="1:9" x14ac:dyDescent="0.25">
      <c r="A159" s="78" t="s">
        <v>318</v>
      </c>
      <c r="B159" s="79" t="s">
        <v>319</v>
      </c>
      <c r="C159" s="79" t="s">
        <v>10</v>
      </c>
      <c r="D159" s="79" t="s">
        <v>136</v>
      </c>
      <c r="E159" s="79" t="s">
        <v>12</v>
      </c>
      <c r="F159" s="79" t="s">
        <v>315</v>
      </c>
      <c r="G159" s="78" t="s">
        <v>512</v>
      </c>
      <c r="H159" s="78" t="s">
        <v>202</v>
      </c>
    </row>
    <row r="160" spans="1:9" x14ac:dyDescent="0.25">
      <c r="A160" s="78" t="s">
        <v>320</v>
      </c>
      <c r="B160" s="79" t="s">
        <v>321</v>
      </c>
      <c r="C160" s="79" t="s">
        <v>10</v>
      </c>
      <c r="D160" s="79" t="s">
        <v>136</v>
      </c>
      <c r="E160" s="79" t="s">
        <v>12</v>
      </c>
      <c r="F160" s="79" t="s">
        <v>315</v>
      </c>
      <c r="G160" s="78" t="s">
        <v>513</v>
      </c>
      <c r="H160" s="78" t="s">
        <v>202</v>
      </c>
    </row>
    <row r="161" spans="1:8" x14ac:dyDescent="0.25">
      <c r="A161" s="78" t="s">
        <v>322</v>
      </c>
      <c r="B161" s="79" t="s">
        <v>319</v>
      </c>
      <c r="C161" s="79" t="s">
        <v>10</v>
      </c>
      <c r="D161" s="79" t="s">
        <v>136</v>
      </c>
      <c r="E161" s="79" t="s">
        <v>12</v>
      </c>
      <c r="F161" s="79" t="s">
        <v>315</v>
      </c>
      <c r="G161" s="78" t="s">
        <v>514</v>
      </c>
      <c r="H161" s="78" t="s">
        <v>202</v>
      </c>
    </row>
    <row r="162" spans="1:8" x14ac:dyDescent="0.25">
      <c r="A162" s="78" t="s">
        <v>323</v>
      </c>
      <c r="B162" s="79" t="s">
        <v>324</v>
      </c>
      <c r="C162" s="79" t="s">
        <v>10</v>
      </c>
      <c r="D162" s="79" t="s">
        <v>136</v>
      </c>
      <c r="E162" s="79" t="s">
        <v>12</v>
      </c>
      <c r="F162" s="79" t="s">
        <v>315</v>
      </c>
      <c r="G162" s="78" t="s">
        <v>515</v>
      </c>
      <c r="H162" s="78" t="s">
        <v>202</v>
      </c>
    </row>
    <row r="163" spans="1:8" x14ac:dyDescent="0.25">
      <c r="A163" s="78" t="s">
        <v>325</v>
      </c>
      <c r="B163" s="79" t="s">
        <v>326</v>
      </c>
      <c r="C163" s="79" t="s">
        <v>10</v>
      </c>
      <c r="D163" s="79" t="s">
        <v>136</v>
      </c>
      <c r="E163" s="79" t="s">
        <v>12</v>
      </c>
      <c r="F163" s="79" t="s">
        <v>315</v>
      </c>
      <c r="G163" s="78" t="s">
        <v>516</v>
      </c>
      <c r="H163" s="78" t="s">
        <v>202</v>
      </c>
    </row>
    <row r="164" spans="1:8" x14ac:dyDescent="0.25">
      <c r="A164" s="78" t="s">
        <v>327</v>
      </c>
      <c r="B164" s="79" t="s">
        <v>328</v>
      </c>
      <c r="C164" s="79" t="s">
        <v>10</v>
      </c>
      <c r="D164" s="79" t="s">
        <v>136</v>
      </c>
      <c r="E164" s="79" t="s">
        <v>12</v>
      </c>
      <c r="F164" s="79" t="s">
        <v>315</v>
      </c>
      <c r="G164" s="78" t="s">
        <v>517</v>
      </c>
      <c r="H164" s="78" t="s">
        <v>202</v>
      </c>
    </row>
    <row r="165" spans="1:8" x14ac:dyDescent="0.25">
      <c r="A165" s="78" t="s">
        <v>329</v>
      </c>
      <c r="B165" s="79" t="s">
        <v>330</v>
      </c>
      <c r="C165" s="79" t="s">
        <v>10</v>
      </c>
      <c r="D165" s="79" t="s">
        <v>136</v>
      </c>
      <c r="E165" s="79" t="s">
        <v>12</v>
      </c>
      <c r="F165" s="79" t="s">
        <v>315</v>
      </c>
      <c r="G165" s="78" t="s">
        <v>518</v>
      </c>
      <c r="H165" s="78" t="s">
        <v>202</v>
      </c>
    </row>
    <row r="166" spans="1:8" x14ac:dyDescent="0.25">
      <c r="A166" s="78" t="s">
        <v>331</v>
      </c>
      <c r="B166" s="79" t="s">
        <v>332</v>
      </c>
      <c r="C166" s="79" t="s">
        <v>10</v>
      </c>
      <c r="D166" s="79" t="s">
        <v>136</v>
      </c>
      <c r="E166" s="79" t="s">
        <v>12</v>
      </c>
      <c r="F166" s="79" t="s">
        <v>315</v>
      </c>
      <c r="G166" s="78" t="s">
        <v>519</v>
      </c>
      <c r="H166" s="78" t="s">
        <v>202</v>
      </c>
    </row>
    <row r="167" spans="1:8" x14ac:dyDescent="0.25">
      <c r="A167" s="78" t="s">
        <v>333</v>
      </c>
      <c r="B167" s="79" t="s">
        <v>328</v>
      </c>
      <c r="C167" s="79" t="s">
        <v>10</v>
      </c>
      <c r="D167" s="79" t="s">
        <v>136</v>
      </c>
      <c r="E167" s="79" t="s">
        <v>12</v>
      </c>
      <c r="F167" s="79" t="s">
        <v>334</v>
      </c>
      <c r="G167" s="78" t="s">
        <v>520</v>
      </c>
      <c r="H167" s="78" t="s">
        <v>202</v>
      </c>
    </row>
    <row r="168" spans="1:8" x14ac:dyDescent="0.25">
      <c r="A168" s="78" t="s">
        <v>335</v>
      </c>
      <c r="B168" s="79" t="s">
        <v>336</v>
      </c>
      <c r="C168" s="79" t="s">
        <v>10</v>
      </c>
      <c r="D168" s="79" t="s">
        <v>136</v>
      </c>
      <c r="E168" s="79" t="s">
        <v>12</v>
      </c>
      <c r="F168" s="79" t="s">
        <v>250</v>
      </c>
      <c r="G168" s="78" t="s">
        <v>521</v>
      </c>
      <c r="H168" s="78" t="s">
        <v>202</v>
      </c>
    </row>
    <row r="169" spans="1:8" x14ac:dyDescent="0.25">
      <c r="A169" s="78" t="s">
        <v>337</v>
      </c>
      <c r="B169" s="79" t="s">
        <v>338</v>
      </c>
      <c r="C169" s="79" t="s">
        <v>10</v>
      </c>
      <c r="D169" s="79" t="s">
        <v>136</v>
      </c>
      <c r="E169" s="79" t="s">
        <v>12</v>
      </c>
      <c r="F169" s="79" t="s">
        <v>315</v>
      </c>
      <c r="G169" s="78" t="s">
        <v>522</v>
      </c>
      <c r="H169" s="78" t="s">
        <v>202</v>
      </c>
    </row>
    <row r="170" spans="1:8" x14ac:dyDescent="0.25">
      <c r="A170" s="78" t="s">
        <v>339</v>
      </c>
      <c r="B170" s="79" t="s">
        <v>326</v>
      </c>
      <c r="C170" s="79" t="s">
        <v>10</v>
      </c>
      <c r="D170" s="79" t="s">
        <v>136</v>
      </c>
      <c r="E170" s="79" t="s">
        <v>12</v>
      </c>
      <c r="F170" s="79" t="s">
        <v>315</v>
      </c>
      <c r="G170" s="78" t="s">
        <v>523</v>
      </c>
      <c r="H170" s="78" t="s">
        <v>202</v>
      </c>
    </row>
    <row r="171" spans="1:8" x14ac:dyDescent="0.25">
      <c r="A171" s="78" t="s">
        <v>340</v>
      </c>
      <c r="B171" s="79" t="s">
        <v>319</v>
      </c>
      <c r="C171" s="79" t="s">
        <v>10</v>
      </c>
      <c r="D171" s="79" t="s">
        <v>136</v>
      </c>
      <c r="E171" s="79" t="s">
        <v>12</v>
      </c>
      <c r="F171" s="79" t="s">
        <v>315</v>
      </c>
      <c r="G171" s="78" t="s">
        <v>524</v>
      </c>
      <c r="H171" s="78" t="s">
        <v>202</v>
      </c>
    </row>
    <row r="172" spans="1:8" x14ac:dyDescent="0.25">
      <c r="A172" s="78" t="s">
        <v>341</v>
      </c>
      <c r="B172" s="79" t="s">
        <v>342</v>
      </c>
      <c r="C172" s="79" t="s">
        <v>10</v>
      </c>
      <c r="D172" s="79" t="s">
        <v>136</v>
      </c>
      <c r="E172" s="79" t="s">
        <v>12</v>
      </c>
      <c r="F172" s="79" t="s">
        <v>315</v>
      </c>
      <c r="G172" s="78" t="s">
        <v>525</v>
      </c>
      <c r="H172" s="78" t="s">
        <v>202</v>
      </c>
    </row>
    <row r="173" spans="1:8" x14ac:dyDescent="0.25">
      <c r="A173" s="78" t="s">
        <v>343</v>
      </c>
      <c r="B173" s="79" t="s">
        <v>344</v>
      </c>
      <c r="C173" s="79" t="s">
        <v>10</v>
      </c>
      <c r="D173" s="79" t="s">
        <v>136</v>
      </c>
      <c r="E173" s="79" t="s">
        <v>12</v>
      </c>
      <c r="F173" s="79" t="s">
        <v>315</v>
      </c>
      <c r="G173" s="78" t="s">
        <v>526</v>
      </c>
      <c r="H173" s="78" t="s">
        <v>202</v>
      </c>
    </row>
    <row r="174" spans="1:8" x14ac:dyDescent="0.25">
      <c r="A174" s="78" t="s">
        <v>345</v>
      </c>
      <c r="B174" s="79" t="s">
        <v>346</v>
      </c>
      <c r="C174" s="79" t="s">
        <v>10</v>
      </c>
      <c r="D174" s="79" t="s">
        <v>136</v>
      </c>
      <c r="E174" s="79" t="s">
        <v>12</v>
      </c>
      <c r="F174" s="79" t="s">
        <v>315</v>
      </c>
      <c r="G174" s="78" t="s">
        <v>527</v>
      </c>
      <c r="H174" s="78" t="s">
        <v>202</v>
      </c>
    </row>
    <row r="175" spans="1:8" x14ac:dyDescent="0.25">
      <c r="A175" s="78" t="s">
        <v>347</v>
      </c>
      <c r="B175" s="79" t="s">
        <v>348</v>
      </c>
      <c r="C175" s="79" t="s">
        <v>10</v>
      </c>
      <c r="D175" s="79" t="s">
        <v>136</v>
      </c>
      <c r="E175" s="79" t="s">
        <v>12</v>
      </c>
      <c r="F175" s="79" t="s">
        <v>315</v>
      </c>
      <c r="G175" s="78" t="s">
        <v>528</v>
      </c>
      <c r="H175" s="78" t="s">
        <v>202</v>
      </c>
    </row>
    <row r="176" spans="1:8" x14ac:dyDescent="0.25">
      <c r="A176" s="78" t="s">
        <v>349</v>
      </c>
      <c r="B176" s="79" t="s">
        <v>338</v>
      </c>
      <c r="C176" s="79" t="s">
        <v>10</v>
      </c>
      <c r="D176" s="79" t="s">
        <v>136</v>
      </c>
      <c r="E176" s="79" t="s">
        <v>12</v>
      </c>
      <c r="F176" s="79" t="s">
        <v>315</v>
      </c>
      <c r="G176" s="78" t="s">
        <v>529</v>
      </c>
      <c r="H176" s="78" t="s">
        <v>202</v>
      </c>
    </row>
    <row r="177" spans="1:8" x14ac:dyDescent="0.25">
      <c r="A177" s="78" t="s">
        <v>350</v>
      </c>
      <c r="B177" s="79" t="s">
        <v>344</v>
      </c>
      <c r="C177" s="79" t="s">
        <v>10</v>
      </c>
      <c r="D177" s="79" t="s">
        <v>136</v>
      </c>
      <c r="E177" s="79" t="s">
        <v>12</v>
      </c>
      <c r="F177" s="79" t="s">
        <v>315</v>
      </c>
      <c r="G177" s="78" t="s">
        <v>530</v>
      </c>
      <c r="H177" s="78" t="s">
        <v>202</v>
      </c>
    </row>
    <row r="178" spans="1:8" x14ac:dyDescent="0.25">
      <c r="A178" s="78" t="s">
        <v>351</v>
      </c>
      <c r="B178" s="79" t="s">
        <v>352</v>
      </c>
      <c r="C178" s="79" t="s">
        <v>10</v>
      </c>
      <c r="D178" s="79" t="s">
        <v>136</v>
      </c>
      <c r="E178" s="79" t="s">
        <v>12</v>
      </c>
      <c r="F178" s="79" t="s">
        <v>315</v>
      </c>
      <c r="G178" s="78" t="s">
        <v>531</v>
      </c>
      <c r="H178" s="78" t="s">
        <v>202</v>
      </c>
    </row>
    <row r="179" spans="1:8" x14ac:dyDescent="0.25">
      <c r="A179" s="78" t="s">
        <v>355</v>
      </c>
      <c r="B179" s="79" t="s">
        <v>356</v>
      </c>
      <c r="C179" s="79" t="s">
        <v>10</v>
      </c>
      <c r="D179" s="79" t="s">
        <v>136</v>
      </c>
      <c r="E179" s="79" t="s">
        <v>12</v>
      </c>
      <c r="F179" s="79" t="s">
        <v>315</v>
      </c>
      <c r="G179" s="78" t="s">
        <v>532</v>
      </c>
      <c r="H179" s="78" t="s">
        <v>202</v>
      </c>
    </row>
    <row r="180" spans="1:8" x14ac:dyDescent="0.25">
      <c r="A180" s="78" t="s">
        <v>357</v>
      </c>
      <c r="B180" s="79" t="s">
        <v>358</v>
      </c>
      <c r="C180" s="79" t="s">
        <v>10</v>
      </c>
      <c r="D180" s="79" t="s">
        <v>136</v>
      </c>
      <c r="E180" s="79" t="s">
        <v>12</v>
      </c>
      <c r="F180" s="79" t="s">
        <v>315</v>
      </c>
      <c r="G180" s="78" t="s">
        <v>533</v>
      </c>
      <c r="H180" s="78" t="s">
        <v>202</v>
      </c>
    </row>
    <row r="181" spans="1:8" x14ac:dyDescent="0.25">
      <c r="A181" s="78" t="s">
        <v>251</v>
      </c>
      <c r="B181" s="79" t="s">
        <v>252</v>
      </c>
      <c r="C181" s="79" t="s">
        <v>10</v>
      </c>
      <c r="D181" s="79" t="s">
        <v>136</v>
      </c>
      <c r="E181" s="79" t="s">
        <v>12</v>
      </c>
      <c r="F181" s="79" t="s">
        <v>253</v>
      </c>
      <c r="G181" s="78" t="str">
        <f t="shared" ref="G181:G211" si="13">A181&amp;" "&amp;B181</f>
        <v>MGI 1D Array 1.0.2.3</v>
      </c>
      <c r="H181" s="78" t="s">
        <v>202</v>
      </c>
    </row>
    <row r="182" spans="1:8" x14ac:dyDescent="0.25">
      <c r="A182" s="78" t="s">
        <v>254</v>
      </c>
      <c r="B182" s="79" t="s">
        <v>255</v>
      </c>
      <c r="C182" s="79" t="s">
        <v>10</v>
      </c>
      <c r="D182" s="79" t="s">
        <v>136</v>
      </c>
      <c r="E182" s="79" t="s">
        <v>12</v>
      </c>
      <c r="F182" s="79" t="s">
        <v>253</v>
      </c>
      <c r="G182" s="78" t="str">
        <f t="shared" si="13"/>
        <v>MGI 2D Array 1.1.1.5</v>
      </c>
      <c r="H182" s="78" t="s">
        <v>202</v>
      </c>
    </row>
    <row r="183" spans="1:8" x14ac:dyDescent="0.25">
      <c r="A183" s="78" t="s">
        <v>256</v>
      </c>
      <c r="B183" s="79" t="s">
        <v>257</v>
      </c>
      <c r="C183" s="79" t="s">
        <v>10</v>
      </c>
      <c r="D183" s="79" t="s">
        <v>136</v>
      </c>
      <c r="E183" s="79" t="s">
        <v>12</v>
      </c>
      <c r="F183" s="79" t="s">
        <v>253</v>
      </c>
      <c r="G183" s="78" t="str">
        <f t="shared" si="13"/>
        <v>MGI Actor Framework Message Maker 1.0.1.6</v>
      </c>
      <c r="H183" s="78" t="s">
        <v>202</v>
      </c>
    </row>
    <row r="184" spans="1:8" x14ac:dyDescent="0.25">
      <c r="A184" s="78" t="s">
        <v>258</v>
      </c>
      <c r="B184" s="79" t="s">
        <v>259</v>
      </c>
      <c r="C184" s="79" t="s">
        <v>10</v>
      </c>
      <c r="D184" s="79" t="s">
        <v>136</v>
      </c>
      <c r="E184" s="79" t="s">
        <v>12</v>
      </c>
      <c r="F184" s="79" t="s">
        <v>253</v>
      </c>
      <c r="G184" s="78" t="str">
        <f t="shared" si="13"/>
        <v>MGI Application Control 1.1.1.10</v>
      </c>
      <c r="H184" s="78" t="s">
        <v>202</v>
      </c>
    </row>
    <row r="185" spans="1:8" x14ac:dyDescent="0.25">
      <c r="A185" s="78" t="s">
        <v>260</v>
      </c>
      <c r="B185" s="79" t="s">
        <v>261</v>
      </c>
      <c r="C185" s="79" t="s">
        <v>10</v>
      </c>
      <c r="D185" s="79" t="s">
        <v>136</v>
      </c>
      <c r="E185" s="79" t="s">
        <v>12</v>
      </c>
      <c r="F185" s="79" t="s">
        <v>253</v>
      </c>
      <c r="G185" s="78" t="str">
        <f t="shared" si="13"/>
        <v>MGI Bezier 1.1.1.2</v>
      </c>
      <c r="H185" s="78" t="s">
        <v>202</v>
      </c>
    </row>
    <row r="186" spans="1:8" x14ac:dyDescent="0.25">
      <c r="A186" s="78" t="s">
        <v>262</v>
      </c>
      <c r="B186" s="79" t="s">
        <v>263</v>
      </c>
      <c r="C186" s="79" t="s">
        <v>10</v>
      </c>
      <c r="D186" s="79" t="s">
        <v>136</v>
      </c>
      <c r="E186" s="79" t="s">
        <v>12</v>
      </c>
      <c r="F186" s="79" t="s">
        <v>253</v>
      </c>
      <c r="G186" s="78" t="str">
        <f t="shared" si="13"/>
        <v>MGI Boolean 1.0.1.3</v>
      </c>
      <c r="H186" s="78" t="s">
        <v>202</v>
      </c>
    </row>
    <row r="187" spans="1:8" x14ac:dyDescent="0.25">
      <c r="A187" s="78" t="s">
        <v>264</v>
      </c>
      <c r="B187" s="79" t="s">
        <v>265</v>
      </c>
      <c r="C187" s="79" t="s">
        <v>10</v>
      </c>
      <c r="D187" s="79" t="s">
        <v>136</v>
      </c>
      <c r="E187" s="79" t="s">
        <v>12</v>
      </c>
      <c r="F187" s="79" t="s">
        <v>253</v>
      </c>
      <c r="G187" s="78" t="str">
        <f t="shared" si="13"/>
        <v>MGI Class Method Browser 1.0.0.20</v>
      </c>
      <c r="H187" s="78" t="s">
        <v>202</v>
      </c>
    </row>
    <row r="188" spans="1:8" x14ac:dyDescent="0.25">
      <c r="A188" s="78" t="s">
        <v>266</v>
      </c>
      <c r="B188" s="79" t="s">
        <v>267</v>
      </c>
      <c r="C188" s="79" t="s">
        <v>10</v>
      </c>
      <c r="D188" s="79" t="s">
        <v>136</v>
      </c>
      <c r="E188" s="79" t="s">
        <v>12</v>
      </c>
      <c r="F188" s="79" t="s">
        <v>253</v>
      </c>
      <c r="G188" s="78" t="str">
        <f t="shared" si="13"/>
        <v>MGI Cluster 1.1.0.1</v>
      </c>
      <c r="H188" s="78" t="s">
        <v>202</v>
      </c>
    </row>
    <row r="189" spans="1:8" x14ac:dyDescent="0.25">
      <c r="A189" s="78" t="s">
        <v>268</v>
      </c>
      <c r="B189" s="79" t="s">
        <v>261</v>
      </c>
      <c r="C189" s="79" t="s">
        <v>10</v>
      </c>
      <c r="D189" s="79" t="s">
        <v>136</v>
      </c>
      <c r="E189" s="79" t="s">
        <v>12</v>
      </c>
      <c r="F189" s="79" t="s">
        <v>253</v>
      </c>
      <c r="G189" s="78" t="str">
        <f t="shared" si="13"/>
        <v>MGI Coordinates 1.1.1.2</v>
      </c>
      <c r="H189" s="78" t="s">
        <v>202</v>
      </c>
    </row>
    <row r="190" spans="1:8" x14ac:dyDescent="0.25">
      <c r="A190" s="78" t="s">
        <v>269</v>
      </c>
      <c r="B190" s="79" t="s">
        <v>270</v>
      </c>
      <c r="C190" s="79" t="s">
        <v>10</v>
      </c>
      <c r="D190" s="79" t="s">
        <v>136</v>
      </c>
      <c r="E190" s="79" t="s">
        <v>12</v>
      </c>
      <c r="F190" s="79" t="s">
        <v>253</v>
      </c>
      <c r="G190" s="78" t="str">
        <f t="shared" si="13"/>
        <v>MGI Error Handling 1.1.1.3</v>
      </c>
      <c r="H190" s="78" t="s">
        <v>202</v>
      </c>
    </row>
    <row r="191" spans="1:8" x14ac:dyDescent="0.25">
      <c r="A191" s="78" t="s">
        <v>271</v>
      </c>
      <c r="B191" s="79" t="s">
        <v>272</v>
      </c>
      <c r="C191" s="79" t="s">
        <v>10</v>
      </c>
      <c r="D191" s="79" t="s">
        <v>136</v>
      </c>
      <c r="E191" s="79" t="s">
        <v>12</v>
      </c>
      <c r="F191" s="79" t="s">
        <v>253</v>
      </c>
      <c r="G191" s="78" t="str">
        <f t="shared" si="13"/>
        <v>MGI Error Reporter 1.0.2.5</v>
      </c>
      <c r="H191" s="78" t="s">
        <v>202</v>
      </c>
    </row>
    <row r="192" spans="1:8" x14ac:dyDescent="0.25">
      <c r="A192" s="78" t="s">
        <v>273</v>
      </c>
      <c r="B192" s="79" t="s">
        <v>274</v>
      </c>
      <c r="C192" s="79" t="s">
        <v>10</v>
      </c>
      <c r="D192" s="79" t="s">
        <v>136</v>
      </c>
      <c r="E192" s="79" t="s">
        <v>12</v>
      </c>
      <c r="F192" s="79" t="s">
        <v>253</v>
      </c>
      <c r="G192" s="78" t="str">
        <f t="shared" si="13"/>
        <v>MGI File 1.1.0.4</v>
      </c>
      <c r="H192" s="78" t="s">
        <v>202</v>
      </c>
    </row>
    <row r="193" spans="1:8" x14ac:dyDescent="0.25">
      <c r="A193" s="78" t="s">
        <v>275</v>
      </c>
      <c r="B193" s="79" t="s">
        <v>276</v>
      </c>
      <c r="C193" s="79" t="s">
        <v>10</v>
      </c>
      <c r="D193" s="79" t="s">
        <v>136</v>
      </c>
      <c r="E193" s="79" t="s">
        <v>12</v>
      </c>
      <c r="F193" s="79" t="s">
        <v>253</v>
      </c>
      <c r="G193" s="78" t="str">
        <f t="shared" si="13"/>
        <v>MGI Graph 1.0.2.6</v>
      </c>
      <c r="H193" s="78" t="s">
        <v>202</v>
      </c>
    </row>
    <row r="194" spans="1:8" x14ac:dyDescent="0.25">
      <c r="A194" s="78" t="s">
        <v>277</v>
      </c>
      <c r="B194" s="79" t="s">
        <v>278</v>
      </c>
      <c r="C194" s="79" t="s">
        <v>10</v>
      </c>
      <c r="D194" s="79" t="s">
        <v>136</v>
      </c>
      <c r="E194" s="79" t="s">
        <v>12</v>
      </c>
      <c r="F194" s="79" t="s">
        <v>253</v>
      </c>
      <c r="G194" s="78" t="str">
        <f t="shared" si="13"/>
        <v>MGI Library 1.2.0.4</v>
      </c>
      <c r="H194" s="78" t="s">
        <v>202</v>
      </c>
    </row>
    <row r="195" spans="1:8" x14ac:dyDescent="0.25">
      <c r="A195" s="78" t="s">
        <v>279</v>
      </c>
      <c r="B195" s="79" t="s">
        <v>267</v>
      </c>
      <c r="C195" s="79" t="s">
        <v>10</v>
      </c>
      <c r="D195" s="79" t="s">
        <v>136</v>
      </c>
      <c r="E195" s="79" t="s">
        <v>12</v>
      </c>
      <c r="F195" s="79" t="s">
        <v>253</v>
      </c>
      <c r="G195" s="78" t="str">
        <f t="shared" si="13"/>
        <v>MGI Matrix &amp; Vector 1.1.0.1</v>
      </c>
      <c r="H195" s="78" t="s">
        <v>202</v>
      </c>
    </row>
    <row r="196" spans="1:8" x14ac:dyDescent="0.25">
      <c r="A196" s="78" t="s">
        <v>280</v>
      </c>
      <c r="B196" s="79" t="s">
        <v>281</v>
      </c>
      <c r="C196" s="79" t="s">
        <v>10</v>
      </c>
      <c r="D196" s="79" t="s">
        <v>136</v>
      </c>
      <c r="E196" s="79" t="s">
        <v>12</v>
      </c>
      <c r="F196" s="79" t="s">
        <v>253</v>
      </c>
      <c r="G196" s="78" t="str">
        <f t="shared" si="13"/>
        <v>MGI Menu Building 1.0.1.4</v>
      </c>
      <c r="H196" s="78" t="s">
        <v>202</v>
      </c>
    </row>
    <row r="197" spans="1:8" x14ac:dyDescent="0.25">
      <c r="A197" s="78" t="s">
        <v>282</v>
      </c>
      <c r="B197" s="79" t="s">
        <v>283</v>
      </c>
      <c r="C197" s="79" t="s">
        <v>10</v>
      </c>
      <c r="D197" s="79" t="s">
        <v>136</v>
      </c>
      <c r="E197" s="79" t="s">
        <v>12</v>
      </c>
      <c r="F197" s="79" t="s">
        <v>253</v>
      </c>
      <c r="G197" s="78" t="str">
        <f t="shared" si="13"/>
        <v>MGI Monitored Actor 2.0.0.23</v>
      </c>
      <c r="H197" s="78" t="s">
        <v>202</v>
      </c>
    </row>
    <row r="198" spans="1:8" x14ac:dyDescent="0.25">
      <c r="A198" s="78" t="s">
        <v>284</v>
      </c>
      <c r="B198" s="79" t="s">
        <v>285</v>
      </c>
      <c r="C198" s="79" t="s">
        <v>10</v>
      </c>
      <c r="D198" s="79" t="s">
        <v>136</v>
      </c>
      <c r="E198" s="79" t="s">
        <v>12</v>
      </c>
      <c r="F198" s="79" t="s">
        <v>253</v>
      </c>
      <c r="G198" s="78" t="str">
        <f t="shared" si="13"/>
        <v>MGI Numeric 1.1.0.2</v>
      </c>
      <c r="H198" s="78" t="s">
        <v>202</v>
      </c>
    </row>
    <row r="199" spans="1:8" x14ac:dyDescent="0.25">
      <c r="A199" s="78" t="s">
        <v>286</v>
      </c>
      <c r="B199" s="79" t="s">
        <v>281</v>
      </c>
      <c r="C199" s="79" t="s">
        <v>10</v>
      </c>
      <c r="D199" s="79" t="s">
        <v>136</v>
      </c>
      <c r="E199" s="79" t="s">
        <v>12</v>
      </c>
      <c r="F199" s="79" t="s">
        <v>253</v>
      </c>
      <c r="G199" s="78" t="str">
        <f t="shared" si="13"/>
        <v>MGI Panel Manager 1.0.1.4</v>
      </c>
      <c r="H199" s="78" t="s">
        <v>202</v>
      </c>
    </row>
    <row r="200" spans="1:8" x14ac:dyDescent="0.25">
      <c r="A200" s="78" t="s">
        <v>287</v>
      </c>
      <c r="B200" s="79" t="s">
        <v>257</v>
      </c>
      <c r="C200" s="79" t="s">
        <v>10</v>
      </c>
      <c r="D200" s="79" t="s">
        <v>136</v>
      </c>
      <c r="E200" s="79" t="s">
        <v>12</v>
      </c>
      <c r="F200" s="79" t="s">
        <v>253</v>
      </c>
      <c r="G200" s="78" t="str">
        <f t="shared" si="13"/>
        <v>MGI Panel Manager - DQMH Panels 1.0.1.6</v>
      </c>
      <c r="H200" s="78" t="s">
        <v>202</v>
      </c>
    </row>
    <row r="201" spans="1:8" x14ac:dyDescent="0.25">
      <c r="A201" s="78" t="s">
        <v>288</v>
      </c>
      <c r="B201" s="79" t="s">
        <v>289</v>
      </c>
      <c r="C201" s="79" t="s">
        <v>10</v>
      </c>
      <c r="D201" s="79" t="s">
        <v>136</v>
      </c>
      <c r="E201" s="79" t="s">
        <v>12</v>
      </c>
      <c r="F201" s="79" t="s">
        <v>253</v>
      </c>
      <c r="G201" s="78" t="str">
        <f t="shared" si="13"/>
        <v>MGI Picture &amp; Image 1.0.2.1</v>
      </c>
      <c r="H201" s="78" t="s">
        <v>202</v>
      </c>
    </row>
    <row r="202" spans="1:8" x14ac:dyDescent="0.25">
      <c r="A202" s="78" t="s">
        <v>290</v>
      </c>
      <c r="B202" s="79" t="s">
        <v>291</v>
      </c>
      <c r="C202" s="79" t="s">
        <v>10</v>
      </c>
      <c r="D202" s="79" t="s">
        <v>136</v>
      </c>
      <c r="E202" s="79" t="s">
        <v>12</v>
      </c>
      <c r="F202" s="79" t="s">
        <v>253</v>
      </c>
      <c r="G202" s="78" t="str">
        <f t="shared" si="13"/>
        <v>MGI Read/Write Anything 2.1.4.4</v>
      </c>
      <c r="H202" s="78" t="s">
        <v>202</v>
      </c>
    </row>
    <row r="203" spans="1:8" x14ac:dyDescent="0.25">
      <c r="A203" s="78" t="s">
        <v>292</v>
      </c>
      <c r="B203" s="79" t="s">
        <v>293</v>
      </c>
      <c r="C203" s="79" t="s">
        <v>10</v>
      </c>
      <c r="D203" s="79" t="s">
        <v>136</v>
      </c>
      <c r="E203" s="79" t="s">
        <v>12</v>
      </c>
      <c r="F203" s="79" t="s">
        <v>253</v>
      </c>
      <c r="G203" s="78" t="str">
        <f t="shared" si="13"/>
        <v>MGI Robust XML 1.0.3.4</v>
      </c>
      <c r="H203" s="78" t="s">
        <v>202</v>
      </c>
    </row>
    <row r="204" spans="1:8" x14ac:dyDescent="0.25">
      <c r="A204" s="78" t="s">
        <v>294</v>
      </c>
      <c r="B204" s="79" t="s">
        <v>267</v>
      </c>
      <c r="C204" s="79" t="s">
        <v>10</v>
      </c>
      <c r="D204" s="79" t="s">
        <v>136</v>
      </c>
      <c r="E204" s="79" t="s">
        <v>12</v>
      </c>
      <c r="F204" s="79" t="s">
        <v>253</v>
      </c>
      <c r="G204" s="78" t="str">
        <f t="shared" si="13"/>
        <v>MGI Spline 1.1.0.1</v>
      </c>
      <c r="H204" s="78" t="s">
        <v>202</v>
      </c>
    </row>
    <row r="205" spans="1:8" x14ac:dyDescent="0.25">
      <c r="A205" s="78" t="s">
        <v>295</v>
      </c>
      <c r="B205" s="79" t="s">
        <v>255</v>
      </c>
      <c r="C205" s="79" t="s">
        <v>10</v>
      </c>
      <c r="D205" s="79" t="s">
        <v>136</v>
      </c>
      <c r="E205" s="79" t="s">
        <v>12</v>
      </c>
      <c r="F205" s="79" t="s">
        <v>253</v>
      </c>
      <c r="G205" s="78" t="str">
        <f t="shared" si="13"/>
        <v>MGI String 1.1.1.5</v>
      </c>
      <c r="H205" s="78" t="s">
        <v>202</v>
      </c>
    </row>
    <row r="206" spans="1:8" x14ac:dyDescent="0.25">
      <c r="A206" s="78" t="s">
        <v>296</v>
      </c>
      <c r="B206" s="79" t="s">
        <v>285</v>
      </c>
      <c r="C206" s="79" t="s">
        <v>10</v>
      </c>
      <c r="D206" s="79" t="s">
        <v>136</v>
      </c>
      <c r="E206" s="79" t="s">
        <v>12</v>
      </c>
      <c r="F206" s="79" t="s">
        <v>253</v>
      </c>
      <c r="G206" s="78" t="str">
        <f t="shared" si="13"/>
        <v>MGI Timing 1.1.0.2</v>
      </c>
      <c r="H206" s="78" t="s">
        <v>202</v>
      </c>
    </row>
    <row r="207" spans="1:8" x14ac:dyDescent="0.25">
      <c r="A207" s="78" t="s">
        <v>297</v>
      </c>
      <c r="B207" s="79" t="s">
        <v>298</v>
      </c>
      <c r="C207" s="79" t="s">
        <v>10</v>
      </c>
      <c r="D207" s="79" t="s">
        <v>136</v>
      </c>
      <c r="E207" s="79" t="s">
        <v>12</v>
      </c>
      <c r="F207" s="79" t="s">
        <v>253</v>
      </c>
      <c r="G207" s="78" t="str">
        <f t="shared" si="13"/>
        <v>MGI Tools 1.0.0.4</v>
      </c>
      <c r="H207" s="78" t="s">
        <v>202</v>
      </c>
    </row>
    <row r="208" spans="1:8" x14ac:dyDescent="0.25">
      <c r="A208" s="78" t="s">
        <v>299</v>
      </c>
      <c r="B208" s="79" t="s">
        <v>300</v>
      </c>
      <c r="C208" s="79" t="s">
        <v>10</v>
      </c>
      <c r="D208" s="79" t="s">
        <v>136</v>
      </c>
      <c r="E208" s="79" t="s">
        <v>12</v>
      </c>
      <c r="F208" s="79" t="s">
        <v>253</v>
      </c>
      <c r="G208" s="78" t="str">
        <f t="shared" si="13"/>
        <v>MGI Tree 1.0.4.4</v>
      </c>
      <c r="H208" s="78" t="s">
        <v>202</v>
      </c>
    </row>
    <row r="209" spans="1:8" x14ac:dyDescent="0.25">
      <c r="A209" s="78" t="s">
        <v>301</v>
      </c>
      <c r="B209" s="79" t="s">
        <v>302</v>
      </c>
      <c r="C209" s="79" t="s">
        <v>10</v>
      </c>
      <c r="D209" s="79" t="s">
        <v>136</v>
      </c>
      <c r="E209" s="79" t="s">
        <v>12</v>
      </c>
      <c r="F209" s="79" t="s">
        <v>253</v>
      </c>
      <c r="G209" s="78" t="str">
        <f t="shared" si="13"/>
        <v>MGI User Interface 1.0.1.11</v>
      </c>
      <c r="H209" s="78" t="s">
        <v>202</v>
      </c>
    </row>
    <row r="210" spans="1:8" x14ac:dyDescent="0.25">
      <c r="A210" s="78" t="s">
        <v>303</v>
      </c>
      <c r="B210" s="79" t="s">
        <v>304</v>
      </c>
      <c r="C210" s="79" t="s">
        <v>10</v>
      </c>
      <c r="D210" s="79" t="s">
        <v>136</v>
      </c>
      <c r="E210" s="79" t="s">
        <v>12</v>
      </c>
      <c r="F210" s="79" t="s">
        <v>253</v>
      </c>
      <c r="G210" s="78" t="str">
        <f t="shared" si="13"/>
        <v>MGI WSA Framework 1.0.0.27</v>
      </c>
      <c r="H210" s="78" t="s">
        <v>202</v>
      </c>
    </row>
    <row r="211" spans="1:8" x14ac:dyDescent="0.25">
      <c r="A211" s="78" t="s">
        <v>245</v>
      </c>
      <c r="B211" s="79" t="s">
        <v>246</v>
      </c>
      <c r="C211" s="79" t="s">
        <v>10</v>
      </c>
      <c r="D211" s="79" t="s">
        <v>136</v>
      </c>
      <c r="E211" s="79" t="s">
        <v>12</v>
      </c>
      <c r="F211" s="79" t="s">
        <v>247</v>
      </c>
      <c r="G211" s="78" t="str">
        <f t="shared" si="13"/>
        <v>jki_rsc_toolkits_palette 1.1-1</v>
      </c>
      <c r="H211" s="78" t="s">
        <v>202</v>
      </c>
    </row>
    <row r="212" spans="1:8" x14ac:dyDescent="0.25">
      <c r="A212" s="78" t="s">
        <v>305</v>
      </c>
      <c r="B212" s="79" t="s">
        <v>306</v>
      </c>
      <c r="C212" s="79" t="s">
        <v>10</v>
      </c>
      <c r="D212" s="79" t="s">
        <v>136</v>
      </c>
      <c r="E212" s="79" t="s">
        <v>12</v>
      </c>
      <c r="F212" s="79" t="s">
        <v>13</v>
      </c>
      <c r="G212" s="78" t="s">
        <v>536</v>
      </c>
      <c r="H212" s="78" t="s">
        <v>202</v>
      </c>
    </row>
    <row r="213" spans="1:8" x14ac:dyDescent="0.25">
      <c r="A213" s="78" t="s">
        <v>165</v>
      </c>
      <c r="B213" s="79" t="s">
        <v>166</v>
      </c>
      <c r="C213" s="79" t="s">
        <v>10</v>
      </c>
      <c r="D213" s="79" t="s">
        <v>11</v>
      </c>
      <c r="E213" s="79" t="s">
        <v>12</v>
      </c>
      <c r="F213" s="79" t="s">
        <v>13</v>
      </c>
      <c r="G213" s="78" t="s">
        <v>537</v>
      </c>
      <c r="H213" s="78" t="s">
        <v>202</v>
      </c>
    </row>
    <row r="214" spans="1:8" x14ac:dyDescent="0.25">
      <c r="A214" s="78" t="s">
        <v>307</v>
      </c>
      <c r="B214" s="79" t="s">
        <v>308</v>
      </c>
      <c r="C214" s="79" t="s">
        <v>10</v>
      </c>
      <c r="D214" s="79" t="s">
        <v>136</v>
      </c>
      <c r="E214" s="79" t="s">
        <v>12</v>
      </c>
      <c r="F214" s="79" t="s">
        <v>13</v>
      </c>
      <c r="G214" s="78" t="str">
        <f t="shared" ref="G214:G233" si="14">A214&amp;" "&amp;B214</f>
        <v>NI GXML 1.4.2.8</v>
      </c>
      <c r="H214" s="78" t="s">
        <v>202</v>
      </c>
    </row>
    <row r="215" spans="1:8" x14ac:dyDescent="0.25">
      <c r="A215" s="78" t="s">
        <v>311</v>
      </c>
      <c r="B215" s="79" t="s">
        <v>312</v>
      </c>
      <c r="C215" s="79" t="s">
        <v>10</v>
      </c>
      <c r="D215" s="79" t="s">
        <v>136</v>
      </c>
      <c r="E215" s="79" t="s">
        <v>12</v>
      </c>
      <c r="F215" s="79" t="s">
        <v>13</v>
      </c>
      <c r="G215" s="78" t="str">
        <f t="shared" si="14"/>
        <v>NI Modbus Library 1.2.1.42</v>
      </c>
      <c r="H215" s="78" t="s">
        <v>202</v>
      </c>
    </row>
    <row r="216" spans="1:8" x14ac:dyDescent="0.25">
      <c r="A216" s="78" t="s">
        <v>359</v>
      </c>
      <c r="B216" s="79" t="s">
        <v>360</v>
      </c>
      <c r="C216" s="79" t="s">
        <v>10</v>
      </c>
      <c r="D216" s="79" t="s">
        <v>136</v>
      </c>
      <c r="E216" s="79" t="s">
        <v>12</v>
      </c>
      <c r="F216" s="79" t="s">
        <v>13</v>
      </c>
      <c r="G216" s="78" t="str">
        <f t="shared" si="14"/>
        <v>Structure Error Handler 2.1.10.1</v>
      </c>
      <c r="H216" s="78" t="s">
        <v>202</v>
      </c>
    </row>
    <row r="217" spans="1:8" x14ac:dyDescent="0.25">
      <c r="A217" s="78" t="s">
        <v>203</v>
      </c>
      <c r="B217" s="79" t="s">
        <v>204</v>
      </c>
      <c r="C217" s="79" t="s">
        <v>10</v>
      </c>
      <c r="D217" s="79" t="s">
        <v>136</v>
      </c>
      <c r="E217" s="79" t="s">
        <v>12</v>
      </c>
      <c r="F217" s="79" t="s">
        <v>538</v>
      </c>
      <c r="G217" s="78" t="str">
        <f t="shared" si="14"/>
        <v>Delacor QMH 4.0.0.28</v>
      </c>
      <c r="H217" s="78" t="s">
        <v>202</v>
      </c>
    </row>
    <row r="218" spans="1:8" x14ac:dyDescent="0.25">
      <c r="A218" s="78" t="s">
        <v>205</v>
      </c>
      <c r="B218" s="79" t="s">
        <v>535</v>
      </c>
      <c r="C218" s="79" t="s">
        <v>10</v>
      </c>
      <c r="D218" s="79" t="s">
        <v>136</v>
      </c>
      <c r="E218" s="79" t="s">
        <v>12</v>
      </c>
      <c r="F218" s="79" t="s">
        <v>538</v>
      </c>
      <c r="G218" s="78" t="str">
        <f t="shared" si="14"/>
        <v>Delacor QMH Event Scripter 4.0.0.68</v>
      </c>
      <c r="H218" s="78" t="s">
        <v>202</v>
      </c>
    </row>
    <row r="219" spans="1:8" x14ac:dyDescent="0.25">
      <c r="A219" s="78" t="s">
        <v>206</v>
      </c>
      <c r="B219" s="79" t="s">
        <v>207</v>
      </c>
      <c r="C219" s="79" t="s">
        <v>10</v>
      </c>
      <c r="D219" s="79" t="s">
        <v>136</v>
      </c>
      <c r="E219" s="79" t="s">
        <v>12</v>
      </c>
      <c r="F219" s="79" t="s">
        <v>538</v>
      </c>
      <c r="G219" s="78" t="str">
        <f t="shared" si="14"/>
        <v>Delacor QMH Palette 3.0.0.1</v>
      </c>
      <c r="H219" s="78" t="s">
        <v>202</v>
      </c>
    </row>
    <row r="220" spans="1:8" x14ac:dyDescent="0.25">
      <c r="A220" s="78" t="s">
        <v>208</v>
      </c>
      <c r="B220" s="79" t="s">
        <v>209</v>
      </c>
      <c r="C220" s="79" t="s">
        <v>10</v>
      </c>
      <c r="D220" s="79" t="s">
        <v>136</v>
      </c>
      <c r="E220" s="79" t="s">
        <v>12</v>
      </c>
      <c r="F220" s="79" t="s">
        <v>538</v>
      </c>
      <c r="G220" s="78" t="str">
        <f t="shared" si="14"/>
        <v>Delacor QMH Project Template 4.0.0.47</v>
      </c>
      <c r="H220" s="78" t="s">
        <v>202</v>
      </c>
    </row>
    <row r="221" spans="1:8" x14ac:dyDescent="0.25">
      <c r="A221" s="78" t="s">
        <v>210</v>
      </c>
      <c r="B221" s="79" t="s">
        <v>211</v>
      </c>
      <c r="C221" s="79" t="s">
        <v>10</v>
      </c>
      <c r="D221" s="79" t="s">
        <v>136</v>
      </c>
      <c r="E221" s="79" t="s">
        <v>12</v>
      </c>
      <c r="F221" s="79" t="s">
        <v>538</v>
      </c>
      <c r="G221" s="78" t="str">
        <f t="shared" si="14"/>
        <v>Delacor QMH Thermal Chamber Examples 4.0.0.21</v>
      </c>
      <c r="H221" s="78" t="s">
        <v>202</v>
      </c>
    </row>
    <row r="222" spans="1:8" x14ac:dyDescent="0.25">
      <c r="A222" s="78" t="s">
        <v>215</v>
      </c>
      <c r="B222" s="79" t="s">
        <v>216</v>
      </c>
      <c r="C222" s="79" t="s">
        <v>10</v>
      </c>
      <c r="D222" s="79" t="s">
        <v>136</v>
      </c>
      <c r="E222" s="79" t="s">
        <v>12</v>
      </c>
      <c r="F222" s="79" t="s">
        <v>217</v>
      </c>
      <c r="G222" s="78" t="str">
        <f t="shared" si="14"/>
        <v>GPower All Toolsets 2017.0.0.11</v>
      </c>
      <c r="H222" s="78" t="s">
        <v>202</v>
      </c>
    </row>
    <row r="223" spans="1:8" x14ac:dyDescent="0.25">
      <c r="A223" s="78" t="s">
        <v>218</v>
      </c>
      <c r="B223" s="79" t="s">
        <v>162</v>
      </c>
      <c r="C223" s="79" t="s">
        <v>10</v>
      </c>
      <c r="D223" s="79" t="s">
        <v>136</v>
      </c>
      <c r="E223" s="79" t="s">
        <v>12</v>
      </c>
      <c r="F223" s="79" t="s">
        <v>217</v>
      </c>
      <c r="G223" s="78" t="str">
        <f t="shared" si="14"/>
        <v>GPower Array 2016.2.0.27</v>
      </c>
      <c r="H223" s="78" t="s">
        <v>202</v>
      </c>
    </row>
    <row r="224" spans="1:8" x14ac:dyDescent="0.25">
      <c r="A224" s="78" t="s">
        <v>219</v>
      </c>
      <c r="B224" s="79" t="s">
        <v>220</v>
      </c>
      <c r="C224" s="79" t="s">
        <v>10</v>
      </c>
      <c r="D224" s="79" t="s">
        <v>136</v>
      </c>
      <c r="E224" s="79" t="s">
        <v>12</v>
      </c>
      <c r="F224" s="79" t="s">
        <v>217</v>
      </c>
      <c r="G224" s="78" t="str">
        <f t="shared" si="14"/>
        <v>GPower Comparison 2016.0.0.4</v>
      </c>
      <c r="H224" s="78" t="s">
        <v>202</v>
      </c>
    </row>
    <row r="225" spans="1:9" x14ac:dyDescent="0.25">
      <c r="A225" s="78" t="s">
        <v>221</v>
      </c>
      <c r="B225" s="79" t="s">
        <v>222</v>
      </c>
      <c r="C225" s="79" t="s">
        <v>10</v>
      </c>
      <c r="D225" s="79" t="s">
        <v>136</v>
      </c>
      <c r="E225" s="79" t="s">
        <v>12</v>
      </c>
      <c r="F225" s="79" t="s">
        <v>217</v>
      </c>
      <c r="G225" s="78" t="str">
        <f t="shared" si="14"/>
        <v>GPower Error &amp; Warning 2014.0.0.38</v>
      </c>
      <c r="H225" s="78" t="s">
        <v>202</v>
      </c>
    </row>
    <row r="226" spans="1:9" x14ac:dyDescent="0.25">
      <c r="A226" s="78" t="s">
        <v>223</v>
      </c>
      <c r="B226" s="79" t="s">
        <v>224</v>
      </c>
      <c r="C226" s="79" t="s">
        <v>10</v>
      </c>
      <c r="D226" s="79" t="s">
        <v>136</v>
      </c>
      <c r="E226" s="79" t="s">
        <v>12</v>
      </c>
      <c r="F226" s="79" t="s">
        <v>217</v>
      </c>
      <c r="G226" s="78" t="str">
        <f t="shared" si="14"/>
        <v>GPower Events 2012.0.0.7</v>
      </c>
      <c r="H226" s="78" t="s">
        <v>202</v>
      </c>
    </row>
    <row r="227" spans="1:9" x14ac:dyDescent="0.25">
      <c r="A227" s="78" t="s">
        <v>225</v>
      </c>
      <c r="B227" s="79" t="s">
        <v>226</v>
      </c>
      <c r="C227" s="79" t="s">
        <v>10</v>
      </c>
      <c r="D227" s="79" t="s">
        <v>136</v>
      </c>
      <c r="E227" s="79" t="s">
        <v>12</v>
      </c>
      <c r="F227" s="79" t="s">
        <v>217</v>
      </c>
      <c r="G227" s="78" t="str">
        <f t="shared" si="14"/>
        <v>GPower Math 2012.1.0.6</v>
      </c>
      <c r="H227" s="78" t="s">
        <v>202</v>
      </c>
    </row>
    <row r="228" spans="1:9" x14ac:dyDescent="0.25">
      <c r="A228" s="78" t="s">
        <v>227</v>
      </c>
      <c r="B228" s="79" t="s">
        <v>228</v>
      </c>
      <c r="C228" s="79" t="s">
        <v>10</v>
      </c>
      <c r="D228" s="79" t="s">
        <v>136</v>
      </c>
      <c r="E228" s="79" t="s">
        <v>12</v>
      </c>
      <c r="F228" s="79" t="s">
        <v>217</v>
      </c>
      <c r="G228" s="78" t="str">
        <f t="shared" si="14"/>
        <v>GPower Numeric 2016.2.0.14</v>
      </c>
      <c r="H228" s="78" t="s">
        <v>202</v>
      </c>
    </row>
    <row r="229" spans="1:9" x14ac:dyDescent="0.25">
      <c r="A229" s="78" t="s">
        <v>229</v>
      </c>
      <c r="B229" s="79" t="s">
        <v>230</v>
      </c>
      <c r="C229" s="79" t="s">
        <v>10</v>
      </c>
      <c r="D229" s="79" t="s">
        <v>136</v>
      </c>
      <c r="E229" s="79" t="s">
        <v>12</v>
      </c>
      <c r="F229" s="79" t="s">
        <v>217</v>
      </c>
      <c r="G229" s="78" t="str">
        <f t="shared" si="14"/>
        <v>GPower Overflow 2014.0.0.4</v>
      </c>
      <c r="H229" s="78" t="s">
        <v>202</v>
      </c>
    </row>
    <row r="230" spans="1:9" x14ac:dyDescent="0.25">
      <c r="A230" s="78" t="s">
        <v>231</v>
      </c>
      <c r="B230" s="79" t="s">
        <v>232</v>
      </c>
      <c r="C230" s="79" t="s">
        <v>10</v>
      </c>
      <c r="D230" s="79" t="s">
        <v>136</v>
      </c>
      <c r="E230" s="79" t="s">
        <v>12</v>
      </c>
      <c r="F230" s="79" t="s">
        <v>217</v>
      </c>
      <c r="G230" s="78" t="str">
        <f t="shared" si="14"/>
        <v>GPower String 2016.1.0.11</v>
      </c>
      <c r="H230" s="78" t="s">
        <v>202</v>
      </c>
    </row>
    <row r="231" spans="1:9" x14ac:dyDescent="0.25">
      <c r="A231" s="78" t="s">
        <v>233</v>
      </c>
      <c r="B231" s="79" t="s">
        <v>234</v>
      </c>
      <c r="C231" s="79" t="s">
        <v>10</v>
      </c>
      <c r="D231" s="79" t="s">
        <v>136</v>
      </c>
      <c r="E231" s="79" t="s">
        <v>12</v>
      </c>
      <c r="F231" s="79" t="s">
        <v>217</v>
      </c>
      <c r="G231" s="78" t="str">
        <f t="shared" si="14"/>
        <v>GPower Timing 2017.0.0.26</v>
      </c>
      <c r="H231" s="78" t="s">
        <v>202</v>
      </c>
    </row>
    <row r="232" spans="1:9" x14ac:dyDescent="0.25">
      <c r="A232" s="78" t="s">
        <v>235</v>
      </c>
      <c r="B232" s="79" t="s">
        <v>236</v>
      </c>
      <c r="C232" s="79" t="s">
        <v>10</v>
      </c>
      <c r="D232" s="79" t="s">
        <v>136</v>
      </c>
      <c r="E232" s="79" t="s">
        <v>12</v>
      </c>
      <c r="F232" s="79" t="s">
        <v>217</v>
      </c>
      <c r="G232" s="78" t="str">
        <f t="shared" si="14"/>
        <v>GPower VI Launcher 2012.2.0.26</v>
      </c>
      <c r="H232" s="78" t="s">
        <v>202</v>
      </c>
    </row>
    <row r="233" spans="1:9" x14ac:dyDescent="0.25">
      <c r="A233" s="78" t="s">
        <v>237</v>
      </c>
      <c r="B233" s="79" t="s">
        <v>238</v>
      </c>
      <c r="C233" s="79" t="s">
        <v>10</v>
      </c>
      <c r="D233" s="79" t="s">
        <v>136</v>
      </c>
      <c r="E233" s="79" t="s">
        <v>12</v>
      </c>
      <c r="F233" s="79" t="s">
        <v>217</v>
      </c>
      <c r="G233" s="78" t="str">
        <f t="shared" si="14"/>
        <v>GPower VI Register 2016.0.0.31</v>
      </c>
      <c r="H233" s="78" t="s">
        <v>202</v>
      </c>
    </row>
    <row r="234" spans="1:9" x14ac:dyDescent="0.25">
      <c r="A234" s="78" t="s">
        <v>237</v>
      </c>
      <c r="B234" s="79" t="s">
        <v>238</v>
      </c>
      <c r="C234" s="79" t="s">
        <v>10</v>
      </c>
      <c r="D234" s="79" t="s">
        <v>136</v>
      </c>
      <c r="E234" s="79" t="s">
        <v>12</v>
      </c>
      <c r="F234" s="79" t="s">
        <v>217</v>
      </c>
      <c r="G234" s="78" t="str">
        <f t="shared" ref="G234:G242" si="15">A234&amp;" "&amp;B234</f>
        <v>GPower VI Register 2016.0.0.31</v>
      </c>
      <c r="H234" s="78" t="s">
        <v>202</v>
      </c>
    </row>
    <row r="235" spans="1:9" x14ac:dyDescent="0.25">
      <c r="A235" s="78" t="s">
        <v>241</v>
      </c>
      <c r="B235" s="79" t="s">
        <v>242</v>
      </c>
      <c r="C235" s="79" t="s">
        <v>10</v>
      </c>
      <c r="D235" s="79" t="s">
        <v>136</v>
      </c>
      <c r="E235" s="79" t="s">
        <v>12</v>
      </c>
      <c r="F235" s="79" t="s">
        <v>158</v>
      </c>
      <c r="G235" s="78" t="str">
        <f t="shared" si="15"/>
        <v>JKI State Machine Editor 2013.6.3.239</v>
      </c>
      <c r="H235" s="78" t="s">
        <v>202</v>
      </c>
    </row>
    <row r="236" spans="1:9" x14ac:dyDescent="0.25">
      <c r="A236" s="78" t="s">
        <v>243</v>
      </c>
      <c r="B236" s="79" t="s">
        <v>244</v>
      </c>
      <c r="C236" s="79" t="s">
        <v>10</v>
      </c>
      <c r="D236" s="79" t="s">
        <v>136</v>
      </c>
      <c r="E236" s="79" t="s">
        <v>12</v>
      </c>
      <c r="F236" s="79" t="s">
        <v>158</v>
      </c>
      <c r="G236" s="78" t="str">
        <f t="shared" si="15"/>
        <v>JKI State Machine Objects (SMO) 1.3.0.56</v>
      </c>
      <c r="H236" s="78" t="s">
        <v>202</v>
      </c>
    </row>
    <row r="237" spans="1:9" x14ac:dyDescent="0.25">
      <c r="A237" s="78" t="s">
        <v>167</v>
      </c>
      <c r="B237" s="79" t="s">
        <v>168</v>
      </c>
      <c r="C237" s="79" t="s">
        <v>10</v>
      </c>
      <c r="D237" s="79" t="s">
        <v>136</v>
      </c>
      <c r="E237" s="79" t="s">
        <v>12</v>
      </c>
      <c r="F237" s="79" t="s">
        <v>167</v>
      </c>
      <c r="G237" s="78" t="str">
        <f t="shared" si="15"/>
        <v>OpenGDS 1.1.17</v>
      </c>
      <c r="H237" s="78" t="s">
        <v>202</v>
      </c>
    </row>
    <row r="238" spans="1:9" x14ac:dyDescent="0.25">
      <c r="A238" s="161" t="s">
        <v>200</v>
      </c>
      <c r="B238" s="162" t="s">
        <v>201</v>
      </c>
      <c r="C238" s="162" t="s">
        <v>10</v>
      </c>
      <c r="D238" s="162" t="s">
        <v>136</v>
      </c>
      <c r="E238" s="162" t="s">
        <v>12</v>
      </c>
      <c r="F238" s="162" t="s">
        <v>158</v>
      </c>
      <c r="G238" s="161" t="str">
        <f t="shared" si="15"/>
        <v>Caraya Unit Test Framework 0.6.3.54</v>
      </c>
      <c r="H238" s="161" t="s">
        <v>202</v>
      </c>
    </row>
    <row r="239" spans="1:9" s="159" customFormat="1" x14ac:dyDescent="0.25">
      <c r="A239" s="166" t="s">
        <v>363</v>
      </c>
      <c r="B239" s="166" t="s">
        <v>30</v>
      </c>
      <c r="C239" s="166">
        <v>32</v>
      </c>
      <c r="D239" s="166">
        <v>2015</v>
      </c>
      <c r="E239" s="166" t="s">
        <v>12</v>
      </c>
      <c r="F239" s="166" t="s">
        <v>13</v>
      </c>
      <c r="G239" s="166" t="str">
        <f t="shared" si="15"/>
        <v>NI-CAN 15.0.0f0</v>
      </c>
      <c r="H239" s="166" t="s">
        <v>555</v>
      </c>
      <c r="I239" s="160"/>
    </row>
    <row r="240" spans="1:9" s="159" customFormat="1" x14ac:dyDescent="0.25">
      <c r="A240" s="167" t="s">
        <v>396</v>
      </c>
      <c r="B240" s="167" t="s">
        <v>146</v>
      </c>
      <c r="C240" s="167" t="s">
        <v>10</v>
      </c>
      <c r="D240" s="167" t="s">
        <v>130</v>
      </c>
      <c r="E240" s="167" t="s">
        <v>12</v>
      </c>
      <c r="F240" s="167" t="s">
        <v>13</v>
      </c>
      <c r="G240" s="167" t="str">
        <f t="shared" si="15"/>
        <v>NI-XNET 18.5.0f0</v>
      </c>
      <c r="H240" s="167" t="s">
        <v>554</v>
      </c>
      <c r="I240" s="160"/>
    </row>
    <row r="241" spans="1:9" x14ac:dyDescent="0.25">
      <c r="A241" s="168" t="s">
        <v>365</v>
      </c>
      <c r="B241" s="168">
        <v>15</v>
      </c>
      <c r="C241" s="169">
        <v>32</v>
      </c>
      <c r="D241" s="168">
        <v>2015</v>
      </c>
      <c r="E241" s="168" t="s">
        <v>12</v>
      </c>
      <c r="F241" s="168" t="s">
        <v>13</v>
      </c>
      <c r="G241" s="168" t="str">
        <f t="shared" si="15"/>
        <v>FieldPoint 15</v>
      </c>
      <c r="H241" s="168" t="s">
        <v>556</v>
      </c>
      <c r="I241" s="7"/>
    </row>
    <row r="242" spans="1:9" x14ac:dyDescent="0.25">
      <c r="A242" s="168" t="s">
        <v>553</v>
      </c>
      <c r="B242" s="168">
        <v>15</v>
      </c>
      <c r="C242" s="168">
        <v>32</v>
      </c>
      <c r="D242" s="168">
        <v>2015</v>
      </c>
      <c r="E242" s="168" t="s">
        <v>12</v>
      </c>
      <c r="F242" s="168" t="s">
        <v>13</v>
      </c>
      <c r="G242" s="168" t="str">
        <f t="shared" si="15"/>
        <v>LabVIEW Interface 15</v>
      </c>
      <c r="H242" s="168" t="s">
        <v>556</v>
      </c>
      <c r="I242" s="7"/>
    </row>
    <row r="243" spans="1:9" x14ac:dyDescent="0.25">
      <c r="A243" s="163"/>
      <c r="B243" s="164"/>
      <c r="C243" s="165"/>
      <c r="D243" s="165"/>
      <c r="E243" s="165"/>
      <c r="F243" s="165"/>
      <c r="G243" s="163"/>
      <c r="H243" s="163"/>
    </row>
  </sheetData>
  <autoFilter ref="A3:H141" xr:uid="{43BC10AA-D6F8-4ACA-AD1B-E70DA740C335}">
    <sortState xmlns:xlrd2="http://schemas.microsoft.com/office/spreadsheetml/2017/richdata2" ref="A4:H85">
      <sortCondition ref="G3:G85"/>
    </sortState>
  </autoFilter>
  <mergeCells count="1">
    <mergeCell ref="A1:H2"/>
  </mergeCells>
  <hyperlinks>
    <hyperlink ref="F157" r:id="rId1" display="http://openg.org/" xr:uid="{B446C77A-E3E3-4E31-8B03-9D6C938222F8}"/>
    <hyperlink ref="F158" r:id="rId2" display="http://openg.org/" xr:uid="{8E2B50EB-291C-4EDA-B0F1-D900FBD69FD5}"/>
    <hyperlink ref="F159" r:id="rId3" display="http://openg.org/" xr:uid="{8042162C-33E3-439F-A1E8-3C31099286CB}"/>
    <hyperlink ref="F160" r:id="rId4" display="http://openg.org/" xr:uid="{9673A03C-7B38-4DCB-BA7A-FD4D280DEE4C}"/>
    <hyperlink ref="F161" r:id="rId5" display="http://openg.org/" xr:uid="{9BD4FEE8-62F8-4716-8773-57F783BC2145}"/>
    <hyperlink ref="F162" r:id="rId6" display="http://openg.org/" xr:uid="{A5639DDC-922A-40C1-85CE-956CE952B4B5}"/>
    <hyperlink ref="F163" r:id="rId7" display="http://openg.org/" xr:uid="{6562E0F3-D6B2-4F56-A8AD-9B0B1C010BD3}"/>
    <hyperlink ref="F164" r:id="rId8" display="http://openg.org/" xr:uid="{012764B9-16AD-40E6-BB00-40B6418B5D87}"/>
    <hyperlink ref="F165" r:id="rId9" display="http://openg.org/" xr:uid="{2739134B-036B-4ABD-A25E-1C30699932EE}"/>
    <hyperlink ref="F166" r:id="rId10" display="http://openg.org/" xr:uid="{F69B0C8D-B27D-4446-A197-C74183C57153}"/>
    <hyperlink ref="F169" r:id="rId11" display="http://openg.org/" xr:uid="{B2FB60C7-2E1E-4910-A9A6-59F9B0BA8A12}"/>
    <hyperlink ref="F170" r:id="rId12" display="http://openg.org/" xr:uid="{7AF0C2C7-B32C-4115-8DC3-7468BB171B10}"/>
    <hyperlink ref="F171" r:id="rId13" display="http://openg.org/" xr:uid="{6DDB2B10-EC7D-4B32-A735-AF59F2A85DEA}"/>
    <hyperlink ref="F172" r:id="rId14" display="http://openg.org/" xr:uid="{0A80548A-459E-4B1E-A886-F4246D977EC4}"/>
    <hyperlink ref="F173" r:id="rId15" display="http://openg.org/" xr:uid="{808DE125-28BC-4A64-8CDC-B916A71E1159}"/>
    <hyperlink ref="F174" r:id="rId16" display="http://openg.org/" xr:uid="{7616BC88-F2E4-40B4-9E53-3F14C10714F0}"/>
    <hyperlink ref="F175" r:id="rId17" display="http://openg.org/" xr:uid="{06B4014B-480E-4DCA-8431-842D22FD307B}"/>
    <hyperlink ref="F176" r:id="rId18" display="http://openg.org/" xr:uid="{964936D9-6D6E-4629-A7C3-A793A361C680}"/>
    <hyperlink ref="F177" r:id="rId19" display="http://openg.org/" xr:uid="{C7C8B123-8D41-43C4-A227-ECE4F084E46B}"/>
    <hyperlink ref="F178" r:id="rId20" display="http://openg.org/" xr:uid="{940EBE7A-DAF7-4FD6-A953-B58B14EE9DB3}"/>
    <hyperlink ref="F179" r:id="rId21" display="http://openg.org/" xr:uid="{248E1233-331D-4A9C-8F6E-705CCE5223E5}"/>
    <hyperlink ref="F180" r:id="rId22" display="http://openg.org/" xr:uid="{531CC195-0CCB-41BD-8C34-A2E770FDF5C9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212D-BA30-44CA-971C-A3ECE4AEA4B6}">
  <sheetPr codeName="Sheet9"/>
  <dimension ref="A1:T120"/>
  <sheetViews>
    <sheetView topLeftCell="N1" zoomScaleNormal="100" workbookViewId="0">
      <pane ySplit="3" topLeftCell="A106" activePane="bottomLeft" state="frozen"/>
      <selection pane="bottomLeft" activeCell="W108" sqref="W108"/>
    </sheetView>
  </sheetViews>
  <sheetFormatPr defaultColWidth="30.140625" defaultRowHeight="15" x14ac:dyDescent="0.25"/>
  <cols>
    <col min="1" max="1" width="29.85546875" style="40" bestFit="1" customWidth="1"/>
    <col min="2" max="2" width="27" style="40" bestFit="1" customWidth="1"/>
    <col min="3" max="3" width="29.85546875" style="40" bestFit="1" customWidth="1"/>
    <col min="4" max="4" width="27" style="40" bestFit="1" customWidth="1"/>
    <col min="5" max="5" width="30.7109375" style="40" bestFit="1" customWidth="1"/>
    <col min="6" max="6" width="27" style="40" bestFit="1" customWidth="1"/>
    <col min="7" max="7" width="30.140625" style="40"/>
    <col min="8" max="8" width="27" style="40" bestFit="1" customWidth="1"/>
    <col min="9" max="9" width="30.140625" style="108"/>
    <col min="10" max="10" width="28" style="108" bestFit="1" customWidth="1"/>
    <col min="11" max="11" width="30.140625" style="40"/>
    <col min="12" max="12" width="28" style="40" bestFit="1" customWidth="1"/>
    <col min="13" max="13" width="30.140625" style="108"/>
    <col min="14" max="14" width="28" style="108" bestFit="1" customWidth="1"/>
    <col min="15" max="15" width="29" style="40" bestFit="1" customWidth="1"/>
    <col min="16" max="16" width="28.85546875" style="40" bestFit="1" customWidth="1"/>
    <col min="17" max="17" width="17.28515625" style="108" bestFit="1" customWidth="1"/>
    <col min="18" max="18" width="29.85546875" style="108" bestFit="1" customWidth="1"/>
    <col min="19" max="19" width="30.140625" style="108"/>
    <col min="20" max="20" width="29.85546875" style="108" bestFit="1" customWidth="1"/>
    <col min="21" max="16384" width="30.140625" style="108"/>
  </cols>
  <sheetData>
    <row r="1" spans="1:20" x14ac:dyDescent="0.25">
      <c r="A1" s="106"/>
      <c r="B1" s="106"/>
      <c r="C1" s="106"/>
      <c r="D1" s="106"/>
      <c r="E1" s="106"/>
      <c r="F1" s="106"/>
      <c r="G1" s="106"/>
      <c r="H1" s="107"/>
    </row>
    <row r="2" spans="1:20" ht="15.75" thickBot="1" x14ac:dyDescent="0.3">
      <c r="A2" s="106"/>
      <c r="B2" s="106"/>
      <c r="C2" s="106"/>
      <c r="D2" s="106"/>
      <c r="E2" s="106"/>
      <c r="F2" s="106"/>
      <c r="G2" s="106"/>
      <c r="H2" s="107"/>
      <c r="I2" s="109"/>
      <c r="J2" s="109"/>
      <c r="K2" s="110"/>
      <c r="L2" s="110"/>
      <c r="M2" s="109"/>
      <c r="N2" s="109"/>
      <c r="O2" s="110"/>
      <c r="P2" s="110"/>
      <c r="Q2" s="109"/>
      <c r="R2" s="109"/>
      <c r="S2" s="109"/>
      <c r="T2" s="109"/>
    </row>
    <row r="3" spans="1:20" ht="16.5" thickBot="1" x14ac:dyDescent="0.3">
      <c r="A3" s="135" t="s">
        <v>42</v>
      </c>
      <c r="B3" s="136"/>
      <c r="C3" s="137" t="s">
        <v>91</v>
      </c>
      <c r="D3" s="138"/>
      <c r="E3" s="139" t="s">
        <v>464</v>
      </c>
      <c r="F3" s="140"/>
      <c r="G3" s="141" t="s">
        <v>424</v>
      </c>
      <c r="H3" s="142"/>
      <c r="I3" s="143" t="s">
        <v>476</v>
      </c>
      <c r="J3" s="144"/>
      <c r="K3" s="145" t="s">
        <v>494</v>
      </c>
      <c r="L3" s="146"/>
      <c r="M3" s="147" t="s">
        <v>497</v>
      </c>
      <c r="N3" s="148"/>
      <c r="O3" s="154" t="s">
        <v>363</v>
      </c>
      <c r="P3" s="155"/>
      <c r="Q3" s="156" t="s">
        <v>550</v>
      </c>
      <c r="R3" s="156"/>
      <c r="S3" s="157" t="s">
        <v>552</v>
      </c>
      <c r="T3" s="158"/>
    </row>
    <row r="4" spans="1:20" x14ac:dyDescent="0.25">
      <c r="A4" s="111" t="s">
        <v>14</v>
      </c>
      <c r="B4" s="111" t="s">
        <v>9</v>
      </c>
      <c r="C4" s="112" t="s">
        <v>14</v>
      </c>
      <c r="D4" s="112" t="s">
        <v>9</v>
      </c>
      <c r="E4" s="113" t="s">
        <v>14</v>
      </c>
      <c r="F4" s="113" t="s">
        <v>9</v>
      </c>
      <c r="G4" s="114" t="s">
        <v>14</v>
      </c>
      <c r="H4" s="115" t="s">
        <v>9</v>
      </c>
      <c r="I4" s="116" t="s">
        <v>14</v>
      </c>
      <c r="J4" s="116" t="s">
        <v>477</v>
      </c>
      <c r="K4" s="117" t="s">
        <v>14</v>
      </c>
      <c r="L4" s="118" t="s">
        <v>477</v>
      </c>
      <c r="M4" s="48" t="s">
        <v>14</v>
      </c>
      <c r="N4" s="94" t="s">
        <v>477</v>
      </c>
      <c r="O4" s="149" t="s">
        <v>14</v>
      </c>
      <c r="P4" s="150" t="s">
        <v>477</v>
      </c>
      <c r="Q4" s="151" t="s">
        <v>14</v>
      </c>
      <c r="R4" s="152" t="s">
        <v>477</v>
      </c>
      <c r="S4" s="153" t="s">
        <v>14</v>
      </c>
      <c r="T4" s="153" t="s">
        <v>477</v>
      </c>
    </row>
    <row r="5" spans="1:20" ht="28.5" x14ac:dyDescent="0.25">
      <c r="A5" s="119" t="s">
        <v>15</v>
      </c>
      <c r="B5" s="119" t="s">
        <v>9</v>
      </c>
      <c r="C5" s="120" t="s">
        <v>15</v>
      </c>
      <c r="D5" s="120" t="s">
        <v>9</v>
      </c>
      <c r="E5" s="121" t="s">
        <v>15</v>
      </c>
      <c r="F5" s="121" t="s">
        <v>9</v>
      </c>
      <c r="G5" s="122" t="s">
        <v>15</v>
      </c>
      <c r="H5" s="123" t="s">
        <v>9</v>
      </c>
      <c r="I5" s="124" t="s">
        <v>15</v>
      </c>
      <c r="J5" s="124" t="s">
        <v>477</v>
      </c>
      <c r="K5" s="125" t="s">
        <v>15</v>
      </c>
      <c r="L5" s="126" t="s">
        <v>477</v>
      </c>
      <c r="M5" s="47" t="s">
        <v>15</v>
      </c>
      <c r="N5" s="95" t="s">
        <v>477</v>
      </c>
      <c r="O5" s="128" t="s">
        <v>15</v>
      </c>
      <c r="P5" s="130" t="s">
        <v>477</v>
      </c>
      <c r="Q5" s="131" t="s">
        <v>15</v>
      </c>
      <c r="R5" s="132" t="s">
        <v>477</v>
      </c>
      <c r="S5" s="134" t="s">
        <v>15</v>
      </c>
      <c r="T5" s="134" t="s">
        <v>477</v>
      </c>
    </row>
    <row r="6" spans="1:20" x14ac:dyDescent="0.25">
      <c r="A6" s="119" t="s">
        <v>75</v>
      </c>
      <c r="B6" s="119" t="s">
        <v>9</v>
      </c>
      <c r="C6" s="120" t="s">
        <v>75</v>
      </c>
      <c r="D6" s="120" t="s">
        <v>9</v>
      </c>
      <c r="E6" s="121" t="s">
        <v>75</v>
      </c>
      <c r="F6" s="121" t="s">
        <v>9</v>
      </c>
      <c r="G6" s="122" t="s">
        <v>75</v>
      </c>
      <c r="H6" s="123" t="s">
        <v>9</v>
      </c>
      <c r="I6" s="124" t="s">
        <v>75</v>
      </c>
      <c r="J6" s="124" t="s">
        <v>9</v>
      </c>
      <c r="K6" s="125" t="s">
        <v>75</v>
      </c>
      <c r="L6" s="126" t="s">
        <v>9</v>
      </c>
      <c r="M6" s="47" t="s">
        <v>75</v>
      </c>
      <c r="N6" s="95" t="s">
        <v>9</v>
      </c>
      <c r="O6" s="128" t="s">
        <v>75</v>
      </c>
      <c r="P6" s="130" t="s">
        <v>9</v>
      </c>
      <c r="Q6" s="131" t="s">
        <v>75</v>
      </c>
      <c r="R6" s="132" t="s">
        <v>9</v>
      </c>
      <c r="S6" s="134" t="s">
        <v>75</v>
      </c>
      <c r="T6" s="134" t="s">
        <v>9</v>
      </c>
    </row>
    <row r="7" spans="1:20" x14ac:dyDescent="0.25">
      <c r="A7" s="119" t="s">
        <v>35</v>
      </c>
      <c r="B7" s="119" t="s">
        <v>9</v>
      </c>
      <c r="C7" s="120" t="s">
        <v>35</v>
      </c>
      <c r="D7" s="120" t="s">
        <v>9</v>
      </c>
      <c r="E7" s="121" t="s">
        <v>35</v>
      </c>
      <c r="F7" s="121" t="s">
        <v>9</v>
      </c>
      <c r="G7" s="122" t="s">
        <v>35</v>
      </c>
      <c r="H7" s="123" t="s">
        <v>9</v>
      </c>
      <c r="I7" s="124" t="s">
        <v>35</v>
      </c>
      <c r="J7" s="124" t="s">
        <v>9</v>
      </c>
      <c r="K7" s="125" t="s">
        <v>35</v>
      </c>
      <c r="L7" s="126" t="s">
        <v>9</v>
      </c>
      <c r="M7" s="47" t="s">
        <v>35</v>
      </c>
      <c r="N7" s="95" t="s">
        <v>9</v>
      </c>
      <c r="O7" s="128" t="s">
        <v>35</v>
      </c>
      <c r="P7" s="130" t="s">
        <v>9</v>
      </c>
      <c r="Q7" s="131" t="s">
        <v>35</v>
      </c>
      <c r="R7" s="132" t="s">
        <v>9</v>
      </c>
      <c r="S7" s="134" t="s">
        <v>35</v>
      </c>
      <c r="T7" s="134" t="s">
        <v>9</v>
      </c>
    </row>
    <row r="8" spans="1:20" ht="30" x14ac:dyDescent="0.25">
      <c r="A8" s="119" t="s">
        <v>76</v>
      </c>
      <c r="B8" s="119" t="s">
        <v>77</v>
      </c>
      <c r="C8" s="120" t="s">
        <v>76</v>
      </c>
      <c r="D8" s="120" t="s">
        <v>77</v>
      </c>
      <c r="E8" s="121" t="s">
        <v>76</v>
      </c>
      <c r="F8" s="121" t="s">
        <v>77</v>
      </c>
      <c r="G8" s="122" t="s">
        <v>76</v>
      </c>
      <c r="H8" s="123" t="s">
        <v>77</v>
      </c>
      <c r="I8" s="124" t="s">
        <v>76</v>
      </c>
      <c r="J8" s="124" t="s">
        <v>77</v>
      </c>
      <c r="K8" s="125" t="s">
        <v>76</v>
      </c>
      <c r="L8" s="126" t="s">
        <v>77</v>
      </c>
      <c r="M8" s="47" t="s">
        <v>76</v>
      </c>
      <c r="N8" s="95" t="s">
        <v>77</v>
      </c>
      <c r="O8" s="128" t="s">
        <v>76</v>
      </c>
      <c r="P8" s="130" t="s">
        <v>77</v>
      </c>
      <c r="Q8" s="131" t="s">
        <v>76</v>
      </c>
      <c r="R8" s="132" t="s">
        <v>77</v>
      </c>
      <c r="S8" s="134" t="s">
        <v>76</v>
      </c>
      <c r="T8" s="134" t="s">
        <v>77</v>
      </c>
    </row>
    <row r="9" spans="1:20" x14ac:dyDescent="0.25">
      <c r="A9" s="119" t="s">
        <v>78</v>
      </c>
      <c r="B9" s="119" t="s">
        <v>79</v>
      </c>
      <c r="C9" s="120" t="s">
        <v>78</v>
      </c>
      <c r="D9" s="120" t="s">
        <v>79</v>
      </c>
      <c r="E9" s="121" t="s">
        <v>78</v>
      </c>
      <c r="F9" s="121" t="s">
        <v>79</v>
      </c>
      <c r="G9" s="122" t="s">
        <v>78</v>
      </c>
      <c r="H9" s="123" t="s">
        <v>79</v>
      </c>
      <c r="I9" s="124" t="s">
        <v>78</v>
      </c>
      <c r="J9" s="124" t="s">
        <v>79</v>
      </c>
      <c r="K9" s="125" t="s">
        <v>78</v>
      </c>
      <c r="L9" s="126" t="s">
        <v>79</v>
      </c>
      <c r="M9" s="47" t="s">
        <v>78</v>
      </c>
      <c r="N9" s="95" t="s">
        <v>79</v>
      </c>
      <c r="O9" s="128" t="s">
        <v>78</v>
      </c>
      <c r="P9" s="130" t="s">
        <v>79</v>
      </c>
      <c r="Q9" s="131" t="s">
        <v>78</v>
      </c>
      <c r="R9" s="132" t="s">
        <v>79</v>
      </c>
      <c r="S9" s="134" t="s">
        <v>78</v>
      </c>
      <c r="T9" s="134" t="s">
        <v>79</v>
      </c>
    </row>
    <row r="10" spans="1:20" x14ac:dyDescent="0.25">
      <c r="A10" s="119" t="s">
        <v>80</v>
      </c>
      <c r="B10" s="119" t="s">
        <v>81</v>
      </c>
      <c r="C10" s="120" t="s">
        <v>80</v>
      </c>
      <c r="D10" s="120" t="s">
        <v>81</v>
      </c>
      <c r="E10" s="121" t="s">
        <v>80</v>
      </c>
      <c r="F10" s="121" t="s">
        <v>81</v>
      </c>
      <c r="G10" s="122" t="s">
        <v>80</v>
      </c>
      <c r="H10" s="123" t="s">
        <v>81</v>
      </c>
      <c r="I10" s="124" t="s">
        <v>80</v>
      </c>
      <c r="J10" s="124" t="s">
        <v>81</v>
      </c>
      <c r="K10" s="125" t="s">
        <v>80</v>
      </c>
      <c r="L10" s="126" t="s">
        <v>81</v>
      </c>
      <c r="M10" s="47" t="s">
        <v>80</v>
      </c>
      <c r="N10" s="95" t="s">
        <v>81</v>
      </c>
      <c r="O10" s="128" t="s">
        <v>80</v>
      </c>
      <c r="P10" s="130" t="s">
        <v>81</v>
      </c>
      <c r="Q10" s="131" t="s">
        <v>80</v>
      </c>
      <c r="R10" s="132" t="s">
        <v>81</v>
      </c>
      <c r="S10" s="134" t="s">
        <v>80</v>
      </c>
      <c r="T10" s="134" t="s">
        <v>81</v>
      </c>
    </row>
    <row r="11" spans="1:20" ht="42.75" x14ac:dyDescent="0.25">
      <c r="A11" s="119" t="s">
        <v>82</v>
      </c>
      <c r="B11" s="119" t="s">
        <v>9</v>
      </c>
      <c r="C11" s="120" t="s">
        <v>82</v>
      </c>
      <c r="D11" s="120" t="s">
        <v>9</v>
      </c>
      <c r="E11" s="121" t="s">
        <v>82</v>
      </c>
      <c r="F11" s="121" t="s">
        <v>9</v>
      </c>
      <c r="G11" s="122" t="s">
        <v>82</v>
      </c>
      <c r="H11" s="123" t="s">
        <v>9</v>
      </c>
      <c r="I11" s="124" t="s">
        <v>82</v>
      </c>
      <c r="J11" s="124" t="s">
        <v>9</v>
      </c>
      <c r="K11" s="125" t="s">
        <v>82</v>
      </c>
      <c r="L11" s="126" t="s">
        <v>9</v>
      </c>
      <c r="M11" s="47" t="s">
        <v>82</v>
      </c>
      <c r="N11" s="95" t="s">
        <v>9</v>
      </c>
      <c r="O11" s="128" t="s">
        <v>82</v>
      </c>
      <c r="P11" s="130" t="s">
        <v>9</v>
      </c>
      <c r="Q11" s="131" t="s">
        <v>82</v>
      </c>
      <c r="R11" s="132" t="s">
        <v>9</v>
      </c>
      <c r="S11" s="134" t="s">
        <v>82</v>
      </c>
      <c r="T11" s="134" t="s">
        <v>9</v>
      </c>
    </row>
    <row r="12" spans="1:20" ht="42.75" x14ac:dyDescent="0.25">
      <c r="A12" s="119" t="s">
        <v>83</v>
      </c>
      <c r="B12" s="119" t="s">
        <v>84</v>
      </c>
      <c r="C12" s="120" t="s">
        <v>83</v>
      </c>
      <c r="D12" s="120" t="s">
        <v>84</v>
      </c>
      <c r="E12" s="121" t="s">
        <v>83</v>
      </c>
      <c r="F12" s="121" t="s">
        <v>84</v>
      </c>
      <c r="G12" s="122" t="s">
        <v>83</v>
      </c>
      <c r="H12" s="123" t="s">
        <v>84</v>
      </c>
      <c r="I12" s="124" t="s">
        <v>83</v>
      </c>
      <c r="J12" s="124" t="s">
        <v>84</v>
      </c>
      <c r="K12" s="125" t="s">
        <v>83</v>
      </c>
      <c r="L12" s="126" t="s">
        <v>84</v>
      </c>
      <c r="M12" s="47" t="s">
        <v>83</v>
      </c>
      <c r="N12" s="95" t="s">
        <v>84</v>
      </c>
      <c r="O12" s="128" t="s">
        <v>83</v>
      </c>
      <c r="P12" s="130" t="s">
        <v>84</v>
      </c>
      <c r="Q12" s="131" t="s">
        <v>83</v>
      </c>
      <c r="R12" s="132" t="s">
        <v>84</v>
      </c>
      <c r="S12" s="134" t="s">
        <v>83</v>
      </c>
      <c r="T12" s="134" t="s">
        <v>84</v>
      </c>
    </row>
    <row r="13" spans="1:20" x14ac:dyDescent="0.25">
      <c r="A13" s="119" t="s">
        <v>85</v>
      </c>
      <c r="B13" s="119" t="s">
        <v>86</v>
      </c>
      <c r="C13" s="120" t="s">
        <v>85</v>
      </c>
      <c r="D13" s="120" t="s">
        <v>86</v>
      </c>
      <c r="E13" s="121" t="s">
        <v>85</v>
      </c>
      <c r="F13" s="121" t="s">
        <v>86</v>
      </c>
      <c r="G13" s="122" t="s">
        <v>85</v>
      </c>
      <c r="H13" s="123" t="s">
        <v>86</v>
      </c>
      <c r="I13" s="124" t="s">
        <v>85</v>
      </c>
      <c r="J13" s="124" t="s">
        <v>86</v>
      </c>
      <c r="K13" s="125" t="s">
        <v>85</v>
      </c>
      <c r="L13" s="126" t="s">
        <v>86</v>
      </c>
      <c r="M13" s="47" t="s">
        <v>85</v>
      </c>
      <c r="N13" s="95" t="s">
        <v>86</v>
      </c>
      <c r="O13" s="128" t="s">
        <v>85</v>
      </c>
      <c r="P13" s="130" t="s">
        <v>86</v>
      </c>
      <c r="Q13" s="131" t="s">
        <v>85</v>
      </c>
      <c r="R13" s="132" t="s">
        <v>86</v>
      </c>
      <c r="S13" s="134" t="s">
        <v>85</v>
      </c>
      <c r="T13" s="134" t="s">
        <v>86</v>
      </c>
    </row>
    <row r="14" spans="1:20" x14ac:dyDescent="0.25">
      <c r="A14" s="119" t="s">
        <v>425</v>
      </c>
      <c r="B14" s="119" t="s">
        <v>87</v>
      </c>
      <c r="C14" s="120" t="s">
        <v>425</v>
      </c>
      <c r="D14" s="120" t="s">
        <v>87</v>
      </c>
      <c r="E14" s="121" t="s">
        <v>425</v>
      </c>
      <c r="F14" s="121" t="s">
        <v>87</v>
      </c>
      <c r="G14" s="122" t="s">
        <v>425</v>
      </c>
      <c r="H14" s="123" t="s">
        <v>87</v>
      </c>
      <c r="I14" s="124" t="s">
        <v>425</v>
      </c>
      <c r="J14" s="124" t="s">
        <v>87</v>
      </c>
      <c r="K14" s="125" t="s">
        <v>425</v>
      </c>
      <c r="L14" s="126" t="s">
        <v>87</v>
      </c>
      <c r="M14" s="47" t="s">
        <v>425</v>
      </c>
      <c r="N14" s="95" t="s">
        <v>87</v>
      </c>
      <c r="O14" s="128" t="s">
        <v>425</v>
      </c>
      <c r="P14" s="130" t="s">
        <v>87</v>
      </c>
      <c r="Q14" s="131" t="s">
        <v>425</v>
      </c>
      <c r="R14" s="132" t="s">
        <v>87</v>
      </c>
      <c r="S14" s="134" t="s">
        <v>425</v>
      </c>
      <c r="T14" s="134" t="s">
        <v>87</v>
      </c>
    </row>
    <row r="15" spans="1:20" ht="28.5" x14ac:dyDescent="0.25">
      <c r="A15" s="119" t="s">
        <v>16</v>
      </c>
      <c r="B15" s="119" t="s">
        <v>17</v>
      </c>
      <c r="C15" s="120" t="s">
        <v>16</v>
      </c>
      <c r="D15" s="120" t="s">
        <v>17</v>
      </c>
      <c r="E15" s="121" t="s">
        <v>16</v>
      </c>
      <c r="F15" s="121" t="s">
        <v>17</v>
      </c>
      <c r="G15" s="122" t="s">
        <v>16</v>
      </c>
      <c r="H15" s="123" t="s">
        <v>426</v>
      </c>
      <c r="I15" s="124" t="s">
        <v>16</v>
      </c>
      <c r="J15" s="124" t="s">
        <v>426</v>
      </c>
      <c r="K15" s="125" t="s">
        <v>16</v>
      </c>
      <c r="L15" s="126" t="s">
        <v>426</v>
      </c>
      <c r="M15" s="47" t="s">
        <v>16</v>
      </c>
      <c r="N15" s="95" t="s">
        <v>426</v>
      </c>
      <c r="O15" s="128" t="s">
        <v>16</v>
      </c>
      <c r="P15" s="130" t="s">
        <v>426</v>
      </c>
      <c r="Q15" s="131" t="s">
        <v>16</v>
      </c>
      <c r="R15" s="132" t="s">
        <v>426</v>
      </c>
      <c r="S15" s="134" t="s">
        <v>16</v>
      </c>
      <c r="T15" s="134" t="s">
        <v>426</v>
      </c>
    </row>
    <row r="16" spans="1:20" ht="28.5" x14ac:dyDescent="0.25">
      <c r="A16" s="119" t="s">
        <v>18</v>
      </c>
      <c r="B16" s="119" t="s">
        <v>9</v>
      </c>
      <c r="C16" s="120" t="s">
        <v>18</v>
      </c>
      <c r="D16" s="120" t="s">
        <v>9</v>
      </c>
      <c r="E16" s="121" t="s">
        <v>18</v>
      </c>
      <c r="F16" s="121" t="s">
        <v>9</v>
      </c>
      <c r="G16" s="122" t="s">
        <v>18</v>
      </c>
      <c r="H16" s="123" t="s">
        <v>9</v>
      </c>
      <c r="I16" s="124" t="s">
        <v>18</v>
      </c>
      <c r="J16" s="124" t="s">
        <v>477</v>
      </c>
      <c r="K16" s="125" t="s">
        <v>18</v>
      </c>
      <c r="L16" s="126" t="s">
        <v>477</v>
      </c>
      <c r="M16" s="47" t="s">
        <v>18</v>
      </c>
      <c r="N16" s="95" t="s">
        <v>477</v>
      </c>
      <c r="O16" s="128" t="s">
        <v>18</v>
      </c>
      <c r="P16" s="130" t="s">
        <v>477</v>
      </c>
      <c r="Q16" s="131" t="s">
        <v>18</v>
      </c>
      <c r="R16" s="132" t="s">
        <v>477</v>
      </c>
      <c r="S16" s="134" t="s">
        <v>18</v>
      </c>
      <c r="T16" s="134" t="s">
        <v>477</v>
      </c>
    </row>
    <row r="17" spans="1:20" ht="42.75" x14ac:dyDescent="0.25">
      <c r="A17" s="119" t="s">
        <v>19</v>
      </c>
      <c r="B17" s="119" t="s">
        <v>9</v>
      </c>
      <c r="C17" s="120" t="s">
        <v>19</v>
      </c>
      <c r="D17" s="120" t="s">
        <v>9</v>
      </c>
      <c r="E17" s="121" t="s">
        <v>19</v>
      </c>
      <c r="F17" s="121" t="s">
        <v>9</v>
      </c>
      <c r="G17" s="122" t="s">
        <v>19</v>
      </c>
      <c r="H17" s="123" t="s">
        <v>9</v>
      </c>
      <c r="I17" s="124" t="s">
        <v>19</v>
      </c>
      <c r="J17" s="124" t="s">
        <v>477</v>
      </c>
      <c r="K17" s="125" t="s">
        <v>19</v>
      </c>
      <c r="L17" s="126" t="s">
        <v>477</v>
      </c>
      <c r="M17" s="47" t="s">
        <v>19</v>
      </c>
      <c r="N17" s="95" t="s">
        <v>477</v>
      </c>
      <c r="O17" s="128" t="s">
        <v>19</v>
      </c>
      <c r="P17" s="130" t="s">
        <v>477</v>
      </c>
      <c r="Q17" s="131" t="s">
        <v>19</v>
      </c>
      <c r="R17" s="132" t="s">
        <v>477</v>
      </c>
      <c r="S17" s="134" t="s">
        <v>19</v>
      </c>
      <c r="T17" s="134" t="s">
        <v>477</v>
      </c>
    </row>
    <row r="18" spans="1:20" x14ac:dyDescent="0.25">
      <c r="A18" s="119" t="s">
        <v>20</v>
      </c>
      <c r="B18" s="119">
        <v>14</v>
      </c>
      <c r="C18" s="120" t="s">
        <v>20</v>
      </c>
      <c r="D18" s="120">
        <v>14</v>
      </c>
      <c r="E18" s="121" t="s">
        <v>20</v>
      </c>
      <c r="F18" s="121">
        <v>14</v>
      </c>
      <c r="G18" s="122" t="s">
        <v>20</v>
      </c>
      <c r="H18" s="123">
        <v>14</v>
      </c>
      <c r="I18" s="124" t="s">
        <v>20</v>
      </c>
      <c r="J18" s="124">
        <v>14</v>
      </c>
      <c r="K18" s="125" t="s">
        <v>20</v>
      </c>
      <c r="L18" s="126">
        <v>14</v>
      </c>
      <c r="M18" s="47" t="s">
        <v>20</v>
      </c>
      <c r="N18" s="95">
        <v>14</v>
      </c>
      <c r="O18" s="128" t="s">
        <v>20</v>
      </c>
      <c r="P18" s="130">
        <v>14</v>
      </c>
      <c r="Q18" s="131" t="s">
        <v>20</v>
      </c>
      <c r="R18" s="132">
        <v>14</v>
      </c>
      <c r="S18" s="134" t="s">
        <v>20</v>
      </c>
      <c r="T18" s="134">
        <v>14</v>
      </c>
    </row>
    <row r="19" spans="1:20" x14ac:dyDescent="0.25">
      <c r="A19" s="119" t="s">
        <v>21</v>
      </c>
      <c r="B19" s="119"/>
      <c r="C19" s="120" t="s">
        <v>21</v>
      </c>
      <c r="D19" s="120"/>
      <c r="E19" s="121" t="s">
        <v>21</v>
      </c>
      <c r="F19" s="121"/>
      <c r="G19" s="122" t="s">
        <v>21</v>
      </c>
      <c r="H19" s="123"/>
      <c r="I19" s="124" t="s">
        <v>21</v>
      </c>
      <c r="J19" s="124"/>
      <c r="K19" s="125" t="s">
        <v>21</v>
      </c>
      <c r="L19" s="126"/>
      <c r="M19" s="47" t="s">
        <v>21</v>
      </c>
      <c r="N19" s="95"/>
      <c r="O19" s="128" t="s">
        <v>21</v>
      </c>
      <c r="P19" s="130"/>
      <c r="Q19" s="131" t="s">
        <v>21</v>
      </c>
      <c r="R19" s="132"/>
      <c r="S19" s="134" t="s">
        <v>21</v>
      </c>
      <c r="T19" s="134"/>
    </row>
    <row r="20" spans="1:20" ht="28.5" x14ac:dyDescent="0.25">
      <c r="A20" s="119" t="s">
        <v>22</v>
      </c>
      <c r="B20" s="119">
        <v>15</v>
      </c>
      <c r="C20" s="120" t="s">
        <v>22</v>
      </c>
      <c r="D20" s="120">
        <v>15</v>
      </c>
      <c r="E20" s="121" t="s">
        <v>22</v>
      </c>
      <c r="F20" s="121">
        <v>15</v>
      </c>
      <c r="G20" s="122" t="s">
        <v>22</v>
      </c>
      <c r="H20" s="123">
        <v>15</v>
      </c>
      <c r="I20" s="124" t="s">
        <v>22</v>
      </c>
      <c r="J20" s="124">
        <v>15</v>
      </c>
      <c r="K20" s="125" t="s">
        <v>22</v>
      </c>
      <c r="L20" s="126">
        <v>15</v>
      </c>
      <c r="M20" s="47" t="s">
        <v>22</v>
      </c>
      <c r="N20" s="95">
        <v>15</v>
      </c>
      <c r="O20" s="128" t="s">
        <v>22</v>
      </c>
      <c r="P20" s="130">
        <v>15</v>
      </c>
      <c r="Q20" s="131" t="s">
        <v>22</v>
      </c>
      <c r="R20" s="132">
        <v>15</v>
      </c>
      <c r="S20" s="134" t="s">
        <v>22</v>
      </c>
      <c r="T20" s="134">
        <v>15</v>
      </c>
    </row>
    <row r="21" spans="1:20" ht="28.5" x14ac:dyDescent="0.25">
      <c r="A21" s="119" t="s">
        <v>23</v>
      </c>
      <c r="B21" s="119">
        <v>15</v>
      </c>
      <c r="C21" s="120" t="s">
        <v>23</v>
      </c>
      <c r="D21" s="120">
        <v>15</v>
      </c>
      <c r="E21" s="121" t="s">
        <v>23</v>
      </c>
      <c r="F21" s="121">
        <v>15</v>
      </c>
      <c r="G21" s="122" t="s">
        <v>23</v>
      </c>
      <c r="H21" s="123">
        <v>15</v>
      </c>
      <c r="I21" s="124" t="s">
        <v>23</v>
      </c>
      <c r="J21" s="124">
        <v>15</v>
      </c>
      <c r="K21" s="125" t="s">
        <v>23</v>
      </c>
      <c r="L21" s="126">
        <v>15</v>
      </c>
      <c r="M21" s="47" t="s">
        <v>23</v>
      </c>
      <c r="N21" s="95">
        <v>15</v>
      </c>
      <c r="O21" s="128" t="s">
        <v>23</v>
      </c>
      <c r="P21" s="130">
        <v>15</v>
      </c>
      <c r="Q21" s="131" t="s">
        <v>23</v>
      </c>
      <c r="R21" s="132">
        <v>15</v>
      </c>
      <c r="S21" s="134" t="s">
        <v>23</v>
      </c>
      <c r="T21" s="134">
        <v>15</v>
      </c>
    </row>
    <row r="22" spans="1:20" x14ac:dyDescent="0.25">
      <c r="A22" s="119" t="s">
        <v>24</v>
      </c>
      <c r="B22" s="119">
        <v>15</v>
      </c>
      <c r="C22" s="120" t="s">
        <v>24</v>
      </c>
      <c r="D22" s="120">
        <v>15</v>
      </c>
      <c r="E22" s="121" t="s">
        <v>24</v>
      </c>
      <c r="F22" s="121">
        <v>15</v>
      </c>
      <c r="G22" s="122" t="s">
        <v>24</v>
      </c>
      <c r="H22" s="123">
        <v>15</v>
      </c>
      <c r="I22" s="124" t="s">
        <v>24</v>
      </c>
      <c r="J22" s="124">
        <v>15</v>
      </c>
      <c r="K22" s="125" t="s">
        <v>24</v>
      </c>
      <c r="L22" s="126">
        <v>15</v>
      </c>
      <c r="M22" s="47" t="s">
        <v>24</v>
      </c>
      <c r="N22" s="95">
        <v>15</v>
      </c>
      <c r="O22" s="128" t="s">
        <v>24</v>
      </c>
      <c r="P22" s="130">
        <v>15</v>
      </c>
      <c r="Q22" s="131" t="s">
        <v>24</v>
      </c>
      <c r="R22" s="132">
        <v>15</v>
      </c>
      <c r="S22" s="134" t="s">
        <v>24</v>
      </c>
      <c r="T22" s="134">
        <v>15</v>
      </c>
    </row>
    <row r="23" spans="1:20" ht="28.5" x14ac:dyDescent="0.25">
      <c r="A23" s="119" t="s">
        <v>25</v>
      </c>
      <c r="B23" s="119" t="s">
        <v>9</v>
      </c>
      <c r="C23" s="120" t="s">
        <v>25</v>
      </c>
      <c r="D23" s="120" t="s">
        <v>9</v>
      </c>
      <c r="E23" s="121" t="s">
        <v>25</v>
      </c>
      <c r="F23" s="121" t="s">
        <v>9</v>
      </c>
      <c r="G23" s="122" t="s">
        <v>25</v>
      </c>
      <c r="H23" s="123" t="s">
        <v>9</v>
      </c>
      <c r="I23" s="124" t="s">
        <v>25</v>
      </c>
      <c r="J23" s="124" t="s">
        <v>9</v>
      </c>
      <c r="K23" s="125" t="s">
        <v>25</v>
      </c>
      <c r="L23" s="126" t="s">
        <v>9</v>
      </c>
      <c r="M23" s="47" t="s">
        <v>25</v>
      </c>
      <c r="N23" s="95" t="s">
        <v>9</v>
      </c>
      <c r="O23" s="128" t="s">
        <v>25</v>
      </c>
      <c r="P23" s="130" t="s">
        <v>9</v>
      </c>
      <c r="Q23" s="131" t="s">
        <v>25</v>
      </c>
      <c r="R23" s="132" t="s">
        <v>9</v>
      </c>
      <c r="S23" s="134" t="s">
        <v>25</v>
      </c>
      <c r="T23" s="134" t="s">
        <v>9</v>
      </c>
    </row>
    <row r="24" spans="1:20" x14ac:dyDescent="0.25">
      <c r="A24" s="119" t="s">
        <v>26</v>
      </c>
      <c r="B24" s="119"/>
      <c r="C24" s="120" t="s">
        <v>26</v>
      </c>
      <c r="D24" s="120"/>
      <c r="E24" s="121" t="s">
        <v>26</v>
      </c>
      <c r="F24" s="121"/>
      <c r="G24" s="122" t="s">
        <v>26</v>
      </c>
      <c r="H24" s="123"/>
      <c r="I24" s="124" t="s">
        <v>26</v>
      </c>
      <c r="J24" s="124"/>
      <c r="K24" s="125" t="s">
        <v>26</v>
      </c>
      <c r="L24" s="126"/>
      <c r="M24" s="47" t="s">
        <v>26</v>
      </c>
      <c r="N24" s="95"/>
      <c r="O24" s="128" t="s">
        <v>26</v>
      </c>
      <c r="P24" s="130"/>
      <c r="Q24" s="131" t="s">
        <v>26</v>
      </c>
      <c r="R24" s="132"/>
      <c r="S24" s="134" t="s">
        <v>26</v>
      </c>
      <c r="T24" s="134"/>
    </row>
    <row r="25" spans="1:20" ht="28.5" x14ac:dyDescent="0.25">
      <c r="A25" s="119" t="s">
        <v>22</v>
      </c>
      <c r="B25" s="119">
        <v>15</v>
      </c>
      <c r="C25" s="120" t="s">
        <v>22</v>
      </c>
      <c r="D25" s="120">
        <v>15</v>
      </c>
      <c r="E25" s="121" t="s">
        <v>22</v>
      </c>
      <c r="F25" s="121">
        <v>15</v>
      </c>
      <c r="G25" s="122" t="s">
        <v>22</v>
      </c>
      <c r="H25" s="123">
        <v>15</v>
      </c>
      <c r="I25" s="124" t="s">
        <v>22</v>
      </c>
      <c r="J25" s="124">
        <v>15</v>
      </c>
      <c r="K25" s="125" t="s">
        <v>22</v>
      </c>
      <c r="L25" s="126">
        <v>15</v>
      </c>
      <c r="M25" s="47" t="s">
        <v>22</v>
      </c>
      <c r="N25" s="95">
        <v>15</v>
      </c>
      <c r="O25" s="128" t="s">
        <v>22</v>
      </c>
      <c r="P25" s="130">
        <v>15</v>
      </c>
      <c r="Q25" s="131" t="s">
        <v>22</v>
      </c>
      <c r="R25" s="132">
        <v>15</v>
      </c>
      <c r="S25" s="134" t="s">
        <v>22</v>
      </c>
      <c r="T25" s="134">
        <v>15</v>
      </c>
    </row>
    <row r="26" spans="1:20" ht="28.5" x14ac:dyDescent="0.25">
      <c r="A26" s="119" t="s">
        <v>23</v>
      </c>
      <c r="B26" s="119">
        <v>15</v>
      </c>
      <c r="C26" s="120" t="s">
        <v>23</v>
      </c>
      <c r="D26" s="120">
        <v>15</v>
      </c>
      <c r="E26" s="121" t="s">
        <v>23</v>
      </c>
      <c r="F26" s="121">
        <v>15</v>
      </c>
      <c r="G26" s="122" t="s">
        <v>23</v>
      </c>
      <c r="H26" s="123">
        <v>15</v>
      </c>
      <c r="I26" s="124" t="s">
        <v>23</v>
      </c>
      <c r="J26" s="124">
        <v>15</v>
      </c>
      <c r="K26" s="125" t="s">
        <v>23</v>
      </c>
      <c r="L26" s="126">
        <v>15</v>
      </c>
      <c r="M26" s="47" t="s">
        <v>23</v>
      </c>
      <c r="N26" s="95">
        <v>15</v>
      </c>
      <c r="O26" s="128" t="s">
        <v>23</v>
      </c>
      <c r="P26" s="130">
        <v>15</v>
      </c>
      <c r="Q26" s="131" t="s">
        <v>23</v>
      </c>
      <c r="R26" s="132">
        <v>15</v>
      </c>
      <c r="S26" s="134" t="s">
        <v>23</v>
      </c>
      <c r="T26" s="134">
        <v>15</v>
      </c>
    </row>
    <row r="27" spans="1:20" x14ac:dyDescent="0.25">
      <c r="A27" s="119" t="s">
        <v>24</v>
      </c>
      <c r="B27" s="119">
        <v>15</v>
      </c>
      <c r="C27" s="120" t="s">
        <v>24</v>
      </c>
      <c r="D27" s="120">
        <v>15</v>
      </c>
      <c r="E27" s="121" t="s">
        <v>24</v>
      </c>
      <c r="F27" s="121">
        <v>15</v>
      </c>
      <c r="G27" s="122" t="s">
        <v>24</v>
      </c>
      <c r="H27" s="123">
        <v>15</v>
      </c>
      <c r="I27" s="124" t="s">
        <v>24</v>
      </c>
      <c r="J27" s="124">
        <v>15</v>
      </c>
      <c r="K27" s="125" t="s">
        <v>24</v>
      </c>
      <c r="L27" s="126">
        <v>15</v>
      </c>
      <c r="M27" s="47" t="s">
        <v>24</v>
      </c>
      <c r="N27" s="95">
        <v>15</v>
      </c>
      <c r="O27" s="128" t="s">
        <v>24</v>
      </c>
      <c r="P27" s="130">
        <v>15</v>
      </c>
      <c r="Q27" s="131" t="s">
        <v>24</v>
      </c>
      <c r="R27" s="132">
        <v>15</v>
      </c>
      <c r="S27" s="134" t="s">
        <v>24</v>
      </c>
      <c r="T27" s="134">
        <v>15</v>
      </c>
    </row>
    <row r="28" spans="1:20" ht="28.5" x14ac:dyDescent="0.25">
      <c r="A28" s="119" t="s">
        <v>27</v>
      </c>
      <c r="B28" s="119">
        <v>15</v>
      </c>
      <c r="C28" s="120" t="s">
        <v>27</v>
      </c>
      <c r="D28" s="120">
        <v>15</v>
      </c>
      <c r="E28" s="121" t="s">
        <v>27</v>
      </c>
      <c r="F28" s="121">
        <v>15</v>
      </c>
      <c r="G28" s="122" t="s">
        <v>27</v>
      </c>
      <c r="H28" s="123">
        <v>15</v>
      </c>
      <c r="I28" s="124" t="s">
        <v>27</v>
      </c>
      <c r="J28" s="124">
        <v>15</v>
      </c>
      <c r="K28" s="125" t="s">
        <v>27</v>
      </c>
      <c r="L28" s="126">
        <v>15</v>
      </c>
      <c r="M28" s="47" t="s">
        <v>27</v>
      </c>
      <c r="N28" s="95">
        <v>15</v>
      </c>
      <c r="O28" s="128" t="s">
        <v>27</v>
      </c>
      <c r="P28" s="130">
        <v>15</v>
      </c>
      <c r="Q28" s="131" t="s">
        <v>27</v>
      </c>
      <c r="R28" s="132">
        <v>15</v>
      </c>
      <c r="S28" s="134" t="s">
        <v>27</v>
      </c>
      <c r="T28" s="134">
        <v>15</v>
      </c>
    </row>
    <row r="29" spans="1:20" ht="28.5" x14ac:dyDescent="0.25">
      <c r="A29" s="119" t="s">
        <v>427</v>
      </c>
      <c r="B29" s="119" t="s">
        <v>9</v>
      </c>
      <c r="C29" s="120" t="s">
        <v>427</v>
      </c>
      <c r="D29" s="120" t="s">
        <v>9</v>
      </c>
      <c r="E29" s="121" t="s">
        <v>427</v>
      </c>
      <c r="F29" s="121" t="s">
        <v>9</v>
      </c>
      <c r="G29" s="122" t="s">
        <v>427</v>
      </c>
      <c r="H29" s="123" t="s">
        <v>135</v>
      </c>
      <c r="I29" s="124" t="s">
        <v>427</v>
      </c>
      <c r="J29" s="124" t="s">
        <v>135</v>
      </c>
      <c r="K29" s="125" t="s">
        <v>427</v>
      </c>
      <c r="L29" s="126" t="s">
        <v>135</v>
      </c>
      <c r="M29" s="47" t="s">
        <v>427</v>
      </c>
      <c r="N29" s="95" t="s">
        <v>135</v>
      </c>
      <c r="O29" s="128" t="s">
        <v>427</v>
      </c>
      <c r="P29" s="130" t="s">
        <v>135</v>
      </c>
      <c r="Q29" s="131" t="s">
        <v>427</v>
      </c>
      <c r="R29" s="132" t="s">
        <v>135</v>
      </c>
      <c r="S29" s="134" t="s">
        <v>427</v>
      </c>
      <c r="T29" s="134" t="s">
        <v>135</v>
      </c>
    </row>
    <row r="30" spans="1:20" x14ac:dyDescent="0.25">
      <c r="A30" s="119" t="s">
        <v>28</v>
      </c>
      <c r="B30" s="119" t="s">
        <v>9</v>
      </c>
      <c r="C30" s="120" t="s">
        <v>28</v>
      </c>
      <c r="D30" s="120" t="s">
        <v>9</v>
      </c>
      <c r="E30" s="121" t="s">
        <v>28</v>
      </c>
      <c r="F30" s="121" t="s">
        <v>9</v>
      </c>
      <c r="G30" s="122" t="s">
        <v>28</v>
      </c>
      <c r="H30" s="123" t="s">
        <v>9</v>
      </c>
      <c r="I30" s="124" t="s">
        <v>28</v>
      </c>
      <c r="J30" s="124" t="s">
        <v>9</v>
      </c>
      <c r="K30" s="125" t="s">
        <v>28</v>
      </c>
      <c r="L30" s="126" t="s">
        <v>9</v>
      </c>
      <c r="M30" s="47" t="s">
        <v>28</v>
      </c>
      <c r="N30" s="95" t="s">
        <v>9</v>
      </c>
      <c r="O30" s="128" t="s">
        <v>28</v>
      </c>
      <c r="P30" s="130" t="s">
        <v>9</v>
      </c>
      <c r="Q30" s="131" t="s">
        <v>28</v>
      </c>
      <c r="R30" s="132" t="s">
        <v>9</v>
      </c>
      <c r="S30" s="134" t="s">
        <v>28</v>
      </c>
      <c r="T30" s="134" t="s">
        <v>9</v>
      </c>
    </row>
    <row r="31" spans="1:20" x14ac:dyDescent="0.25">
      <c r="A31" s="119" t="s">
        <v>29</v>
      </c>
      <c r="B31" s="119" t="s">
        <v>30</v>
      </c>
      <c r="C31" s="120" t="s">
        <v>29</v>
      </c>
      <c r="D31" s="120" t="s">
        <v>30</v>
      </c>
      <c r="E31" s="121" t="s">
        <v>29</v>
      </c>
      <c r="F31" s="121" t="s">
        <v>30</v>
      </c>
      <c r="G31" s="122" t="s">
        <v>366</v>
      </c>
      <c r="H31" s="123" t="s">
        <v>135</v>
      </c>
      <c r="I31" s="124" t="s">
        <v>366</v>
      </c>
      <c r="J31" s="124" t="s">
        <v>135</v>
      </c>
      <c r="K31" s="125" t="s">
        <v>366</v>
      </c>
      <c r="L31" s="126" t="s">
        <v>135</v>
      </c>
      <c r="M31" s="47" t="s">
        <v>366</v>
      </c>
      <c r="N31" s="95" t="s">
        <v>135</v>
      </c>
      <c r="O31" s="128" t="s">
        <v>366</v>
      </c>
      <c r="P31" s="130" t="s">
        <v>135</v>
      </c>
      <c r="Q31" s="131" t="s">
        <v>366</v>
      </c>
      <c r="R31" s="132" t="s">
        <v>135</v>
      </c>
      <c r="S31" s="134" t="s">
        <v>366</v>
      </c>
      <c r="T31" s="134" t="s">
        <v>135</v>
      </c>
    </row>
    <row r="32" spans="1:20" x14ac:dyDescent="0.25">
      <c r="A32" s="119" t="s">
        <v>31</v>
      </c>
      <c r="B32" s="119">
        <v>15</v>
      </c>
      <c r="C32" s="120" t="s">
        <v>31</v>
      </c>
      <c r="D32" s="120">
        <v>15</v>
      </c>
      <c r="E32" s="121" t="s">
        <v>31</v>
      </c>
      <c r="F32" s="121">
        <v>15</v>
      </c>
      <c r="G32" s="122" t="s">
        <v>428</v>
      </c>
      <c r="H32" s="123" t="s">
        <v>135</v>
      </c>
      <c r="I32" s="124" t="s">
        <v>428</v>
      </c>
      <c r="J32" s="124" t="s">
        <v>135</v>
      </c>
      <c r="K32" s="125" t="s">
        <v>428</v>
      </c>
      <c r="L32" s="126" t="s">
        <v>135</v>
      </c>
      <c r="M32" s="47" t="s">
        <v>428</v>
      </c>
      <c r="N32" s="95" t="s">
        <v>135</v>
      </c>
      <c r="O32" s="128" t="s">
        <v>428</v>
      </c>
      <c r="P32" s="130" t="s">
        <v>135</v>
      </c>
      <c r="Q32" s="131" t="s">
        <v>428</v>
      </c>
      <c r="R32" s="132" t="s">
        <v>135</v>
      </c>
      <c r="S32" s="134" t="s">
        <v>428</v>
      </c>
      <c r="T32" s="134" t="s">
        <v>135</v>
      </c>
    </row>
    <row r="33" spans="1:20" x14ac:dyDescent="0.25">
      <c r="A33" s="119" t="s">
        <v>32</v>
      </c>
      <c r="B33" s="119" t="s">
        <v>9</v>
      </c>
      <c r="C33" s="120" t="s">
        <v>32</v>
      </c>
      <c r="D33" s="120" t="s">
        <v>92</v>
      </c>
      <c r="E33" s="121" t="s">
        <v>431</v>
      </c>
      <c r="F33" s="121" t="s">
        <v>9</v>
      </c>
      <c r="G33" s="122" t="s">
        <v>368</v>
      </c>
      <c r="H33" s="123" t="s">
        <v>135</v>
      </c>
      <c r="I33" s="124" t="s">
        <v>368</v>
      </c>
      <c r="J33" s="124" t="s">
        <v>135</v>
      </c>
      <c r="K33" s="125" t="s">
        <v>368</v>
      </c>
      <c r="L33" s="126" t="s">
        <v>135</v>
      </c>
      <c r="M33" s="47" t="s">
        <v>368</v>
      </c>
      <c r="N33" s="95" t="s">
        <v>135</v>
      </c>
      <c r="O33" s="128" t="s">
        <v>368</v>
      </c>
      <c r="P33" s="130" t="s">
        <v>135</v>
      </c>
      <c r="Q33" s="131" t="s">
        <v>368</v>
      </c>
      <c r="R33" s="132" t="s">
        <v>135</v>
      </c>
      <c r="S33" s="134" t="s">
        <v>368</v>
      </c>
      <c r="T33" s="134" t="s">
        <v>135</v>
      </c>
    </row>
    <row r="34" spans="1:20" x14ac:dyDescent="0.25">
      <c r="A34" s="119" t="s">
        <v>8</v>
      </c>
      <c r="B34" s="119" t="s">
        <v>9</v>
      </c>
      <c r="C34" s="120" t="s">
        <v>8</v>
      </c>
      <c r="D34" s="120" t="s">
        <v>9</v>
      </c>
      <c r="E34" s="121" t="s">
        <v>432</v>
      </c>
      <c r="F34" s="121" t="s">
        <v>105</v>
      </c>
      <c r="G34" s="122" t="s">
        <v>428</v>
      </c>
      <c r="H34" s="123" t="s">
        <v>135</v>
      </c>
      <c r="I34" s="124" t="s">
        <v>428</v>
      </c>
      <c r="J34" s="124" t="s">
        <v>135</v>
      </c>
      <c r="K34" s="125" t="s">
        <v>428</v>
      </c>
      <c r="L34" s="126" t="s">
        <v>135</v>
      </c>
      <c r="M34" s="47" t="s">
        <v>428</v>
      </c>
      <c r="N34" s="95" t="s">
        <v>135</v>
      </c>
      <c r="O34" s="128" t="s">
        <v>428</v>
      </c>
      <c r="P34" s="130" t="s">
        <v>135</v>
      </c>
      <c r="Q34" s="131" t="s">
        <v>428</v>
      </c>
      <c r="R34" s="132" t="s">
        <v>135</v>
      </c>
      <c r="S34" s="134" t="s">
        <v>428</v>
      </c>
      <c r="T34" s="134" t="s">
        <v>135</v>
      </c>
    </row>
    <row r="35" spans="1:20" ht="28.5" x14ac:dyDescent="0.25">
      <c r="A35" s="119" t="s">
        <v>33</v>
      </c>
      <c r="B35" s="119" t="s">
        <v>9</v>
      </c>
      <c r="C35" s="120" t="s">
        <v>33</v>
      </c>
      <c r="D35" s="120" t="s">
        <v>9</v>
      </c>
      <c r="E35" s="121" t="s">
        <v>433</v>
      </c>
      <c r="F35" s="121" t="s">
        <v>105</v>
      </c>
      <c r="G35" s="122" t="s">
        <v>370</v>
      </c>
      <c r="H35" s="123" t="s">
        <v>135</v>
      </c>
      <c r="I35" s="124" t="s">
        <v>370</v>
      </c>
      <c r="J35" s="124" t="s">
        <v>135</v>
      </c>
      <c r="K35" s="125" t="s">
        <v>370</v>
      </c>
      <c r="L35" s="126" t="s">
        <v>135</v>
      </c>
      <c r="M35" s="47" t="s">
        <v>370</v>
      </c>
      <c r="N35" s="95" t="s">
        <v>135</v>
      </c>
      <c r="O35" s="128" t="s">
        <v>370</v>
      </c>
      <c r="P35" s="130" t="s">
        <v>135</v>
      </c>
      <c r="Q35" s="131" t="s">
        <v>370</v>
      </c>
      <c r="R35" s="132" t="s">
        <v>135</v>
      </c>
      <c r="S35" s="134" t="s">
        <v>370</v>
      </c>
      <c r="T35" s="134" t="s">
        <v>135</v>
      </c>
    </row>
    <row r="36" spans="1:20" ht="42.75" x14ac:dyDescent="0.25">
      <c r="A36" s="119" t="s">
        <v>88</v>
      </c>
      <c r="B36" s="119" t="s">
        <v>89</v>
      </c>
      <c r="C36" s="120" t="s">
        <v>88</v>
      </c>
      <c r="D36" s="120" t="s">
        <v>89</v>
      </c>
      <c r="E36" s="121" t="s">
        <v>41</v>
      </c>
      <c r="F36" s="121" t="s">
        <v>94</v>
      </c>
      <c r="G36" s="122" t="s">
        <v>371</v>
      </c>
      <c r="H36" s="123" t="s">
        <v>429</v>
      </c>
      <c r="I36" s="124" t="s">
        <v>371</v>
      </c>
      <c r="J36" s="124" t="s">
        <v>429</v>
      </c>
      <c r="K36" s="125" t="s">
        <v>371</v>
      </c>
      <c r="L36" s="126" t="s">
        <v>429</v>
      </c>
      <c r="M36" s="47" t="s">
        <v>371</v>
      </c>
      <c r="N36" s="95" t="s">
        <v>429</v>
      </c>
      <c r="O36" s="128" t="s">
        <v>371</v>
      </c>
      <c r="P36" s="130" t="s">
        <v>429</v>
      </c>
      <c r="Q36" s="131" t="s">
        <v>371</v>
      </c>
      <c r="R36" s="132" t="s">
        <v>429</v>
      </c>
      <c r="S36" s="134" t="s">
        <v>371</v>
      </c>
      <c r="T36" s="134" t="s">
        <v>429</v>
      </c>
    </row>
    <row r="37" spans="1:20" ht="27" x14ac:dyDescent="0.25">
      <c r="A37" s="119" t="s">
        <v>34</v>
      </c>
      <c r="B37" s="119" t="s">
        <v>9</v>
      </c>
      <c r="C37" s="120" t="s">
        <v>34</v>
      </c>
      <c r="D37" s="120" t="s">
        <v>9</v>
      </c>
      <c r="E37" s="121" t="s">
        <v>43</v>
      </c>
      <c r="F37" s="121" t="s">
        <v>44</v>
      </c>
      <c r="G37" s="122" t="s">
        <v>373</v>
      </c>
      <c r="H37" s="123" t="s">
        <v>429</v>
      </c>
      <c r="I37" s="124" t="s">
        <v>373</v>
      </c>
      <c r="J37" s="124" t="s">
        <v>429</v>
      </c>
      <c r="K37" s="125" t="s">
        <v>373</v>
      </c>
      <c r="L37" s="126" t="s">
        <v>429</v>
      </c>
      <c r="M37" s="47" t="s">
        <v>373</v>
      </c>
      <c r="N37" s="95" t="s">
        <v>429</v>
      </c>
      <c r="O37" s="128" t="s">
        <v>373</v>
      </c>
      <c r="P37" s="130" t="s">
        <v>429</v>
      </c>
      <c r="Q37" s="131" t="s">
        <v>373</v>
      </c>
      <c r="R37" s="132" t="s">
        <v>429</v>
      </c>
      <c r="S37" s="134" t="s">
        <v>373</v>
      </c>
      <c r="T37" s="134" t="s">
        <v>429</v>
      </c>
    </row>
    <row r="38" spans="1:20" ht="42.75" x14ac:dyDescent="0.25">
      <c r="A38" s="119" t="s">
        <v>104</v>
      </c>
      <c r="B38" s="119" t="s">
        <v>9</v>
      </c>
      <c r="C38" s="120" t="s">
        <v>104</v>
      </c>
      <c r="D38" s="120" t="s">
        <v>9</v>
      </c>
      <c r="E38" s="121" t="s">
        <v>434</v>
      </c>
      <c r="F38" s="121"/>
      <c r="G38" s="122" t="s">
        <v>143</v>
      </c>
      <c r="H38" s="123" t="s">
        <v>144</v>
      </c>
      <c r="I38" s="124" t="s">
        <v>143</v>
      </c>
      <c r="J38" s="124" t="s">
        <v>144</v>
      </c>
      <c r="K38" s="125" t="s">
        <v>143</v>
      </c>
      <c r="L38" s="126" t="s">
        <v>493</v>
      </c>
      <c r="M38" s="47" t="s">
        <v>143</v>
      </c>
      <c r="N38" s="95" t="s">
        <v>493</v>
      </c>
      <c r="O38" s="128" t="s">
        <v>143</v>
      </c>
      <c r="P38" s="130" t="s">
        <v>493</v>
      </c>
      <c r="Q38" s="131" t="s">
        <v>143</v>
      </c>
      <c r="R38" s="132" t="s">
        <v>493</v>
      </c>
      <c r="S38" s="134" t="s">
        <v>143</v>
      </c>
      <c r="T38" s="134" t="s">
        <v>493</v>
      </c>
    </row>
    <row r="39" spans="1:20" x14ac:dyDescent="0.25">
      <c r="A39" s="119" t="s">
        <v>35</v>
      </c>
      <c r="B39" s="119" t="s">
        <v>9</v>
      </c>
      <c r="C39" s="120" t="s">
        <v>35</v>
      </c>
      <c r="D39" s="120" t="s">
        <v>9</v>
      </c>
      <c r="E39" s="121" t="s">
        <v>435</v>
      </c>
      <c r="F39" s="121" t="s">
        <v>45</v>
      </c>
      <c r="G39" s="122" t="s">
        <v>29</v>
      </c>
      <c r="H39" s="123" t="s">
        <v>430</v>
      </c>
      <c r="I39" s="124" t="s">
        <v>29</v>
      </c>
      <c r="J39" s="124" t="s">
        <v>430</v>
      </c>
      <c r="K39" s="125" t="s">
        <v>29</v>
      </c>
      <c r="L39" s="126" t="s">
        <v>430</v>
      </c>
      <c r="M39" s="47" t="s">
        <v>29</v>
      </c>
      <c r="N39" s="95" t="s">
        <v>430</v>
      </c>
      <c r="O39" s="128" t="s">
        <v>29</v>
      </c>
      <c r="P39" s="130" t="s">
        <v>430</v>
      </c>
      <c r="Q39" s="131" t="s">
        <v>29</v>
      </c>
      <c r="R39" s="132" t="s">
        <v>430</v>
      </c>
      <c r="S39" s="134" t="s">
        <v>29</v>
      </c>
      <c r="T39" s="134" t="s">
        <v>430</v>
      </c>
    </row>
    <row r="40" spans="1:20" ht="28.5" x14ac:dyDescent="0.25">
      <c r="A40" s="119" t="s">
        <v>36</v>
      </c>
      <c r="B40" s="119" t="s">
        <v>9</v>
      </c>
      <c r="C40" s="120" t="s">
        <v>36</v>
      </c>
      <c r="D40" s="120" t="s">
        <v>9</v>
      </c>
      <c r="E40" s="121" t="s">
        <v>436</v>
      </c>
      <c r="F40" s="121" t="s">
        <v>45</v>
      </c>
      <c r="G40" s="122" t="s">
        <v>31</v>
      </c>
      <c r="H40" s="123">
        <v>15</v>
      </c>
      <c r="I40" s="124" t="s">
        <v>31</v>
      </c>
      <c r="J40" s="124">
        <v>15</v>
      </c>
      <c r="K40" s="125" t="s">
        <v>31</v>
      </c>
      <c r="L40" s="126">
        <v>15</v>
      </c>
      <c r="M40" s="47" t="s">
        <v>31</v>
      </c>
      <c r="N40" s="95">
        <v>15</v>
      </c>
      <c r="O40" s="128" t="s">
        <v>31</v>
      </c>
      <c r="P40" s="130">
        <v>15</v>
      </c>
      <c r="Q40" s="131" t="s">
        <v>31</v>
      </c>
      <c r="R40" s="132">
        <v>15</v>
      </c>
      <c r="S40" s="134" t="s">
        <v>31</v>
      </c>
      <c r="T40" s="134">
        <v>15</v>
      </c>
    </row>
    <row r="41" spans="1:20" ht="28.5" x14ac:dyDescent="0.25">
      <c r="A41" s="119" t="s">
        <v>37</v>
      </c>
      <c r="B41" s="119" t="s">
        <v>9</v>
      </c>
      <c r="C41" s="120" t="s">
        <v>37</v>
      </c>
      <c r="D41" s="120" t="s">
        <v>9</v>
      </c>
      <c r="E41" s="121" t="s">
        <v>46</v>
      </c>
      <c r="F41" s="121" t="s">
        <v>95</v>
      </c>
      <c r="G41" s="122" t="s">
        <v>431</v>
      </c>
      <c r="H41" s="123" t="s">
        <v>9</v>
      </c>
      <c r="I41" s="124" t="s">
        <v>431</v>
      </c>
      <c r="J41" s="124" t="s">
        <v>9</v>
      </c>
      <c r="K41" s="125" t="s">
        <v>431</v>
      </c>
      <c r="L41" s="126" t="s">
        <v>9</v>
      </c>
      <c r="M41" s="47" t="s">
        <v>431</v>
      </c>
      <c r="N41" s="95" t="s">
        <v>9</v>
      </c>
      <c r="O41" s="128" t="s">
        <v>431</v>
      </c>
      <c r="P41" s="130" t="s">
        <v>9</v>
      </c>
      <c r="Q41" s="131" t="s">
        <v>431</v>
      </c>
      <c r="R41" s="132" t="s">
        <v>9</v>
      </c>
      <c r="S41" s="134" t="s">
        <v>431</v>
      </c>
      <c r="T41" s="134" t="s">
        <v>9</v>
      </c>
    </row>
    <row r="42" spans="1:20" ht="42.75" x14ac:dyDescent="0.25">
      <c r="A42" s="119" t="s">
        <v>38</v>
      </c>
      <c r="B42" s="119">
        <v>15</v>
      </c>
      <c r="C42" s="120" t="s">
        <v>38</v>
      </c>
      <c r="D42" s="120">
        <v>15</v>
      </c>
      <c r="E42" s="121" t="s">
        <v>48</v>
      </c>
      <c r="F42" s="121"/>
      <c r="G42" s="122" t="s">
        <v>432</v>
      </c>
      <c r="H42" s="123" t="s">
        <v>105</v>
      </c>
      <c r="I42" s="124" t="s">
        <v>432</v>
      </c>
      <c r="J42" s="124" t="s">
        <v>105</v>
      </c>
      <c r="K42" s="125" t="s">
        <v>432</v>
      </c>
      <c r="L42" s="126" t="s">
        <v>105</v>
      </c>
      <c r="M42" s="47" t="s">
        <v>432</v>
      </c>
      <c r="N42" s="95" t="s">
        <v>105</v>
      </c>
      <c r="O42" s="128" t="s">
        <v>432</v>
      </c>
      <c r="P42" s="130" t="s">
        <v>105</v>
      </c>
      <c r="Q42" s="131" t="s">
        <v>432</v>
      </c>
      <c r="R42" s="132" t="s">
        <v>105</v>
      </c>
      <c r="S42" s="134" t="s">
        <v>432</v>
      </c>
      <c r="T42" s="134" t="s">
        <v>105</v>
      </c>
    </row>
    <row r="43" spans="1:20" ht="42.75" x14ac:dyDescent="0.25">
      <c r="A43" s="119" t="s">
        <v>39</v>
      </c>
      <c r="B43" s="119" t="s">
        <v>9</v>
      </c>
      <c r="C43" s="120" t="s">
        <v>39</v>
      </c>
      <c r="D43" s="120" t="s">
        <v>9</v>
      </c>
      <c r="E43" s="121" t="s">
        <v>22</v>
      </c>
      <c r="F43" s="121">
        <v>15</v>
      </c>
      <c r="G43" s="122" t="s">
        <v>433</v>
      </c>
      <c r="H43" s="123" t="s">
        <v>105</v>
      </c>
      <c r="I43" s="124" t="s">
        <v>433</v>
      </c>
      <c r="J43" s="124" t="s">
        <v>105</v>
      </c>
      <c r="K43" s="125" t="s">
        <v>433</v>
      </c>
      <c r="L43" s="126" t="s">
        <v>105</v>
      </c>
      <c r="M43" s="47" t="s">
        <v>433</v>
      </c>
      <c r="N43" s="95" t="s">
        <v>105</v>
      </c>
      <c r="O43" s="128" t="s">
        <v>433</v>
      </c>
      <c r="P43" s="130" t="s">
        <v>105</v>
      </c>
      <c r="Q43" s="131" t="s">
        <v>433</v>
      </c>
      <c r="R43" s="132" t="s">
        <v>105</v>
      </c>
      <c r="S43" s="134" t="s">
        <v>433</v>
      </c>
      <c r="T43" s="134" t="s">
        <v>105</v>
      </c>
    </row>
    <row r="44" spans="1:20" ht="42.75" x14ac:dyDescent="0.25">
      <c r="A44" s="119" t="s">
        <v>40</v>
      </c>
      <c r="B44" s="119" t="s">
        <v>9</v>
      </c>
      <c r="C44" s="120" t="s">
        <v>40</v>
      </c>
      <c r="D44" s="120" t="s">
        <v>9</v>
      </c>
      <c r="E44" s="121" t="s">
        <v>23</v>
      </c>
      <c r="F44" s="121">
        <v>15</v>
      </c>
      <c r="G44" s="122" t="s">
        <v>41</v>
      </c>
      <c r="H44" s="123" t="s">
        <v>94</v>
      </c>
      <c r="I44" s="124" t="s">
        <v>41</v>
      </c>
      <c r="J44" s="124" t="s">
        <v>478</v>
      </c>
      <c r="K44" s="125" t="s">
        <v>41</v>
      </c>
      <c r="L44" s="126" t="s">
        <v>478</v>
      </c>
      <c r="M44" s="47" t="s">
        <v>41</v>
      </c>
      <c r="N44" s="95" t="s">
        <v>478</v>
      </c>
      <c r="O44" s="128" t="s">
        <v>41</v>
      </c>
      <c r="P44" s="130" t="s">
        <v>478</v>
      </c>
      <c r="Q44" s="131" t="s">
        <v>41</v>
      </c>
      <c r="R44" s="132" t="s">
        <v>146</v>
      </c>
      <c r="S44" s="134" t="s">
        <v>41</v>
      </c>
      <c r="T44" s="134" t="s">
        <v>146</v>
      </c>
    </row>
    <row r="45" spans="1:20" ht="30" x14ac:dyDescent="0.25">
      <c r="A45" s="119" t="s">
        <v>431</v>
      </c>
      <c r="B45" s="119" t="s">
        <v>9</v>
      </c>
      <c r="C45" s="120" t="s">
        <v>431</v>
      </c>
      <c r="D45" s="120" t="s">
        <v>9</v>
      </c>
      <c r="E45" s="121" t="s">
        <v>24</v>
      </c>
      <c r="F45" s="121">
        <v>15</v>
      </c>
      <c r="G45" s="122" t="s">
        <v>43</v>
      </c>
      <c r="H45" s="123" t="s">
        <v>44</v>
      </c>
      <c r="I45" s="124" t="s">
        <v>43</v>
      </c>
      <c r="J45" s="124" t="s">
        <v>44</v>
      </c>
      <c r="K45" s="125" t="s">
        <v>43</v>
      </c>
      <c r="L45" s="126" t="s">
        <v>44</v>
      </c>
      <c r="M45" s="47" t="s">
        <v>43</v>
      </c>
      <c r="N45" s="95" t="s">
        <v>44</v>
      </c>
      <c r="O45" s="128" t="s">
        <v>43</v>
      </c>
      <c r="P45" s="130" t="s">
        <v>44</v>
      </c>
      <c r="Q45" s="131" t="s">
        <v>43</v>
      </c>
      <c r="R45" s="132" t="s">
        <v>549</v>
      </c>
      <c r="S45" s="134" t="s">
        <v>43</v>
      </c>
      <c r="T45" s="134" t="s">
        <v>549</v>
      </c>
    </row>
    <row r="46" spans="1:20" x14ac:dyDescent="0.25">
      <c r="A46" s="119" t="s">
        <v>457</v>
      </c>
      <c r="B46" s="119" t="s">
        <v>105</v>
      </c>
      <c r="C46" s="120" t="s">
        <v>432</v>
      </c>
      <c r="D46" s="120" t="s">
        <v>105</v>
      </c>
      <c r="E46" s="121" t="s">
        <v>49</v>
      </c>
      <c r="F46" s="121">
        <v>15</v>
      </c>
      <c r="G46" s="122" t="s">
        <v>434</v>
      </c>
      <c r="H46" s="123"/>
      <c r="I46" s="124" t="s">
        <v>434</v>
      </c>
      <c r="J46" s="124"/>
      <c r="K46" s="125" t="s">
        <v>434</v>
      </c>
      <c r="L46" s="126"/>
      <c r="M46" s="47" t="s">
        <v>434</v>
      </c>
      <c r="N46" s="95"/>
      <c r="O46" s="128" t="s">
        <v>434</v>
      </c>
      <c r="P46" s="130"/>
      <c r="Q46" s="131" t="s">
        <v>434</v>
      </c>
      <c r="R46" s="132"/>
      <c r="S46" s="134" t="s">
        <v>434</v>
      </c>
      <c r="T46" s="134"/>
    </row>
    <row r="47" spans="1:20" ht="27" x14ac:dyDescent="0.25">
      <c r="A47" s="119" t="s">
        <v>433</v>
      </c>
      <c r="B47" s="119" t="s">
        <v>105</v>
      </c>
      <c r="C47" s="120" t="s">
        <v>433</v>
      </c>
      <c r="D47" s="120" t="s">
        <v>105</v>
      </c>
      <c r="E47" s="121" t="s">
        <v>50</v>
      </c>
      <c r="F47" s="121"/>
      <c r="G47" s="122" t="s">
        <v>435</v>
      </c>
      <c r="H47" s="123" t="s">
        <v>45</v>
      </c>
      <c r="I47" s="124" t="s">
        <v>435</v>
      </c>
      <c r="J47" s="124" t="s">
        <v>45</v>
      </c>
      <c r="K47" s="125" t="s">
        <v>435</v>
      </c>
      <c r="L47" s="126" t="s">
        <v>45</v>
      </c>
      <c r="M47" s="47" t="s">
        <v>435</v>
      </c>
      <c r="N47" s="95" t="s">
        <v>45</v>
      </c>
      <c r="O47" s="128" t="s">
        <v>435</v>
      </c>
      <c r="P47" s="130" t="s">
        <v>45</v>
      </c>
      <c r="Q47" s="131" t="s">
        <v>435</v>
      </c>
      <c r="R47" s="132" t="s">
        <v>45</v>
      </c>
      <c r="S47" s="134" t="s">
        <v>435</v>
      </c>
      <c r="T47" s="134" t="s">
        <v>45</v>
      </c>
    </row>
    <row r="48" spans="1:20" x14ac:dyDescent="0.25">
      <c r="A48" s="119" t="s">
        <v>41</v>
      </c>
      <c r="B48" s="119" t="s">
        <v>30</v>
      </c>
      <c r="C48" s="120" t="s">
        <v>41</v>
      </c>
      <c r="D48" s="120" t="s">
        <v>94</v>
      </c>
      <c r="E48" s="121" t="s">
        <v>22</v>
      </c>
      <c r="F48" s="121">
        <v>15</v>
      </c>
      <c r="G48" s="122" t="s">
        <v>436</v>
      </c>
      <c r="H48" s="123" t="s">
        <v>45</v>
      </c>
      <c r="I48" s="124" t="s">
        <v>436</v>
      </c>
      <c r="J48" s="124" t="s">
        <v>45</v>
      </c>
      <c r="K48" s="125" t="s">
        <v>436</v>
      </c>
      <c r="L48" s="126" t="s">
        <v>45</v>
      </c>
      <c r="M48" s="47" t="s">
        <v>436</v>
      </c>
      <c r="N48" s="95" t="s">
        <v>45</v>
      </c>
      <c r="O48" s="128" t="s">
        <v>436</v>
      </c>
      <c r="P48" s="130" t="s">
        <v>45</v>
      </c>
      <c r="Q48" s="131" t="s">
        <v>436</v>
      </c>
      <c r="R48" s="132" t="s">
        <v>45</v>
      </c>
      <c r="S48" s="134" t="s">
        <v>436</v>
      </c>
      <c r="T48" s="134" t="s">
        <v>45</v>
      </c>
    </row>
    <row r="49" spans="1:20" ht="27" x14ac:dyDescent="0.25">
      <c r="A49" s="119" t="s">
        <v>43</v>
      </c>
      <c r="B49" s="119" t="s">
        <v>44</v>
      </c>
      <c r="C49" s="120" t="s">
        <v>43</v>
      </c>
      <c r="D49" s="120" t="s">
        <v>44</v>
      </c>
      <c r="E49" s="121" t="s">
        <v>23</v>
      </c>
      <c r="F49" s="121">
        <v>15</v>
      </c>
      <c r="G49" s="122" t="s">
        <v>46</v>
      </c>
      <c r="H49" s="123" t="s">
        <v>95</v>
      </c>
      <c r="I49" s="124" t="s">
        <v>46</v>
      </c>
      <c r="J49" s="124" t="s">
        <v>95</v>
      </c>
      <c r="K49" s="125" t="s">
        <v>46</v>
      </c>
      <c r="L49" s="126" t="s">
        <v>95</v>
      </c>
      <c r="M49" s="47" t="s">
        <v>46</v>
      </c>
      <c r="N49" s="95" t="s">
        <v>152</v>
      </c>
      <c r="O49" s="128" t="s">
        <v>46</v>
      </c>
      <c r="P49" s="130" t="s">
        <v>152</v>
      </c>
      <c r="Q49" s="131" t="s">
        <v>46</v>
      </c>
      <c r="R49" s="132" t="s">
        <v>152</v>
      </c>
      <c r="S49" s="134" t="s">
        <v>46</v>
      </c>
      <c r="T49" s="134" t="s">
        <v>152</v>
      </c>
    </row>
    <row r="50" spans="1:20" x14ac:dyDescent="0.25">
      <c r="A50" s="119" t="s">
        <v>434</v>
      </c>
      <c r="B50" s="119"/>
      <c r="C50" s="120" t="s">
        <v>434</v>
      </c>
      <c r="D50" s="120"/>
      <c r="E50" s="121" t="s">
        <v>24</v>
      </c>
      <c r="F50" s="121">
        <v>15</v>
      </c>
      <c r="G50" s="122" t="s">
        <v>48</v>
      </c>
      <c r="H50" s="123"/>
      <c r="I50" s="124" t="s">
        <v>48</v>
      </c>
      <c r="J50" s="124"/>
      <c r="K50" s="125" t="s">
        <v>48</v>
      </c>
      <c r="L50" s="126"/>
      <c r="M50" s="47" t="s">
        <v>48</v>
      </c>
      <c r="N50" s="95"/>
      <c r="O50" s="128" t="s">
        <v>48</v>
      </c>
      <c r="P50" s="130"/>
      <c r="Q50" s="131" t="s">
        <v>48</v>
      </c>
      <c r="R50" s="132"/>
      <c r="S50" s="134" t="s">
        <v>48</v>
      </c>
      <c r="T50" s="134"/>
    </row>
    <row r="51" spans="1:20" ht="28.5" x14ac:dyDescent="0.25">
      <c r="A51" s="119" t="s">
        <v>435</v>
      </c>
      <c r="B51" s="119" t="s">
        <v>45</v>
      </c>
      <c r="C51" s="120" t="s">
        <v>435</v>
      </c>
      <c r="D51" s="120" t="s">
        <v>45</v>
      </c>
      <c r="E51" s="121" t="s">
        <v>51</v>
      </c>
      <c r="F51" s="121" t="s">
        <v>9</v>
      </c>
      <c r="G51" s="122" t="s">
        <v>22</v>
      </c>
      <c r="H51" s="123">
        <v>15</v>
      </c>
      <c r="I51" s="124" t="s">
        <v>22</v>
      </c>
      <c r="J51" s="124">
        <v>15</v>
      </c>
      <c r="K51" s="125" t="s">
        <v>22</v>
      </c>
      <c r="L51" s="126">
        <v>15</v>
      </c>
      <c r="M51" s="47" t="s">
        <v>22</v>
      </c>
      <c r="N51" s="95">
        <v>15</v>
      </c>
      <c r="O51" s="128" t="s">
        <v>22</v>
      </c>
      <c r="P51" s="130">
        <v>15</v>
      </c>
      <c r="Q51" s="131" t="s">
        <v>22</v>
      </c>
      <c r="R51" s="132">
        <v>15</v>
      </c>
      <c r="S51" s="134" t="s">
        <v>22</v>
      </c>
      <c r="T51" s="134">
        <v>15</v>
      </c>
    </row>
    <row r="52" spans="1:20" ht="28.5" x14ac:dyDescent="0.25">
      <c r="A52" s="119" t="s">
        <v>436</v>
      </c>
      <c r="B52" s="119" t="s">
        <v>45</v>
      </c>
      <c r="C52" s="120" t="s">
        <v>436</v>
      </c>
      <c r="D52" s="120" t="s">
        <v>45</v>
      </c>
      <c r="E52" s="121" t="s">
        <v>52</v>
      </c>
      <c r="F52" s="121" t="s">
        <v>53</v>
      </c>
      <c r="G52" s="122" t="s">
        <v>23</v>
      </c>
      <c r="H52" s="123">
        <v>15</v>
      </c>
      <c r="I52" s="124" t="s">
        <v>23</v>
      </c>
      <c r="J52" s="124">
        <v>15</v>
      </c>
      <c r="K52" s="125" t="s">
        <v>23</v>
      </c>
      <c r="L52" s="126">
        <v>15</v>
      </c>
      <c r="M52" s="47" t="s">
        <v>23</v>
      </c>
      <c r="N52" s="95">
        <v>15</v>
      </c>
      <c r="O52" s="128" t="s">
        <v>23</v>
      </c>
      <c r="P52" s="130">
        <v>15</v>
      </c>
      <c r="Q52" s="131" t="s">
        <v>23</v>
      </c>
      <c r="R52" s="132">
        <v>15</v>
      </c>
      <c r="S52" s="134" t="s">
        <v>23</v>
      </c>
      <c r="T52" s="134">
        <v>15</v>
      </c>
    </row>
    <row r="53" spans="1:20" x14ac:dyDescent="0.25">
      <c r="A53" s="119" t="s">
        <v>46</v>
      </c>
      <c r="B53" s="119" t="s">
        <v>47</v>
      </c>
      <c r="C53" s="120" t="s">
        <v>46</v>
      </c>
      <c r="D53" s="120" t="s">
        <v>95</v>
      </c>
      <c r="E53" s="121" t="s">
        <v>439</v>
      </c>
      <c r="F53" s="121" t="s">
        <v>53</v>
      </c>
      <c r="G53" s="122" t="s">
        <v>24</v>
      </c>
      <c r="H53" s="123">
        <v>15</v>
      </c>
      <c r="I53" s="124" t="s">
        <v>24</v>
      </c>
      <c r="J53" s="124">
        <v>15</v>
      </c>
      <c r="K53" s="125" t="s">
        <v>24</v>
      </c>
      <c r="L53" s="126">
        <v>15</v>
      </c>
      <c r="M53" s="47" t="s">
        <v>24</v>
      </c>
      <c r="N53" s="95">
        <v>15</v>
      </c>
      <c r="O53" s="128" t="s">
        <v>24</v>
      </c>
      <c r="P53" s="130">
        <v>15</v>
      </c>
      <c r="Q53" s="131" t="s">
        <v>24</v>
      </c>
      <c r="R53" s="132">
        <v>15</v>
      </c>
      <c r="S53" s="134" t="s">
        <v>24</v>
      </c>
      <c r="T53" s="134">
        <v>15</v>
      </c>
    </row>
    <row r="54" spans="1:20" ht="28.5" x14ac:dyDescent="0.25">
      <c r="A54" s="119" t="s">
        <v>48</v>
      </c>
      <c r="B54" s="119"/>
      <c r="C54" s="120" t="s">
        <v>48</v>
      </c>
      <c r="D54" s="120"/>
      <c r="E54" s="121" t="s">
        <v>54</v>
      </c>
      <c r="F54" s="121" t="s">
        <v>9</v>
      </c>
      <c r="G54" s="122" t="s">
        <v>49</v>
      </c>
      <c r="H54" s="123">
        <v>15</v>
      </c>
      <c r="I54" s="124" t="s">
        <v>49</v>
      </c>
      <c r="J54" s="124">
        <v>15</v>
      </c>
      <c r="K54" s="125" t="s">
        <v>49</v>
      </c>
      <c r="L54" s="126">
        <v>15</v>
      </c>
      <c r="M54" s="47" t="s">
        <v>49</v>
      </c>
      <c r="N54" s="95">
        <v>15</v>
      </c>
      <c r="O54" s="128" t="s">
        <v>49</v>
      </c>
      <c r="P54" s="130">
        <v>15</v>
      </c>
      <c r="Q54" s="131" t="s">
        <v>49</v>
      </c>
      <c r="R54" s="132">
        <v>15</v>
      </c>
      <c r="S54" s="134" t="s">
        <v>49</v>
      </c>
      <c r="T54" s="134">
        <v>15</v>
      </c>
    </row>
    <row r="55" spans="1:20" x14ac:dyDescent="0.25">
      <c r="A55" s="119" t="s">
        <v>22</v>
      </c>
      <c r="B55" s="119">
        <v>15</v>
      </c>
      <c r="C55" s="120" t="s">
        <v>22</v>
      </c>
      <c r="D55" s="120">
        <v>15</v>
      </c>
      <c r="E55" s="121" t="s">
        <v>55</v>
      </c>
      <c r="F55" s="121" t="s">
        <v>9</v>
      </c>
      <c r="G55" s="122" t="s">
        <v>50</v>
      </c>
      <c r="H55" s="123"/>
      <c r="I55" s="124" t="s">
        <v>50</v>
      </c>
      <c r="J55" s="124"/>
      <c r="K55" s="125" t="s">
        <v>50</v>
      </c>
      <c r="L55" s="126"/>
      <c r="M55" s="47" t="s">
        <v>50</v>
      </c>
      <c r="N55" s="95"/>
      <c r="O55" s="128" t="s">
        <v>50</v>
      </c>
      <c r="P55" s="130"/>
      <c r="Q55" s="131" t="s">
        <v>50</v>
      </c>
      <c r="R55" s="132"/>
      <c r="S55" s="134" t="s">
        <v>50</v>
      </c>
      <c r="T55" s="134"/>
    </row>
    <row r="56" spans="1:20" ht="28.5" x14ac:dyDescent="0.25">
      <c r="A56" s="119" t="s">
        <v>23</v>
      </c>
      <c r="B56" s="119">
        <v>15</v>
      </c>
      <c r="C56" s="120" t="s">
        <v>23</v>
      </c>
      <c r="D56" s="120">
        <v>15</v>
      </c>
      <c r="E56" s="121" t="s">
        <v>56</v>
      </c>
      <c r="F56" s="121" t="s">
        <v>30</v>
      </c>
      <c r="G56" s="122" t="s">
        <v>22</v>
      </c>
      <c r="H56" s="123">
        <v>15</v>
      </c>
      <c r="I56" s="124" t="s">
        <v>22</v>
      </c>
      <c r="J56" s="124">
        <v>15</v>
      </c>
      <c r="K56" s="125" t="s">
        <v>22</v>
      </c>
      <c r="L56" s="126">
        <v>15</v>
      </c>
      <c r="M56" s="47" t="s">
        <v>22</v>
      </c>
      <c r="N56" s="95">
        <v>15</v>
      </c>
      <c r="O56" s="128" t="s">
        <v>22</v>
      </c>
      <c r="P56" s="130">
        <v>15</v>
      </c>
      <c r="Q56" s="131" t="s">
        <v>22</v>
      </c>
      <c r="R56" s="132">
        <v>15</v>
      </c>
      <c r="S56" s="134" t="s">
        <v>22</v>
      </c>
      <c r="T56" s="134">
        <v>15</v>
      </c>
    </row>
    <row r="57" spans="1:20" ht="28.5" x14ac:dyDescent="0.25">
      <c r="A57" s="119" t="s">
        <v>24</v>
      </c>
      <c r="B57" s="119">
        <v>15</v>
      </c>
      <c r="C57" s="120" t="s">
        <v>24</v>
      </c>
      <c r="D57" s="120">
        <v>15</v>
      </c>
      <c r="E57" s="121" t="s">
        <v>57</v>
      </c>
      <c r="F57" s="121" t="s">
        <v>30</v>
      </c>
      <c r="G57" s="122" t="s">
        <v>23</v>
      </c>
      <c r="H57" s="123">
        <v>15</v>
      </c>
      <c r="I57" s="124" t="s">
        <v>23</v>
      </c>
      <c r="J57" s="124">
        <v>15</v>
      </c>
      <c r="K57" s="125" t="s">
        <v>23</v>
      </c>
      <c r="L57" s="126">
        <v>15</v>
      </c>
      <c r="M57" s="47" t="s">
        <v>23</v>
      </c>
      <c r="N57" s="95">
        <v>15</v>
      </c>
      <c r="O57" s="128" t="s">
        <v>23</v>
      </c>
      <c r="P57" s="130">
        <v>15</v>
      </c>
      <c r="Q57" s="131" t="s">
        <v>23</v>
      </c>
      <c r="R57" s="132">
        <v>15</v>
      </c>
      <c r="S57" s="134" t="s">
        <v>23</v>
      </c>
      <c r="T57" s="134">
        <v>15</v>
      </c>
    </row>
    <row r="58" spans="1:20" x14ac:dyDescent="0.25">
      <c r="A58" s="119" t="s">
        <v>49</v>
      </c>
      <c r="B58" s="119">
        <v>15</v>
      </c>
      <c r="C58" s="120" t="s">
        <v>49</v>
      </c>
      <c r="D58" s="120">
        <v>15</v>
      </c>
      <c r="E58" s="121" t="s">
        <v>58</v>
      </c>
      <c r="F58" s="121" t="s">
        <v>30</v>
      </c>
      <c r="G58" s="122" t="s">
        <v>24</v>
      </c>
      <c r="H58" s="123">
        <v>15</v>
      </c>
      <c r="I58" s="124" t="s">
        <v>24</v>
      </c>
      <c r="J58" s="124">
        <v>15</v>
      </c>
      <c r="K58" s="125" t="s">
        <v>24</v>
      </c>
      <c r="L58" s="126">
        <v>15</v>
      </c>
      <c r="M58" s="47" t="s">
        <v>24</v>
      </c>
      <c r="N58" s="95">
        <v>15</v>
      </c>
      <c r="O58" s="128" t="s">
        <v>24</v>
      </c>
      <c r="P58" s="130">
        <v>15</v>
      </c>
      <c r="Q58" s="131" t="s">
        <v>24</v>
      </c>
      <c r="R58" s="132">
        <v>15</v>
      </c>
      <c r="S58" s="134" t="s">
        <v>24</v>
      </c>
      <c r="T58" s="134">
        <v>15</v>
      </c>
    </row>
    <row r="59" spans="1:20" x14ac:dyDescent="0.25">
      <c r="A59" s="119" t="s">
        <v>50</v>
      </c>
      <c r="B59" s="119"/>
      <c r="C59" s="120" t="s">
        <v>50</v>
      </c>
      <c r="D59" s="120"/>
      <c r="E59" s="121" t="s">
        <v>59</v>
      </c>
      <c r="F59" s="121" t="s">
        <v>412</v>
      </c>
      <c r="G59" s="122" t="s">
        <v>51</v>
      </c>
      <c r="H59" s="123" t="s">
        <v>9</v>
      </c>
      <c r="I59" s="124" t="s">
        <v>51</v>
      </c>
      <c r="J59" s="124" t="s">
        <v>9</v>
      </c>
      <c r="K59" s="125" t="s">
        <v>51</v>
      </c>
      <c r="L59" s="126" t="s">
        <v>9</v>
      </c>
      <c r="M59" s="47" t="s">
        <v>51</v>
      </c>
      <c r="N59" s="95" t="s">
        <v>9</v>
      </c>
      <c r="O59" s="128" t="s">
        <v>51</v>
      </c>
      <c r="P59" s="130" t="s">
        <v>9</v>
      </c>
      <c r="Q59" s="131" t="s">
        <v>51</v>
      </c>
      <c r="R59" s="132" t="s">
        <v>9</v>
      </c>
      <c r="S59" s="134" t="s">
        <v>51</v>
      </c>
      <c r="T59" s="134" t="s">
        <v>9</v>
      </c>
    </row>
    <row r="60" spans="1:20" ht="27" x14ac:dyDescent="0.25">
      <c r="A60" s="119" t="s">
        <v>22</v>
      </c>
      <c r="B60" s="119">
        <v>15</v>
      </c>
      <c r="C60" s="120" t="s">
        <v>22</v>
      </c>
      <c r="D60" s="120">
        <v>15</v>
      </c>
      <c r="E60" s="121" t="s">
        <v>398</v>
      </c>
      <c r="F60" s="121" t="s">
        <v>30</v>
      </c>
      <c r="G60" s="122" t="s">
        <v>382</v>
      </c>
      <c r="H60" s="123" t="s">
        <v>135</v>
      </c>
      <c r="I60" s="124" t="s">
        <v>382</v>
      </c>
      <c r="J60" s="124" t="s">
        <v>135</v>
      </c>
      <c r="K60" s="125" t="s">
        <v>382</v>
      </c>
      <c r="L60" s="126" t="s">
        <v>135</v>
      </c>
      <c r="M60" s="47" t="s">
        <v>382</v>
      </c>
      <c r="N60" s="95" t="s">
        <v>135</v>
      </c>
      <c r="O60" s="128" t="s">
        <v>382</v>
      </c>
      <c r="P60" s="130" t="s">
        <v>135</v>
      </c>
      <c r="Q60" s="131" t="s">
        <v>382</v>
      </c>
      <c r="R60" s="132" t="s">
        <v>135</v>
      </c>
      <c r="S60" s="134" t="s">
        <v>382</v>
      </c>
      <c r="T60" s="134" t="s">
        <v>135</v>
      </c>
    </row>
    <row r="61" spans="1:20" x14ac:dyDescent="0.25">
      <c r="A61" s="119" t="s">
        <v>23</v>
      </c>
      <c r="B61" s="119">
        <v>15</v>
      </c>
      <c r="C61" s="120" t="s">
        <v>23</v>
      </c>
      <c r="D61" s="120">
        <v>15</v>
      </c>
      <c r="E61" s="121" t="s">
        <v>61</v>
      </c>
      <c r="F61" s="121"/>
      <c r="G61" s="122" t="s">
        <v>428</v>
      </c>
      <c r="H61" s="123" t="s">
        <v>135</v>
      </c>
      <c r="I61" s="124" t="s">
        <v>428</v>
      </c>
      <c r="J61" s="124" t="s">
        <v>135</v>
      </c>
      <c r="K61" s="125" t="s">
        <v>428</v>
      </c>
      <c r="L61" s="126" t="s">
        <v>135</v>
      </c>
      <c r="M61" s="47" t="s">
        <v>428</v>
      </c>
      <c r="N61" s="95" t="s">
        <v>135</v>
      </c>
      <c r="O61" s="128" t="s">
        <v>428</v>
      </c>
      <c r="P61" s="130" t="s">
        <v>135</v>
      </c>
      <c r="Q61" s="131" t="s">
        <v>428</v>
      </c>
      <c r="R61" s="132" t="s">
        <v>135</v>
      </c>
      <c r="S61" s="134" t="s">
        <v>428</v>
      </c>
      <c r="T61" s="134" t="s">
        <v>135</v>
      </c>
    </row>
    <row r="62" spans="1:20" ht="28.5" x14ac:dyDescent="0.25">
      <c r="A62" s="119" t="s">
        <v>24</v>
      </c>
      <c r="B62" s="119">
        <v>15</v>
      </c>
      <c r="C62" s="120" t="s">
        <v>24</v>
      </c>
      <c r="D62" s="120">
        <v>15</v>
      </c>
      <c r="E62" s="121" t="s">
        <v>22</v>
      </c>
      <c r="F62" s="121">
        <v>15</v>
      </c>
      <c r="G62" s="122" t="s">
        <v>384</v>
      </c>
      <c r="H62" s="123" t="s">
        <v>429</v>
      </c>
      <c r="I62" s="124" t="s">
        <v>384</v>
      </c>
      <c r="J62" s="124" t="s">
        <v>429</v>
      </c>
      <c r="K62" s="125" t="s">
        <v>384</v>
      </c>
      <c r="L62" s="126" t="s">
        <v>429</v>
      </c>
      <c r="M62" s="47" t="s">
        <v>384</v>
      </c>
      <c r="N62" s="95" t="s">
        <v>429</v>
      </c>
      <c r="O62" s="128" t="s">
        <v>384</v>
      </c>
      <c r="P62" s="130" t="s">
        <v>429</v>
      </c>
      <c r="Q62" s="131" t="s">
        <v>384</v>
      </c>
      <c r="R62" s="132" t="s">
        <v>429</v>
      </c>
      <c r="S62" s="134" t="s">
        <v>384</v>
      </c>
      <c r="T62" s="134" t="s">
        <v>429</v>
      </c>
    </row>
    <row r="63" spans="1:20" ht="28.5" x14ac:dyDescent="0.25">
      <c r="A63" s="119" t="s">
        <v>51</v>
      </c>
      <c r="B63" s="119" t="s">
        <v>9</v>
      </c>
      <c r="C63" s="120" t="s">
        <v>51</v>
      </c>
      <c r="D63" s="120" t="s">
        <v>9</v>
      </c>
      <c r="E63" s="121" t="s">
        <v>23</v>
      </c>
      <c r="F63" s="121">
        <v>15</v>
      </c>
      <c r="G63" s="122" t="s">
        <v>437</v>
      </c>
      <c r="H63" s="123" t="s">
        <v>438</v>
      </c>
      <c r="I63" s="124" t="s">
        <v>437</v>
      </c>
      <c r="J63" s="124" t="s">
        <v>438</v>
      </c>
      <c r="K63" s="125" t="s">
        <v>437</v>
      </c>
      <c r="L63" s="126" t="s">
        <v>438</v>
      </c>
      <c r="M63" s="47" t="s">
        <v>437</v>
      </c>
      <c r="N63" s="95" t="s">
        <v>438</v>
      </c>
      <c r="O63" s="128" t="s">
        <v>437</v>
      </c>
      <c r="P63" s="130" t="s">
        <v>438</v>
      </c>
      <c r="Q63" s="131" t="s">
        <v>437</v>
      </c>
      <c r="R63" s="132" t="s">
        <v>438</v>
      </c>
      <c r="S63" s="134" t="s">
        <v>437</v>
      </c>
      <c r="T63" s="134" t="s">
        <v>438</v>
      </c>
    </row>
    <row r="64" spans="1:20" ht="42.75" x14ac:dyDescent="0.25">
      <c r="A64" s="119" t="s">
        <v>52</v>
      </c>
      <c r="B64" s="119" t="s">
        <v>53</v>
      </c>
      <c r="C64" s="120" t="s">
        <v>52</v>
      </c>
      <c r="D64" s="120" t="s">
        <v>53</v>
      </c>
      <c r="E64" s="121" t="s">
        <v>24</v>
      </c>
      <c r="F64" s="121">
        <v>15</v>
      </c>
      <c r="G64" s="122" t="s">
        <v>52</v>
      </c>
      <c r="H64" s="123" t="s">
        <v>53</v>
      </c>
      <c r="I64" s="124" t="s">
        <v>52</v>
      </c>
      <c r="J64" s="124" t="s">
        <v>478</v>
      </c>
      <c r="K64" s="125" t="s">
        <v>52</v>
      </c>
      <c r="L64" s="126" t="s">
        <v>478</v>
      </c>
      <c r="M64" s="47" t="s">
        <v>52</v>
      </c>
      <c r="N64" s="95" t="s">
        <v>478</v>
      </c>
      <c r="O64" s="128" t="s">
        <v>52</v>
      </c>
      <c r="P64" s="130" t="s">
        <v>478</v>
      </c>
      <c r="Q64" s="131" t="s">
        <v>52</v>
      </c>
      <c r="R64" s="132" t="s">
        <v>478</v>
      </c>
      <c r="S64" s="134" t="s">
        <v>52</v>
      </c>
      <c r="T64" s="134" t="s">
        <v>478</v>
      </c>
    </row>
    <row r="65" spans="1:20" ht="42.75" x14ac:dyDescent="0.25">
      <c r="A65" s="119" t="s">
        <v>439</v>
      </c>
      <c r="B65" s="119" t="s">
        <v>53</v>
      </c>
      <c r="C65" s="120" t="s">
        <v>439</v>
      </c>
      <c r="D65" s="120" t="s">
        <v>53</v>
      </c>
      <c r="E65" s="121" t="s">
        <v>62</v>
      </c>
      <c r="F65" s="121">
        <v>15</v>
      </c>
      <c r="G65" s="122" t="s">
        <v>439</v>
      </c>
      <c r="H65" s="123" t="s">
        <v>426</v>
      </c>
      <c r="I65" s="124" t="s">
        <v>439</v>
      </c>
      <c r="J65" s="124" t="s">
        <v>426</v>
      </c>
      <c r="K65" s="125" t="s">
        <v>439</v>
      </c>
      <c r="L65" s="126" t="s">
        <v>426</v>
      </c>
      <c r="M65" s="47" t="s">
        <v>439</v>
      </c>
      <c r="N65" s="95" t="s">
        <v>426</v>
      </c>
      <c r="O65" s="128" t="s">
        <v>439</v>
      </c>
      <c r="P65" s="130" t="s">
        <v>426</v>
      </c>
      <c r="Q65" s="131" t="s">
        <v>439</v>
      </c>
      <c r="R65" s="132" t="s">
        <v>426</v>
      </c>
      <c r="S65" s="134" t="s">
        <v>439</v>
      </c>
      <c r="T65" s="134" t="s">
        <v>426</v>
      </c>
    </row>
    <row r="66" spans="1:20" ht="42.75" x14ac:dyDescent="0.25">
      <c r="A66" s="119" t="s">
        <v>54</v>
      </c>
      <c r="B66" s="119" t="s">
        <v>9</v>
      </c>
      <c r="C66" s="120" t="s">
        <v>54</v>
      </c>
      <c r="D66" s="120" t="s">
        <v>9</v>
      </c>
      <c r="E66" s="121" t="s">
        <v>63</v>
      </c>
      <c r="F66" s="121" t="s">
        <v>30</v>
      </c>
      <c r="G66" s="122" t="s">
        <v>55</v>
      </c>
      <c r="H66" s="123" t="s">
        <v>9</v>
      </c>
      <c r="I66" s="124" t="s">
        <v>55</v>
      </c>
      <c r="J66" s="124" t="s">
        <v>9</v>
      </c>
      <c r="K66" s="125" t="s">
        <v>55</v>
      </c>
      <c r="L66" s="126" t="s">
        <v>9</v>
      </c>
      <c r="M66" s="47" t="s">
        <v>55</v>
      </c>
      <c r="N66" s="95" t="s">
        <v>9</v>
      </c>
      <c r="O66" s="128" t="s">
        <v>55</v>
      </c>
      <c r="P66" s="130" t="s">
        <v>9</v>
      </c>
      <c r="Q66" s="131" t="s">
        <v>55</v>
      </c>
      <c r="R66" s="132" t="s">
        <v>9</v>
      </c>
      <c r="S66" s="134" t="s">
        <v>55</v>
      </c>
      <c r="T66" s="134" t="s">
        <v>9</v>
      </c>
    </row>
    <row r="67" spans="1:20" x14ac:dyDescent="0.25">
      <c r="A67" s="119" t="s">
        <v>55</v>
      </c>
      <c r="B67" s="119" t="s">
        <v>9</v>
      </c>
      <c r="C67" s="120" t="s">
        <v>55</v>
      </c>
      <c r="D67" s="120" t="s">
        <v>9</v>
      </c>
      <c r="E67" s="121" t="s">
        <v>64</v>
      </c>
      <c r="F67" s="121" t="s">
        <v>30</v>
      </c>
      <c r="G67" s="122" t="s">
        <v>56</v>
      </c>
      <c r="H67" s="123" t="s">
        <v>30</v>
      </c>
      <c r="I67" s="124" t="s">
        <v>56</v>
      </c>
      <c r="J67" s="124" t="s">
        <v>30</v>
      </c>
      <c r="K67" s="125" t="s">
        <v>56</v>
      </c>
      <c r="L67" s="126" t="s">
        <v>30</v>
      </c>
      <c r="M67" s="47" t="s">
        <v>498</v>
      </c>
      <c r="N67" s="95" t="s">
        <v>147</v>
      </c>
      <c r="O67" s="128" t="s">
        <v>498</v>
      </c>
      <c r="P67" s="130" t="s">
        <v>147</v>
      </c>
      <c r="Q67" s="131" t="s">
        <v>498</v>
      </c>
      <c r="R67" s="132" t="s">
        <v>147</v>
      </c>
      <c r="S67" s="134" t="s">
        <v>498</v>
      </c>
      <c r="T67" s="134" t="s">
        <v>147</v>
      </c>
    </row>
    <row r="68" spans="1:20" x14ac:dyDescent="0.25">
      <c r="A68" s="119" t="s">
        <v>56</v>
      </c>
      <c r="B68" s="119" t="s">
        <v>30</v>
      </c>
      <c r="C68" s="120" t="s">
        <v>56</v>
      </c>
      <c r="D68" s="120" t="s">
        <v>30</v>
      </c>
      <c r="E68" s="121" t="s">
        <v>65</v>
      </c>
      <c r="F68" s="121">
        <v>15</v>
      </c>
      <c r="G68" s="122" t="s">
        <v>57</v>
      </c>
      <c r="H68" s="123" t="s">
        <v>30</v>
      </c>
      <c r="I68" s="124" t="s">
        <v>56</v>
      </c>
      <c r="J68" s="124" t="s">
        <v>479</v>
      </c>
      <c r="K68" s="125" t="s">
        <v>56</v>
      </c>
      <c r="L68" s="126" t="s">
        <v>479</v>
      </c>
      <c r="M68" s="47" t="s">
        <v>56</v>
      </c>
      <c r="N68" s="95" t="s">
        <v>479</v>
      </c>
      <c r="O68" s="128" t="s">
        <v>56</v>
      </c>
      <c r="P68" s="130" t="s">
        <v>479</v>
      </c>
      <c r="Q68" s="131" t="s">
        <v>56</v>
      </c>
      <c r="R68" s="132" t="s">
        <v>479</v>
      </c>
      <c r="S68" s="134" t="s">
        <v>56</v>
      </c>
      <c r="T68" s="134" t="s">
        <v>479</v>
      </c>
    </row>
    <row r="69" spans="1:20" x14ac:dyDescent="0.25">
      <c r="A69" s="119" t="s">
        <v>57</v>
      </c>
      <c r="B69" s="119" t="s">
        <v>30</v>
      </c>
      <c r="C69" s="120" t="s">
        <v>57</v>
      </c>
      <c r="D69" s="120" t="s">
        <v>30</v>
      </c>
      <c r="E69" s="121" t="s">
        <v>66</v>
      </c>
      <c r="F69" s="121">
        <v>15</v>
      </c>
      <c r="G69" s="122" t="s">
        <v>387</v>
      </c>
      <c r="H69" s="123" t="s">
        <v>426</v>
      </c>
      <c r="I69" s="124" t="s">
        <v>57</v>
      </c>
      <c r="J69" s="124" t="s">
        <v>30</v>
      </c>
      <c r="K69" s="125" t="s">
        <v>57</v>
      </c>
      <c r="L69" s="126" t="s">
        <v>30</v>
      </c>
      <c r="M69" s="47" t="s">
        <v>57</v>
      </c>
      <c r="N69" s="95" t="s">
        <v>30</v>
      </c>
      <c r="O69" s="128" t="s">
        <v>57</v>
      </c>
      <c r="P69" s="130" t="s">
        <v>30</v>
      </c>
      <c r="Q69" s="131" t="s">
        <v>57</v>
      </c>
      <c r="R69" s="132" t="s">
        <v>30</v>
      </c>
      <c r="S69" s="134" t="s">
        <v>57</v>
      </c>
      <c r="T69" s="134" t="s">
        <v>30</v>
      </c>
    </row>
    <row r="70" spans="1:20" ht="28.5" x14ac:dyDescent="0.25">
      <c r="A70" s="119" t="s">
        <v>58</v>
      </c>
      <c r="B70" s="119" t="s">
        <v>30</v>
      </c>
      <c r="C70" s="120" t="s">
        <v>58</v>
      </c>
      <c r="D70" s="120" t="s">
        <v>30</v>
      </c>
      <c r="E70" s="121" t="s">
        <v>22</v>
      </c>
      <c r="F70" s="121">
        <v>15</v>
      </c>
      <c r="G70" s="122" t="s">
        <v>58</v>
      </c>
      <c r="H70" s="123" t="s">
        <v>30</v>
      </c>
      <c r="I70" s="124" t="s">
        <v>387</v>
      </c>
      <c r="J70" s="124" t="s">
        <v>426</v>
      </c>
      <c r="K70" s="125" t="s">
        <v>387</v>
      </c>
      <c r="L70" s="126" t="s">
        <v>426</v>
      </c>
      <c r="M70" s="47" t="s">
        <v>387</v>
      </c>
      <c r="N70" s="95" t="s">
        <v>426</v>
      </c>
      <c r="O70" s="128" t="s">
        <v>387</v>
      </c>
      <c r="P70" s="130" t="s">
        <v>426</v>
      </c>
      <c r="Q70" s="131" t="s">
        <v>387</v>
      </c>
      <c r="R70" s="132" t="s">
        <v>426</v>
      </c>
      <c r="S70" s="134" t="s">
        <v>387</v>
      </c>
      <c r="T70" s="134" t="s">
        <v>426</v>
      </c>
    </row>
    <row r="71" spans="1:20" x14ac:dyDescent="0.25">
      <c r="A71" s="119" t="s">
        <v>59</v>
      </c>
      <c r="B71" s="119" t="s">
        <v>9</v>
      </c>
      <c r="C71" s="120" t="s">
        <v>59</v>
      </c>
      <c r="D71" s="120" t="s">
        <v>9</v>
      </c>
      <c r="E71" s="121" t="s">
        <v>23</v>
      </c>
      <c r="F71" s="121">
        <v>15</v>
      </c>
      <c r="G71" s="122" t="s">
        <v>59</v>
      </c>
      <c r="H71" s="123" t="s">
        <v>135</v>
      </c>
      <c r="I71" s="124" t="s">
        <v>58</v>
      </c>
      <c r="J71" s="124" t="s">
        <v>30</v>
      </c>
      <c r="K71" s="125" t="s">
        <v>58</v>
      </c>
      <c r="L71" s="126" t="s">
        <v>30</v>
      </c>
      <c r="M71" s="47" t="s">
        <v>58</v>
      </c>
      <c r="N71" s="95" t="s">
        <v>30</v>
      </c>
      <c r="O71" s="128" t="s">
        <v>58</v>
      </c>
      <c r="P71" s="130" t="s">
        <v>30</v>
      </c>
      <c r="Q71" s="131" t="s">
        <v>58</v>
      </c>
      <c r="R71" s="132" t="s">
        <v>30</v>
      </c>
      <c r="S71" s="134" t="s">
        <v>58</v>
      </c>
      <c r="T71" s="134" t="s">
        <v>30</v>
      </c>
    </row>
    <row r="72" spans="1:20" ht="27" x14ac:dyDescent="0.25">
      <c r="A72" s="119" t="s">
        <v>398</v>
      </c>
      <c r="B72" s="119" t="s">
        <v>30</v>
      </c>
      <c r="C72" s="120" t="s">
        <v>398</v>
      </c>
      <c r="D72" s="120" t="s">
        <v>30</v>
      </c>
      <c r="E72" s="121" t="s">
        <v>24</v>
      </c>
      <c r="F72" s="121">
        <v>15</v>
      </c>
      <c r="G72" s="122" t="s">
        <v>398</v>
      </c>
      <c r="H72" s="123" t="s">
        <v>30</v>
      </c>
      <c r="I72" s="124" t="s">
        <v>59</v>
      </c>
      <c r="J72" s="124" t="s">
        <v>135</v>
      </c>
      <c r="K72" s="125" t="s">
        <v>59</v>
      </c>
      <c r="L72" s="126" t="s">
        <v>135</v>
      </c>
      <c r="M72" s="47" t="s">
        <v>59</v>
      </c>
      <c r="N72" s="95" t="s">
        <v>135</v>
      </c>
      <c r="O72" s="128" t="s">
        <v>59</v>
      </c>
      <c r="P72" s="130" t="s">
        <v>135</v>
      </c>
      <c r="Q72" s="131" t="s">
        <v>59</v>
      </c>
      <c r="R72" s="132" t="s">
        <v>135</v>
      </c>
      <c r="S72" s="134" t="s">
        <v>59</v>
      </c>
      <c r="T72" s="134" t="s">
        <v>135</v>
      </c>
    </row>
    <row r="73" spans="1:20" ht="57" x14ac:dyDescent="0.25">
      <c r="A73" s="119" t="s">
        <v>61</v>
      </c>
      <c r="B73" s="119"/>
      <c r="C73" s="120" t="s">
        <v>61</v>
      </c>
      <c r="D73" s="120"/>
      <c r="E73" s="121" t="s">
        <v>440</v>
      </c>
      <c r="F73" s="121" t="s">
        <v>9</v>
      </c>
      <c r="G73" s="122" t="s">
        <v>61</v>
      </c>
      <c r="H73" s="123"/>
      <c r="I73" s="124" t="s">
        <v>398</v>
      </c>
      <c r="J73" s="124" t="s">
        <v>30</v>
      </c>
      <c r="K73" s="125" t="s">
        <v>398</v>
      </c>
      <c r="L73" s="126" t="s">
        <v>30</v>
      </c>
      <c r="M73" s="47" t="s">
        <v>398</v>
      </c>
      <c r="N73" s="95" t="s">
        <v>30</v>
      </c>
      <c r="O73" s="128" t="s">
        <v>398</v>
      </c>
      <c r="P73" s="130" t="s">
        <v>30</v>
      </c>
      <c r="Q73" s="131" t="s">
        <v>398</v>
      </c>
      <c r="R73" s="132" t="s">
        <v>30</v>
      </c>
      <c r="S73" s="134" t="s">
        <v>398</v>
      </c>
      <c r="T73" s="134" t="s">
        <v>30</v>
      </c>
    </row>
    <row r="74" spans="1:20" x14ac:dyDescent="0.25">
      <c r="A74" s="119" t="s">
        <v>22</v>
      </c>
      <c r="B74" s="119">
        <v>15</v>
      </c>
      <c r="C74" s="120" t="s">
        <v>22</v>
      </c>
      <c r="D74" s="120">
        <v>15</v>
      </c>
      <c r="E74" s="121" t="s">
        <v>68</v>
      </c>
      <c r="F74" s="121" t="s">
        <v>94</v>
      </c>
      <c r="G74" s="122" t="s">
        <v>22</v>
      </c>
      <c r="H74" s="123">
        <v>15</v>
      </c>
      <c r="I74" s="124" t="s">
        <v>61</v>
      </c>
      <c r="J74" s="124"/>
      <c r="K74" s="125" t="s">
        <v>61</v>
      </c>
      <c r="L74" s="126"/>
      <c r="M74" s="47" t="s">
        <v>61</v>
      </c>
      <c r="N74" s="95"/>
      <c r="O74" s="128" t="s">
        <v>61</v>
      </c>
      <c r="P74" s="130"/>
      <c r="Q74" s="131" t="s">
        <v>61</v>
      </c>
      <c r="R74" s="132"/>
      <c r="S74" s="134" t="s">
        <v>61</v>
      </c>
      <c r="T74" s="134"/>
    </row>
    <row r="75" spans="1:20" ht="28.5" x14ac:dyDescent="0.25">
      <c r="A75" s="119" t="s">
        <v>23</v>
      </c>
      <c r="B75" s="119">
        <v>15</v>
      </c>
      <c r="C75" s="120" t="s">
        <v>23</v>
      </c>
      <c r="D75" s="120">
        <v>15</v>
      </c>
      <c r="E75" s="121" t="s">
        <v>69</v>
      </c>
      <c r="F75" s="121">
        <v>15</v>
      </c>
      <c r="G75" s="122" t="s">
        <v>23</v>
      </c>
      <c r="H75" s="123">
        <v>15</v>
      </c>
      <c r="I75" s="124" t="s">
        <v>22</v>
      </c>
      <c r="J75" s="124">
        <v>15</v>
      </c>
      <c r="K75" s="125" t="s">
        <v>22</v>
      </c>
      <c r="L75" s="126">
        <v>15</v>
      </c>
      <c r="M75" s="47" t="s">
        <v>22</v>
      </c>
      <c r="N75" s="95">
        <v>15</v>
      </c>
      <c r="O75" s="128" t="s">
        <v>22</v>
      </c>
      <c r="P75" s="130">
        <v>15</v>
      </c>
      <c r="Q75" s="131" t="s">
        <v>22</v>
      </c>
      <c r="R75" s="132">
        <v>15</v>
      </c>
      <c r="S75" s="134" t="s">
        <v>22</v>
      </c>
      <c r="T75" s="134">
        <v>15</v>
      </c>
    </row>
    <row r="76" spans="1:20" ht="28.5" x14ac:dyDescent="0.25">
      <c r="A76" s="119" t="s">
        <v>24</v>
      </c>
      <c r="B76" s="119">
        <v>15</v>
      </c>
      <c r="C76" s="120" t="s">
        <v>24</v>
      </c>
      <c r="D76" s="120">
        <v>15</v>
      </c>
      <c r="E76" s="121" t="s">
        <v>70</v>
      </c>
      <c r="F76" s="121">
        <v>15.5</v>
      </c>
      <c r="G76" s="122" t="s">
        <v>24</v>
      </c>
      <c r="H76" s="123">
        <v>15</v>
      </c>
      <c r="I76" s="124" t="s">
        <v>23</v>
      </c>
      <c r="J76" s="124">
        <v>15</v>
      </c>
      <c r="K76" s="125" t="s">
        <v>23</v>
      </c>
      <c r="L76" s="126">
        <v>15</v>
      </c>
      <c r="M76" s="47" t="s">
        <v>23</v>
      </c>
      <c r="N76" s="95">
        <v>15</v>
      </c>
      <c r="O76" s="128" t="s">
        <v>23</v>
      </c>
      <c r="P76" s="130">
        <v>15</v>
      </c>
      <c r="Q76" s="131" t="s">
        <v>23</v>
      </c>
      <c r="R76" s="132">
        <v>15</v>
      </c>
      <c r="S76" s="134" t="s">
        <v>23</v>
      </c>
      <c r="T76" s="134">
        <v>15</v>
      </c>
    </row>
    <row r="77" spans="1:20" x14ac:dyDescent="0.25">
      <c r="A77" s="119" t="s">
        <v>62</v>
      </c>
      <c r="B77" s="119">
        <v>15</v>
      </c>
      <c r="C77" s="120" t="s">
        <v>62</v>
      </c>
      <c r="D77" s="120">
        <v>15</v>
      </c>
      <c r="E77" s="121" t="s">
        <v>71</v>
      </c>
      <c r="F77" s="121" t="s">
        <v>72</v>
      </c>
      <c r="G77" s="122" t="s">
        <v>62</v>
      </c>
      <c r="H77" s="123">
        <v>15</v>
      </c>
      <c r="I77" s="124" t="s">
        <v>24</v>
      </c>
      <c r="J77" s="124">
        <v>15</v>
      </c>
      <c r="K77" s="125" t="s">
        <v>24</v>
      </c>
      <c r="L77" s="126">
        <v>15</v>
      </c>
      <c r="M77" s="47" t="s">
        <v>24</v>
      </c>
      <c r="N77" s="95">
        <v>15</v>
      </c>
      <c r="O77" s="128" t="s">
        <v>24</v>
      </c>
      <c r="P77" s="130">
        <v>15</v>
      </c>
      <c r="Q77" s="131" t="s">
        <v>24</v>
      </c>
      <c r="R77" s="132">
        <v>15</v>
      </c>
      <c r="S77" s="134" t="s">
        <v>24</v>
      </c>
      <c r="T77" s="134">
        <v>15</v>
      </c>
    </row>
    <row r="78" spans="1:20" ht="28.5" x14ac:dyDescent="0.25">
      <c r="A78" s="119" t="s">
        <v>63</v>
      </c>
      <c r="B78" s="119" t="s">
        <v>30</v>
      </c>
      <c r="C78" s="120" t="s">
        <v>63</v>
      </c>
      <c r="D78" s="120" t="s">
        <v>30</v>
      </c>
      <c r="E78" s="121" t="s">
        <v>73</v>
      </c>
      <c r="F78" s="121" t="s">
        <v>72</v>
      </c>
      <c r="G78" s="122" t="s">
        <v>63</v>
      </c>
      <c r="H78" s="123" t="s">
        <v>430</v>
      </c>
      <c r="I78" s="124" t="s">
        <v>62</v>
      </c>
      <c r="J78" s="124">
        <v>15</v>
      </c>
      <c r="K78" s="125" t="s">
        <v>62</v>
      </c>
      <c r="L78" s="126">
        <v>15</v>
      </c>
      <c r="M78" s="47" t="s">
        <v>62</v>
      </c>
      <c r="N78" s="95">
        <v>15</v>
      </c>
      <c r="O78" s="128" t="s">
        <v>62</v>
      </c>
      <c r="P78" s="130">
        <v>15</v>
      </c>
      <c r="Q78" s="131" t="s">
        <v>62</v>
      </c>
      <c r="R78" s="132">
        <v>15</v>
      </c>
      <c r="S78" s="134" t="s">
        <v>62</v>
      </c>
      <c r="T78" s="134">
        <v>15</v>
      </c>
    </row>
    <row r="79" spans="1:20" ht="28.5" x14ac:dyDescent="0.25">
      <c r="A79" s="119" t="s">
        <v>64</v>
      </c>
      <c r="B79" s="119" t="s">
        <v>30</v>
      </c>
      <c r="C79" s="120" t="s">
        <v>64</v>
      </c>
      <c r="D79" s="120" t="s">
        <v>30</v>
      </c>
      <c r="E79" s="121" t="s">
        <v>74</v>
      </c>
      <c r="F79" s="121">
        <v>15.5</v>
      </c>
      <c r="G79" s="122" t="s">
        <v>64</v>
      </c>
      <c r="H79" s="123" t="s">
        <v>30</v>
      </c>
      <c r="I79" s="124" t="s">
        <v>63</v>
      </c>
      <c r="J79" s="124" t="s">
        <v>430</v>
      </c>
      <c r="K79" s="125" t="s">
        <v>63</v>
      </c>
      <c r="L79" s="126" t="s">
        <v>430</v>
      </c>
      <c r="M79" s="47" t="s">
        <v>63</v>
      </c>
      <c r="N79" s="95" t="s">
        <v>430</v>
      </c>
      <c r="O79" s="128" t="s">
        <v>63</v>
      </c>
      <c r="P79" s="130" t="s">
        <v>430</v>
      </c>
      <c r="Q79" s="131" t="s">
        <v>63</v>
      </c>
      <c r="R79" s="132" t="s">
        <v>430</v>
      </c>
      <c r="S79" s="134" t="s">
        <v>63</v>
      </c>
      <c r="T79" s="134" t="s">
        <v>430</v>
      </c>
    </row>
    <row r="80" spans="1:20" ht="28.5" x14ac:dyDescent="0.25">
      <c r="A80" s="119" t="s">
        <v>65</v>
      </c>
      <c r="B80" s="119">
        <v>15</v>
      </c>
      <c r="C80" s="120" t="s">
        <v>65</v>
      </c>
      <c r="D80" s="120">
        <v>15</v>
      </c>
      <c r="E80" s="121" t="s">
        <v>32</v>
      </c>
      <c r="F80" s="121" t="s">
        <v>92</v>
      </c>
      <c r="G80" s="122" t="s">
        <v>65</v>
      </c>
      <c r="H80" s="123">
        <v>15</v>
      </c>
      <c r="I80" s="124" t="s">
        <v>64</v>
      </c>
      <c r="J80" s="124" t="s">
        <v>480</v>
      </c>
      <c r="K80" s="125" t="s">
        <v>64</v>
      </c>
      <c r="L80" s="126" t="s">
        <v>480</v>
      </c>
      <c r="M80" s="47" t="s">
        <v>64</v>
      </c>
      <c r="N80" s="95" t="s">
        <v>480</v>
      </c>
      <c r="O80" s="128" t="s">
        <v>64</v>
      </c>
      <c r="P80" s="130" t="s">
        <v>480</v>
      </c>
      <c r="Q80" s="131" t="s">
        <v>64</v>
      </c>
      <c r="R80" s="132" t="s">
        <v>480</v>
      </c>
      <c r="S80" s="134" t="s">
        <v>64</v>
      </c>
      <c r="T80" s="134" t="s">
        <v>480</v>
      </c>
    </row>
    <row r="81" spans="1:20" ht="28.5" x14ac:dyDescent="0.25">
      <c r="A81" s="119" t="s">
        <v>66</v>
      </c>
      <c r="B81" s="119">
        <v>15</v>
      </c>
      <c r="C81" s="120" t="s">
        <v>66</v>
      </c>
      <c r="D81" s="120">
        <v>15</v>
      </c>
      <c r="E81" s="121" t="s">
        <v>8</v>
      </c>
      <c r="F81" s="121" t="s">
        <v>9</v>
      </c>
      <c r="G81" s="122" t="s">
        <v>66</v>
      </c>
      <c r="H81" s="123">
        <v>15</v>
      </c>
      <c r="I81" s="124" t="s">
        <v>65</v>
      </c>
      <c r="J81" s="124">
        <v>15</v>
      </c>
      <c r="K81" s="125" t="s">
        <v>65</v>
      </c>
      <c r="L81" s="126">
        <v>15</v>
      </c>
      <c r="M81" s="47" t="s">
        <v>65</v>
      </c>
      <c r="N81" s="95">
        <v>15</v>
      </c>
      <c r="O81" s="128" t="s">
        <v>65</v>
      </c>
      <c r="P81" s="130">
        <v>15</v>
      </c>
      <c r="Q81" s="131" t="s">
        <v>65</v>
      </c>
      <c r="R81" s="132">
        <v>15</v>
      </c>
      <c r="S81" s="134" t="s">
        <v>65</v>
      </c>
      <c r="T81" s="134">
        <v>15</v>
      </c>
    </row>
    <row r="82" spans="1:20" x14ac:dyDescent="0.25">
      <c r="A82" s="119" t="s">
        <v>22</v>
      </c>
      <c r="B82" s="119">
        <v>15</v>
      </c>
      <c r="C82" s="120" t="s">
        <v>22</v>
      </c>
      <c r="D82" s="120">
        <v>15</v>
      </c>
      <c r="E82" s="121" t="s">
        <v>33</v>
      </c>
      <c r="F82" s="121" t="s">
        <v>9</v>
      </c>
      <c r="G82" s="122" t="s">
        <v>22</v>
      </c>
      <c r="H82" s="123">
        <v>15</v>
      </c>
      <c r="I82" s="124" t="s">
        <v>66</v>
      </c>
      <c r="J82" s="124">
        <v>15</v>
      </c>
      <c r="K82" s="125" t="s">
        <v>66</v>
      </c>
      <c r="L82" s="126">
        <v>15</v>
      </c>
      <c r="M82" s="47" t="s">
        <v>66</v>
      </c>
      <c r="N82" s="95">
        <v>15</v>
      </c>
      <c r="O82" s="128" t="s">
        <v>66</v>
      </c>
      <c r="P82" s="130">
        <v>15</v>
      </c>
      <c r="Q82" s="131" t="s">
        <v>66</v>
      </c>
      <c r="R82" s="132">
        <v>15</v>
      </c>
      <c r="S82" s="134" t="s">
        <v>66</v>
      </c>
      <c r="T82" s="134">
        <v>15</v>
      </c>
    </row>
    <row r="83" spans="1:20" ht="28.5" x14ac:dyDescent="0.25">
      <c r="A83" s="119" t="s">
        <v>23</v>
      </c>
      <c r="B83" s="119">
        <v>15</v>
      </c>
      <c r="C83" s="120" t="s">
        <v>23</v>
      </c>
      <c r="D83" s="120">
        <v>15</v>
      </c>
      <c r="E83" s="121" t="s">
        <v>88</v>
      </c>
      <c r="F83" s="121" t="s">
        <v>89</v>
      </c>
      <c r="G83" s="122" t="s">
        <v>23</v>
      </c>
      <c r="H83" s="123">
        <v>15</v>
      </c>
      <c r="I83" s="124" t="s">
        <v>22</v>
      </c>
      <c r="J83" s="124">
        <v>15</v>
      </c>
      <c r="K83" s="125" t="s">
        <v>22</v>
      </c>
      <c r="L83" s="126">
        <v>15</v>
      </c>
      <c r="M83" s="47" t="s">
        <v>22</v>
      </c>
      <c r="N83" s="95">
        <v>15</v>
      </c>
      <c r="O83" s="128" t="s">
        <v>22</v>
      </c>
      <c r="P83" s="130">
        <v>15</v>
      </c>
      <c r="Q83" s="131" t="s">
        <v>22</v>
      </c>
      <c r="R83" s="132">
        <v>15</v>
      </c>
      <c r="S83" s="134" t="s">
        <v>22</v>
      </c>
      <c r="T83" s="134">
        <v>15</v>
      </c>
    </row>
    <row r="84" spans="1:20" ht="28.5" x14ac:dyDescent="0.25">
      <c r="A84" s="119" t="s">
        <v>24</v>
      </c>
      <c r="B84" s="119">
        <v>15</v>
      </c>
      <c r="C84" s="120" t="s">
        <v>24</v>
      </c>
      <c r="D84" s="120">
        <v>15</v>
      </c>
      <c r="E84" s="121" t="s">
        <v>34</v>
      </c>
      <c r="F84" s="121" t="s">
        <v>9</v>
      </c>
      <c r="G84" s="122" t="s">
        <v>24</v>
      </c>
      <c r="H84" s="123">
        <v>15</v>
      </c>
      <c r="I84" s="124" t="s">
        <v>23</v>
      </c>
      <c r="J84" s="124">
        <v>15</v>
      </c>
      <c r="K84" s="125" t="s">
        <v>23</v>
      </c>
      <c r="L84" s="126">
        <v>15</v>
      </c>
      <c r="M84" s="47" t="s">
        <v>23</v>
      </c>
      <c r="N84" s="95">
        <v>15</v>
      </c>
      <c r="O84" s="128" t="s">
        <v>23</v>
      </c>
      <c r="P84" s="130">
        <v>15</v>
      </c>
      <c r="Q84" s="131" t="s">
        <v>23</v>
      </c>
      <c r="R84" s="132">
        <v>15</v>
      </c>
      <c r="S84" s="134" t="s">
        <v>23</v>
      </c>
      <c r="T84" s="134">
        <v>15</v>
      </c>
    </row>
    <row r="85" spans="1:20" x14ac:dyDescent="0.25">
      <c r="A85" s="119" t="s">
        <v>440</v>
      </c>
      <c r="B85" s="119" t="s">
        <v>9</v>
      </c>
      <c r="C85" s="120" t="s">
        <v>440</v>
      </c>
      <c r="D85" s="120" t="s">
        <v>9</v>
      </c>
      <c r="E85" s="121" t="s">
        <v>104</v>
      </c>
      <c r="F85" s="121" t="s">
        <v>9</v>
      </c>
      <c r="G85" s="122" t="s">
        <v>440</v>
      </c>
      <c r="H85" s="123" t="s">
        <v>9</v>
      </c>
      <c r="I85" s="124" t="s">
        <v>24</v>
      </c>
      <c r="J85" s="124">
        <v>15</v>
      </c>
      <c r="K85" s="125" t="s">
        <v>24</v>
      </c>
      <c r="L85" s="126">
        <v>15</v>
      </c>
      <c r="M85" s="47" t="s">
        <v>24</v>
      </c>
      <c r="N85" s="95">
        <v>15</v>
      </c>
      <c r="O85" s="128" t="s">
        <v>24</v>
      </c>
      <c r="P85" s="130">
        <v>15</v>
      </c>
      <c r="Q85" s="131" t="s">
        <v>24</v>
      </c>
      <c r="R85" s="132">
        <v>15</v>
      </c>
      <c r="S85" s="134" t="s">
        <v>24</v>
      </c>
      <c r="T85" s="134">
        <v>15</v>
      </c>
    </row>
    <row r="86" spans="1:20" x14ac:dyDescent="0.25">
      <c r="A86" s="119" t="s">
        <v>68</v>
      </c>
      <c r="B86" s="119" t="s">
        <v>30</v>
      </c>
      <c r="C86" s="120" t="s">
        <v>68</v>
      </c>
      <c r="D86" s="120" t="s">
        <v>94</v>
      </c>
      <c r="E86" s="121" t="s">
        <v>35</v>
      </c>
      <c r="F86" s="121" t="s">
        <v>92</v>
      </c>
      <c r="G86" s="122" t="s">
        <v>68</v>
      </c>
      <c r="H86" s="123" t="s">
        <v>430</v>
      </c>
      <c r="I86" s="124" t="s">
        <v>440</v>
      </c>
      <c r="J86" s="124" t="s">
        <v>477</v>
      </c>
      <c r="K86" s="125" t="s">
        <v>440</v>
      </c>
      <c r="L86" s="126" t="s">
        <v>477</v>
      </c>
      <c r="M86" s="47" t="s">
        <v>440</v>
      </c>
      <c r="N86" s="95" t="s">
        <v>477</v>
      </c>
      <c r="O86" s="128" t="s">
        <v>440</v>
      </c>
      <c r="P86" s="130" t="s">
        <v>477</v>
      </c>
      <c r="Q86" s="131" t="s">
        <v>440</v>
      </c>
      <c r="R86" s="132" t="s">
        <v>477</v>
      </c>
      <c r="S86" s="134" t="s">
        <v>440</v>
      </c>
      <c r="T86" s="134" t="s">
        <v>477</v>
      </c>
    </row>
    <row r="87" spans="1:20" ht="28.5" x14ac:dyDescent="0.25">
      <c r="A87" s="119" t="s">
        <v>69</v>
      </c>
      <c r="B87" s="119">
        <v>15</v>
      </c>
      <c r="C87" s="120" t="s">
        <v>69</v>
      </c>
      <c r="D87" s="120">
        <v>15</v>
      </c>
      <c r="E87" s="121" t="s">
        <v>36</v>
      </c>
      <c r="F87" s="121" t="s">
        <v>92</v>
      </c>
      <c r="G87" s="122" t="s">
        <v>69</v>
      </c>
      <c r="H87" s="123">
        <v>15</v>
      </c>
      <c r="I87" s="124" t="s">
        <v>68</v>
      </c>
      <c r="J87" s="124" t="s">
        <v>430</v>
      </c>
      <c r="K87" s="125" t="s">
        <v>68</v>
      </c>
      <c r="L87" s="126" t="s">
        <v>430</v>
      </c>
      <c r="M87" s="47" t="s">
        <v>68</v>
      </c>
      <c r="N87" s="95" t="s">
        <v>430</v>
      </c>
      <c r="O87" s="128" t="s">
        <v>68</v>
      </c>
      <c r="P87" s="130" t="s">
        <v>430</v>
      </c>
      <c r="Q87" s="131" t="s">
        <v>68</v>
      </c>
      <c r="R87" s="132" t="s">
        <v>117</v>
      </c>
      <c r="S87" s="134" t="s">
        <v>68</v>
      </c>
      <c r="T87" s="134" t="s">
        <v>117</v>
      </c>
    </row>
    <row r="88" spans="1:20" ht="27" x14ac:dyDescent="0.25">
      <c r="A88" s="119" t="s">
        <v>70</v>
      </c>
      <c r="B88" s="119">
        <v>15</v>
      </c>
      <c r="C88" s="120" t="s">
        <v>70</v>
      </c>
      <c r="D88" s="120">
        <v>15</v>
      </c>
      <c r="E88" s="121" t="s">
        <v>37</v>
      </c>
      <c r="F88" s="121" t="s">
        <v>9</v>
      </c>
      <c r="G88" s="122" t="s">
        <v>70</v>
      </c>
      <c r="H88" s="123">
        <v>19</v>
      </c>
      <c r="I88" s="124" t="s">
        <v>69</v>
      </c>
      <c r="J88" s="124">
        <v>15</v>
      </c>
      <c r="K88" s="125" t="s">
        <v>69</v>
      </c>
      <c r="L88" s="126">
        <v>15</v>
      </c>
      <c r="M88" s="47" t="s">
        <v>69</v>
      </c>
      <c r="N88" s="95">
        <v>15</v>
      </c>
      <c r="O88" s="128" t="s">
        <v>69</v>
      </c>
      <c r="P88" s="130">
        <v>15</v>
      </c>
      <c r="Q88" s="131" t="s">
        <v>69</v>
      </c>
      <c r="R88" s="132">
        <v>15</v>
      </c>
      <c r="S88" s="134" t="s">
        <v>69</v>
      </c>
      <c r="T88" s="134">
        <v>15</v>
      </c>
    </row>
    <row r="89" spans="1:20" x14ac:dyDescent="0.25">
      <c r="A89" s="119" t="s">
        <v>71</v>
      </c>
      <c r="B89" s="119" t="s">
        <v>72</v>
      </c>
      <c r="C89" s="120" t="s">
        <v>71</v>
      </c>
      <c r="D89" s="120" t="s">
        <v>72</v>
      </c>
      <c r="E89" s="121" t="s">
        <v>38</v>
      </c>
      <c r="F89" s="121">
        <v>15</v>
      </c>
      <c r="G89" s="122" t="s">
        <v>71</v>
      </c>
      <c r="H89" s="123" t="s">
        <v>72</v>
      </c>
      <c r="I89" s="124" t="s">
        <v>70</v>
      </c>
      <c r="J89" s="124">
        <v>19</v>
      </c>
      <c r="K89" s="125" t="s">
        <v>70</v>
      </c>
      <c r="L89" s="126">
        <v>19</v>
      </c>
      <c r="M89" s="47" t="s">
        <v>70</v>
      </c>
      <c r="N89" s="95">
        <v>19</v>
      </c>
      <c r="O89" s="128" t="s">
        <v>70</v>
      </c>
      <c r="P89" s="130">
        <v>19</v>
      </c>
      <c r="Q89" s="131" t="s">
        <v>70</v>
      </c>
      <c r="R89" s="132">
        <v>19</v>
      </c>
      <c r="S89" s="134" t="s">
        <v>70</v>
      </c>
      <c r="T89" s="134">
        <v>19</v>
      </c>
    </row>
    <row r="90" spans="1:20" ht="28.5" x14ac:dyDescent="0.25">
      <c r="A90" s="119" t="s">
        <v>73</v>
      </c>
      <c r="B90" s="119" t="s">
        <v>72</v>
      </c>
      <c r="C90" s="120" t="s">
        <v>73</v>
      </c>
      <c r="D90" s="120" t="s">
        <v>72</v>
      </c>
      <c r="E90" s="121" t="s">
        <v>39</v>
      </c>
      <c r="F90" s="121" t="s">
        <v>9</v>
      </c>
      <c r="G90" s="122" t="s">
        <v>73</v>
      </c>
      <c r="H90" s="123" t="s">
        <v>72</v>
      </c>
      <c r="I90" s="124" t="s">
        <v>71</v>
      </c>
      <c r="J90" s="124" t="s">
        <v>72</v>
      </c>
      <c r="K90" s="125" t="s">
        <v>71</v>
      </c>
      <c r="L90" s="126" t="s">
        <v>72</v>
      </c>
      <c r="M90" s="47" t="s">
        <v>71</v>
      </c>
      <c r="N90" s="95" t="s">
        <v>72</v>
      </c>
      <c r="O90" s="128" t="s">
        <v>71</v>
      </c>
      <c r="P90" s="130" t="s">
        <v>72</v>
      </c>
      <c r="Q90" s="131" t="s">
        <v>71</v>
      </c>
      <c r="R90" s="132" t="s">
        <v>72</v>
      </c>
      <c r="S90" s="134" t="s">
        <v>71</v>
      </c>
      <c r="T90" s="134" t="s">
        <v>72</v>
      </c>
    </row>
    <row r="91" spans="1:20" x14ac:dyDescent="0.25">
      <c r="A91" s="119" t="s">
        <v>74</v>
      </c>
      <c r="B91" s="119">
        <v>15</v>
      </c>
      <c r="C91" s="120" t="s">
        <v>74</v>
      </c>
      <c r="D91" s="120">
        <v>15</v>
      </c>
      <c r="E91" s="121" t="s">
        <v>40</v>
      </c>
      <c r="F91" s="121" t="s">
        <v>9</v>
      </c>
      <c r="G91" s="122" t="s">
        <v>74</v>
      </c>
      <c r="H91" s="123">
        <v>19</v>
      </c>
      <c r="I91" s="124" t="s">
        <v>73</v>
      </c>
      <c r="J91" s="124" t="s">
        <v>481</v>
      </c>
      <c r="K91" s="125" t="s">
        <v>73</v>
      </c>
      <c r="L91" s="126" t="s">
        <v>481</v>
      </c>
      <c r="M91" s="47" t="s">
        <v>73</v>
      </c>
      <c r="N91" s="95" t="s">
        <v>481</v>
      </c>
      <c r="O91" s="128" t="s">
        <v>73</v>
      </c>
      <c r="P91" s="130" t="s">
        <v>481</v>
      </c>
      <c r="Q91" s="131" t="s">
        <v>73</v>
      </c>
      <c r="R91" s="132" t="s">
        <v>481</v>
      </c>
      <c r="S91" s="134" t="s">
        <v>73</v>
      </c>
      <c r="T91" s="134" t="s">
        <v>481</v>
      </c>
    </row>
    <row r="92" spans="1:20" ht="28.5" x14ac:dyDescent="0.25">
      <c r="A92" s="119" t="s">
        <v>458</v>
      </c>
      <c r="B92" s="119" t="s">
        <v>137</v>
      </c>
      <c r="C92" s="120" t="s">
        <v>442</v>
      </c>
      <c r="D92" s="120" t="s">
        <v>137</v>
      </c>
      <c r="E92" s="121" t="s">
        <v>442</v>
      </c>
      <c r="F92" s="121" t="s">
        <v>137</v>
      </c>
      <c r="G92" s="122" t="s">
        <v>390</v>
      </c>
      <c r="H92" s="123" t="s">
        <v>135</v>
      </c>
      <c r="I92" s="124" t="s">
        <v>74</v>
      </c>
      <c r="J92" s="124">
        <v>19</v>
      </c>
      <c r="K92" s="125" t="s">
        <v>74</v>
      </c>
      <c r="L92" s="126">
        <v>19</v>
      </c>
      <c r="M92" s="47" t="s">
        <v>74</v>
      </c>
      <c r="N92" s="95">
        <v>19</v>
      </c>
      <c r="O92" s="128" t="s">
        <v>74</v>
      </c>
      <c r="P92" s="130">
        <v>19</v>
      </c>
      <c r="Q92" s="131" t="s">
        <v>74</v>
      </c>
      <c r="R92" s="132">
        <v>19</v>
      </c>
      <c r="S92" s="134" t="s">
        <v>74</v>
      </c>
      <c r="T92" s="134">
        <v>19</v>
      </c>
    </row>
    <row r="93" spans="1:20" ht="42.75" x14ac:dyDescent="0.25">
      <c r="A93" s="119" t="s">
        <v>459</v>
      </c>
      <c r="B93" s="119" t="s">
        <v>110</v>
      </c>
      <c r="C93" s="120" t="s">
        <v>463</v>
      </c>
      <c r="D93" s="120" t="s">
        <v>110</v>
      </c>
      <c r="E93" s="121" t="s">
        <v>443</v>
      </c>
      <c r="F93" s="121" t="s">
        <v>110</v>
      </c>
      <c r="G93" s="122" t="s">
        <v>441</v>
      </c>
      <c r="H93" s="123" t="s">
        <v>135</v>
      </c>
      <c r="I93" s="124" t="s">
        <v>390</v>
      </c>
      <c r="J93" s="124" t="s">
        <v>135</v>
      </c>
      <c r="K93" s="125" t="s">
        <v>390</v>
      </c>
      <c r="L93" s="126" t="s">
        <v>135</v>
      </c>
      <c r="M93" s="47" t="s">
        <v>390</v>
      </c>
      <c r="N93" s="95" t="s">
        <v>135</v>
      </c>
      <c r="O93" s="128" t="s">
        <v>390</v>
      </c>
      <c r="P93" s="130" t="s">
        <v>135</v>
      </c>
      <c r="Q93" s="131" t="s">
        <v>390</v>
      </c>
      <c r="R93" s="132" t="s">
        <v>135</v>
      </c>
      <c r="S93" s="134" t="s">
        <v>390</v>
      </c>
      <c r="T93" s="134" t="s">
        <v>135</v>
      </c>
    </row>
    <row r="94" spans="1:20" ht="28.5" x14ac:dyDescent="0.25">
      <c r="A94" s="119" t="s">
        <v>460</v>
      </c>
      <c r="B94" s="119" t="s">
        <v>9</v>
      </c>
      <c r="C94" s="120" t="s">
        <v>444</v>
      </c>
      <c r="D94" s="120" t="s">
        <v>92</v>
      </c>
      <c r="E94" s="121" t="s">
        <v>449</v>
      </c>
      <c r="F94" s="121" t="s">
        <v>92</v>
      </c>
      <c r="G94" s="122" t="s">
        <v>32</v>
      </c>
      <c r="H94" s="123" t="s">
        <v>92</v>
      </c>
      <c r="I94" s="124" t="s">
        <v>441</v>
      </c>
      <c r="J94" s="124" t="s">
        <v>135</v>
      </c>
      <c r="K94" s="125" t="s">
        <v>441</v>
      </c>
      <c r="L94" s="126" t="s">
        <v>135</v>
      </c>
      <c r="M94" s="47" t="s">
        <v>441</v>
      </c>
      <c r="N94" s="95" t="s">
        <v>135</v>
      </c>
      <c r="O94" s="128" t="s">
        <v>441</v>
      </c>
      <c r="P94" s="130" t="s">
        <v>135</v>
      </c>
      <c r="Q94" s="131" t="s">
        <v>441</v>
      </c>
      <c r="R94" s="132" t="s">
        <v>135</v>
      </c>
      <c r="S94" s="134" t="s">
        <v>441</v>
      </c>
      <c r="T94" s="134" t="s">
        <v>135</v>
      </c>
    </row>
    <row r="95" spans="1:20" ht="27" x14ac:dyDescent="0.25">
      <c r="A95" s="119" t="s">
        <v>461</v>
      </c>
      <c r="B95" s="119" t="s">
        <v>110</v>
      </c>
      <c r="C95" s="120" t="s">
        <v>461</v>
      </c>
      <c r="D95" s="120" t="s">
        <v>110</v>
      </c>
      <c r="E95" s="121" t="s">
        <v>447</v>
      </c>
      <c r="F95" s="121" t="s">
        <v>110</v>
      </c>
      <c r="G95" s="122" t="s">
        <v>8</v>
      </c>
      <c r="H95" s="123" t="s">
        <v>9</v>
      </c>
      <c r="I95" s="124" t="s">
        <v>32</v>
      </c>
      <c r="J95" s="124" t="s">
        <v>92</v>
      </c>
      <c r="K95" s="125" t="s">
        <v>32</v>
      </c>
      <c r="L95" s="126" t="s">
        <v>92</v>
      </c>
      <c r="M95" s="47" t="s">
        <v>32</v>
      </c>
      <c r="N95" s="95" t="s">
        <v>92</v>
      </c>
      <c r="O95" s="128" t="s">
        <v>32</v>
      </c>
      <c r="P95" s="130" t="s">
        <v>92</v>
      </c>
      <c r="Q95" s="131" t="s">
        <v>32</v>
      </c>
      <c r="R95" s="132" t="s">
        <v>92</v>
      </c>
      <c r="S95" s="134" t="s">
        <v>32</v>
      </c>
      <c r="T95" s="134" t="s">
        <v>92</v>
      </c>
    </row>
    <row r="96" spans="1:20" ht="42.75" x14ac:dyDescent="0.25">
      <c r="A96" s="119" t="s">
        <v>462</v>
      </c>
      <c r="B96" s="119" t="s">
        <v>9</v>
      </c>
      <c r="C96" s="120" t="s">
        <v>462</v>
      </c>
      <c r="D96" s="120" t="s">
        <v>9</v>
      </c>
      <c r="E96" s="121" t="s">
        <v>448</v>
      </c>
      <c r="F96" s="121" t="s">
        <v>9</v>
      </c>
      <c r="G96" s="122" t="s">
        <v>33</v>
      </c>
      <c r="H96" s="123" t="s">
        <v>9</v>
      </c>
      <c r="I96" s="124" t="s">
        <v>8</v>
      </c>
      <c r="J96" s="124" t="s">
        <v>9</v>
      </c>
      <c r="K96" s="125" t="s">
        <v>8</v>
      </c>
      <c r="L96" s="126" t="s">
        <v>9</v>
      </c>
      <c r="M96" s="47" t="s">
        <v>8</v>
      </c>
      <c r="N96" s="95" t="s">
        <v>9</v>
      </c>
      <c r="O96" s="128" t="s">
        <v>8</v>
      </c>
      <c r="P96" s="130" t="s">
        <v>9</v>
      </c>
      <c r="Q96" s="131" t="s">
        <v>8</v>
      </c>
      <c r="R96" s="132" t="s">
        <v>9</v>
      </c>
      <c r="S96" s="134" t="s">
        <v>8</v>
      </c>
      <c r="T96" s="134" t="s">
        <v>9</v>
      </c>
    </row>
    <row r="97" spans="1:20" ht="42.75" x14ac:dyDescent="0.25">
      <c r="A97" s="119" t="s">
        <v>88</v>
      </c>
      <c r="B97" s="119" t="s">
        <v>136</v>
      </c>
      <c r="C97" s="120" t="s">
        <v>88</v>
      </c>
      <c r="D97" s="120" t="s">
        <v>136</v>
      </c>
      <c r="E97" s="121" t="s">
        <v>88</v>
      </c>
      <c r="F97" s="121" t="s">
        <v>136</v>
      </c>
      <c r="G97" s="122" t="s">
        <v>88</v>
      </c>
      <c r="H97" s="123" t="s">
        <v>89</v>
      </c>
      <c r="I97" s="124" t="s">
        <v>33</v>
      </c>
      <c r="J97" s="124" t="s">
        <v>9</v>
      </c>
      <c r="K97" s="125" t="s">
        <v>33</v>
      </c>
      <c r="L97" s="126" t="s">
        <v>9</v>
      </c>
      <c r="M97" s="47" t="s">
        <v>33</v>
      </c>
      <c r="N97" s="95" t="s">
        <v>9</v>
      </c>
      <c r="O97" s="128" t="s">
        <v>33</v>
      </c>
      <c r="P97" s="130" t="s">
        <v>9</v>
      </c>
      <c r="Q97" s="131" t="s">
        <v>33</v>
      </c>
      <c r="R97" s="132" t="s">
        <v>9</v>
      </c>
      <c r="S97" s="134" t="s">
        <v>33</v>
      </c>
      <c r="T97" s="134" t="s">
        <v>9</v>
      </c>
    </row>
    <row r="98" spans="1:20" ht="28.5" x14ac:dyDescent="0.25">
      <c r="A98" s="119" t="s">
        <v>34</v>
      </c>
      <c r="B98" s="119" t="s">
        <v>136</v>
      </c>
      <c r="C98" s="120" t="s">
        <v>34</v>
      </c>
      <c r="D98" s="120" t="s">
        <v>136</v>
      </c>
      <c r="E98" s="121" t="s">
        <v>34</v>
      </c>
      <c r="F98" s="121" t="s">
        <v>136</v>
      </c>
      <c r="G98" s="122" t="s">
        <v>34</v>
      </c>
      <c r="H98" s="123" t="s">
        <v>9</v>
      </c>
      <c r="I98" s="124" t="s">
        <v>88</v>
      </c>
      <c r="J98" s="124" t="s">
        <v>89</v>
      </c>
      <c r="K98" s="125" t="s">
        <v>88</v>
      </c>
      <c r="L98" s="126" t="s">
        <v>89</v>
      </c>
      <c r="M98" s="47" t="s">
        <v>88</v>
      </c>
      <c r="N98" s="95" t="s">
        <v>89</v>
      </c>
      <c r="O98" s="128" t="s">
        <v>88</v>
      </c>
      <c r="P98" s="130" t="s">
        <v>89</v>
      </c>
      <c r="Q98" s="131" t="s">
        <v>88</v>
      </c>
      <c r="R98" s="132" t="s">
        <v>89</v>
      </c>
      <c r="S98" s="134" t="s">
        <v>88</v>
      </c>
      <c r="T98" s="134" t="s">
        <v>89</v>
      </c>
    </row>
    <row r="99" spans="1:20" ht="28.5" x14ac:dyDescent="0.25">
      <c r="A99" s="119" t="s">
        <v>104</v>
      </c>
      <c r="B99" s="119" t="s">
        <v>136</v>
      </c>
      <c r="C99" s="120" t="s">
        <v>104</v>
      </c>
      <c r="D99" s="120" t="s">
        <v>136</v>
      </c>
      <c r="E99" s="121" t="s">
        <v>104</v>
      </c>
      <c r="F99" s="121" t="s">
        <v>136</v>
      </c>
      <c r="G99" s="122" t="s">
        <v>104</v>
      </c>
      <c r="H99" s="123" t="s">
        <v>9</v>
      </c>
      <c r="I99" s="124" t="s">
        <v>34</v>
      </c>
      <c r="J99" s="124" t="s">
        <v>9</v>
      </c>
      <c r="K99" s="125" t="s">
        <v>34</v>
      </c>
      <c r="L99" s="126" t="s">
        <v>9</v>
      </c>
      <c r="M99" s="47" t="s">
        <v>34</v>
      </c>
      <c r="N99" s="95" t="s">
        <v>9</v>
      </c>
      <c r="O99" s="128" t="s">
        <v>34</v>
      </c>
      <c r="P99" s="130" t="s">
        <v>9</v>
      </c>
      <c r="Q99" s="131" t="s">
        <v>34</v>
      </c>
      <c r="R99" s="132" t="s">
        <v>9</v>
      </c>
      <c r="S99" s="134" t="s">
        <v>34</v>
      </c>
      <c r="T99" s="134" t="s">
        <v>9</v>
      </c>
    </row>
    <row r="100" spans="1:20" ht="28.5" x14ac:dyDescent="0.25">
      <c r="A100" s="119" t="s">
        <v>35</v>
      </c>
      <c r="B100" s="119" t="s">
        <v>136</v>
      </c>
      <c r="C100" s="120" t="s">
        <v>35</v>
      </c>
      <c r="D100" s="120" t="s">
        <v>136</v>
      </c>
      <c r="E100" s="121" t="s">
        <v>35</v>
      </c>
      <c r="F100" s="121" t="s">
        <v>136</v>
      </c>
      <c r="G100" s="122" t="s">
        <v>35</v>
      </c>
      <c r="H100" s="123" t="s">
        <v>92</v>
      </c>
      <c r="I100" s="124" t="s">
        <v>104</v>
      </c>
      <c r="J100" s="124" t="s">
        <v>9</v>
      </c>
      <c r="K100" s="125" t="s">
        <v>104</v>
      </c>
      <c r="L100" s="126" t="s">
        <v>9</v>
      </c>
      <c r="M100" s="47" t="s">
        <v>104</v>
      </c>
      <c r="N100" s="95" t="s">
        <v>9</v>
      </c>
      <c r="O100" s="128" t="s">
        <v>104</v>
      </c>
      <c r="P100" s="130" t="s">
        <v>9</v>
      </c>
      <c r="Q100" s="131" t="s">
        <v>104</v>
      </c>
      <c r="R100" s="132" t="s">
        <v>9</v>
      </c>
      <c r="S100" s="134" t="s">
        <v>104</v>
      </c>
      <c r="T100" s="134" t="s">
        <v>9</v>
      </c>
    </row>
    <row r="101" spans="1:20" ht="27" x14ac:dyDescent="0.25">
      <c r="A101" s="119" t="s">
        <v>36</v>
      </c>
      <c r="B101" s="119" t="s">
        <v>136</v>
      </c>
      <c r="C101" s="120" t="s">
        <v>36</v>
      </c>
      <c r="D101" s="120" t="s">
        <v>136</v>
      </c>
      <c r="E101" s="121" t="s">
        <v>36</v>
      </c>
      <c r="F101" s="121" t="s">
        <v>136</v>
      </c>
      <c r="G101" s="122" t="s">
        <v>36</v>
      </c>
      <c r="H101" s="123" t="s">
        <v>92</v>
      </c>
      <c r="I101" s="124" t="s">
        <v>35</v>
      </c>
      <c r="J101" s="124" t="s">
        <v>92</v>
      </c>
      <c r="K101" s="125" t="s">
        <v>35</v>
      </c>
      <c r="L101" s="126" t="s">
        <v>92</v>
      </c>
      <c r="M101" s="47" t="s">
        <v>35</v>
      </c>
      <c r="N101" s="95" t="s">
        <v>92</v>
      </c>
      <c r="O101" s="128" t="s">
        <v>35</v>
      </c>
      <c r="P101" s="130" t="s">
        <v>92</v>
      </c>
      <c r="Q101" s="131" t="s">
        <v>35</v>
      </c>
      <c r="R101" s="132" t="s">
        <v>92</v>
      </c>
      <c r="S101" s="134" t="s">
        <v>35</v>
      </c>
      <c r="T101" s="134" t="s">
        <v>92</v>
      </c>
    </row>
    <row r="102" spans="1:20" ht="57" x14ac:dyDescent="0.25">
      <c r="A102" s="119" t="s">
        <v>37</v>
      </c>
      <c r="B102" s="119" t="s">
        <v>136</v>
      </c>
      <c r="C102" s="120" t="s">
        <v>37</v>
      </c>
      <c r="D102" s="120" t="s">
        <v>136</v>
      </c>
      <c r="E102" s="121" t="s">
        <v>37</v>
      </c>
      <c r="F102" s="121" t="s">
        <v>136</v>
      </c>
      <c r="G102" s="122" t="s">
        <v>37</v>
      </c>
      <c r="H102" s="123" t="s">
        <v>9</v>
      </c>
      <c r="I102" s="124" t="s">
        <v>36</v>
      </c>
      <c r="J102" s="124" t="s">
        <v>92</v>
      </c>
      <c r="K102" s="125" t="s">
        <v>36</v>
      </c>
      <c r="L102" s="126" t="s">
        <v>92</v>
      </c>
      <c r="M102" s="47" t="s">
        <v>36</v>
      </c>
      <c r="N102" s="95" t="s">
        <v>92</v>
      </c>
      <c r="O102" s="128" t="s">
        <v>36</v>
      </c>
      <c r="P102" s="130" t="s">
        <v>92</v>
      </c>
      <c r="Q102" s="131" t="s">
        <v>36</v>
      </c>
      <c r="R102" s="132" t="s">
        <v>92</v>
      </c>
      <c r="S102" s="134" t="s">
        <v>36</v>
      </c>
      <c r="T102" s="134" t="s">
        <v>92</v>
      </c>
    </row>
    <row r="103" spans="1:20" ht="57" x14ac:dyDescent="0.25">
      <c r="A103" s="119" t="s">
        <v>38</v>
      </c>
      <c r="B103" s="119" t="s">
        <v>136</v>
      </c>
      <c r="C103" s="120" t="s">
        <v>38</v>
      </c>
      <c r="D103" s="120" t="s">
        <v>136</v>
      </c>
      <c r="E103" s="121" t="s">
        <v>38</v>
      </c>
      <c r="F103" s="121" t="s">
        <v>136</v>
      </c>
      <c r="G103" s="122" t="s">
        <v>38</v>
      </c>
      <c r="H103" s="123">
        <v>15</v>
      </c>
      <c r="I103" s="124" t="s">
        <v>37</v>
      </c>
      <c r="J103" s="124" t="s">
        <v>9</v>
      </c>
      <c r="K103" s="125" t="s">
        <v>37</v>
      </c>
      <c r="L103" s="126" t="s">
        <v>9</v>
      </c>
      <c r="M103" s="47" t="s">
        <v>37</v>
      </c>
      <c r="N103" s="95" t="s">
        <v>9</v>
      </c>
      <c r="O103" s="128" t="s">
        <v>37</v>
      </c>
      <c r="P103" s="130" t="s">
        <v>9</v>
      </c>
      <c r="Q103" s="131" t="s">
        <v>37</v>
      </c>
      <c r="R103" s="132" t="s">
        <v>9</v>
      </c>
      <c r="S103" s="134" t="s">
        <v>37</v>
      </c>
      <c r="T103" s="134" t="s">
        <v>9</v>
      </c>
    </row>
    <row r="104" spans="1:20" ht="28.5" x14ac:dyDescent="0.25">
      <c r="A104" s="119" t="s">
        <v>39</v>
      </c>
      <c r="B104" s="119" t="s">
        <v>136</v>
      </c>
      <c r="C104" s="120" t="s">
        <v>39</v>
      </c>
      <c r="D104" s="120" t="s">
        <v>136</v>
      </c>
      <c r="E104" s="121" t="s">
        <v>39</v>
      </c>
      <c r="F104" s="121" t="s">
        <v>136</v>
      </c>
      <c r="G104" s="122" t="s">
        <v>39</v>
      </c>
      <c r="H104" s="123" t="s">
        <v>9</v>
      </c>
      <c r="I104" s="124" t="s">
        <v>38</v>
      </c>
      <c r="J104" s="124">
        <v>15</v>
      </c>
      <c r="K104" s="125" t="s">
        <v>38</v>
      </c>
      <c r="L104" s="126">
        <v>15</v>
      </c>
      <c r="M104" s="47" t="s">
        <v>38</v>
      </c>
      <c r="N104" s="95">
        <v>15</v>
      </c>
      <c r="O104" s="128" t="s">
        <v>38</v>
      </c>
      <c r="P104" s="130">
        <v>15</v>
      </c>
      <c r="Q104" s="131" t="s">
        <v>38</v>
      </c>
      <c r="R104" s="132">
        <v>15</v>
      </c>
      <c r="S104" s="134" t="s">
        <v>38</v>
      </c>
      <c r="T104" s="134">
        <v>15</v>
      </c>
    </row>
    <row r="105" spans="1:20" ht="42.75" x14ac:dyDescent="0.25">
      <c r="A105" s="119" t="s">
        <v>40</v>
      </c>
      <c r="B105" s="119" t="s">
        <v>136</v>
      </c>
      <c r="C105" s="120" t="s">
        <v>40</v>
      </c>
      <c r="D105" s="120" t="s">
        <v>136</v>
      </c>
      <c r="E105" s="121" t="s">
        <v>40</v>
      </c>
      <c r="F105" s="121" t="s">
        <v>136</v>
      </c>
      <c r="G105" s="122" t="s">
        <v>40</v>
      </c>
      <c r="H105" s="123" t="s">
        <v>9</v>
      </c>
      <c r="I105" s="124" t="s">
        <v>39</v>
      </c>
      <c r="J105" s="124" t="s">
        <v>9</v>
      </c>
      <c r="K105" s="125" t="s">
        <v>39</v>
      </c>
      <c r="L105" s="126" t="s">
        <v>9</v>
      </c>
      <c r="M105" s="47" t="s">
        <v>39</v>
      </c>
      <c r="N105" s="95" t="s">
        <v>9</v>
      </c>
      <c r="O105" s="128" t="s">
        <v>39</v>
      </c>
      <c r="P105" s="130" t="s">
        <v>9</v>
      </c>
      <c r="Q105" s="131" t="s">
        <v>39</v>
      </c>
      <c r="R105" s="132" t="s">
        <v>9</v>
      </c>
      <c r="S105" s="134" t="s">
        <v>39</v>
      </c>
      <c r="T105" s="134" t="s">
        <v>9</v>
      </c>
    </row>
    <row r="106" spans="1:20" ht="28.5" x14ac:dyDescent="0.25">
      <c r="A106" s="119" t="s">
        <v>442</v>
      </c>
      <c r="B106" s="119" t="s">
        <v>136</v>
      </c>
      <c r="C106" s="120" t="s">
        <v>442</v>
      </c>
      <c r="D106" s="120" t="s">
        <v>136</v>
      </c>
      <c r="E106" s="121" t="s">
        <v>442</v>
      </c>
      <c r="F106" s="121" t="s">
        <v>136</v>
      </c>
      <c r="G106" s="122" t="s">
        <v>442</v>
      </c>
      <c r="H106" s="123" t="s">
        <v>137</v>
      </c>
      <c r="I106" s="124" t="s">
        <v>40</v>
      </c>
      <c r="J106" s="124" t="s">
        <v>9</v>
      </c>
      <c r="K106" s="125" t="s">
        <v>40</v>
      </c>
      <c r="L106" s="126" t="s">
        <v>9</v>
      </c>
      <c r="M106" s="47" t="s">
        <v>40</v>
      </c>
      <c r="N106" s="95" t="s">
        <v>9</v>
      </c>
      <c r="O106" s="128" t="s">
        <v>40</v>
      </c>
      <c r="P106" s="130" t="s">
        <v>9</v>
      </c>
      <c r="Q106" s="131" t="s">
        <v>40</v>
      </c>
      <c r="R106" s="132" t="s">
        <v>9</v>
      </c>
      <c r="S106" s="134" t="s">
        <v>40</v>
      </c>
      <c r="T106" s="134" t="s">
        <v>9</v>
      </c>
    </row>
    <row r="107" spans="1:20" ht="42.75" x14ac:dyDescent="0.25">
      <c r="A107" s="119" t="s">
        <v>443</v>
      </c>
      <c r="B107" s="119" t="s">
        <v>136</v>
      </c>
      <c r="C107" s="120" t="s">
        <v>443</v>
      </c>
      <c r="D107" s="120" t="s">
        <v>136</v>
      </c>
      <c r="E107" s="121" t="s">
        <v>443</v>
      </c>
      <c r="F107" s="121" t="s">
        <v>136</v>
      </c>
      <c r="G107" s="122" t="s">
        <v>443</v>
      </c>
      <c r="H107" s="123" t="s">
        <v>110</v>
      </c>
      <c r="I107" s="124" t="s">
        <v>442</v>
      </c>
      <c r="J107" s="124" t="s">
        <v>137</v>
      </c>
      <c r="K107" s="125" t="s">
        <v>442</v>
      </c>
      <c r="L107" s="126" t="s">
        <v>137</v>
      </c>
      <c r="M107" s="47" t="s">
        <v>442</v>
      </c>
      <c r="N107" s="95" t="s">
        <v>137</v>
      </c>
      <c r="O107" s="128" t="s">
        <v>442</v>
      </c>
      <c r="P107" s="130" t="s">
        <v>137</v>
      </c>
      <c r="Q107" s="131" t="s">
        <v>442</v>
      </c>
      <c r="R107" s="132" t="s">
        <v>137</v>
      </c>
      <c r="S107" s="134" t="s">
        <v>442</v>
      </c>
      <c r="T107" s="134" t="s">
        <v>137</v>
      </c>
    </row>
    <row r="108" spans="1:20" ht="42.75" x14ac:dyDescent="0.25">
      <c r="A108" s="119" t="s">
        <v>444</v>
      </c>
      <c r="B108" s="119" t="s">
        <v>136</v>
      </c>
      <c r="C108" s="120" t="s">
        <v>444</v>
      </c>
      <c r="D108" s="120" t="s">
        <v>136</v>
      </c>
      <c r="E108" s="121" t="s">
        <v>444</v>
      </c>
      <c r="F108" s="121" t="s">
        <v>136</v>
      </c>
      <c r="G108" s="122" t="s">
        <v>444</v>
      </c>
      <c r="H108" s="123" t="s">
        <v>92</v>
      </c>
      <c r="I108" s="124" t="s">
        <v>443</v>
      </c>
      <c r="J108" s="124" t="s">
        <v>110</v>
      </c>
      <c r="K108" s="125" t="s">
        <v>443</v>
      </c>
      <c r="L108" s="126" t="s">
        <v>110</v>
      </c>
      <c r="M108" s="47" t="s">
        <v>443</v>
      </c>
      <c r="N108" s="95" t="s">
        <v>110</v>
      </c>
      <c r="O108" s="128" t="s">
        <v>443</v>
      </c>
      <c r="P108" s="130" t="s">
        <v>110</v>
      </c>
      <c r="Q108" s="131" t="s">
        <v>443</v>
      </c>
      <c r="R108" s="132" t="s">
        <v>110</v>
      </c>
      <c r="S108" s="134" t="s">
        <v>443</v>
      </c>
      <c r="T108" s="134" t="s">
        <v>110</v>
      </c>
    </row>
    <row r="109" spans="1:20" ht="42.75" x14ac:dyDescent="0.25">
      <c r="A109" s="119" t="s">
        <v>445</v>
      </c>
      <c r="B109" s="119" t="s">
        <v>136</v>
      </c>
      <c r="C109" s="120" t="s">
        <v>445</v>
      </c>
      <c r="D109" s="120" t="s">
        <v>136</v>
      </c>
      <c r="E109" s="121" t="s">
        <v>445</v>
      </c>
      <c r="F109" s="121" t="s">
        <v>136</v>
      </c>
      <c r="G109" s="122" t="s">
        <v>445</v>
      </c>
      <c r="H109" s="123" t="s">
        <v>402</v>
      </c>
      <c r="I109" s="124" t="s">
        <v>444</v>
      </c>
      <c r="J109" s="124" t="s">
        <v>92</v>
      </c>
      <c r="K109" s="125" t="s">
        <v>444</v>
      </c>
      <c r="L109" s="126" t="s">
        <v>92</v>
      </c>
      <c r="M109" s="47" t="s">
        <v>444</v>
      </c>
      <c r="N109" s="95" t="s">
        <v>92</v>
      </c>
      <c r="O109" s="128" t="s">
        <v>444</v>
      </c>
      <c r="P109" s="130" t="s">
        <v>92</v>
      </c>
      <c r="Q109" s="131" t="s">
        <v>444</v>
      </c>
      <c r="R109" s="132" t="s">
        <v>92</v>
      </c>
      <c r="S109" s="134" t="s">
        <v>444</v>
      </c>
      <c r="T109" s="134" t="s">
        <v>92</v>
      </c>
    </row>
    <row r="110" spans="1:20" ht="28.5" x14ac:dyDescent="0.25">
      <c r="A110" s="119" t="s">
        <v>446</v>
      </c>
      <c r="B110" s="119" t="s">
        <v>136</v>
      </c>
      <c r="C110" s="120" t="s">
        <v>446</v>
      </c>
      <c r="D110" s="120" t="s">
        <v>136</v>
      </c>
      <c r="E110" s="121" t="s">
        <v>446</v>
      </c>
      <c r="F110" s="121" t="s">
        <v>136</v>
      </c>
      <c r="G110" s="122" t="s">
        <v>446</v>
      </c>
      <c r="H110" s="123" t="s">
        <v>135</v>
      </c>
      <c r="I110" s="124" t="s">
        <v>482</v>
      </c>
      <c r="J110" s="124" t="s">
        <v>404</v>
      </c>
      <c r="K110" s="125" t="s">
        <v>482</v>
      </c>
      <c r="L110" s="126" t="s">
        <v>404</v>
      </c>
      <c r="M110" s="47" t="s">
        <v>482</v>
      </c>
      <c r="N110" s="95" t="s">
        <v>404</v>
      </c>
      <c r="O110" s="128" t="s">
        <v>482</v>
      </c>
      <c r="P110" s="130" t="s">
        <v>404</v>
      </c>
      <c r="Q110" s="131" t="s">
        <v>551</v>
      </c>
      <c r="R110" s="132" t="s">
        <v>404</v>
      </c>
      <c r="S110" s="134" t="s">
        <v>551</v>
      </c>
      <c r="T110" s="134" t="s">
        <v>404</v>
      </c>
    </row>
    <row r="111" spans="1:20" ht="42.75" x14ac:dyDescent="0.25">
      <c r="A111" s="119" t="s">
        <v>447</v>
      </c>
      <c r="B111" s="119" t="s">
        <v>136</v>
      </c>
      <c r="C111" s="120" t="s">
        <v>447</v>
      </c>
      <c r="D111" s="120" t="s">
        <v>136</v>
      </c>
      <c r="E111" s="121" t="s">
        <v>447</v>
      </c>
      <c r="F111" s="121" t="s">
        <v>136</v>
      </c>
      <c r="G111" s="122" t="s">
        <v>447</v>
      </c>
      <c r="H111" s="123" t="s">
        <v>110</v>
      </c>
      <c r="I111" s="124" t="s">
        <v>483</v>
      </c>
      <c r="J111" s="124" t="s">
        <v>406</v>
      </c>
      <c r="K111" s="125" t="s">
        <v>483</v>
      </c>
      <c r="L111" s="126" t="s">
        <v>406</v>
      </c>
      <c r="M111" s="47" t="s">
        <v>499</v>
      </c>
      <c r="N111" s="95" t="s">
        <v>406</v>
      </c>
      <c r="O111" s="128" t="s">
        <v>499</v>
      </c>
      <c r="P111" s="130" t="s">
        <v>406</v>
      </c>
      <c r="Q111" s="131" t="s">
        <v>499</v>
      </c>
      <c r="R111" s="132" t="s">
        <v>406</v>
      </c>
      <c r="S111" s="134" t="s">
        <v>499</v>
      </c>
      <c r="T111" s="134" t="s">
        <v>406</v>
      </c>
    </row>
    <row r="112" spans="1:20" ht="42.75" x14ac:dyDescent="0.25">
      <c r="A112" s="119" t="s">
        <v>448</v>
      </c>
      <c r="B112" s="119" t="s">
        <v>136</v>
      </c>
      <c r="C112" s="120" t="s">
        <v>448</v>
      </c>
      <c r="D112" s="120" t="s">
        <v>136</v>
      </c>
      <c r="E112" s="121" t="s">
        <v>448</v>
      </c>
      <c r="F112" s="121" t="s">
        <v>136</v>
      </c>
      <c r="G112" s="122" t="s">
        <v>448</v>
      </c>
      <c r="H112" s="123" t="s">
        <v>9</v>
      </c>
      <c r="I112" s="124" t="s">
        <v>445</v>
      </c>
      <c r="J112" s="124" t="s">
        <v>402</v>
      </c>
      <c r="K112" s="125" t="s">
        <v>445</v>
      </c>
      <c r="L112" s="126" t="s">
        <v>402</v>
      </c>
      <c r="M112" s="47" t="s">
        <v>445</v>
      </c>
      <c r="N112" s="95" t="s">
        <v>402</v>
      </c>
      <c r="O112" s="128" t="s">
        <v>445</v>
      </c>
      <c r="P112" s="130" t="s">
        <v>402</v>
      </c>
      <c r="Q112" s="131" t="s">
        <v>445</v>
      </c>
      <c r="R112" s="132" t="s">
        <v>402</v>
      </c>
      <c r="S112" s="134" t="s">
        <v>445</v>
      </c>
      <c r="T112" s="134" t="s">
        <v>402</v>
      </c>
    </row>
    <row r="113" spans="1:20" ht="42.75" x14ac:dyDescent="0.25">
      <c r="A113" s="119" t="s">
        <v>446</v>
      </c>
      <c r="B113" s="119" t="s">
        <v>136</v>
      </c>
      <c r="C113" s="120" t="s">
        <v>446</v>
      </c>
      <c r="D113" s="120" t="s">
        <v>136</v>
      </c>
      <c r="E113" s="121" t="s">
        <v>446</v>
      </c>
      <c r="F113" s="121" t="s">
        <v>136</v>
      </c>
      <c r="G113" s="122" t="s">
        <v>446</v>
      </c>
      <c r="H113" s="123" t="s">
        <v>136</v>
      </c>
      <c r="I113" s="124" t="s">
        <v>446</v>
      </c>
      <c r="J113" s="124" t="s">
        <v>135</v>
      </c>
      <c r="K113" s="125" t="s">
        <v>446</v>
      </c>
      <c r="L113" s="126" t="s">
        <v>135</v>
      </c>
      <c r="M113" s="47" t="s">
        <v>446</v>
      </c>
      <c r="N113" s="95" t="s">
        <v>135</v>
      </c>
      <c r="O113" s="128" t="s">
        <v>545</v>
      </c>
      <c r="P113" s="130" t="s">
        <v>112</v>
      </c>
      <c r="Q113" s="131" t="s">
        <v>545</v>
      </c>
      <c r="R113" s="132" t="s">
        <v>112</v>
      </c>
      <c r="S113" s="134" t="s">
        <v>545</v>
      </c>
      <c r="T113" s="134" t="s">
        <v>112</v>
      </c>
    </row>
    <row r="114" spans="1:20" ht="42.75" x14ac:dyDescent="0.25">
      <c r="A114" s="119" t="s">
        <v>447</v>
      </c>
      <c r="B114" s="119" t="s">
        <v>136</v>
      </c>
      <c r="C114" s="120" t="s">
        <v>447</v>
      </c>
      <c r="D114" s="120" t="s">
        <v>136</v>
      </c>
      <c r="E114" s="121" t="s">
        <v>447</v>
      </c>
      <c r="F114" s="121" t="s">
        <v>136</v>
      </c>
      <c r="G114" s="122" t="s">
        <v>447</v>
      </c>
      <c r="H114" s="123" t="s">
        <v>136</v>
      </c>
      <c r="I114" s="124" t="s">
        <v>447</v>
      </c>
      <c r="J114" s="124" t="s">
        <v>110</v>
      </c>
      <c r="K114" s="125" t="s">
        <v>447</v>
      </c>
      <c r="L114" s="126" t="s">
        <v>110</v>
      </c>
      <c r="M114" s="47" t="s">
        <v>447</v>
      </c>
      <c r="N114" s="95" t="s">
        <v>110</v>
      </c>
      <c r="O114" s="128" t="s">
        <v>447</v>
      </c>
      <c r="P114" s="130" t="s">
        <v>110</v>
      </c>
      <c r="Q114" s="131" t="s">
        <v>447</v>
      </c>
      <c r="R114" s="132" t="s">
        <v>110</v>
      </c>
      <c r="S114" s="134" t="s">
        <v>447</v>
      </c>
      <c r="T114" s="134" t="s">
        <v>110</v>
      </c>
    </row>
    <row r="115" spans="1:20" ht="42.75" x14ac:dyDescent="0.25">
      <c r="A115" s="119" t="s">
        <v>448</v>
      </c>
      <c r="B115" s="119" t="s">
        <v>136</v>
      </c>
      <c r="C115" s="120" t="s">
        <v>448</v>
      </c>
      <c r="D115" s="120" t="s">
        <v>136</v>
      </c>
      <c r="E115" s="121" t="s">
        <v>448</v>
      </c>
      <c r="F115" s="121" t="s">
        <v>136</v>
      </c>
      <c r="G115" s="122" t="s">
        <v>448</v>
      </c>
      <c r="H115" s="123" t="s">
        <v>136</v>
      </c>
      <c r="I115" s="124" t="s">
        <v>448</v>
      </c>
      <c r="J115" s="124" t="s">
        <v>9</v>
      </c>
      <c r="K115" s="125" t="s">
        <v>448</v>
      </c>
      <c r="L115" s="126" t="s">
        <v>9</v>
      </c>
      <c r="M115" s="47" t="s">
        <v>448</v>
      </c>
      <c r="N115" s="95" t="s">
        <v>9</v>
      </c>
      <c r="O115" s="128" t="s">
        <v>448</v>
      </c>
      <c r="P115" s="130" t="s">
        <v>9</v>
      </c>
      <c r="Q115" s="131" t="s">
        <v>448</v>
      </c>
      <c r="R115" s="132" t="s">
        <v>9</v>
      </c>
      <c r="S115" s="134" t="s">
        <v>448</v>
      </c>
      <c r="T115" s="134" t="s">
        <v>9</v>
      </c>
    </row>
    <row r="116" spans="1:20" x14ac:dyDescent="0.25">
      <c r="A116" s="119" t="s">
        <v>363</v>
      </c>
      <c r="B116" s="119" t="s">
        <v>136</v>
      </c>
      <c r="C116" s="120" t="s">
        <v>363</v>
      </c>
      <c r="D116" s="120" t="s">
        <v>136</v>
      </c>
      <c r="E116" s="121" t="s">
        <v>363</v>
      </c>
      <c r="F116" s="121" t="s">
        <v>136</v>
      </c>
      <c r="G116" s="122" t="s">
        <v>363</v>
      </c>
      <c r="H116" s="123" t="s">
        <v>136</v>
      </c>
      <c r="I116" s="124" t="s">
        <v>363</v>
      </c>
      <c r="J116" s="124"/>
      <c r="K116" s="125" t="s">
        <v>363</v>
      </c>
      <c r="L116" s="126" t="s">
        <v>136</v>
      </c>
      <c r="M116" s="47" t="s">
        <v>363</v>
      </c>
      <c r="N116" s="95" t="s">
        <v>136</v>
      </c>
      <c r="O116" s="128" t="s">
        <v>363</v>
      </c>
      <c r="P116" s="130" t="s">
        <v>30</v>
      </c>
      <c r="Q116" s="129" t="s">
        <v>363</v>
      </c>
      <c r="R116" s="133" t="s">
        <v>30</v>
      </c>
      <c r="S116" s="134" t="s">
        <v>363</v>
      </c>
      <c r="T116" s="134" t="s">
        <v>30</v>
      </c>
    </row>
    <row r="117" spans="1:20" x14ac:dyDescent="0.25">
      <c r="A117" s="119" t="s">
        <v>396</v>
      </c>
      <c r="B117" s="119" t="s">
        <v>136</v>
      </c>
      <c r="C117" s="120" t="s">
        <v>396</v>
      </c>
      <c r="D117" s="120" t="s">
        <v>136</v>
      </c>
      <c r="E117" s="121" t="s">
        <v>396</v>
      </c>
      <c r="F117" s="121" t="s">
        <v>136</v>
      </c>
      <c r="G117" s="122" t="s">
        <v>396</v>
      </c>
      <c r="H117" s="123" t="s">
        <v>136</v>
      </c>
      <c r="I117" s="124" t="s">
        <v>396</v>
      </c>
      <c r="J117" s="124" t="s">
        <v>136</v>
      </c>
      <c r="K117" s="125" t="s">
        <v>396</v>
      </c>
      <c r="L117" s="126" t="s">
        <v>136</v>
      </c>
      <c r="M117" s="47" t="s">
        <v>396</v>
      </c>
      <c r="N117" s="95" t="s">
        <v>136</v>
      </c>
      <c r="O117" s="128" t="s">
        <v>396</v>
      </c>
      <c r="P117" s="130" t="s">
        <v>136</v>
      </c>
      <c r="Q117" s="131" t="s">
        <v>396</v>
      </c>
      <c r="R117" s="132" t="s">
        <v>146</v>
      </c>
      <c r="S117" s="134" t="s">
        <v>396</v>
      </c>
      <c r="T117" s="134" t="s">
        <v>146</v>
      </c>
    </row>
    <row r="118" spans="1:20" x14ac:dyDescent="0.25">
      <c r="A118" s="119" t="s">
        <v>365</v>
      </c>
      <c r="B118" s="119" t="s">
        <v>136</v>
      </c>
      <c r="C118" s="120" t="s">
        <v>365</v>
      </c>
      <c r="D118" s="120" t="s">
        <v>136</v>
      </c>
      <c r="E118" s="121" t="s">
        <v>365</v>
      </c>
      <c r="F118" s="121" t="s">
        <v>136</v>
      </c>
      <c r="G118" s="122" t="s">
        <v>365</v>
      </c>
      <c r="H118" s="123" t="s">
        <v>136</v>
      </c>
      <c r="I118" s="124" t="s">
        <v>365</v>
      </c>
      <c r="J118" s="124" t="s">
        <v>136</v>
      </c>
      <c r="K118" s="125" t="s">
        <v>365</v>
      </c>
      <c r="L118" s="126" t="s">
        <v>136</v>
      </c>
      <c r="M118" s="47" t="s">
        <v>365</v>
      </c>
      <c r="N118" s="95" t="s">
        <v>136</v>
      </c>
      <c r="O118" s="128" t="s">
        <v>365</v>
      </c>
      <c r="P118" s="130" t="s">
        <v>136</v>
      </c>
      <c r="Q118" s="131" t="s">
        <v>365</v>
      </c>
      <c r="R118" s="132" t="s">
        <v>136</v>
      </c>
      <c r="S118" s="134" t="s">
        <v>365</v>
      </c>
      <c r="T118" s="134">
        <v>15</v>
      </c>
    </row>
    <row r="119" spans="1:20" ht="28.5" x14ac:dyDescent="0.25">
      <c r="A119" s="119" t="s">
        <v>553</v>
      </c>
      <c r="B119" s="119" t="s">
        <v>136</v>
      </c>
      <c r="C119" s="120" t="s">
        <v>553</v>
      </c>
      <c r="D119" s="120" t="s">
        <v>136</v>
      </c>
      <c r="E119" s="121" t="s">
        <v>553</v>
      </c>
      <c r="F119" s="121" t="s">
        <v>136</v>
      </c>
      <c r="G119" s="122" t="s">
        <v>553</v>
      </c>
      <c r="H119" s="123" t="s">
        <v>136</v>
      </c>
      <c r="I119" s="124" t="s">
        <v>553</v>
      </c>
      <c r="J119" s="124" t="s">
        <v>136</v>
      </c>
      <c r="K119" s="125" t="s">
        <v>553</v>
      </c>
      <c r="L119" s="126" t="s">
        <v>136</v>
      </c>
      <c r="M119" s="47" t="s">
        <v>553</v>
      </c>
      <c r="N119" s="95" t="s">
        <v>136</v>
      </c>
      <c r="O119" s="128" t="s">
        <v>553</v>
      </c>
      <c r="P119" s="130" t="s">
        <v>136</v>
      </c>
      <c r="Q119" s="131" t="s">
        <v>553</v>
      </c>
      <c r="R119" s="132" t="s">
        <v>136</v>
      </c>
      <c r="S119" s="134" t="s">
        <v>553</v>
      </c>
      <c r="T119" s="134">
        <v>15</v>
      </c>
    </row>
    <row r="120" spans="1:20" x14ac:dyDescent="0.25">
      <c r="S120" s="127"/>
      <c r="T120" s="127"/>
    </row>
  </sheetData>
  <autoFilter ref="A3:T119" xr:uid="{07A4212D-BA30-44CA-971C-A3ECE4AEA4B6}">
    <filterColumn colId="0" showButton="0"/>
    <filterColumn colId="2" showButton="0"/>
    <filterColumn colId="4" showButton="0"/>
    <filterColumn colId="6" showButton="0"/>
    <filterColumn colId="8" showButton="0"/>
    <filterColumn colId="10" showButton="0"/>
    <filterColumn colId="12" showButton="0"/>
    <filterColumn colId="14" showButton="0"/>
    <filterColumn colId="16" showButton="0"/>
    <filterColumn colId="18" showButton="0"/>
  </autoFilter>
  <mergeCells count="11">
    <mergeCell ref="Q3:R3"/>
    <mergeCell ref="S3:T3"/>
    <mergeCell ref="O3:P3"/>
    <mergeCell ref="M3:N3"/>
    <mergeCell ref="A1:H2"/>
    <mergeCell ref="K3:L3"/>
    <mergeCell ref="I3:J3"/>
    <mergeCell ref="A3:B3"/>
    <mergeCell ref="C3:D3"/>
    <mergeCell ref="E3:F3"/>
    <mergeCell ref="G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Originals</vt:lpstr>
      <vt:lpstr>Scott</vt:lpstr>
      <vt:lpstr>Cross-Ref</vt:lpstr>
      <vt:lpstr>Scott-Vin Compare</vt:lpstr>
      <vt:lpstr>Cmb Run</vt:lpstr>
      <vt:lpstr>Cmb Dev</vt:lpstr>
      <vt:lpstr>Cross-Ref Unique</vt:lpstr>
      <vt:lpstr>Cross-Ref Man</vt:lpstr>
      <vt:lpstr>Install Diff</vt:lpstr>
      <vt:lpstr>MAX Cross Reference</vt:lpstr>
    </vt:vector>
  </TitlesOfParts>
  <Company>Johnson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Gerald Beach</dc:creator>
  <cp:lastModifiedBy>Scott Gerald Beach</cp:lastModifiedBy>
  <dcterms:created xsi:type="dcterms:W3CDTF">2024-07-02T12:41:36Z</dcterms:created>
  <dcterms:modified xsi:type="dcterms:W3CDTF">2024-09-13T17:45:36Z</dcterms:modified>
</cp:coreProperties>
</file>