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kingco\OneDrive - Johnson Controls\Desktop\Navy Reports\375 Ton HESC\"/>
    </mc:Choice>
  </mc:AlternateContent>
  <xr:revisionPtr revIDLastSave="0" documentId="8_{CF32B6C1-F109-4FC0-B673-63378AA2025B}" xr6:coauthVersionLast="47" xr6:coauthVersionMax="47" xr10:uidLastSave="{00000000-0000-0000-0000-000000000000}"/>
  <bookViews>
    <workbookView xWindow="30120" yWindow="495" windowWidth="24105" windowHeight="14865" tabRatio="678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Template'!$A$1:$F$56</definedName>
    <definedName name="_xlnm.Print_Area" localSheetId="1">'Report WorkSheet'!$A$1:$F$56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0" i="12" l="1"/>
  <c r="D50" i="1"/>
  <c r="L51" i="12"/>
  <c r="D51" i="1" s="1"/>
  <c r="L43" i="12"/>
  <c r="D43" i="1" s="1"/>
  <c r="L44" i="12"/>
  <c r="L45" i="12"/>
  <c r="O45" i="12" s="1"/>
  <c r="L46" i="12"/>
  <c r="O46" i="12" s="1"/>
  <c r="L47" i="12"/>
  <c r="D47" i="1" s="1"/>
  <c r="L39" i="12"/>
  <c r="D39" i="1" s="1"/>
  <c r="L40" i="12"/>
  <c r="N40" i="12" s="1"/>
  <c r="L31" i="12"/>
  <c r="D31" i="1"/>
  <c r="L32" i="12"/>
  <c r="L33" i="12"/>
  <c r="O33" i="12" s="1"/>
  <c r="D33" i="1"/>
  <c r="L34" i="12"/>
  <c r="D34" i="1"/>
  <c r="L35" i="12"/>
  <c r="O35" i="12" s="1"/>
  <c r="L36" i="12"/>
  <c r="D36" i="1" s="1"/>
  <c r="L22" i="12"/>
  <c r="D22" i="1" s="1"/>
  <c r="L23" i="12"/>
  <c r="D23" i="1"/>
  <c r="L24" i="12"/>
  <c r="O24" i="12" s="1"/>
  <c r="D24" i="1"/>
  <c r="L25" i="12"/>
  <c r="D25" i="1" s="1"/>
  <c r="L26" i="12"/>
  <c r="D26" i="1" s="1"/>
  <c r="L27" i="12"/>
  <c r="D27" i="1"/>
  <c r="L28" i="12"/>
  <c r="O28" i="12" s="1"/>
  <c r="D28" i="1"/>
  <c r="L10" i="12"/>
  <c r="O10" i="12" s="1"/>
  <c r="L11" i="12"/>
  <c r="O11" i="12" s="1"/>
  <c r="D11" i="1"/>
  <c r="L12" i="12"/>
  <c r="D12" i="1"/>
  <c r="L13" i="12"/>
  <c r="D13" i="1"/>
  <c r="L14" i="12"/>
  <c r="D14" i="1" s="1"/>
  <c r="L15" i="12"/>
  <c r="D15" i="1" s="1"/>
  <c r="L16" i="12"/>
  <c r="D16" i="1"/>
  <c r="L17" i="12"/>
  <c r="O17" i="12" s="1"/>
  <c r="L18" i="12"/>
  <c r="L19" i="12"/>
  <c r="D19" i="1" s="1"/>
  <c r="M50" i="12"/>
  <c r="N50" i="12" s="1"/>
  <c r="M51" i="12"/>
  <c r="N51" i="12" s="1"/>
  <c r="B4" i="1"/>
  <c r="B3" i="1"/>
  <c r="B5" i="1"/>
  <c r="B2" i="1"/>
  <c r="J51" i="12"/>
  <c r="K51" i="12" s="1"/>
  <c r="J50" i="12"/>
  <c r="K50" i="12" s="1"/>
  <c r="H50" i="12"/>
  <c r="I50" i="12" s="1"/>
  <c r="H47" i="12"/>
  <c r="I47" i="12" s="1"/>
  <c r="H43" i="12"/>
  <c r="I43" i="12" s="1"/>
  <c r="H44" i="12"/>
  <c r="I44" i="12" s="1"/>
  <c r="H45" i="12"/>
  <c r="I45" i="12" s="1"/>
  <c r="H46" i="12"/>
  <c r="I46" i="12" s="1"/>
  <c r="O50" i="12"/>
  <c r="H22" i="12"/>
  <c r="M33" i="12"/>
  <c r="E33" i="1" s="1"/>
  <c r="M35" i="12"/>
  <c r="E35" i="1" s="1"/>
  <c r="M22" i="12"/>
  <c r="E22" i="1" s="1"/>
  <c r="M43" i="12"/>
  <c r="E43" i="1" s="1"/>
  <c r="M44" i="12"/>
  <c r="E44" i="1" s="1"/>
  <c r="M45" i="12"/>
  <c r="M46" i="12"/>
  <c r="E46" i="1" s="1"/>
  <c r="M47" i="12"/>
  <c r="E47" i="1" s="1"/>
  <c r="M39" i="12"/>
  <c r="M40" i="12"/>
  <c r="E40" i="1" s="1"/>
  <c r="M31" i="12"/>
  <c r="E31" i="1" s="1"/>
  <c r="M32" i="12"/>
  <c r="E32" i="1" s="1"/>
  <c r="M34" i="12"/>
  <c r="N34" i="12" s="1"/>
  <c r="M36" i="12"/>
  <c r="O36" i="12" s="1"/>
  <c r="M23" i="12"/>
  <c r="E23" i="1" s="1"/>
  <c r="M24" i="12"/>
  <c r="M25" i="12"/>
  <c r="E25" i="1" s="1"/>
  <c r="M26" i="12"/>
  <c r="M27" i="12"/>
  <c r="O27" i="12" s="1"/>
  <c r="M28" i="12"/>
  <c r="E28" i="1" s="1"/>
  <c r="M11" i="12"/>
  <c r="N11" i="12" s="1"/>
  <c r="M12" i="12"/>
  <c r="M13" i="12"/>
  <c r="N13" i="12" s="1"/>
  <c r="M14" i="12"/>
  <c r="M15" i="12"/>
  <c r="E15" i="1" s="1"/>
  <c r="M16" i="12"/>
  <c r="M17" i="12"/>
  <c r="M18" i="12"/>
  <c r="E18" i="1" s="1"/>
  <c r="M19" i="12"/>
  <c r="E19" i="1" s="1"/>
  <c r="M10" i="12"/>
  <c r="E10" i="1" s="1"/>
  <c r="B1" i="1"/>
  <c r="E55" i="1"/>
  <c r="C55" i="1"/>
  <c r="C51" i="1"/>
  <c r="C50" i="1"/>
  <c r="C44" i="1"/>
  <c r="C45" i="1"/>
  <c r="C46" i="1"/>
  <c r="C47" i="1"/>
  <c r="C43" i="1"/>
  <c r="C40" i="1"/>
  <c r="C39" i="1"/>
  <c r="C32" i="1"/>
  <c r="C33" i="1"/>
  <c r="C34" i="1"/>
  <c r="C35" i="1"/>
  <c r="C36" i="1"/>
  <c r="C31" i="1"/>
  <c r="C23" i="1"/>
  <c r="C24" i="1"/>
  <c r="C25" i="1"/>
  <c r="C26" i="1"/>
  <c r="C27" i="1"/>
  <c r="C28" i="1"/>
  <c r="C22" i="1"/>
  <c r="B10" i="1"/>
  <c r="B11" i="1"/>
  <c r="B12" i="1"/>
  <c r="B13" i="1"/>
  <c r="B14" i="1"/>
  <c r="B15" i="1"/>
  <c r="B16" i="1"/>
  <c r="B17" i="1"/>
  <c r="B18" i="1"/>
  <c r="B19" i="1"/>
  <c r="B22" i="1"/>
  <c r="B23" i="1"/>
  <c r="B24" i="1"/>
  <c r="B25" i="1"/>
  <c r="B26" i="1"/>
  <c r="B27" i="1"/>
  <c r="B28" i="1"/>
  <c r="B31" i="1"/>
  <c r="B32" i="1"/>
  <c r="B33" i="1"/>
  <c r="B34" i="1"/>
  <c r="B35" i="1"/>
  <c r="B36" i="1"/>
  <c r="B39" i="1"/>
  <c r="B40" i="1"/>
  <c r="B43" i="1"/>
  <c r="B44" i="1"/>
  <c r="B45" i="1"/>
  <c r="B46" i="1"/>
  <c r="B47" i="1"/>
  <c r="B50" i="1"/>
  <c r="B51" i="1"/>
  <c r="C11" i="1"/>
  <c r="C12" i="1"/>
  <c r="C13" i="1"/>
  <c r="C14" i="1"/>
  <c r="C15" i="1"/>
  <c r="C16" i="1"/>
  <c r="C17" i="1"/>
  <c r="C18" i="1"/>
  <c r="C19" i="1"/>
  <c r="C10" i="1"/>
  <c r="O23" i="12"/>
  <c r="O19" i="12"/>
  <c r="O15" i="12"/>
  <c r="O12" i="12"/>
  <c r="E16" i="1"/>
  <c r="N16" i="12"/>
  <c r="N44" i="12"/>
  <c r="E45" i="1"/>
  <c r="E14" i="1"/>
  <c r="E39" i="1"/>
  <c r="E12" i="1"/>
  <c r="N12" i="12"/>
  <c r="H39" i="12"/>
  <c r="I39" i="12"/>
  <c r="H40" i="12"/>
  <c r="I40" i="12" s="1"/>
  <c r="H31" i="12"/>
  <c r="I31" i="12" s="1"/>
  <c r="H32" i="12"/>
  <c r="I32" i="12"/>
  <c r="H33" i="12"/>
  <c r="I33" i="12"/>
  <c r="H34" i="12"/>
  <c r="I34" i="12"/>
  <c r="H35" i="12"/>
  <c r="I35" i="12" s="1"/>
  <c r="H36" i="12"/>
  <c r="I36" i="12" s="1"/>
  <c r="I22" i="12"/>
  <c r="H23" i="12"/>
  <c r="I23" i="12"/>
  <c r="H24" i="12"/>
  <c r="I24" i="12" s="1"/>
  <c r="H25" i="12"/>
  <c r="I25" i="12" s="1"/>
  <c r="H26" i="12"/>
  <c r="I26" i="12"/>
  <c r="H27" i="12"/>
  <c r="I27" i="12"/>
  <c r="H28" i="12"/>
  <c r="I28" i="12"/>
  <c r="H11" i="12"/>
  <c r="I11" i="12" s="1"/>
  <c r="H12" i="12"/>
  <c r="I12" i="12" s="1"/>
  <c r="H13" i="12"/>
  <c r="I13" i="12" s="1"/>
  <c r="H14" i="12"/>
  <c r="I14" i="12" s="1"/>
  <c r="H15" i="12"/>
  <c r="I15" i="12"/>
  <c r="H16" i="12"/>
  <c r="I16" i="12"/>
  <c r="H17" i="12"/>
  <c r="I17" i="12"/>
  <c r="H18" i="12"/>
  <c r="I18" i="12"/>
  <c r="H19" i="12"/>
  <c r="I19" i="12" s="1"/>
  <c r="H10" i="12"/>
  <c r="I10" i="12"/>
  <c r="H51" i="12"/>
  <c r="I51" i="12"/>
  <c r="J47" i="12"/>
  <c r="K47" i="12"/>
  <c r="J46" i="12"/>
  <c r="K46" i="12" s="1"/>
  <c r="J45" i="12"/>
  <c r="K45" i="12" s="1"/>
  <c r="J44" i="12"/>
  <c r="K44" i="12" s="1"/>
  <c r="J43" i="12"/>
  <c r="K43" i="12"/>
  <c r="J40" i="12"/>
  <c r="K40" i="12" s="1"/>
  <c r="J39" i="12"/>
  <c r="K39" i="12" s="1"/>
  <c r="J36" i="12"/>
  <c r="K36" i="12"/>
  <c r="J35" i="12"/>
  <c r="K35" i="12"/>
  <c r="J34" i="12"/>
  <c r="K34" i="12" s="1"/>
  <c r="J33" i="12"/>
  <c r="K33" i="12"/>
  <c r="J32" i="12"/>
  <c r="K32" i="12"/>
  <c r="J31" i="12"/>
  <c r="K31" i="12" s="1"/>
  <c r="J28" i="12"/>
  <c r="K28" i="12" s="1"/>
  <c r="J27" i="12"/>
  <c r="K27" i="12" s="1"/>
  <c r="J26" i="12"/>
  <c r="K26" i="12" s="1"/>
  <c r="J25" i="12"/>
  <c r="K25" i="12" s="1"/>
  <c r="J24" i="12"/>
  <c r="K24" i="12"/>
  <c r="J23" i="12"/>
  <c r="K23" i="12"/>
  <c r="J22" i="12"/>
  <c r="K22" i="12" s="1"/>
  <c r="J19" i="12"/>
  <c r="K19" i="12" s="1"/>
  <c r="J18" i="12"/>
  <c r="K18" i="12" s="1"/>
  <c r="J17" i="12"/>
  <c r="K17" i="12"/>
  <c r="J16" i="12"/>
  <c r="K16" i="12"/>
  <c r="J15" i="12"/>
  <c r="K15" i="12"/>
  <c r="J14" i="12"/>
  <c r="K14" i="12" s="1"/>
  <c r="J13" i="12"/>
  <c r="K13" i="12" s="1"/>
  <c r="J12" i="12"/>
  <c r="K12" i="12" s="1"/>
  <c r="J11" i="12"/>
  <c r="K11" i="12" s="1"/>
  <c r="J10" i="12"/>
  <c r="K10" i="12"/>
  <c r="N28" i="12" l="1"/>
  <c r="N33" i="12"/>
  <c r="E13" i="1"/>
  <c r="N14" i="12"/>
  <c r="D17" i="1"/>
  <c r="E34" i="1"/>
  <c r="D35" i="1"/>
  <c r="N19" i="12"/>
  <c r="N26" i="12"/>
  <c r="O13" i="12"/>
  <c r="N32" i="12"/>
  <c r="N46" i="12"/>
  <c r="N45" i="12"/>
  <c r="N31" i="12"/>
  <c r="N24" i="12"/>
  <c r="E36" i="1"/>
  <c r="O31" i="12"/>
  <c r="D40" i="1"/>
  <c r="D46" i="1"/>
  <c r="O34" i="12"/>
  <c r="N47" i="12"/>
  <c r="D45" i="1"/>
  <c r="O39" i="12"/>
  <c r="O40" i="12"/>
  <c r="E51" i="1"/>
  <c r="O44" i="12"/>
  <c r="E50" i="1"/>
  <c r="E11" i="1"/>
  <c r="O51" i="12"/>
  <c r="N39" i="12"/>
  <c r="N17" i="12"/>
  <c r="O14" i="12"/>
  <c r="O16" i="12"/>
  <c r="N18" i="12"/>
  <c r="E17" i="1"/>
  <c r="E26" i="1"/>
  <c r="E24" i="1"/>
  <c r="O32" i="12"/>
  <c r="N10" i="12"/>
  <c r="N23" i="12"/>
  <c r="O22" i="12"/>
  <c r="D10" i="1"/>
  <c r="D32" i="1"/>
  <c r="N22" i="12"/>
  <c r="N27" i="12"/>
  <c r="N35" i="12"/>
  <c r="O18" i="12"/>
  <c r="E27" i="1"/>
  <c r="O25" i="12"/>
  <c r="N15" i="12"/>
  <c r="O47" i="12"/>
  <c r="O26" i="12"/>
  <c r="D18" i="1"/>
  <c r="N43" i="12"/>
  <c r="N25" i="12"/>
  <c r="O43" i="12"/>
  <c r="D44" i="1"/>
  <c r="N36" i="12"/>
</calcChain>
</file>

<file path=xl/sharedStrings.xml><?xml version="1.0" encoding="utf-8"?>
<sst xmlns="http://schemas.openxmlformats.org/spreadsheetml/2006/main" count="129" uniqueCount="113">
  <si>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</si>
  <si>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</si>
  <si>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</si>
  <si>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</si>
  <si>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</si>
  <si>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</si>
  <si>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</si>
  <si>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COMPRESSOR SUCTION TEMP</t>
  </si>
  <si>
    <t>COMPRESSOR DISCHARGE TEMP</t>
  </si>
  <si>
    <t>Omega Pressure Transducer</t>
  </si>
  <si>
    <t>COMPRESSOR SUCTION PRESSURE</t>
  </si>
  <si>
    <t>BAROMETRIC PRESSURE</t>
  </si>
  <si>
    <t>Rosemount Delta P Transducer</t>
  </si>
  <si>
    <t>EVAPORATOR WATER PRESSURE DROP</t>
  </si>
  <si>
    <t>CONDENSOR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</si>
  <si>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</si>
  <si>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</si>
  <si>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</si>
  <si>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</si>
  <si>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</si>
  <si>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</si>
  <si>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</si>
  <si>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</si>
  <si>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</si>
  <si>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CHILLER INPUT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</si>
  <si>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</si>
  <si>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</si>
  <si>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</si>
  <si>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</si>
  <si>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</si>
  <si>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</si>
  <si>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</si>
  <si>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</si>
  <si>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</si>
  <si>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</si>
  <si>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</si>
  <si>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</si>
  <si>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COMRPRESSOR DISCHARGE PRESSURE</t>
  </si>
  <si>
    <t>CONDENSER PRESSURE</t>
  </si>
  <si>
    <t>MOTOR COOLING VAPOR TANK PRESSURE</t>
  </si>
  <si>
    <t>ECONOMIZER VAPOR PRESSURE</t>
  </si>
  <si>
    <t>REFRIGERANT LIQUID TEMP TO EXPANSION VALVE #1</t>
  </si>
  <si>
    <t>REFRIGERANT LIQUID TEMP TO EXPANSION VALVE #2</t>
  </si>
  <si>
    <t>MOTOR HOUSING TOP PLATE TEMP</t>
  </si>
  <si>
    <t>VSD COOLING ON</t>
  </si>
  <si>
    <t>VSD COOLING OFF</t>
  </si>
  <si>
    <t>VSD COOLER WATER FLOW</t>
  </si>
  <si>
    <t>`</t>
  </si>
  <si>
    <t>VSD OUTPUT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</si>
  <si>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</si>
  <si>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</si>
  <si>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</si>
  <si>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</si>
  <si>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</si>
  <si>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</si>
  <si>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</si>
  <si>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</si>
  <si>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</si>
  <si>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Not on Inst Map
Get From 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</si>
  <si>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</si>
  <si>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</si>
  <si>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</si>
  <si>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</si>
  <si>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</si>
  <si>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</si>
  <si>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</si>
  <si>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</si>
  <si>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</si>
  <si>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</si>
  <si>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</si>
  <si>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</si>
  <si>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</si>
  <si>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</si>
  <si>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</si>
  <si>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</si>
  <si>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</si>
  <si>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</si>
  <si>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</si>
  <si>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</si>
  <si>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</si>
  <si>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</si>
  <si>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</si>
  <si>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</si>
  <si>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</si>
  <si>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</si>
  <si>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</si>
  <si>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Facility Information
Not on Inst Map
Get From
Cal Report
ENG and HW Tag Names
Should remain the same</t>
  </si>
  <si>
    <t>HW Tag Names
Not on Inst Map
Use Channel to determine
Eng Tag Names
Should remain the same</t>
  </si>
  <si>
    <t>COMPR_SYS01_RFG_SUCT_TEMP_01</t>
  </si>
  <si>
    <t>COMPR_SYS01_RFG_DISCH_TEMP_01</t>
  </si>
  <si>
    <t>EVAP_SYS01_RLIQ_EV-E_TEMP_01</t>
  </si>
  <si>
    <t>EVAP_SYS02_RLIQ_EV-E_TEMP_01</t>
  </si>
  <si>
    <t>MTR_SYS01_HSG_TOP_TEMP_01</t>
  </si>
  <si>
    <t>VSD_SYS01_WTR_HX-E_TEMP_01</t>
  </si>
  <si>
    <t>VSD_SYS01_WTR_HX-L_TEMP_01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</si>
  <si>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</si>
  <si>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</si>
  <si>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</si>
  <si>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</si>
  <si>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</si>
  <si>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</si>
  <si>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COMPR_SYS01_RVAP_SUCT_PRESS_01</t>
  </si>
  <si>
    <t>COMPR_SYS01_RVAP_DISCH_PRESS_01</t>
  </si>
  <si>
    <t>COND_SYS01_RVAP_HIGH-CTR_PRESS_01</t>
  </si>
  <si>
    <t>MTR-CLG_SYS01_RFG_TANK_PRESS_01</t>
  </si>
  <si>
    <t>ECON_SYS01_RFG_E_PRESS_01</t>
  </si>
  <si>
    <t>AMB_UNIT_AIR_EXT_PRESS_01</t>
  </si>
  <si>
    <t>EVAP_UNIT_WTR_NOZ_DP_01</t>
  </si>
  <si>
    <t>COND_UNIT_WTR_NOZ_DP_01</t>
  </si>
  <si>
    <t>VSD_SYS01_WTR_HX-E_FLOW_01</t>
  </si>
  <si>
    <t>CH_WTR_E_FLOW_FT-CH-1</t>
  </si>
  <si>
    <t>XT2640-xxx</t>
  </si>
  <si>
    <t>375 Ton HESC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</si>
</sst>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1" fillId="3" borderId="4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4" fontId="1" fillId="3" borderId="0" xfId="0" applyNumberFormat="1" applyFont="1" applyFill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14" fontId="1" fillId="3" borderId="2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4" fontId="1" fillId="2" borderId="5" xfId="0" applyNumberFormat="1" applyFont="1" applyFill="1" applyBorder="1" applyAlignment="1">
      <alignment horizontal="center"/>
    </xf>
    <xf numFmtId="14" fontId="1" fillId="2" borderId="13" xfId="0" applyNumberFormat="1" applyFont="1" applyFill="1" applyBorder="1" applyAlignment="1">
      <alignment horizontal="center"/>
    </xf>
    <xf numFmtId="14" fontId="1" fillId="2" borderId="7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4" fontId="1" fillId="3" borderId="12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0" fontId="1" fillId="0" borderId="3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14" fontId="1" fillId="0" borderId="2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9C0006"/>
      <color rgb="FFFFC7CE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6"/>
  <sheetViews>
    <sheetView workbookViewId="0">
      <selection activeCell="C47" sqref="C47"/>
    </sheetView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67" t="str">
        <f>'Report WorkSheet'!B1:E1</f>
        <v>Johnson Controls Calibration Report</v>
      </c>
      <c r="C1" s="67"/>
      <c r="D1" s="67"/>
      <c r="E1" s="67"/>
      <c r="F1" s="11"/>
    </row>
    <row r="2" spans="1:6" ht="13.9" customHeight="1" x14ac:dyDescent="0.2">
      <c r="A2" s="11"/>
      <c r="B2" s="67" t="str">
        <f>CONCATENATE('Report WorkSheet'!B2,'Report WorkSheet'!C2)</f>
        <v>Unit Type:  375 Ton HESC</v>
      </c>
      <c r="C2" s="67"/>
      <c r="D2" s="67"/>
      <c r="E2" s="67"/>
      <c r="F2" s="11"/>
    </row>
    <row r="3" spans="1:6" x14ac:dyDescent="0.2">
      <c r="A3" s="11"/>
      <c r="B3" s="67" t="str">
        <f>CONCATENATE('Report WorkSheet'!B3,'Report WorkSheet'!C3)</f>
        <v xml:space="preserve">Test Request Number: </v>
      </c>
      <c r="C3" s="67"/>
      <c r="D3" s="67"/>
      <c r="E3" s="67"/>
      <c r="F3" s="11"/>
    </row>
    <row r="4" spans="1:6" x14ac:dyDescent="0.2">
      <c r="A4" s="11"/>
      <c r="B4" s="67" t="str">
        <f>CONCATENATE('Report WorkSheet'!B4,'Report WorkSheet'!C4)</f>
        <v xml:space="preserve">Instrument Map Date:  </v>
      </c>
      <c r="C4" s="67"/>
      <c r="D4" s="67"/>
      <c r="E4" s="67"/>
      <c r="F4" s="11"/>
    </row>
    <row r="5" spans="1:6" x14ac:dyDescent="0.2">
      <c r="A5" s="11"/>
      <c r="B5" s="67" t="str">
        <f>CONCATENATE('Report WorkSheet'!B5,'Report WorkSheet'!C5)</f>
        <v xml:space="preserve">JADEC Test Facility:  </v>
      </c>
      <c r="C5" s="67"/>
      <c r="D5" s="67"/>
      <c r="E5" s="67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66" t="s">
        <v>0</v>
      </c>
      <c r="C7" s="66" t="s">
        <v>1</v>
      </c>
      <c r="D7" s="66" t="s">
        <v>2</v>
      </c>
      <c r="E7" s="66"/>
    </row>
    <row r="8" spans="1:6" x14ac:dyDescent="0.2">
      <c r="B8" s="66"/>
      <c r="C8" s="66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REFRIGERANT LIQUID TEMP TO EXPANSION VALVE #1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REFRIGERANT LIQUID TEMP TO EXPANSION VALVE #2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>MOTOR HOUSING TOP PLATE TEMP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VSD COOLING ON</v>
      </c>
      <c r="D27" s="14" t="e">
        <f>'Report WorkSheet'!L27</f>
        <v>#N/A</v>
      </c>
      <c r="E27" s="14" t="e">
        <f>'Report WorkSheet'!M27</f>
        <v>#N/A</v>
      </c>
    </row>
    <row r="28" spans="2:7" ht="13.9" customHeight="1" x14ac:dyDescent="0.2">
      <c r="B28" s="6">
        <f>'Report WorkSheet'!B28</f>
        <v>0</v>
      </c>
      <c r="C28" s="8" t="str">
        <f>'Report WorkSheet'!C28</f>
        <v>VSD COOLING OFF</v>
      </c>
      <c r="D28" s="14" t="e">
        <f>'Report WorkSheet'!L28</f>
        <v>#N/A</v>
      </c>
      <c r="E28" s="14" t="e">
        <f>'Report WorkSheet'!M28</f>
        <v>#N/A</v>
      </c>
    </row>
    <row r="29" spans="2:7" ht="6.95" customHeight="1" x14ac:dyDescent="0.2">
      <c r="B29" s="7"/>
      <c r="C29" s="7"/>
      <c r="D29" s="7"/>
      <c r="E29" s="7"/>
    </row>
    <row r="30" spans="2:7" x14ac:dyDescent="0.2">
      <c r="B30" s="5" t="s">
        <v>9</v>
      </c>
      <c r="C30" s="5"/>
      <c r="D30" s="5"/>
      <c r="E30" s="5"/>
    </row>
    <row r="31" spans="2:7" x14ac:dyDescent="0.2">
      <c r="B31" s="6">
        <f>'Report WorkSheet'!B31</f>
        <v>0</v>
      </c>
      <c r="C31" s="6" t="str">
        <f>'Report WorkSheet'!C31</f>
        <v>COMPRESSOR SUCTION PRESSURE</v>
      </c>
      <c r="D31" s="14" t="e">
        <f>'Report WorkSheet'!L31</f>
        <v>#N/A</v>
      </c>
      <c r="E31" s="14" t="e">
        <f>'Report WorkSheet'!M31</f>
        <v>#N/A</v>
      </c>
    </row>
    <row r="32" spans="2:7" x14ac:dyDescent="0.2">
      <c r="B32" s="6">
        <f>'Report WorkSheet'!B32</f>
        <v>0</v>
      </c>
      <c r="C32" s="6" t="str">
        <f>'Report WorkSheet'!C32</f>
        <v>COMRPRESSOR DISCHARGE PRESSURE</v>
      </c>
      <c r="D32" s="14" t="e">
        <f>'Report WorkSheet'!L32</f>
        <v>#N/A</v>
      </c>
      <c r="E32" s="14" t="e">
        <f>'Report WorkSheet'!M32</f>
        <v>#N/A</v>
      </c>
    </row>
    <row r="33" spans="2:5" x14ac:dyDescent="0.2">
      <c r="B33" s="6">
        <f>'Report WorkSheet'!B33</f>
        <v>0</v>
      </c>
      <c r="C33" s="6" t="str">
        <f>'Report WorkSheet'!C33</f>
        <v>CONDENSER PRESSURE</v>
      </c>
      <c r="D33" s="14" t="e">
        <f>'Report WorkSheet'!L33</f>
        <v>#N/A</v>
      </c>
      <c r="E33" s="14" t="e">
        <f>'Report WorkSheet'!M33</f>
        <v>#N/A</v>
      </c>
    </row>
    <row r="34" spans="2:5" x14ac:dyDescent="0.2">
      <c r="B34" s="6">
        <f>'Report WorkSheet'!B34</f>
        <v>0</v>
      </c>
      <c r="C34" s="6" t="str">
        <f>'Report WorkSheet'!C34</f>
        <v>MOTOR COOLING VAPOR TANK PRESSURE</v>
      </c>
      <c r="D34" s="14" t="e">
        <f>'Report WorkSheet'!L34</f>
        <v>#N/A</v>
      </c>
      <c r="E34" s="14" t="e">
        <f>'Report WorkSheet'!M34</f>
        <v>#N/A</v>
      </c>
    </row>
    <row r="35" spans="2:5" x14ac:dyDescent="0.2">
      <c r="B35" s="6">
        <f>'Report WorkSheet'!B35</f>
        <v>0</v>
      </c>
      <c r="C35" s="6" t="str">
        <f>'Report WorkSheet'!C35</f>
        <v>ECONOMIZER VAPOR PRESSURE</v>
      </c>
      <c r="D35" s="14" t="e">
        <f>'Report WorkSheet'!L35</f>
        <v>#N/A</v>
      </c>
      <c r="E35" s="14" t="e">
        <f>'Report WorkSheet'!M35</f>
        <v>#N/A</v>
      </c>
    </row>
    <row r="36" spans="2:5" x14ac:dyDescent="0.2">
      <c r="B36" s="6">
        <f>'Report WorkSheet'!B36</f>
        <v>0</v>
      </c>
      <c r="C36" s="6" t="str">
        <f>'Report WorkSheet'!C36</f>
        <v>BAROMETRIC PRESSURE</v>
      </c>
      <c r="D36" s="14" t="e">
        <f>'Report WorkSheet'!L36</f>
        <v>#N/A</v>
      </c>
      <c r="E36" s="14" t="e">
        <f>'Report WorkSheet'!M36</f>
        <v>#N/A</v>
      </c>
    </row>
    <row r="37" spans="2:5" ht="6.95" customHeight="1" x14ac:dyDescent="0.2">
      <c r="B37" s="7"/>
      <c r="C37" s="7"/>
      <c r="D37" s="7"/>
      <c r="E37" s="7"/>
    </row>
    <row r="38" spans="2:5" x14ac:dyDescent="0.2">
      <c r="B38" s="5" t="s">
        <v>12</v>
      </c>
      <c r="C38" s="5"/>
      <c r="D38" s="5"/>
      <c r="E38" s="5"/>
    </row>
    <row r="39" spans="2:5" x14ac:dyDescent="0.2">
      <c r="B39" s="6">
        <f>'Report WorkSheet'!B39</f>
        <v>0</v>
      </c>
      <c r="C39" s="6" t="str">
        <f>'Report WorkSheet'!C39</f>
        <v>EVAPORATOR WATER PRESSURE DROP</v>
      </c>
      <c r="D39" s="14" t="e">
        <f>'Report WorkSheet'!L39</f>
        <v>#N/A</v>
      </c>
      <c r="E39" s="14" t="e">
        <f>'Report WorkSheet'!M39</f>
        <v>#N/A</v>
      </c>
    </row>
    <row r="40" spans="2:5" x14ac:dyDescent="0.2">
      <c r="B40" s="6">
        <f>'Report WorkSheet'!B40</f>
        <v>0</v>
      </c>
      <c r="C40" s="6" t="str">
        <f>'Report WorkSheet'!C40</f>
        <v>CONDENSOR WATER PRESSURE DROP</v>
      </c>
      <c r="D40" s="14" t="e">
        <f>'Report WorkSheet'!L40</f>
        <v>#N/A</v>
      </c>
      <c r="E40" s="14" t="e">
        <f>'Report WorkSheet'!M40</f>
        <v>#N/A</v>
      </c>
    </row>
    <row r="41" spans="2:5" ht="6.95" customHeight="1" x14ac:dyDescent="0.2">
      <c r="B41" s="7"/>
      <c r="C41" s="7"/>
      <c r="D41" s="7"/>
      <c r="E41" s="7"/>
    </row>
    <row r="42" spans="2:5" x14ac:dyDescent="0.2">
      <c r="B42" s="5" t="s">
        <v>15</v>
      </c>
      <c r="C42" s="5"/>
      <c r="D42" s="5"/>
      <c r="E42" s="5"/>
    </row>
    <row r="43" spans="2:5" x14ac:dyDescent="0.2">
      <c r="B43" s="6">
        <f>'Report WorkSheet'!B43</f>
        <v>0</v>
      </c>
      <c r="C43" s="20" t="str">
        <f>'Report WorkSheet'!C43</f>
        <v>EVAPORATOR WATER FLOW A</v>
      </c>
      <c r="D43" s="14" t="e">
        <f>'Report WorkSheet'!L43</f>
        <v>#N/A</v>
      </c>
      <c r="E43" s="14" t="e">
        <f>'Report WorkSheet'!M43</f>
        <v>#N/A</v>
      </c>
    </row>
    <row r="44" spans="2:5" x14ac:dyDescent="0.2">
      <c r="B44" s="6">
        <f>'Report WorkSheet'!B44</f>
        <v>0</v>
      </c>
      <c r="C44" s="20" t="str">
        <f>'Report WorkSheet'!C44</f>
        <v>EVAPORATOR WATER FLOW B</v>
      </c>
      <c r="D44" s="14" t="e">
        <f>'Report WorkSheet'!L44</f>
        <v>#N/A</v>
      </c>
      <c r="E44" s="14" t="e">
        <f>'Report WorkSheet'!M44</f>
        <v>#N/A</v>
      </c>
    </row>
    <row r="45" spans="2:5" x14ac:dyDescent="0.2">
      <c r="B45" s="6">
        <f>'Report WorkSheet'!B45</f>
        <v>0</v>
      </c>
      <c r="C45" s="20" t="str">
        <f>'Report WorkSheet'!C45</f>
        <v>CONDENSER WATER FLOW A</v>
      </c>
      <c r="D45" s="14" t="e">
        <f>'Report WorkSheet'!L45</f>
        <v>#N/A</v>
      </c>
      <c r="E45" s="14" t="e">
        <f>'Report WorkSheet'!M45</f>
        <v>#N/A</v>
      </c>
    </row>
    <row r="46" spans="2:5" x14ac:dyDescent="0.2">
      <c r="B46" s="6">
        <f>'Report WorkSheet'!B46</f>
        <v>0</v>
      </c>
      <c r="C46" s="20" t="str">
        <f>'Report WorkSheet'!C46</f>
        <v>CONDENSER WATER FLOW B</v>
      </c>
      <c r="D46" s="14" t="e">
        <f>'Report WorkSheet'!L46</f>
        <v>#N/A</v>
      </c>
      <c r="E46" s="14" t="e">
        <f>'Report WorkSheet'!M46</f>
        <v>#N/A</v>
      </c>
    </row>
    <row r="47" spans="2:5" ht="13.9" customHeight="1" x14ac:dyDescent="0.2">
      <c r="B47" s="6">
        <f>'Report WorkSheet'!B47</f>
        <v>0</v>
      </c>
      <c r="C47" s="20" t="str">
        <f>'Report WorkSheet'!C47</f>
        <v>VSD COOLER WATER FLOW</v>
      </c>
      <c r="D47" s="14" t="e">
        <f>'Report WorkSheet'!L47</f>
        <v>#N/A</v>
      </c>
      <c r="E47" s="14" t="e">
        <f>'Report WorkSheet'!M47</f>
        <v>#N/A</v>
      </c>
    </row>
    <row r="48" spans="2:5" ht="6.95" customHeight="1" x14ac:dyDescent="0.2">
      <c r="B48" s="6"/>
      <c r="C48" s="6"/>
      <c r="D48" s="6"/>
      <c r="E48" s="14"/>
    </row>
    <row r="49" spans="1:5" x14ac:dyDescent="0.2">
      <c r="A49" s="4" t="s">
        <v>47</v>
      </c>
      <c r="B49" s="5" t="s">
        <v>20</v>
      </c>
      <c r="C49" s="5"/>
      <c r="D49" s="5"/>
      <c r="E49" s="65"/>
    </row>
    <row r="50" spans="1:5" x14ac:dyDescent="0.2">
      <c r="B50" s="6">
        <f>'Report WorkSheet'!B50</f>
        <v>0</v>
      </c>
      <c r="C50" s="6" t="str">
        <f>'Report WorkSheet'!C50</f>
        <v>CHILLER INPUT</v>
      </c>
      <c r="D50" s="14" t="e">
        <f>'Report WorkSheet'!L50</f>
        <v>#N/A</v>
      </c>
      <c r="E50" s="14" t="e">
        <f>'Report WorkSheet'!M50</f>
        <v>#N/A</v>
      </c>
    </row>
    <row r="51" spans="1:5" x14ac:dyDescent="0.2">
      <c r="B51" s="6">
        <f>'Report WorkSheet'!B51</f>
        <v>0</v>
      </c>
      <c r="C51" s="6" t="str">
        <f>'Report WorkSheet'!C51</f>
        <v>VSD OUTPUT</v>
      </c>
      <c r="D51" s="14" t="e">
        <f>'Report WorkSheet'!L51</f>
        <v>#N/A</v>
      </c>
      <c r="E51" s="14" t="e">
        <f>'Report WorkSheet'!M51</f>
        <v>#N/A</v>
      </c>
    </row>
    <row r="52" spans="1:5" ht="6.95" customHeight="1" x14ac:dyDescent="0.2">
      <c r="B52" s="7"/>
      <c r="C52" s="7"/>
      <c r="D52" s="7"/>
      <c r="E52" s="7"/>
    </row>
    <row r="53" spans="1:5" ht="12.75" customHeight="1" x14ac:dyDescent="0.2">
      <c r="A53" s="18"/>
      <c r="D53" s="3"/>
      <c r="E53" s="3"/>
    </row>
    <row r="54" spans="1:5" x14ac:dyDescent="0.2">
      <c r="A54" s="18"/>
      <c r="D54" s="3"/>
      <c r="E54" s="3"/>
    </row>
    <row r="55" spans="1:5" x14ac:dyDescent="0.2">
      <c r="A55" s="18"/>
      <c r="B55" s="9" t="s">
        <v>35</v>
      </c>
      <c r="C55" s="9">
        <f>'Report WorkSheet'!C55</f>
        <v>0</v>
      </c>
      <c r="D55" s="9" t="s">
        <v>36</v>
      </c>
      <c r="E55" s="19">
        <f>'Report WorkSheet'!E55</f>
        <v>0</v>
      </c>
    </row>
    <row r="56" spans="1:5" x14ac:dyDescent="0.2">
      <c r="A56" s="3"/>
      <c r="D56" s="3"/>
      <c r="E56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56"/>
  <sheetViews>
    <sheetView tabSelected="1" workbookViewId="0"/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49</v>
      </c>
      <c r="C1" s="11"/>
      <c r="D1" s="11"/>
      <c r="E1" s="11"/>
      <c r="F1" s="11"/>
    </row>
    <row r="2" spans="1:15" ht="13.9" customHeight="1" x14ac:dyDescent="0.2">
      <c r="A2" s="11"/>
      <c r="B2" s="11" t="s">
        <v>60</v>
      </c>
      <c r="C2" s="52" t="s">
        <v>112</v>
      </c>
      <c r="D2" s="11"/>
      <c r="E2" s="11"/>
      <c r="F2" s="11"/>
      <c r="J2" s="55"/>
      <c r="K2" s="55"/>
      <c r="L2" s="55"/>
    </row>
    <row r="3" spans="1:15" ht="13.9" customHeight="1" x14ac:dyDescent="0.2">
      <c r="A3" s="11"/>
      <c r="B3" s="11" t="s">
        <v>61</v>
      </c>
      <c r="C3" s="52"/>
      <c r="D3" s="11"/>
      <c r="E3" s="11" t="s">
        <v>65</v>
      </c>
      <c r="F3" s="11"/>
      <c r="H3" s="9"/>
    </row>
    <row r="4" spans="1:15" ht="12.75" customHeight="1" x14ac:dyDescent="0.2">
      <c r="A4" s="11"/>
      <c r="B4" s="53" t="s">
        <v>62</v>
      </c>
      <c r="C4" s="64"/>
      <c r="E4" s="58"/>
      <c r="F4" s="11"/>
    </row>
    <row r="5" spans="1:15" x14ac:dyDescent="0.2">
      <c r="A5" s="11"/>
      <c r="B5" s="11" t="s">
        <v>63</v>
      </c>
      <c r="C5" s="52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71" t="s">
        <v>0</v>
      </c>
      <c r="C7" s="71" t="s">
        <v>1</v>
      </c>
      <c r="D7" s="71" t="s">
        <v>51</v>
      </c>
      <c r="E7" s="71"/>
      <c r="F7" s="72" t="s">
        <v>52</v>
      </c>
      <c r="H7" s="5" t="s">
        <v>56</v>
      </c>
      <c r="I7" s="5" t="s">
        <v>21</v>
      </c>
      <c r="J7" s="5" t="s">
        <v>55</v>
      </c>
      <c r="K7" s="5" t="s">
        <v>23</v>
      </c>
      <c r="L7" s="5" t="s">
        <v>53</v>
      </c>
      <c r="M7" s="17" t="s">
        <v>54</v>
      </c>
      <c r="N7" s="61" t="s">
        <v>64</v>
      </c>
      <c r="O7" s="5" t="s">
        <v>59</v>
      </c>
    </row>
    <row r="8" spans="1:15" x14ac:dyDescent="0.2">
      <c r="B8" s="71"/>
      <c r="C8" s="71"/>
      <c r="D8" s="49" t="s">
        <v>50</v>
      </c>
      <c r="E8" s="49" t="s">
        <v>22</v>
      </c>
      <c r="F8" s="73"/>
      <c r="H8" s="6"/>
      <c r="I8" s="6"/>
      <c r="J8" s="6"/>
      <c r="K8" s="6"/>
      <c r="L8" s="6"/>
      <c r="M8" s="8"/>
      <c r="N8" s="62"/>
      <c r="O8" s="56"/>
    </row>
    <row r="9" spans="1:15" x14ac:dyDescent="0.2">
      <c r="B9" s="50" t="s">
        <v>5</v>
      </c>
      <c r="C9" s="34"/>
      <c r="D9" s="35"/>
      <c r="E9" s="36"/>
      <c r="F9" s="36"/>
      <c r="H9" s="6"/>
      <c r="I9" s="6"/>
      <c r="J9" s="6"/>
      <c r="K9" s="6"/>
      <c r="L9" s="6"/>
      <c r="M9" s="8"/>
      <c r="N9" s="62"/>
      <c r="O9" s="56"/>
    </row>
    <row r="10" spans="1:15" x14ac:dyDescent="0.2">
      <c r="B10" s="29"/>
      <c r="C10" s="5" t="s">
        <v>25</v>
      </c>
      <c r="D10" s="30" t="s">
        <v>66</v>
      </c>
      <c r="E10" s="30" t="s">
        <v>67</v>
      </c>
      <c r="F10" s="68" t="s">
        <v>86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54" t="e">
        <f>INDEX(CalReport!V:V,MATCH($B10,CalReport!R:R,0))</f>
        <v>#N/A</v>
      </c>
      <c r="M10" s="59" t="e">
        <f>INDEX(CalReport!W:W,MATCH($B10,CalReport!R:R,0))</f>
        <v>#N/A</v>
      </c>
      <c r="N10" s="62" t="e">
        <f t="shared" ref="N10:N19" si="0">M10-L10</f>
        <v>#N/A</v>
      </c>
      <c r="O10" s="56" t="e">
        <f t="shared" ref="O10:O19" si="1">AND($E$4&gt;=L10,$E$4&lt;=M10)</f>
        <v>#N/A</v>
      </c>
    </row>
    <row r="11" spans="1:15" x14ac:dyDescent="0.2">
      <c r="B11" s="26"/>
      <c r="C11" s="6" t="s">
        <v>26</v>
      </c>
      <c r="D11" s="25" t="s">
        <v>68</v>
      </c>
      <c r="E11" s="25" t="s">
        <v>69</v>
      </c>
      <c r="F11" s="69"/>
      <c r="H11" s="6" t="e">
        <f>INDEX(CalReport!D:D,MATCH($B11,CalReport!R:R,0))</f>
        <v>#N/A</v>
      </c>
      <c r="I11" s="6" t="e">
        <f t="shared" ref="I11:I51" si="2">IF(EXACT(D11,H11), "y","n")</f>
        <v>#N/A</v>
      </c>
      <c r="J11" s="6" t="e">
        <f>INDEX(CalReport!G:G,MATCH($B11,CalReport!R:R,0))</f>
        <v>#N/A</v>
      </c>
      <c r="K11" s="6" t="e">
        <f t="shared" ref="K11:K51" si="3">IF(EXACT(E11,J11), "y","n")</f>
        <v>#N/A</v>
      </c>
      <c r="L11" s="54" t="e">
        <f>INDEX(CalReport!V:V,MATCH($B11,CalReport!R:R,0))</f>
        <v>#N/A</v>
      </c>
      <c r="M11" s="59" t="e">
        <f>INDEX(CalReport!W:W,MATCH($B11,CalReport!R:R,0))</f>
        <v>#N/A</v>
      </c>
      <c r="N11" s="62" t="e">
        <f t="shared" si="0"/>
        <v>#N/A</v>
      </c>
      <c r="O11" s="56" t="e">
        <f t="shared" si="1"/>
        <v>#N/A</v>
      </c>
    </row>
    <row r="12" spans="1:15" x14ac:dyDescent="0.2">
      <c r="B12" s="26"/>
      <c r="C12" s="6" t="s">
        <v>27</v>
      </c>
      <c r="D12" s="25" t="s">
        <v>70</v>
      </c>
      <c r="E12" s="25" t="s">
        <v>71</v>
      </c>
      <c r="F12" s="69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54" t="e">
        <f>INDEX(CalReport!V:V,MATCH($B12,CalReport!R:R,0))</f>
        <v>#N/A</v>
      </c>
      <c r="M12" s="59" t="e">
        <f>INDEX(CalReport!W:W,MATCH($B12,CalReport!R:R,0))</f>
        <v>#N/A</v>
      </c>
      <c r="N12" s="62" t="e">
        <f t="shared" si="0"/>
        <v>#N/A</v>
      </c>
      <c r="O12" s="56" t="e">
        <f t="shared" si="1"/>
        <v>#N/A</v>
      </c>
    </row>
    <row r="13" spans="1:15" x14ac:dyDescent="0.2">
      <c r="B13" s="26"/>
      <c r="C13" s="6" t="s">
        <v>28</v>
      </c>
      <c r="D13" s="25" t="s">
        <v>72</v>
      </c>
      <c r="E13" s="25" t="s">
        <v>73</v>
      </c>
      <c r="F13" s="69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54" t="e">
        <f>INDEX(CalReport!V:V,MATCH($B13,CalReport!R:R,0))</f>
        <v>#N/A</v>
      </c>
      <c r="M13" s="59" t="e">
        <f>INDEX(CalReport!W:W,MATCH($B13,CalReport!R:R,0))</f>
        <v>#N/A</v>
      </c>
      <c r="N13" s="62" t="e">
        <f t="shared" si="0"/>
        <v>#N/A</v>
      </c>
      <c r="O13" s="56" t="e">
        <f t="shared" si="1"/>
        <v>#N/A</v>
      </c>
    </row>
    <row r="14" spans="1:15" x14ac:dyDescent="0.2">
      <c r="B14" s="26"/>
      <c r="C14" s="6" t="s">
        <v>29</v>
      </c>
      <c r="D14" s="25" t="s">
        <v>74</v>
      </c>
      <c r="E14" s="25" t="s">
        <v>75</v>
      </c>
      <c r="F14" s="69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54" t="e">
        <f>INDEX(CalReport!V:V,MATCH($B14,CalReport!R:R,0))</f>
        <v>#N/A</v>
      </c>
      <c r="M14" s="59" t="e">
        <f>INDEX(CalReport!W:W,MATCH($B14,CalReport!R:R,0))</f>
        <v>#N/A</v>
      </c>
      <c r="N14" s="62" t="e">
        <f t="shared" si="0"/>
        <v>#N/A</v>
      </c>
      <c r="O14" s="56" t="e">
        <f t="shared" si="1"/>
        <v>#N/A</v>
      </c>
    </row>
    <row r="15" spans="1:15" x14ac:dyDescent="0.2">
      <c r="B15" s="26"/>
      <c r="C15" s="8" t="s">
        <v>30</v>
      </c>
      <c r="D15" s="25" t="s">
        <v>76</v>
      </c>
      <c r="E15" s="25" t="s">
        <v>77</v>
      </c>
      <c r="F15" s="69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54" t="e">
        <f>INDEX(CalReport!V:V,MATCH($B15,CalReport!R:R,0))</f>
        <v>#N/A</v>
      </c>
      <c r="M15" s="59" t="e">
        <f>INDEX(CalReport!W:W,MATCH($B15,CalReport!R:R,0))</f>
        <v>#N/A</v>
      </c>
      <c r="N15" s="62" t="e">
        <f t="shared" si="0"/>
        <v>#N/A</v>
      </c>
      <c r="O15" s="56" t="e">
        <f t="shared" si="1"/>
        <v>#N/A</v>
      </c>
    </row>
    <row r="16" spans="1:15" x14ac:dyDescent="0.2">
      <c r="B16" s="26"/>
      <c r="C16" s="8" t="s">
        <v>31</v>
      </c>
      <c r="D16" s="25" t="s">
        <v>78</v>
      </c>
      <c r="E16" s="25" t="s">
        <v>79</v>
      </c>
      <c r="F16" s="69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54" t="e">
        <f>INDEX(CalReport!V:V,MATCH($B16,CalReport!R:R,0))</f>
        <v>#N/A</v>
      </c>
      <c r="M16" s="59" t="e">
        <f>INDEX(CalReport!W:W,MATCH($B16,CalReport!R:R,0))</f>
        <v>#N/A</v>
      </c>
      <c r="N16" s="62" t="e">
        <f t="shared" si="0"/>
        <v>#N/A</v>
      </c>
      <c r="O16" s="56" t="e">
        <f t="shared" si="1"/>
        <v>#N/A</v>
      </c>
    </row>
    <row r="17" spans="2:15" x14ac:dyDescent="0.2">
      <c r="B17" s="26"/>
      <c r="C17" s="8" t="s">
        <v>32</v>
      </c>
      <c r="D17" s="25" t="s">
        <v>80</v>
      </c>
      <c r="E17" s="25" t="s">
        <v>81</v>
      </c>
      <c r="F17" s="69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54" t="e">
        <f>INDEX(CalReport!V:V,MATCH($B17,CalReport!R:R,0))</f>
        <v>#N/A</v>
      </c>
      <c r="M17" s="59" t="e">
        <f>INDEX(CalReport!W:W,MATCH($B17,CalReport!R:R,0))</f>
        <v>#N/A</v>
      </c>
      <c r="N17" s="62" t="e">
        <f t="shared" si="0"/>
        <v>#N/A</v>
      </c>
      <c r="O17" s="56" t="e">
        <f t="shared" si="1"/>
        <v>#N/A</v>
      </c>
    </row>
    <row r="18" spans="2:15" x14ac:dyDescent="0.2">
      <c r="B18" s="26"/>
      <c r="C18" s="8" t="s">
        <v>33</v>
      </c>
      <c r="D18" s="25" t="s">
        <v>82</v>
      </c>
      <c r="E18" s="25" t="s">
        <v>83</v>
      </c>
      <c r="F18" s="69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54" t="e">
        <f>INDEX(CalReport!V:V,MATCH($B18,CalReport!R:R,0))</f>
        <v>#N/A</v>
      </c>
      <c r="M18" s="59" t="e">
        <f>INDEX(CalReport!W:W,MATCH($B18,CalReport!R:R,0))</f>
        <v>#N/A</v>
      </c>
      <c r="N18" s="62" t="e">
        <f t="shared" si="0"/>
        <v>#N/A</v>
      </c>
      <c r="O18" s="56" t="e">
        <f t="shared" si="1"/>
        <v>#N/A</v>
      </c>
    </row>
    <row r="19" spans="2:15" x14ac:dyDescent="0.2">
      <c r="B19" s="31"/>
      <c r="C19" s="32" t="s">
        <v>34</v>
      </c>
      <c r="D19" s="33" t="s">
        <v>84</v>
      </c>
      <c r="E19" s="33" t="s">
        <v>85</v>
      </c>
      <c r="F19" s="70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54" t="e">
        <f>INDEX(CalReport!V:V,MATCH($B19,CalReport!R:R,0))</f>
        <v>#N/A</v>
      </c>
      <c r="M19" s="59" t="e">
        <f>INDEX(CalReport!W:W,MATCH($B19,CalReport!R:R,0))</f>
        <v>#N/A</v>
      </c>
      <c r="N19" s="62" t="e">
        <f t="shared" si="0"/>
        <v>#N/A</v>
      </c>
      <c r="O19" s="56" t="e">
        <f t="shared" si="1"/>
        <v>#N/A</v>
      </c>
    </row>
    <row r="20" spans="2:15" ht="6.95" customHeight="1" x14ac:dyDescent="0.2">
      <c r="B20" s="6"/>
      <c r="C20" s="8"/>
      <c r="D20" s="6"/>
      <c r="E20" s="6"/>
      <c r="F20" s="28"/>
      <c r="H20" s="6"/>
      <c r="I20" s="6"/>
      <c r="J20" s="6"/>
      <c r="K20" s="6"/>
      <c r="L20" s="54"/>
      <c r="M20" s="59"/>
      <c r="N20" s="62"/>
      <c r="O20" s="56"/>
    </row>
    <row r="21" spans="2:15" x14ac:dyDescent="0.2">
      <c r="B21" s="50" t="s">
        <v>6</v>
      </c>
      <c r="C21" s="8"/>
      <c r="D21" s="6"/>
      <c r="E21" s="6"/>
      <c r="F21" s="28"/>
      <c r="H21" s="6"/>
      <c r="I21" s="6"/>
      <c r="J21" s="6"/>
      <c r="K21" s="6"/>
      <c r="L21" s="54"/>
      <c r="M21" s="59"/>
      <c r="N21" s="62"/>
      <c r="O21" s="56"/>
    </row>
    <row r="22" spans="2:15" ht="12.75" customHeight="1" x14ac:dyDescent="0.2">
      <c r="B22" s="37"/>
      <c r="C22" s="17" t="s">
        <v>7</v>
      </c>
      <c r="D22" s="38" t="s">
        <v>88</v>
      </c>
      <c r="E22" s="38"/>
      <c r="F22" s="68" t="s">
        <v>87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54" t="e">
        <f>INDEX(CalReport!V:V,MATCH($B22,CalReport!R:R,0))</f>
        <v>#N/A</v>
      </c>
      <c r="M22" s="59" t="e">
        <f>INDEX(CalReport!W:W,MATCH($B22,CalReport!R:R,0))</f>
        <v>#N/A</v>
      </c>
      <c r="N22" s="62" t="e">
        <f t="shared" ref="N22:N28" si="4">M22-L22</f>
        <v>#N/A</v>
      </c>
      <c r="O22" s="56" t="e">
        <f t="shared" ref="O22:O28" si="5">AND($E$4&gt;=L22,$E$4&lt;=M22)</f>
        <v>#N/A</v>
      </c>
    </row>
    <row r="23" spans="2:15" ht="13.9" customHeight="1" x14ac:dyDescent="0.2">
      <c r="B23" s="21"/>
      <c r="C23" s="8" t="s">
        <v>8</v>
      </c>
      <c r="D23" s="24" t="s">
        <v>89</v>
      </c>
      <c r="E23" s="24"/>
      <c r="F23" s="69"/>
      <c r="H23" s="6" t="e">
        <f>INDEX(CalReport!D:D,MATCH($B23,CalReport!R:R,0))</f>
        <v>#N/A</v>
      </c>
      <c r="I23" s="6" t="e">
        <f t="shared" si="2"/>
        <v>#N/A</v>
      </c>
      <c r="J23" s="6" t="e">
        <f>INDEX(CalReport!G:G,MATCH($B23,CalReport!R:R,0))</f>
        <v>#N/A</v>
      </c>
      <c r="K23" s="6" t="e">
        <f t="shared" si="3"/>
        <v>#N/A</v>
      </c>
      <c r="L23" s="54" t="e">
        <f>INDEX(CalReport!V:V,MATCH($B23,CalReport!R:R,0))</f>
        <v>#N/A</v>
      </c>
      <c r="M23" s="59" t="e">
        <f>INDEX(CalReport!W:W,MATCH($B23,CalReport!R:R,0))</f>
        <v>#N/A</v>
      </c>
      <c r="N23" s="62" t="e">
        <f t="shared" si="4"/>
        <v>#N/A</v>
      </c>
      <c r="O23" s="56" t="e">
        <f t="shared" si="5"/>
        <v>#N/A</v>
      </c>
    </row>
    <row r="24" spans="2:15" ht="13.9" customHeight="1" x14ac:dyDescent="0.2">
      <c r="B24" s="21"/>
      <c r="C24" s="6" t="s">
        <v>41</v>
      </c>
      <c r="D24" s="24" t="s">
        <v>90</v>
      </c>
      <c r="E24" s="24"/>
      <c r="F24" s="69"/>
      <c r="H24" s="6" t="e">
        <f>INDEX(CalReport!D:D,MATCH($B24,CalReport!R:R,0))</f>
        <v>#N/A</v>
      </c>
      <c r="I24" s="6" t="e">
        <f t="shared" si="2"/>
        <v>#N/A</v>
      </c>
      <c r="J24" s="6" t="e">
        <f>INDEX(CalReport!G:G,MATCH($B24,CalReport!R:R,0))</f>
        <v>#N/A</v>
      </c>
      <c r="K24" s="6" t="e">
        <f t="shared" si="3"/>
        <v>#N/A</v>
      </c>
      <c r="L24" s="54" t="e">
        <f>INDEX(CalReport!V:V,MATCH($B24,CalReport!R:R,0))</f>
        <v>#N/A</v>
      </c>
      <c r="M24" s="59" t="e">
        <f>INDEX(CalReport!W:W,MATCH($B24,CalReport!R:R,0))</f>
        <v>#N/A</v>
      </c>
      <c r="N24" s="62" t="e">
        <f t="shared" si="4"/>
        <v>#N/A</v>
      </c>
      <c r="O24" s="56" t="e">
        <f t="shared" si="5"/>
        <v>#N/A</v>
      </c>
    </row>
    <row r="25" spans="2:15" ht="13.9" customHeight="1" x14ac:dyDescent="0.2">
      <c r="B25" s="21"/>
      <c r="C25" s="6" t="s">
        <v>42</v>
      </c>
      <c r="D25" s="24" t="s">
        <v>91</v>
      </c>
      <c r="E25" s="24"/>
      <c r="F25" s="69"/>
      <c r="H25" s="6" t="e">
        <f>INDEX(CalReport!D:D,MATCH($B25,CalReport!R:R,0))</f>
        <v>#N/A</v>
      </c>
      <c r="I25" s="6" t="e">
        <f t="shared" si="2"/>
        <v>#N/A</v>
      </c>
      <c r="J25" s="6" t="e">
        <f>INDEX(CalReport!G:G,MATCH($B25,CalReport!R:R,0))</f>
        <v>#N/A</v>
      </c>
      <c r="K25" s="6" t="e">
        <f t="shared" si="3"/>
        <v>#N/A</v>
      </c>
      <c r="L25" s="54" t="e">
        <f>INDEX(CalReport!V:V,MATCH($B25,CalReport!R:R,0))</f>
        <v>#N/A</v>
      </c>
      <c r="M25" s="59" t="e">
        <f>INDEX(CalReport!W:W,MATCH($B25,CalReport!R:R,0))</f>
        <v>#N/A</v>
      </c>
      <c r="N25" s="62" t="e">
        <f t="shared" si="4"/>
        <v>#N/A</v>
      </c>
      <c r="O25" s="56" t="e">
        <f t="shared" si="5"/>
        <v>#N/A</v>
      </c>
    </row>
    <row r="26" spans="2:15" ht="13.9" customHeight="1" x14ac:dyDescent="0.2">
      <c r="B26" s="21"/>
      <c r="C26" s="6" t="s">
        <v>43</v>
      </c>
      <c r="D26" s="24" t="s">
        <v>92</v>
      </c>
      <c r="E26" s="24"/>
      <c r="F26" s="69"/>
      <c r="H26" s="6" t="e">
        <f>INDEX(CalReport!D:D,MATCH($B26,CalReport!R:R,0))</f>
        <v>#N/A</v>
      </c>
      <c r="I26" s="6" t="e">
        <f t="shared" si="2"/>
        <v>#N/A</v>
      </c>
      <c r="J26" s="6" t="e">
        <f>INDEX(CalReport!G:G,MATCH($B26,CalReport!R:R,0))</f>
        <v>#N/A</v>
      </c>
      <c r="K26" s="6" t="e">
        <f t="shared" si="3"/>
        <v>#N/A</v>
      </c>
      <c r="L26" s="54" t="e">
        <f>INDEX(CalReport!V:V,MATCH($B26,CalReport!R:R,0))</f>
        <v>#N/A</v>
      </c>
      <c r="M26" s="59" t="e">
        <f>INDEX(CalReport!W:W,MATCH($B26,CalReport!R:R,0))</f>
        <v>#N/A</v>
      </c>
      <c r="N26" s="62" t="e">
        <f t="shared" si="4"/>
        <v>#N/A</v>
      </c>
      <c r="O26" s="56" t="e">
        <f t="shared" si="5"/>
        <v>#N/A</v>
      </c>
    </row>
    <row r="27" spans="2:15" ht="13.9" customHeight="1" x14ac:dyDescent="0.2">
      <c r="B27" s="21"/>
      <c r="C27" s="6" t="s">
        <v>44</v>
      </c>
      <c r="D27" s="24" t="s">
        <v>93</v>
      </c>
      <c r="E27" s="24"/>
      <c r="F27" s="69"/>
      <c r="H27" s="6" t="e">
        <f>INDEX(CalReport!D:D,MATCH($B27,CalReport!R:R,0))</f>
        <v>#N/A</v>
      </c>
      <c r="I27" s="6" t="e">
        <f t="shared" si="2"/>
        <v>#N/A</v>
      </c>
      <c r="J27" s="6" t="e">
        <f>INDEX(CalReport!G:G,MATCH($B27,CalReport!R:R,0))</f>
        <v>#N/A</v>
      </c>
      <c r="K27" s="6" t="e">
        <f t="shared" si="3"/>
        <v>#N/A</v>
      </c>
      <c r="L27" s="54" t="e">
        <f>INDEX(CalReport!V:V,MATCH($B27,CalReport!R:R,0))</f>
        <v>#N/A</v>
      </c>
      <c r="M27" s="59" t="e">
        <f>INDEX(CalReport!W:W,MATCH($B27,CalReport!R:R,0))</f>
        <v>#N/A</v>
      </c>
      <c r="N27" s="62" t="e">
        <f t="shared" si="4"/>
        <v>#N/A</v>
      </c>
      <c r="O27" s="56" t="e">
        <f t="shared" si="5"/>
        <v>#N/A</v>
      </c>
    </row>
    <row r="28" spans="2:15" ht="13.9" customHeight="1" x14ac:dyDescent="0.2">
      <c r="B28" s="39"/>
      <c r="C28" s="7" t="s">
        <v>45</v>
      </c>
      <c r="D28" s="40" t="s">
        <v>94</v>
      </c>
      <c r="E28" s="40"/>
      <c r="F28" s="69"/>
      <c r="H28" s="6" t="e">
        <f>INDEX(CalReport!D:D,MATCH($B28,CalReport!R:R,0))</f>
        <v>#N/A</v>
      </c>
      <c r="I28" s="6" t="e">
        <f t="shared" si="2"/>
        <v>#N/A</v>
      </c>
      <c r="J28" s="6" t="e">
        <f>INDEX(CalReport!G:G,MATCH($B28,CalReport!R:R,0))</f>
        <v>#N/A</v>
      </c>
      <c r="K28" s="6" t="e">
        <f t="shared" si="3"/>
        <v>#N/A</v>
      </c>
      <c r="L28" s="54" t="e">
        <f>INDEX(CalReport!V:V,MATCH($B28,CalReport!R:R,0))</f>
        <v>#N/A</v>
      </c>
      <c r="M28" s="59" t="e">
        <f>INDEX(CalReport!W:W,MATCH($B28,CalReport!R:R,0))</f>
        <v>#N/A</v>
      </c>
      <c r="N28" s="62" t="e">
        <f t="shared" si="4"/>
        <v>#N/A</v>
      </c>
      <c r="O28" s="56" t="e">
        <f t="shared" si="5"/>
        <v>#N/A</v>
      </c>
    </row>
    <row r="29" spans="2:15" ht="6.95" customHeight="1" x14ac:dyDescent="0.2">
      <c r="B29" s="47"/>
      <c r="C29" s="9"/>
      <c r="E29" s="8"/>
      <c r="F29" s="69"/>
      <c r="H29" s="6"/>
      <c r="I29" s="6"/>
      <c r="J29" s="6"/>
      <c r="K29" s="6"/>
      <c r="L29" s="54"/>
      <c r="M29" s="59"/>
      <c r="N29" s="62"/>
      <c r="O29" s="56"/>
    </row>
    <row r="30" spans="2:15" x14ac:dyDescent="0.2">
      <c r="B30" s="51" t="s">
        <v>9</v>
      </c>
      <c r="C30" s="9"/>
      <c r="E30" s="8"/>
      <c r="F30" s="69"/>
      <c r="H30" s="6"/>
      <c r="I30" s="6"/>
      <c r="J30" s="6"/>
      <c r="K30" s="6"/>
      <c r="L30" s="54"/>
      <c r="M30" s="59"/>
      <c r="N30" s="62"/>
      <c r="O30" s="56"/>
    </row>
    <row r="31" spans="2:15" ht="12.75" customHeight="1" x14ac:dyDescent="0.2">
      <c r="B31" s="37"/>
      <c r="C31" s="5" t="s">
        <v>10</v>
      </c>
      <c r="D31" s="38" t="s">
        <v>101</v>
      </c>
      <c r="E31" s="41"/>
      <c r="F31" s="69"/>
      <c r="H31" s="6" t="e">
        <f>INDEX(CalReport!D:D,MATCH($B31,CalReport!R:R,0))</f>
        <v>#N/A</v>
      </c>
      <c r="I31" s="6" t="e">
        <f t="shared" si="2"/>
        <v>#N/A</v>
      </c>
      <c r="J31" s="6" t="e">
        <f>INDEX(CalReport!G:G,MATCH($B31,CalReport!R:R,0))</f>
        <v>#N/A</v>
      </c>
      <c r="K31" s="6" t="e">
        <f t="shared" si="3"/>
        <v>#N/A</v>
      </c>
      <c r="L31" s="54" t="e">
        <f>INDEX(CalReport!V:V,MATCH($B31,CalReport!R:R,0))</f>
        <v>#N/A</v>
      </c>
      <c r="M31" s="59" t="e">
        <f>INDEX(CalReport!W:W,MATCH($B31,CalReport!R:R,0))</f>
        <v>#N/A</v>
      </c>
      <c r="N31" s="62" t="e">
        <f t="shared" ref="N31:N36" si="6">M31-L31</f>
        <v>#N/A</v>
      </c>
      <c r="O31" s="56" t="e">
        <f t="shared" ref="O31:O36" si="7">AND($E$4&gt;=L31,$E$4&lt;=M31)</f>
        <v>#N/A</v>
      </c>
    </row>
    <row r="32" spans="2:15" x14ac:dyDescent="0.2">
      <c r="B32" s="21"/>
      <c r="C32" s="6" t="s">
        <v>37</v>
      </c>
      <c r="D32" s="24" t="s">
        <v>102</v>
      </c>
      <c r="E32" s="42"/>
      <c r="F32" s="69"/>
      <c r="H32" s="6" t="e">
        <f>INDEX(CalReport!D:D,MATCH($B32,CalReport!R:R,0))</f>
        <v>#N/A</v>
      </c>
      <c r="I32" s="6" t="e">
        <f t="shared" si="2"/>
        <v>#N/A</v>
      </c>
      <c r="J32" s="6" t="e">
        <f>INDEX(CalReport!G:G,MATCH($B32,CalReport!R:R,0))</f>
        <v>#N/A</v>
      </c>
      <c r="K32" s="6" t="e">
        <f t="shared" si="3"/>
        <v>#N/A</v>
      </c>
      <c r="L32" s="54" t="e">
        <f>INDEX(CalReport!V:V,MATCH($B32,CalReport!R:R,0))</f>
        <v>#N/A</v>
      </c>
      <c r="M32" s="59" t="e">
        <f>INDEX(CalReport!W:W,MATCH($B32,CalReport!R:R,0))</f>
        <v>#N/A</v>
      </c>
      <c r="N32" s="62" t="e">
        <f t="shared" si="6"/>
        <v>#N/A</v>
      </c>
      <c r="O32" s="56" t="e">
        <f t="shared" si="7"/>
        <v>#N/A</v>
      </c>
    </row>
    <row r="33" spans="2:15" x14ac:dyDescent="0.2">
      <c r="B33" s="21"/>
      <c r="C33" s="6" t="s">
        <v>38</v>
      </c>
      <c r="D33" s="24" t="s">
        <v>103</v>
      </c>
      <c r="E33" s="42"/>
      <c r="F33" s="69"/>
      <c r="H33" s="6" t="e">
        <f>INDEX(CalReport!D:D,MATCH($B33,CalReport!R:R,0))</f>
        <v>#N/A</v>
      </c>
      <c r="I33" s="6" t="e">
        <f t="shared" si="2"/>
        <v>#N/A</v>
      </c>
      <c r="J33" s="6" t="e">
        <f>INDEX(CalReport!G:G,MATCH($B33,CalReport!R:R,0))</f>
        <v>#N/A</v>
      </c>
      <c r="K33" s="6" t="e">
        <f t="shared" si="3"/>
        <v>#N/A</v>
      </c>
      <c r="L33" s="54" t="e">
        <f>INDEX(CalReport!V:V,MATCH($B33,CalReport!R:R,0))</f>
        <v>#N/A</v>
      </c>
      <c r="M33" s="59" t="e">
        <f>INDEX(CalReport!W:W,MATCH($B33,CalReport!R:R,0))</f>
        <v>#N/A</v>
      </c>
      <c r="N33" s="62" t="e">
        <f t="shared" si="6"/>
        <v>#N/A</v>
      </c>
      <c r="O33" s="56" t="e">
        <f t="shared" si="7"/>
        <v>#N/A</v>
      </c>
    </row>
    <row r="34" spans="2:15" x14ac:dyDescent="0.2">
      <c r="B34" s="21"/>
      <c r="C34" s="6" t="s">
        <v>39</v>
      </c>
      <c r="D34" s="24" t="s">
        <v>104</v>
      </c>
      <c r="E34" s="42"/>
      <c r="F34" s="69"/>
      <c r="H34" s="6" t="e">
        <f>INDEX(CalReport!D:D,MATCH($B34,CalReport!R:R,0))</f>
        <v>#N/A</v>
      </c>
      <c r="I34" s="6" t="e">
        <f t="shared" si="2"/>
        <v>#N/A</v>
      </c>
      <c r="J34" s="6" t="e">
        <f>INDEX(CalReport!G:G,MATCH($B34,CalReport!R:R,0))</f>
        <v>#N/A</v>
      </c>
      <c r="K34" s="6" t="e">
        <f t="shared" si="3"/>
        <v>#N/A</v>
      </c>
      <c r="L34" s="54" t="e">
        <f>INDEX(CalReport!V:V,MATCH($B34,CalReport!R:R,0))</f>
        <v>#N/A</v>
      </c>
      <c r="M34" s="59" t="e">
        <f>INDEX(CalReport!W:W,MATCH($B34,CalReport!R:R,0))</f>
        <v>#N/A</v>
      </c>
      <c r="N34" s="62" t="e">
        <f t="shared" si="6"/>
        <v>#N/A</v>
      </c>
      <c r="O34" s="56" t="e">
        <f t="shared" si="7"/>
        <v>#N/A</v>
      </c>
    </row>
    <row r="35" spans="2:15" x14ac:dyDescent="0.2">
      <c r="B35" s="21"/>
      <c r="C35" s="6" t="s">
        <v>40</v>
      </c>
      <c r="D35" s="24" t="s">
        <v>105</v>
      </c>
      <c r="E35" s="42"/>
      <c r="F35" s="69"/>
      <c r="H35" s="6" t="e">
        <f>INDEX(CalReport!D:D,MATCH($B35,CalReport!R:R,0))</f>
        <v>#N/A</v>
      </c>
      <c r="I35" s="6" t="e">
        <f t="shared" si="2"/>
        <v>#N/A</v>
      </c>
      <c r="J35" s="6" t="e">
        <f>INDEX(CalReport!G:G,MATCH($B35,CalReport!R:R,0))</f>
        <v>#N/A</v>
      </c>
      <c r="K35" s="6" t="e">
        <f t="shared" si="3"/>
        <v>#N/A</v>
      </c>
      <c r="L35" s="54" t="e">
        <f>INDEX(CalReport!V:V,MATCH($B35,CalReport!R:R,0))</f>
        <v>#N/A</v>
      </c>
      <c r="M35" s="59" t="e">
        <f>INDEX(CalReport!W:W,MATCH($B35,CalReport!R:R,0))</f>
        <v>#N/A</v>
      </c>
      <c r="N35" s="62" t="e">
        <f t="shared" si="6"/>
        <v>#N/A</v>
      </c>
      <c r="O35" s="56" t="e">
        <f t="shared" si="7"/>
        <v>#N/A</v>
      </c>
    </row>
    <row r="36" spans="2:15" x14ac:dyDescent="0.2">
      <c r="B36" s="39"/>
      <c r="C36" s="7" t="s">
        <v>11</v>
      </c>
      <c r="D36" s="40" t="s">
        <v>106</v>
      </c>
      <c r="E36" s="44"/>
      <c r="F36" s="69"/>
      <c r="H36" s="6" t="e">
        <f>INDEX(CalReport!D:D,MATCH($B36,CalReport!R:R,0))</f>
        <v>#N/A</v>
      </c>
      <c r="I36" s="6" t="e">
        <f t="shared" si="2"/>
        <v>#N/A</v>
      </c>
      <c r="J36" s="6" t="e">
        <f>INDEX(CalReport!G:G,MATCH($B36,CalReport!R:R,0))</f>
        <v>#N/A</v>
      </c>
      <c r="K36" s="6" t="e">
        <f t="shared" si="3"/>
        <v>#N/A</v>
      </c>
      <c r="L36" s="54" t="e">
        <f>INDEX(CalReport!V:V,MATCH($B36,CalReport!R:R,0))</f>
        <v>#N/A</v>
      </c>
      <c r="M36" s="59" t="e">
        <f>INDEX(CalReport!W:W,MATCH($B36,CalReport!R:R,0))</f>
        <v>#N/A</v>
      </c>
      <c r="N36" s="62" t="e">
        <f t="shared" si="6"/>
        <v>#N/A</v>
      </c>
      <c r="O36" s="56" t="e">
        <f t="shared" si="7"/>
        <v>#N/A</v>
      </c>
    </row>
    <row r="37" spans="2:15" ht="6.95" customHeight="1" x14ac:dyDescent="0.2">
      <c r="B37" s="47"/>
      <c r="C37" s="9"/>
      <c r="E37" s="8"/>
      <c r="F37" s="69"/>
      <c r="H37" s="6"/>
      <c r="I37" s="6"/>
      <c r="J37" s="6"/>
      <c r="K37" s="6"/>
      <c r="L37" s="54"/>
      <c r="M37" s="59"/>
      <c r="N37" s="62"/>
      <c r="O37" s="56"/>
    </row>
    <row r="38" spans="2:15" x14ac:dyDescent="0.2">
      <c r="B38" s="51" t="s">
        <v>12</v>
      </c>
      <c r="C38" s="9"/>
      <c r="E38" s="8"/>
      <c r="F38" s="69"/>
      <c r="H38" s="6"/>
      <c r="I38" s="6"/>
      <c r="J38" s="6"/>
      <c r="K38" s="6"/>
      <c r="L38" s="54"/>
      <c r="M38" s="59"/>
      <c r="N38" s="62"/>
      <c r="O38" s="56"/>
    </row>
    <row r="39" spans="2:15" x14ac:dyDescent="0.2">
      <c r="B39" s="37"/>
      <c r="C39" s="5" t="s">
        <v>13</v>
      </c>
      <c r="D39" s="38" t="s">
        <v>107</v>
      </c>
      <c r="E39" s="41"/>
      <c r="F39" s="69"/>
      <c r="H39" s="6" t="e">
        <f>INDEX(CalReport!D:D,MATCH($B39,CalReport!R:R,0))</f>
        <v>#N/A</v>
      </c>
      <c r="I39" s="6" t="e">
        <f t="shared" si="2"/>
        <v>#N/A</v>
      </c>
      <c r="J39" s="6" t="e">
        <f>INDEX(CalReport!G:G,MATCH($B39,CalReport!R:R,0))</f>
        <v>#N/A</v>
      </c>
      <c r="K39" s="6" t="e">
        <f t="shared" si="3"/>
        <v>#N/A</v>
      </c>
      <c r="L39" s="54" t="e">
        <f>INDEX(CalReport!V:V,MATCH($B39,CalReport!R:R,0))</f>
        <v>#N/A</v>
      </c>
      <c r="M39" s="59" t="e">
        <f>INDEX(CalReport!W:W,MATCH($B39,CalReport!R:R,0))</f>
        <v>#N/A</v>
      </c>
      <c r="N39" s="62" t="e">
        <f>M39-L39</f>
        <v>#N/A</v>
      </c>
      <c r="O39" s="56" t="e">
        <f>AND($E$4&gt;=L39,$E$4&lt;=M39)</f>
        <v>#N/A</v>
      </c>
    </row>
    <row r="40" spans="2:15" x14ac:dyDescent="0.2">
      <c r="B40" s="39"/>
      <c r="C40" s="7" t="s">
        <v>14</v>
      </c>
      <c r="D40" s="40" t="s">
        <v>108</v>
      </c>
      <c r="E40" s="44"/>
      <c r="F40" s="70"/>
      <c r="H40" s="6" t="e">
        <f>INDEX(CalReport!D:D,MATCH($B40,CalReport!R:R,0))</f>
        <v>#N/A</v>
      </c>
      <c r="I40" s="6" t="e">
        <f t="shared" si="2"/>
        <v>#N/A</v>
      </c>
      <c r="J40" s="6" t="e">
        <f>INDEX(CalReport!G:G,MATCH($B40,CalReport!R:R,0))</f>
        <v>#N/A</v>
      </c>
      <c r="K40" s="6" t="e">
        <f t="shared" si="3"/>
        <v>#N/A</v>
      </c>
      <c r="L40" s="54" t="e">
        <f>INDEX(CalReport!V:V,MATCH($B40,CalReport!R:R,0))</f>
        <v>#N/A</v>
      </c>
      <c r="M40" s="59" t="e">
        <f>INDEX(CalReport!W:W,MATCH($B40,CalReport!R:R,0))</f>
        <v>#N/A</v>
      </c>
      <c r="N40" s="62" t="e">
        <f>M40-L40</f>
        <v>#N/A</v>
      </c>
      <c r="O40" s="56" t="e">
        <f>AND($E$4&gt;=L40,$E$4&lt;=M40)</f>
        <v>#N/A</v>
      </c>
    </row>
    <row r="41" spans="2:15" ht="6.95" customHeight="1" x14ac:dyDescent="0.2">
      <c r="B41" s="47"/>
      <c r="C41" s="9"/>
      <c r="F41" s="48"/>
      <c r="H41" s="6"/>
      <c r="I41" s="6"/>
      <c r="J41" s="6"/>
      <c r="K41" s="6"/>
      <c r="L41" s="54"/>
      <c r="M41" s="59"/>
      <c r="N41" s="62"/>
      <c r="O41" s="56"/>
    </row>
    <row r="42" spans="2:15" x14ac:dyDescent="0.2">
      <c r="B42" s="51" t="s">
        <v>15</v>
      </c>
      <c r="C42" s="9"/>
      <c r="F42" s="28"/>
      <c r="H42" s="6"/>
      <c r="I42" s="6"/>
      <c r="J42" s="6"/>
      <c r="K42" s="6"/>
      <c r="L42" s="54"/>
      <c r="M42" s="59"/>
      <c r="N42" s="62"/>
      <c r="O42" s="56"/>
    </row>
    <row r="43" spans="2:15" ht="12.75" customHeight="1" x14ac:dyDescent="0.2">
      <c r="B43" s="29"/>
      <c r="C43" s="45" t="s">
        <v>16</v>
      </c>
      <c r="D43" s="46" t="s">
        <v>95</v>
      </c>
      <c r="E43" s="30" t="s">
        <v>96</v>
      </c>
      <c r="F43" s="68" t="s">
        <v>57</v>
      </c>
      <c r="H43" s="6" t="e">
        <f>INDEX(CalReport!D:D,MATCH($B43,CalReport!R:R,0))</f>
        <v>#N/A</v>
      </c>
      <c r="I43" s="6" t="e">
        <f t="shared" si="2"/>
        <v>#N/A</v>
      </c>
      <c r="J43" s="6" t="e">
        <f>INDEX(CalReport!G:G,MATCH($B43,CalReport!R:R,0))</f>
        <v>#N/A</v>
      </c>
      <c r="K43" s="6" t="e">
        <f t="shared" si="3"/>
        <v>#N/A</v>
      </c>
      <c r="L43" s="54" t="e">
        <f>INDEX(CalReport!V:V,MATCH($B43,CalReport!R:R,0))</f>
        <v>#N/A</v>
      </c>
      <c r="M43" s="59" t="e">
        <f>INDEX(CalReport!W:W,MATCH($B43,CalReport!R:R,0))</f>
        <v>#N/A</v>
      </c>
      <c r="N43" s="62" t="e">
        <f>M43-L43</f>
        <v>#N/A</v>
      </c>
      <c r="O43" s="56" t="e">
        <f>AND($E$4&gt;=L43,$E$4&lt;=M43)</f>
        <v>#N/A</v>
      </c>
    </row>
    <row r="44" spans="2:15" x14ac:dyDescent="0.2">
      <c r="B44" s="26"/>
      <c r="C44" s="20" t="s">
        <v>17</v>
      </c>
      <c r="D44" s="27" t="s">
        <v>95</v>
      </c>
      <c r="E44" s="25" t="s">
        <v>97</v>
      </c>
      <c r="F44" s="69"/>
      <c r="H44" s="6" t="e">
        <f>INDEX(CalReport!D:D,MATCH($B44,CalReport!R:R,0))</f>
        <v>#N/A</v>
      </c>
      <c r="I44" s="6" t="e">
        <f t="shared" si="2"/>
        <v>#N/A</v>
      </c>
      <c r="J44" s="6" t="e">
        <f>INDEX(CalReport!G:G,MATCH($B44,CalReport!R:R,0))</f>
        <v>#N/A</v>
      </c>
      <c r="K44" s="6" t="e">
        <f t="shared" si="3"/>
        <v>#N/A</v>
      </c>
      <c r="L44" s="54" t="e">
        <f>INDEX(CalReport!V:V,MATCH($B44,CalReport!R:R,0))</f>
        <v>#N/A</v>
      </c>
      <c r="M44" s="59" t="e">
        <f>INDEX(CalReport!W:W,MATCH($B44,CalReport!R:R,0))</f>
        <v>#N/A</v>
      </c>
      <c r="N44" s="62" t="e">
        <f>M44-L44</f>
        <v>#N/A</v>
      </c>
      <c r="O44" s="56" t="e">
        <f>AND($E$4&gt;=L44,$E$4&lt;=M44)</f>
        <v>#N/A</v>
      </c>
    </row>
    <row r="45" spans="2:15" x14ac:dyDescent="0.2">
      <c r="B45" s="26"/>
      <c r="C45" s="6" t="s">
        <v>18</v>
      </c>
      <c r="D45" s="27" t="s">
        <v>98</v>
      </c>
      <c r="E45" s="25" t="s">
        <v>99</v>
      </c>
      <c r="F45" s="69"/>
      <c r="H45" s="6" t="e">
        <f>INDEX(CalReport!D:D,MATCH($B45,CalReport!R:R,0))</f>
        <v>#N/A</v>
      </c>
      <c r="I45" s="6" t="e">
        <f t="shared" si="2"/>
        <v>#N/A</v>
      </c>
      <c r="J45" s="6" t="e">
        <f>INDEX(CalReport!G:G,MATCH($B45,CalReport!R:R,0))</f>
        <v>#N/A</v>
      </c>
      <c r="K45" s="6" t="e">
        <f t="shared" si="3"/>
        <v>#N/A</v>
      </c>
      <c r="L45" s="54" t="e">
        <f>INDEX(CalReport!V:V,MATCH($B45,CalReport!R:R,0))</f>
        <v>#N/A</v>
      </c>
      <c r="M45" s="59" t="e">
        <f>INDEX(CalReport!W:W,MATCH($B45,CalReport!R:R,0))</f>
        <v>#N/A</v>
      </c>
      <c r="N45" s="62" t="e">
        <f>M45-L45</f>
        <v>#N/A</v>
      </c>
      <c r="O45" s="56" t="e">
        <f>AND($E$4&gt;=L45,$E$4&lt;=M45)</f>
        <v>#N/A</v>
      </c>
    </row>
    <row r="46" spans="2:15" x14ac:dyDescent="0.2">
      <c r="B46" s="26"/>
      <c r="C46" s="6" t="s">
        <v>19</v>
      </c>
      <c r="D46" s="27" t="s">
        <v>98</v>
      </c>
      <c r="E46" s="25" t="s">
        <v>100</v>
      </c>
      <c r="F46" s="69"/>
      <c r="H46" s="6" t="e">
        <f>INDEX(CalReport!D:D,MATCH($B46,CalReport!R:R,0))</f>
        <v>#N/A</v>
      </c>
      <c r="I46" s="6" t="e">
        <f t="shared" si="2"/>
        <v>#N/A</v>
      </c>
      <c r="J46" s="6" t="e">
        <f>INDEX(CalReport!G:G,MATCH($B46,CalReport!R:R,0))</f>
        <v>#N/A</v>
      </c>
      <c r="K46" s="6" t="e">
        <f t="shared" si="3"/>
        <v>#N/A</v>
      </c>
      <c r="L46" s="54" t="e">
        <f>INDEX(CalReport!V:V,MATCH($B46,CalReport!R:R,0))</f>
        <v>#N/A</v>
      </c>
      <c r="M46" s="59" t="e">
        <f>INDEX(CalReport!W:W,MATCH($B46,CalReport!R:R,0))</f>
        <v>#N/A</v>
      </c>
      <c r="N46" s="62" t="e">
        <f>M46-L46</f>
        <v>#N/A</v>
      </c>
      <c r="O46" s="56" t="e">
        <f>AND($E$4&gt;=L46,$E$4&lt;=M46)</f>
        <v>#N/A</v>
      </c>
    </row>
    <row r="47" spans="2:15" ht="13.9" customHeight="1" x14ac:dyDescent="0.2">
      <c r="B47" s="31"/>
      <c r="C47" s="7" t="s">
        <v>46</v>
      </c>
      <c r="D47" s="43" t="s">
        <v>109</v>
      </c>
      <c r="E47" s="33" t="s">
        <v>110</v>
      </c>
      <c r="F47" s="70"/>
      <c r="H47" s="6" t="e">
        <f>INDEX(CalReport!D:D,MATCH($B47,CalReport!R:R,0))</f>
        <v>#N/A</v>
      </c>
      <c r="I47" s="6" t="e">
        <f t="shared" si="2"/>
        <v>#N/A</v>
      </c>
      <c r="J47" s="6" t="e">
        <f>INDEX(CalReport!G:G,MATCH($B47,CalReport!R:R,0))</f>
        <v>#N/A</v>
      </c>
      <c r="K47" s="6" t="e">
        <f t="shared" si="3"/>
        <v>#N/A</v>
      </c>
      <c r="L47" s="54" t="e">
        <f>INDEX(CalReport!V:V,MATCH($B47,CalReport!R:R,0))</f>
        <v>#N/A</v>
      </c>
      <c r="M47" s="59" t="e">
        <f>INDEX(CalReport!W:W,MATCH($B47,CalReport!R:R,0))</f>
        <v>#N/A</v>
      </c>
      <c r="N47" s="62" t="e">
        <f>M47-L47</f>
        <v>#N/A</v>
      </c>
      <c r="O47" s="56" t="e">
        <f>AND($E$4&gt;=L47,$E$4&lt;=M47)</f>
        <v>#N/A</v>
      </c>
    </row>
    <row r="48" spans="2:15" ht="6.95" customHeight="1" x14ac:dyDescent="0.2">
      <c r="B48" s="47"/>
      <c r="C48" s="9"/>
      <c r="F48" s="48"/>
      <c r="H48" s="6"/>
      <c r="I48" s="6"/>
      <c r="J48" s="6"/>
      <c r="K48" s="6"/>
      <c r="L48" s="54"/>
      <c r="M48" s="59"/>
      <c r="N48" s="62"/>
      <c r="O48" s="56"/>
    </row>
    <row r="49" spans="1:15" ht="12.75" customHeight="1" x14ac:dyDescent="0.2">
      <c r="A49" s="4" t="s">
        <v>47</v>
      </c>
      <c r="B49" s="51" t="s">
        <v>20</v>
      </c>
      <c r="C49" s="9"/>
      <c r="F49" s="28"/>
      <c r="H49" s="6"/>
      <c r="I49" s="6"/>
      <c r="J49" s="6"/>
      <c r="K49" s="6"/>
      <c r="L49" s="54"/>
      <c r="M49" s="59"/>
      <c r="N49" s="62"/>
      <c r="O49" s="56"/>
    </row>
    <row r="50" spans="1:15" ht="12.75" customHeight="1" x14ac:dyDescent="0.2">
      <c r="B50" s="29"/>
      <c r="C50" s="5" t="s">
        <v>24</v>
      </c>
      <c r="D50" s="30" t="s">
        <v>111</v>
      </c>
      <c r="E50" s="30" t="s">
        <v>111</v>
      </c>
      <c r="F50" s="68" t="s">
        <v>58</v>
      </c>
      <c r="H50" s="6" t="e">
        <f>INDEX(CalReport!C:C,MATCH($B50,CalReport!D:D,0))</f>
        <v>#N/A</v>
      </c>
      <c r="I50" s="6" t="e">
        <f t="shared" si="2"/>
        <v>#N/A</v>
      </c>
      <c r="J50" s="6" t="e">
        <f>INDEX(CalReport!C:C,MATCH($B50,CalReport!D:D,0))</f>
        <v>#N/A</v>
      </c>
      <c r="K50" s="6" t="e">
        <f t="shared" si="3"/>
        <v>#N/A</v>
      </c>
      <c r="L50" s="54" t="e">
        <f>INDEX(CalReport!H:H,MATCH($B50,CalReport!D:D,0))</f>
        <v>#N/A</v>
      </c>
      <c r="M50" s="54" t="e">
        <f>INDEX(CalReport!I:I,MATCH($B50,CalReport!D:D,0))</f>
        <v>#N/A</v>
      </c>
      <c r="N50" s="62" t="e">
        <f>M50-L50</f>
        <v>#N/A</v>
      </c>
      <c r="O50" s="56" t="e">
        <f>AND($E$4&gt;=L50,$E$4&lt;=M50)</f>
        <v>#N/A</v>
      </c>
    </row>
    <row r="51" spans="1:15" x14ac:dyDescent="0.2">
      <c r="B51" s="31"/>
      <c r="C51" s="7" t="s">
        <v>48</v>
      </c>
      <c r="D51" s="33" t="s">
        <v>111</v>
      </c>
      <c r="E51" s="33" t="s">
        <v>111</v>
      </c>
      <c r="F51" s="70"/>
      <c r="H51" s="7" t="e">
        <f>INDEX(CalReport!C:C,MATCH($B51,CalReport!D:D,0))</f>
        <v>#N/A</v>
      </c>
      <c r="I51" s="7" t="e">
        <f t="shared" si="2"/>
        <v>#N/A</v>
      </c>
      <c r="J51" s="7" t="e">
        <f>INDEX(CalReport!C:C,MATCH($B51,CalReport!D:D,0))</f>
        <v>#N/A</v>
      </c>
      <c r="K51" s="7" t="e">
        <f t="shared" si="3"/>
        <v>#N/A</v>
      </c>
      <c r="L51" s="60" t="e">
        <f>INDEX(CalReport!H:H,MATCH($B51,CalReport!D:D,0))</f>
        <v>#N/A</v>
      </c>
      <c r="M51" s="60" t="e">
        <f>INDEX(CalReport!I:I,MATCH($B51,CalReport!D:D,0))</f>
        <v>#N/A</v>
      </c>
      <c r="N51" s="63" t="e">
        <f>M51-L51</f>
        <v>#N/A</v>
      </c>
      <c r="O51" s="57" t="e">
        <f>AND($E$4&gt;=L51,$E$4&lt;=M51)</f>
        <v>#N/A</v>
      </c>
    </row>
    <row r="52" spans="1:15" ht="6.95" customHeight="1" x14ac:dyDescent="0.2">
      <c r="B52" s="9"/>
      <c r="C52" s="9"/>
      <c r="F52" s="11"/>
    </row>
    <row r="53" spans="1:15" ht="12.75" customHeight="1" x14ac:dyDescent="0.2">
      <c r="A53" s="18"/>
      <c r="D53" s="3"/>
      <c r="E53" s="3"/>
    </row>
    <row r="54" spans="1:15" x14ac:dyDescent="0.2">
      <c r="A54" s="18"/>
      <c r="D54" s="3"/>
      <c r="E54" s="3"/>
    </row>
    <row r="55" spans="1:15" x14ac:dyDescent="0.2">
      <c r="A55" s="18"/>
      <c r="B55" s="9" t="s">
        <v>35</v>
      </c>
      <c r="C55" s="22"/>
      <c r="D55" s="9" t="s">
        <v>36</v>
      </c>
      <c r="E55" s="23"/>
    </row>
    <row r="56" spans="1:15" x14ac:dyDescent="0.2">
      <c r="A56" s="3"/>
      <c r="D56" s="3"/>
      <c r="E56" s="3"/>
    </row>
  </sheetData>
  <mergeCells count="8">
    <mergeCell ref="F22:F40"/>
    <mergeCell ref="F43:F47"/>
    <mergeCell ref="F50:F51"/>
    <mergeCell ref="F10:F19"/>
    <mergeCell ref="B7:B8"/>
    <mergeCell ref="C7:C8"/>
    <mergeCell ref="D7:E7"/>
    <mergeCell ref="F7:F8"/>
  </mergeCells>
  <conditionalFormatting sqref="I10:I51">
    <cfRule type="cellIs" dxfId="5" priority="1" operator="equal">
      <formula>"y"</formula>
    </cfRule>
    <cfRule type="cellIs" dxfId="4" priority="2" operator="equal">
      <formula>"n"</formula>
    </cfRule>
  </conditionalFormatting>
  <conditionalFormatting sqref="K10:K51">
    <cfRule type="cellIs" dxfId="3" priority="17" operator="equal">
      <formula>"y"</formula>
    </cfRule>
    <cfRule type="cellIs" dxfId="2" priority="18" operator="equal">
      <formula>"n"</formula>
    </cfRule>
  </conditionalFormatting>
  <conditionalFormatting sqref="O10:O51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  <ignoredErrors>
    <ignoredError sqref="I50:I51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9" spans="2:13" x14ac:dyDescent="0.25">
      <c r="H9" s="2"/>
      <c r="I9" s="2"/>
    </row>
    <row r="10" spans="2:13" x14ac:dyDescent="0.25">
      <c r="H10" s="2"/>
      <c r="I10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7" spans="12:23" x14ac:dyDescent="0.25">
      <c r="L37" s="2"/>
      <c r="M37" s="2"/>
    </row>
    <row r="38" spans="12:23" x14ac:dyDescent="0.25">
      <c r="L38" s="2"/>
      <c r="M38" s="2"/>
    </row>
    <row r="39" spans="12:23" x14ac:dyDescent="0.25">
      <c r="L39" s="2"/>
      <c r="M39" s="2"/>
    </row>
    <row r="40" spans="12:23" x14ac:dyDescent="0.25">
      <c r="L40" s="2"/>
      <c r="M40" s="2"/>
    </row>
    <row r="41" spans="12:23" x14ac:dyDescent="0.25">
      <c r="L41" s="2"/>
      <c r="M41" s="2"/>
    </row>
    <row r="42" spans="12:23" x14ac:dyDescent="0.25">
      <c r="L42" s="2"/>
      <c r="M42" s="2"/>
    </row>
    <row r="43" spans="12:23" x14ac:dyDescent="0.25">
      <c r="L43" s="2"/>
      <c r="M43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2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3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B540BB-0801-4752-8CD2-070B7A123846}">
  <ds:schemaRefs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Corey W King</cp:lastModifiedBy>
  <cp:revision/>
  <cp:lastPrinted>2021-11-30T22:49:37Z</cp:lastPrinted>
  <dcterms:created xsi:type="dcterms:W3CDTF">2021-08-25T17:40:48Z</dcterms:created>
  <dcterms:modified xsi:type="dcterms:W3CDTF">2024-07-07T21:36:28Z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