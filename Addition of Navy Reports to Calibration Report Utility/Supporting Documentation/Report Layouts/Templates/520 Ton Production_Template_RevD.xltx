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beachsc\OneDrive - Johnson Controls\Documents\Projects\Addition of Navy Reports to Calibration Report Utility\Supporting Documentation\Report Layouts\Templates\"/>
    </mc:Choice>
  </mc:AlternateContent>
  <xr:revisionPtr revIDLastSave="0" documentId="13_ncr:1_{9481053D-D93E-4F98-890C-014B03A4F225}" xr6:coauthVersionLast="47" xr6:coauthVersionMax="47" xr10:uidLastSave="{00000000-0000-0000-0000-000000000000}"/>
  <bookViews>
    <workbookView xWindow="28680" yWindow="-345" windowWidth="29040" windowHeight="15840" tabRatio="769" activeTab="1" xr2:uid="{00000000-000D-0000-FFFF-FFFF00000000}"/>
  </bookViews>
  <sheets>
    <sheet name="Report Template" sheetId="1" r:id="rId1"/>
    <sheet name="Report WorkSheet" sheetId="12" r:id="rId2"/>
    <sheet name="Instrument Map" sheetId="15" r:id="rId3"/>
    <sheet name="CalReport" sheetId="3" r:id="rId4"/>
  </sheets>
  <definedNames>
    <definedName name="_xlnm.Print_Area" localSheetId="0">'Report Template'!$A$1:$F$57</definedName>
    <definedName name="_xlnm.Print_Area" localSheetId="1">'Report WorkSheet'!$A$1:$F$57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H45" i="12"/>
  <c r="I45" i="12" s="1"/>
  <c r="J45" i="12"/>
  <c r="K45" i="12" s="1"/>
  <c r="L45" i="12"/>
  <c r="D45" i="1" s="1"/>
  <c r="M45" i="12"/>
  <c r="E45" i="1" s="1"/>
  <c r="H46" i="12"/>
  <c r="I46" i="12" s="1"/>
  <c r="J46" i="12"/>
  <c r="K46" i="12" s="1"/>
  <c r="L46" i="12"/>
  <c r="D46" i="1" s="1"/>
  <c r="M46" i="12"/>
  <c r="E46" i="1" s="1"/>
  <c r="H47" i="12"/>
  <c r="I47" i="12"/>
  <c r="J47" i="12"/>
  <c r="K47" i="12" s="1"/>
  <c r="L47" i="12"/>
  <c r="D47" i="1" s="1"/>
  <c r="M47" i="12"/>
  <c r="E47" i="1" s="1"/>
  <c r="H48" i="12"/>
  <c r="I48" i="12" s="1"/>
  <c r="J48" i="12"/>
  <c r="K48" i="12" s="1"/>
  <c r="L48" i="12"/>
  <c r="D48" i="1" s="1"/>
  <c r="M48" i="12"/>
  <c r="N48" i="12" s="1"/>
  <c r="E48" i="1"/>
  <c r="H40" i="12"/>
  <c r="I40" i="12" s="1"/>
  <c r="J40" i="12"/>
  <c r="K40" i="12" s="1"/>
  <c r="L40" i="12"/>
  <c r="O40" i="12" s="1"/>
  <c r="M40" i="12"/>
  <c r="H41" i="12"/>
  <c r="I41" i="12"/>
  <c r="J41" i="12"/>
  <c r="K41" i="12" s="1"/>
  <c r="L41" i="12"/>
  <c r="D41" i="1" s="1"/>
  <c r="M41" i="12"/>
  <c r="N41" i="12" s="1"/>
  <c r="B52" i="1"/>
  <c r="C52" i="1"/>
  <c r="B45" i="1"/>
  <c r="C45" i="1"/>
  <c r="B46" i="1"/>
  <c r="C46" i="1"/>
  <c r="B47" i="1"/>
  <c r="C47" i="1"/>
  <c r="B48" i="1"/>
  <c r="C48" i="1"/>
  <c r="D40" i="1"/>
  <c r="E40" i="1"/>
  <c r="C40" i="1"/>
  <c r="C41" i="1"/>
  <c r="B40" i="1"/>
  <c r="B41" i="1"/>
  <c r="C31" i="1"/>
  <c r="C32" i="1"/>
  <c r="C33" i="1"/>
  <c r="C34" i="1"/>
  <c r="C35" i="1"/>
  <c r="C36" i="1"/>
  <c r="H35" i="12"/>
  <c r="I35" i="12" s="1"/>
  <c r="J35" i="12"/>
  <c r="K35" i="12" s="1"/>
  <c r="L35" i="12"/>
  <c r="D35" i="1" s="1"/>
  <c r="M35" i="12"/>
  <c r="E35" i="1" s="1"/>
  <c r="N46" i="12"/>
  <c r="O47" i="12"/>
  <c r="B31" i="1"/>
  <c r="B32" i="1"/>
  <c r="B33" i="1"/>
  <c r="B34" i="1"/>
  <c r="B35" i="1"/>
  <c r="B36" i="1"/>
  <c r="B23" i="1"/>
  <c r="C23" i="1"/>
  <c r="B24" i="1"/>
  <c r="C24" i="1"/>
  <c r="B25" i="1"/>
  <c r="C25" i="1"/>
  <c r="B26" i="1"/>
  <c r="C26" i="1"/>
  <c r="B27" i="1"/>
  <c r="C27" i="1"/>
  <c r="B51" i="1"/>
  <c r="C51" i="1"/>
  <c r="H51" i="12"/>
  <c r="I51" i="12"/>
  <c r="J51" i="12"/>
  <c r="K51" i="12"/>
  <c r="L51" i="12"/>
  <c r="M51" i="12"/>
  <c r="N51" i="12" s="1"/>
  <c r="H52" i="12"/>
  <c r="I52" i="12" s="1"/>
  <c r="J52" i="12"/>
  <c r="K52" i="12" s="1"/>
  <c r="L52" i="12"/>
  <c r="D52" i="1" s="1"/>
  <c r="M52" i="12"/>
  <c r="E52" i="1" s="1"/>
  <c r="H31" i="12"/>
  <c r="I31" i="12"/>
  <c r="J31" i="12"/>
  <c r="K31" i="12" s="1"/>
  <c r="L31" i="12"/>
  <c r="D31" i="1" s="1"/>
  <c r="M31" i="12"/>
  <c r="E31" i="1" s="1"/>
  <c r="H32" i="12"/>
  <c r="I32" i="12"/>
  <c r="J32" i="12"/>
  <c r="K32" i="12"/>
  <c r="L32" i="12"/>
  <c r="D32" i="1" s="1"/>
  <c r="M32" i="12"/>
  <c r="E32" i="1" s="1"/>
  <c r="H33" i="12"/>
  <c r="I33" i="12" s="1"/>
  <c r="J33" i="12"/>
  <c r="K33" i="12" s="1"/>
  <c r="L33" i="12"/>
  <c r="D33" i="1" s="1"/>
  <c r="M33" i="12"/>
  <c r="E33" i="1" s="1"/>
  <c r="H34" i="12"/>
  <c r="I34" i="12" s="1"/>
  <c r="J34" i="12"/>
  <c r="K34" i="12" s="1"/>
  <c r="L34" i="12"/>
  <c r="D34" i="1" s="1"/>
  <c r="M34" i="12"/>
  <c r="E34" i="1" s="1"/>
  <c r="H36" i="12"/>
  <c r="I36" i="12"/>
  <c r="J36" i="12"/>
  <c r="K36" i="12" s="1"/>
  <c r="L36" i="12"/>
  <c r="M36" i="12"/>
  <c r="E36" i="1" s="1"/>
  <c r="H23" i="12"/>
  <c r="I23" i="12" s="1"/>
  <c r="J23" i="12"/>
  <c r="K23" i="12" s="1"/>
  <c r="L23" i="12"/>
  <c r="D23" i="1" s="1"/>
  <c r="M23" i="12"/>
  <c r="E23" i="1" s="1"/>
  <c r="H24" i="12"/>
  <c r="I24" i="12" s="1"/>
  <c r="J24" i="12"/>
  <c r="K24" i="12" s="1"/>
  <c r="L24" i="12"/>
  <c r="M24" i="12"/>
  <c r="E24" i="1" s="1"/>
  <c r="H25" i="12"/>
  <c r="I25" i="12"/>
  <c r="J25" i="12"/>
  <c r="K25" i="12"/>
  <c r="L25" i="12"/>
  <c r="D25" i="1" s="1"/>
  <c r="M25" i="12"/>
  <c r="N25" i="12" s="1"/>
  <c r="H26" i="12"/>
  <c r="I26" i="12" s="1"/>
  <c r="J26" i="12"/>
  <c r="K26" i="12" s="1"/>
  <c r="L26" i="12"/>
  <c r="D26" i="1" s="1"/>
  <c r="M26" i="12"/>
  <c r="H27" i="12"/>
  <c r="I27" i="12"/>
  <c r="J27" i="12"/>
  <c r="K27" i="12"/>
  <c r="L27" i="12"/>
  <c r="D27" i="1" s="1"/>
  <c r="M27" i="12"/>
  <c r="H11" i="12"/>
  <c r="I11" i="12" s="1"/>
  <c r="J11" i="12"/>
  <c r="K11" i="12" s="1"/>
  <c r="L11" i="12"/>
  <c r="D11" i="1" s="1"/>
  <c r="M11" i="12"/>
  <c r="E11" i="1" s="1"/>
  <c r="H12" i="12"/>
  <c r="I12" i="12"/>
  <c r="J12" i="12"/>
  <c r="K12" i="12" s="1"/>
  <c r="L12" i="12"/>
  <c r="D12" i="1" s="1"/>
  <c r="M12" i="12"/>
  <c r="E12" i="1" s="1"/>
  <c r="H13" i="12"/>
  <c r="I13" i="12" s="1"/>
  <c r="J13" i="12"/>
  <c r="K13" i="12"/>
  <c r="L13" i="12"/>
  <c r="D13" i="1" s="1"/>
  <c r="M13" i="12"/>
  <c r="H14" i="12"/>
  <c r="I14" i="12" s="1"/>
  <c r="J14" i="12"/>
  <c r="K14" i="12"/>
  <c r="L14" i="12"/>
  <c r="D14" i="1" s="1"/>
  <c r="M14" i="12"/>
  <c r="E14" i="1" s="1"/>
  <c r="H15" i="12"/>
  <c r="I15" i="12" s="1"/>
  <c r="J15" i="12"/>
  <c r="K15" i="12" s="1"/>
  <c r="L15" i="12"/>
  <c r="D15" i="1" s="1"/>
  <c r="M15" i="12"/>
  <c r="E15" i="1" s="1"/>
  <c r="H16" i="12"/>
  <c r="I16" i="12" s="1"/>
  <c r="J16" i="12"/>
  <c r="K16" i="12"/>
  <c r="L16" i="12"/>
  <c r="D16" i="1"/>
  <c r="M16" i="12"/>
  <c r="N16" i="12" s="1"/>
  <c r="H17" i="12"/>
  <c r="I17" i="12" s="1"/>
  <c r="J17" i="12"/>
  <c r="K17" i="12"/>
  <c r="L17" i="12"/>
  <c r="O17" i="12" s="1"/>
  <c r="D17" i="1"/>
  <c r="M17" i="12"/>
  <c r="H18" i="12"/>
  <c r="I18" i="12"/>
  <c r="J18" i="12"/>
  <c r="K18" i="12"/>
  <c r="L18" i="12"/>
  <c r="D18" i="1" s="1"/>
  <c r="M18" i="12"/>
  <c r="E18" i="1" s="1"/>
  <c r="H19" i="12"/>
  <c r="I19" i="12" s="1"/>
  <c r="J19" i="12"/>
  <c r="K19" i="12" s="1"/>
  <c r="L19" i="12"/>
  <c r="D19" i="1"/>
  <c r="M19" i="12"/>
  <c r="O19" i="12" s="1"/>
  <c r="H22" i="12"/>
  <c r="I22" i="12"/>
  <c r="J22" i="12"/>
  <c r="K22" i="12" s="1"/>
  <c r="L22" i="12"/>
  <c r="D22" i="1" s="1"/>
  <c r="M22" i="12"/>
  <c r="E22" i="1" s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44" i="1"/>
  <c r="C44" i="1"/>
  <c r="B4" i="1"/>
  <c r="B5" i="1"/>
  <c r="B2" i="1"/>
  <c r="H44" i="12"/>
  <c r="I44" i="12" s="1"/>
  <c r="N52" i="12"/>
  <c r="N12" i="12"/>
  <c r="O32" i="12"/>
  <c r="N23" i="12"/>
  <c r="E17" i="1"/>
  <c r="N36" i="12"/>
  <c r="O13" i="12"/>
  <c r="O25" i="12"/>
  <c r="O14" i="12"/>
  <c r="O11" i="12"/>
  <c r="N14" i="12"/>
  <c r="O18" i="12"/>
  <c r="O12" i="12"/>
  <c r="L39" i="12"/>
  <c r="D39" i="1"/>
  <c r="L44" i="12"/>
  <c r="D44" i="1" s="1"/>
  <c r="L30" i="12"/>
  <c r="D30" i="1"/>
  <c r="M44" i="12"/>
  <c r="E44" i="1"/>
  <c r="M39" i="12"/>
  <c r="M30" i="12"/>
  <c r="E30" i="1" s="1"/>
  <c r="M10" i="12"/>
  <c r="L10" i="12"/>
  <c r="N10" i="12" s="1"/>
  <c r="B1" i="1"/>
  <c r="E56" i="1"/>
  <c r="C56" i="1"/>
  <c r="C39" i="1"/>
  <c r="C30" i="1"/>
  <c r="C22" i="1"/>
  <c r="B10" i="1"/>
  <c r="B22" i="1"/>
  <c r="B30" i="1"/>
  <c r="B39" i="1"/>
  <c r="C10" i="1"/>
  <c r="O39" i="12"/>
  <c r="E39" i="1"/>
  <c r="N39" i="12"/>
  <c r="E10" i="1"/>
  <c r="H39" i="12"/>
  <c r="I39" i="12" s="1"/>
  <c r="H30" i="12"/>
  <c r="I30" i="12" s="1"/>
  <c r="H10" i="12"/>
  <c r="I10" i="12" s="1"/>
  <c r="J44" i="12"/>
  <c r="K44" i="12" s="1"/>
  <c r="J39" i="12"/>
  <c r="K39" i="12"/>
  <c r="J30" i="12"/>
  <c r="K30" i="12" s="1"/>
  <c r="J10" i="12"/>
  <c r="K10" i="12" s="1"/>
  <c r="O52" i="12" l="1"/>
  <c r="N30" i="12"/>
  <c r="O22" i="12"/>
  <c r="N13" i="12"/>
  <c r="O36" i="12"/>
  <c r="N18" i="12"/>
  <c r="O26" i="12"/>
  <c r="N19" i="12"/>
  <c r="E25" i="1"/>
  <c r="E19" i="1"/>
  <c r="N17" i="12"/>
  <c r="O15" i="12"/>
  <c r="O51" i="12"/>
  <c r="O48" i="12"/>
  <c r="O24" i="12"/>
  <c r="O41" i="12"/>
  <c r="N32" i="12"/>
  <c r="N27" i="12"/>
  <c r="N40" i="12"/>
  <c r="N15" i="12"/>
  <c r="N44" i="12"/>
  <c r="N47" i="12"/>
  <c r="E51" i="1"/>
  <c r="O44" i="12"/>
  <c r="N33" i="12"/>
  <c r="D36" i="1"/>
  <c r="D51" i="1"/>
  <c r="O35" i="12"/>
  <c r="E41" i="1"/>
  <c r="N31" i="12"/>
  <c r="N22" i="12"/>
  <c r="O10" i="12"/>
  <c r="N24" i="12"/>
  <c r="O16" i="12"/>
  <c r="O31" i="12"/>
  <c r="O34" i="12"/>
  <c r="O30" i="12"/>
  <c r="O27" i="12"/>
  <c r="O23" i="12"/>
  <c r="O46" i="12"/>
  <c r="N34" i="12"/>
  <c r="E27" i="1"/>
  <c r="O45" i="12"/>
  <c r="E16" i="1"/>
  <c r="E13" i="1"/>
  <c r="D24" i="1"/>
  <c r="N11" i="12"/>
  <c r="N45" i="12"/>
  <c r="O33" i="12"/>
  <c r="N35" i="12"/>
  <c r="D10" i="1"/>
  <c r="E26" i="1"/>
  <c r="N26" i="12"/>
</calcChain>
</file>

<file path=xl/sharedStrings.xml><?xml version="1.0" encoding="utf-8"?>
<sst xmlns="http://schemas.openxmlformats.org/spreadsheetml/2006/main" count="146" uniqueCount="130">
  <si>
    <t>Instrument Serial Number</t>
  </si>
  <si>
    <t>Instrument Title</t>
  </si>
  <si>
    <t>Calibration Dates</t>
  </si>
  <si>
    <t>Last</t>
  </si>
  <si>
    <t>Next</t>
  </si>
  <si>
    <t>DAQ2 RTD Temperatures</t>
  </si>
  <si>
    <t>DAQ3 RTD Temperatures</t>
  </si>
  <si>
    <t>Omega Pressure Transducer</t>
  </si>
  <si>
    <t>BAROMETRIC PRESSURE</t>
  </si>
  <si>
    <t>Rosemount Delta P Transducer</t>
  </si>
  <si>
    <t>EVAPORATOR WATER PRESSURE DROP</t>
  </si>
  <si>
    <t>Rosemount Magmeter</t>
  </si>
  <si>
    <t>EVAPORATOR WATER FLOW A</t>
  </si>
  <si>
    <t>EVAPORATOR WATER FLOW B</t>
  </si>
  <si>
    <t>CONDENSER WATER FLOW A</t>
  </si>
  <si>
    <t>CONDENSER WATER FLOW B</t>
  </si>
  <si>
    <t>Xitron Power Analyzer</t>
  </si>
  <si>
    <t>↓ Eng Tag Names Match? ↓</t>
  </si>
  <si>
    <t>HW Tag Name</t>
  </si>
  <si>
    <t>↓ HW Tag Names Match? ↓</t>
  </si>
  <si>
    <t>COND WATER ENTERING TEMP A</t>
  </si>
  <si>
    <t>COND WATER ENTERING TEMP B</t>
  </si>
  <si>
    <t>COND WATER LEAVING TEMP A</t>
  </si>
  <si>
    <t>COND WATER LEAVING TEMP B</t>
  </si>
  <si>
    <t>EVAP WATER ENTERING TEMP A</t>
  </si>
  <si>
    <t>EVAP WATER ENTERING TEMP B</t>
  </si>
  <si>
    <t>EVAP WATER LEAVING TEMP A</t>
  </si>
  <si>
    <t>EVAP WATER LEAVING TEMP B</t>
  </si>
  <si>
    <t>AUX COOLING WATER ENTERING TEMP</t>
  </si>
  <si>
    <t>AUX COOLING WATER LEAVING TEMP</t>
  </si>
  <si>
    <t>Prepared By:</t>
  </si>
  <si>
    <t>Date:</t>
  </si>
  <si>
    <t>`</t>
  </si>
  <si>
    <t>Johnson Controls Calibration Report</t>
  </si>
  <si>
    <t>ENG Tag Name</t>
  </si>
  <si>
    <t>Tag Names</t>
  </si>
  <si>
    <t>Notes</t>
  </si>
  <si>
    <t xml:space="preserve"> HW Tag Names
Not on Inst Map
Use Channel to determine</t>
  </si>
  <si>
    <t>↓ Cal Date from Cal Report ↓</t>
  </si>
  <si>
    <t>↓ Cal Due From Cal Report ↓</t>
  </si>
  <si>
    <t>↓ HW Tag Names from Cal Report ↓</t>
  </si>
  <si>
    <t>↓ Eng Tag Names from Cal Report ↓</t>
  </si>
  <si>
    <t>Facility Information
Not on Inst Map
Get From
Cal Report</t>
  </si>
  <si>
    <t>↓ Date in Range ↓</t>
  </si>
  <si>
    <t xml:space="preserve">Unit Type:  </t>
  </si>
  <si>
    <t xml:space="preserve">Test Request Number: </t>
  </si>
  <si>
    <t xml:space="preserve">Instrument Map Date:  </t>
  </si>
  <si>
    <t xml:space="preserve">JADEC Test Facility:  </t>
  </si>
  <si>
    <t>↓ # Days ↓</t>
  </si>
  <si>
    <t>Formatted date for validation</t>
  </si>
  <si>
    <t>AMBIENT TEMPERATURE</t>
  </si>
  <si>
    <t>CONDENSER WATER PRESSURE DROP</t>
  </si>
  <si>
    <t>OIL COOLER WATER PRESSURE DROP</t>
  </si>
  <si>
    <t>OIL PRESSURE</t>
  </si>
  <si>
    <t>COMPRESSOR DISCHARGE PRESSURE</t>
  </si>
  <si>
    <t>COMPRESSOR SUCTION PRESSURE</t>
  </si>
  <si>
    <t>OIL SUMP PRESSURE</t>
  </si>
  <si>
    <t>TEST CHAMBER HUMIDITY</t>
  </si>
  <si>
    <t>CONDENSER PRESSURE</t>
  </si>
  <si>
    <t>OIL COOLER WATER FLOW</t>
  </si>
  <si>
    <t>COMPRESSOR SUCTION TEMP</t>
  </si>
  <si>
    <t>COMPRESSOR DISCHARGE TEMP</t>
  </si>
  <si>
    <t>REFRIGERANT LIQUID TEMP TO EXPANSION VALVE</t>
  </si>
  <si>
    <t>OIL COOLER WATER ON</t>
  </si>
  <si>
    <t>OIL COOLER WATER OFF</t>
  </si>
  <si>
    <t>CHILLER INPUT</t>
  </si>
  <si>
    <t>520 Ton</t>
  </si>
  <si>
    <t>COND_WTR_E_TEMP_TET-CW-2A</t>
  </si>
  <si>
    <t>DAQ2_RTD_001</t>
  </si>
  <si>
    <t>COND_WTR_E_TEMP_TET-CW-2B</t>
  </si>
  <si>
    <t>DAQ2_RTD_002</t>
  </si>
  <si>
    <t>COND_WTR_L_TEMP_TET-CW-3A</t>
  </si>
  <si>
    <t>DAQ2_RTD_003</t>
  </si>
  <si>
    <t>COND_WTR_L_TEMP_TET-CW-3B</t>
  </si>
  <si>
    <t>DAQ2_RTD_004</t>
  </si>
  <si>
    <t>EVAP_WTR_E_TEMP_TET-EW-2A</t>
  </si>
  <si>
    <t>DAQ2_RTD_005</t>
  </si>
  <si>
    <t>EVAP_WTR_E_TEMP_TET-EW-2B</t>
  </si>
  <si>
    <t>DAQ2_RTD_006</t>
  </si>
  <si>
    <t>EVAP_WTR_L_TEMP_TET-EW-3A</t>
  </si>
  <si>
    <t>DAQ2_RTD_007</t>
  </si>
  <si>
    <t>EVAP_WTR_L_TEMP_TET-EW-3B</t>
  </si>
  <si>
    <t>DAQ2_RTD_008</t>
  </si>
  <si>
    <t>CH_WTR_E_TEMP_TET-CH-2</t>
  </si>
  <si>
    <t>DAQ2_RTD_009</t>
  </si>
  <si>
    <t>CH_WTR_L_TEMP_TET-CH-3</t>
  </si>
  <si>
    <t>DAQ2_RTD_010</t>
  </si>
  <si>
    <t>COMPR_SYS01_RFG_SUCT_TEMP_01</t>
  </si>
  <si>
    <t>COMPR_SYS01_RFG_DISCH_TEMP_01</t>
  </si>
  <si>
    <t>EVAP_SYS01_RLIQ_EV-E_TEMP_01</t>
  </si>
  <si>
    <t>OIL_SYS01_WTR_CLR-E_TEMP_01</t>
  </si>
  <si>
    <t>OIL_SYS01_WTR_CLR-L_TEMP_01</t>
  </si>
  <si>
    <t>AMB_UNIT_AIR_EXT_TEMP_01</t>
  </si>
  <si>
    <t>COMPR_SYS01_RVAP_SUCT_PRESS_01</t>
  </si>
  <si>
    <t>COMPR_SYS01_RVAP_DISCH_PRESS_01</t>
  </si>
  <si>
    <t>COND_SYS01_RVAP_HIGH-CTR_PRESS_01</t>
  </si>
  <si>
    <t>OIL_SYS01_OIL_PUMP_PRESS_01</t>
  </si>
  <si>
    <t>OIL_SYS01_OIL_SUMP-MID_PRESS_01</t>
  </si>
  <si>
    <t>AMB_UNIT_AIR_EXT_PRESS_01</t>
  </si>
  <si>
    <t>AMB_UNIT_AIR_EXT_HUMIDITY_01</t>
  </si>
  <si>
    <t>EVAP_UNIT_WTR_NOZ_DP_01</t>
  </si>
  <si>
    <t>COND_UNIT_WTR_NOZ_DP_01</t>
  </si>
  <si>
    <t>OIL_UNIT_WTR_NOZ_DP_01</t>
  </si>
  <si>
    <t>EVAP_WTR_E_TOTAL_FLOW</t>
  </si>
  <si>
    <t>EVAP_WTR_E_FLOW_FT-EW-1A</t>
  </si>
  <si>
    <t>EVAP_WTR_E_FLOW_FT-EW-1B</t>
  </si>
  <si>
    <t>COND_WTR_E_TOTAL_FLOW</t>
  </si>
  <si>
    <t>COND_WTR_E_FLOW_FT-CW-1A</t>
  </si>
  <si>
    <t>COND_WTR_E_FLOW_FT-CW-1B</t>
  </si>
  <si>
    <t>OIL_SYS01_WTR_CLR-E_FLOW_01</t>
  </si>
  <si>
    <t>CH_WTR_E_FLOW_FT-CH-1</t>
  </si>
  <si>
    <t>OIL PUMP</t>
  </si>
  <si>
    <t>DAQ3A_RTD_001</t>
  </si>
  <si>
    <t>DAQ3A_RTD_002</t>
  </si>
  <si>
    <t>DAQ3A_RTD_003</t>
  </si>
  <si>
    <t>DAQ3A_RTD_004</t>
  </si>
  <si>
    <t>DAQ3A_RTD_006</t>
  </si>
  <si>
    <t>DAQ3A_RTD_005</t>
  </si>
  <si>
    <t>DAQ3A_AI_001</t>
  </si>
  <si>
    <t>DAQ3A_AI_002</t>
  </si>
  <si>
    <t>DAQ3A_AI_003</t>
  </si>
  <si>
    <t>DAQ3A_AI_004</t>
  </si>
  <si>
    <t>DAQ3A_AI_005</t>
  </si>
  <si>
    <t>DAQ3A_AI_006</t>
  </si>
  <si>
    <t>DAQ3A_AI_010</t>
  </si>
  <si>
    <t>DAQ3A_AI_007</t>
  </si>
  <si>
    <t>DAQ3A_AI_008</t>
  </si>
  <si>
    <t>DAQ3A_AI_009</t>
  </si>
  <si>
    <t>XT2640-063</t>
  </si>
  <si>
    <t>XT2640-062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</si>
</sst>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;@"/>
    <numFmt numFmtId="165" formatCode="mm/dd/yy;@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1E1E1E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FFFF99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3" fillId="0" borderId="0" xfId="0" applyFont="1"/>
    <xf numFmtId="14" fontId="1" fillId="0" borderId="4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wrapText="1"/>
    </xf>
    <xf numFmtId="14" fontId="1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1" fillId="2" borderId="0" xfId="0" applyNumberFormat="1" applyFont="1" applyFill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5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1" fillId="2" borderId="0" xfId="0" applyFont="1" applyFill="1" applyAlignment="1">
      <alignment vertical="center" wrapText="1"/>
    </xf>
    <xf numFmtId="14" fontId="1" fillId="0" borderId="0" xfId="0" applyNumberFormat="1" applyFont="1" applyAlignment="1">
      <alignment vertical="center" wrapText="1"/>
    </xf>
    <xf numFmtId="164" fontId="1" fillId="0" borderId="4" xfId="0" applyNumberFormat="1" applyFont="1" applyBorder="1" applyAlignment="1">
      <alignment horizontal="center"/>
    </xf>
    <xf numFmtId="165" fontId="1" fillId="0" borderId="0" xfId="0" applyNumberFormat="1" applyFont="1"/>
    <xf numFmtId="0" fontId="1" fillId="0" borderId="4" xfId="0" applyFont="1" applyBorder="1"/>
    <xf numFmtId="164" fontId="1" fillId="2" borderId="0" xfId="0" applyNumberFormat="1" applyFont="1" applyFill="1" applyAlignment="1">
      <alignment horizontal="left"/>
    </xf>
    <xf numFmtId="164" fontId="1" fillId="0" borderId="5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0" xfId="0" quotePrefix="1" applyFont="1" applyFill="1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" xfId="0" applyFont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99"/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G57"/>
  <sheetViews>
    <sheetView workbookViewId="0"/>
  </sheetViews>
  <sheetFormatPr defaultColWidth="8.85546875" defaultRowHeight="12.75" x14ac:dyDescent="0.2"/>
  <cols>
    <col min="1" max="1" width="8.85546875" style="4" customWidth="1"/>
    <col min="2" max="2" width="25.140625" style="3" customWidth="1"/>
    <col min="3" max="3" width="42.140625" style="3" bestFit="1" customWidth="1"/>
    <col min="4" max="5" width="10.5703125" style="9" bestFit="1" customWidth="1"/>
    <col min="6" max="7" width="8.85546875" style="3" customWidth="1"/>
    <col min="8" max="16384" width="8.85546875" style="3"/>
  </cols>
  <sheetData>
    <row r="1" spans="1:6" ht="13.9" customHeight="1" x14ac:dyDescent="0.2">
      <c r="A1" s="11"/>
      <c r="B1" s="51" t="str">
        <f>'Report WorkSheet'!B1:E1</f>
        <v>Johnson Controls Calibration Report</v>
      </c>
      <c r="C1" s="51"/>
      <c r="D1" s="51"/>
      <c r="E1" s="51"/>
      <c r="F1" s="11"/>
    </row>
    <row r="2" spans="1:6" ht="13.9" customHeight="1" x14ac:dyDescent="0.2">
      <c r="A2" s="11"/>
      <c r="B2" s="51" t="str">
        <f>CONCATENATE('Report WorkSheet'!B2,'Report WorkSheet'!C2)</f>
        <v>Unit Type:  520 Ton</v>
      </c>
      <c r="C2" s="51"/>
      <c r="D2" s="51"/>
      <c r="E2" s="51"/>
      <c r="F2" s="11"/>
    </row>
    <row r="3" spans="1:6" x14ac:dyDescent="0.2">
      <c r="A3" s="11"/>
      <c r="B3" s="51" t="str">
        <f>CONCATENATE('Report WorkSheet'!B3,'Report WorkSheet'!C3)</f>
        <v xml:space="preserve">Test Request Number: </v>
      </c>
      <c r="C3" s="51"/>
      <c r="D3" s="51"/>
      <c r="E3" s="51"/>
      <c r="F3" s="11"/>
    </row>
    <row r="4" spans="1:6" x14ac:dyDescent="0.2">
      <c r="A4" s="11"/>
      <c r="B4" s="51" t="str">
        <f>CONCATENATE('Report WorkSheet'!B4,'Report WorkSheet'!C4)</f>
        <v xml:space="preserve">Instrument Map Date:  </v>
      </c>
      <c r="C4" s="51"/>
      <c r="D4" s="51"/>
      <c r="E4" s="51"/>
      <c r="F4" s="11"/>
    </row>
    <row r="5" spans="1:6" x14ac:dyDescent="0.2">
      <c r="A5" s="11"/>
      <c r="B5" s="51" t="str">
        <f>CONCATENATE('Report WorkSheet'!B5,'Report WorkSheet'!C5)</f>
        <v xml:space="preserve">JADEC Test Facility:  </v>
      </c>
      <c r="C5" s="51"/>
      <c r="D5" s="51"/>
      <c r="E5" s="51"/>
      <c r="F5" s="11"/>
    </row>
    <row r="6" spans="1:6" x14ac:dyDescent="0.2">
      <c r="A6" s="10"/>
      <c r="B6" s="11"/>
      <c r="C6" s="12"/>
      <c r="D6" s="15"/>
      <c r="E6" s="15"/>
    </row>
    <row r="7" spans="1:6" x14ac:dyDescent="0.2">
      <c r="B7" s="50" t="s">
        <v>0</v>
      </c>
      <c r="C7" s="50" t="s">
        <v>1</v>
      </c>
      <c r="D7" s="50" t="s">
        <v>2</v>
      </c>
      <c r="E7" s="50"/>
    </row>
    <row r="8" spans="1:6" x14ac:dyDescent="0.2">
      <c r="B8" s="50"/>
      <c r="C8" s="50"/>
      <c r="D8" s="16" t="s">
        <v>3</v>
      </c>
      <c r="E8" s="16" t="s">
        <v>4</v>
      </c>
    </row>
    <row r="9" spans="1:6" x14ac:dyDescent="0.2">
      <c r="B9" s="5" t="s">
        <v>5</v>
      </c>
      <c r="C9" s="5"/>
      <c r="D9" s="5"/>
      <c r="E9" s="5"/>
    </row>
    <row r="10" spans="1:6" x14ac:dyDescent="0.2">
      <c r="B10" s="6">
        <f>'Report WorkSheet'!B10</f>
        <v>0</v>
      </c>
      <c r="C10" s="6" t="str">
        <f>'Report WorkSheet'!C10</f>
        <v>COND WATER ENTERING TEMP A</v>
      </c>
      <c r="D10" s="14" t="e">
        <f>'Report WorkSheet'!L10</f>
        <v>#N/A</v>
      </c>
      <c r="E10" s="14" t="e">
        <f>'Report WorkSheet'!M10</f>
        <v>#N/A</v>
      </c>
    </row>
    <row r="11" spans="1:6" x14ac:dyDescent="0.2">
      <c r="B11" s="6">
        <f>'Report WorkSheet'!B11</f>
        <v>0</v>
      </c>
      <c r="C11" s="6" t="str">
        <f>'Report WorkSheet'!C11</f>
        <v>COND WATER ENTERING TEMP B</v>
      </c>
      <c r="D11" s="14" t="e">
        <f>'Report WorkSheet'!L11</f>
        <v>#N/A</v>
      </c>
      <c r="E11" s="14" t="e">
        <f>'Report WorkSheet'!M11</f>
        <v>#N/A</v>
      </c>
    </row>
    <row r="12" spans="1:6" x14ac:dyDescent="0.2">
      <c r="B12" s="6">
        <f>'Report WorkSheet'!B12</f>
        <v>0</v>
      </c>
      <c r="C12" s="6" t="str">
        <f>'Report WorkSheet'!C12</f>
        <v>COND WATER LEAVING TEMP A</v>
      </c>
      <c r="D12" s="14" t="e">
        <f>'Report WorkSheet'!L12</f>
        <v>#N/A</v>
      </c>
      <c r="E12" s="14" t="e">
        <f>'Report WorkSheet'!M12</f>
        <v>#N/A</v>
      </c>
    </row>
    <row r="13" spans="1:6" x14ac:dyDescent="0.2">
      <c r="B13" s="6">
        <f>'Report WorkSheet'!B13</f>
        <v>0</v>
      </c>
      <c r="C13" s="6" t="str">
        <f>'Report WorkSheet'!C13</f>
        <v>COND WATER LEAVING TEMP B</v>
      </c>
      <c r="D13" s="14" t="e">
        <f>'Report WorkSheet'!L13</f>
        <v>#N/A</v>
      </c>
      <c r="E13" s="14" t="e">
        <f>'Report WorkSheet'!M13</f>
        <v>#N/A</v>
      </c>
    </row>
    <row r="14" spans="1:6" x14ac:dyDescent="0.2">
      <c r="B14" s="6">
        <f>'Report WorkSheet'!B14</f>
        <v>0</v>
      </c>
      <c r="C14" s="6" t="str">
        <f>'Report WorkSheet'!C14</f>
        <v>EVAP WATER ENTERING TEMP A</v>
      </c>
      <c r="D14" s="14" t="e">
        <f>'Report WorkSheet'!L14</f>
        <v>#N/A</v>
      </c>
      <c r="E14" s="14" t="e">
        <f>'Report WorkSheet'!M14</f>
        <v>#N/A</v>
      </c>
    </row>
    <row r="15" spans="1:6" x14ac:dyDescent="0.2">
      <c r="B15" s="6">
        <f>'Report WorkSheet'!B15</f>
        <v>0</v>
      </c>
      <c r="C15" s="6" t="str">
        <f>'Report WorkSheet'!C15</f>
        <v>EVAP WATER ENTERING TEMP B</v>
      </c>
      <c r="D15" s="14" t="e">
        <f>'Report WorkSheet'!L15</f>
        <v>#N/A</v>
      </c>
      <c r="E15" s="14" t="e">
        <f>'Report WorkSheet'!M15</f>
        <v>#N/A</v>
      </c>
    </row>
    <row r="16" spans="1:6" x14ac:dyDescent="0.2">
      <c r="B16" s="6">
        <f>'Report WorkSheet'!B16</f>
        <v>0</v>
      </c>
      <c r="C16" s="6" t="str">
        <f>'Report WorkSheet'!C16</f>
        <v>EVAP WATER LEAVING TEMP A</v>
      </c>
      <c r="D16" s="14" t="e">
        <f>'Report WorkSheet'!L16</f>
        <v>#N/A</v>
      </c>
      <c r="E16" s="14" t="e">
        <f>'Report WorkSheet'!M16</f>
        <v>#N/A</v>
      </c>
    </row>
    <row r="17" spans="2:7" x14ac:dyDescent="0.2">
      <c r="B17" s="6">
        <f>'Report WorkSheet'!B17</f>
        <v>0</v>
      </c>
      <c r="C17" s="6" t="str">
        <f>'Report WorkSheet'!C17</f>
        <v>EVAP WATER LEAVING TEMP B</v>
      </c>
      <c r="D17" s="14" t="e">
        <f>'Report WorkSheet'!L17</f>
        <v>#N/A</v>
      </c>
      <c r="E17" s="14" t="e">
        <f>'Report WorkSheet'!M17</f>
        <v>#N/A</v>
      </c>
      <c r="G17" s="13"/>
    </row>
    <row r="18" spans="2:7" x14ac:dyDescent="0.2">
      <c r="B18" s="6">
        <f>'Report WorkSheet'!B18</f>
        <v>0</v>
      </c>
      <c r="C18" s="6" t="str">
        <f>'Report WorkSheet'!C18</f>
        <v>AUX COOLING WATER ENTERING TEMP</v>
      </c>
      <c r="D18" s="14" t="e">
        <f>'Report WorkSheet'!L18</f>
        <v>#N/A</v>
      </c>
      <c r="E18" s="14" t="e">
        <f>'Report WorkSheet'!M18</f>
        <v>#N/A</v>
      </c>
    </row>
    <row r="19" spans="2:7" x14ac:dyDescent="0.2">
      <c r="B19" s="6">
        <f>'Report WorkSheet'!B19</f>
        <v>0</v>
      </c>
      <c r="C19" s="6" t="str">
        <f>'Report WorkSheet'!C19</f>
        <v>AUX COOLING WATER LEAVING TEMP</v>
      </c>
      <c r="D19" s="14" t="e">
        <f>'Report WorkSheet'!L19</f>
        <v>#N/A</v>
      </c>
      <c r="E19" s="14" t="e">
        <f>'Report WorkSheet'!M19</f>
        <v>#N/A</v>
      </c>
    </row>
    <row r="20" spans="2:7" ht="6.95" customHeight="1" x14ac:dyDescent="0.2">
      <c r="B20" s="6"/>
      <c r="C20" s="8"/>
      <c r="D20" s="6"/>
      <c r="E20" s="6"/>
    </row>
    <row r="21" spans="2:7" x14ac:dyDescent="0.2">
      <c r="B21" s="5" t="s">
        <v>6</v>
      </c>
      <c r="C21" s="17"/>
      <c r="D21" s="5"/>
      <c r="E21" s="5"/>
    </row>
    <row r="22" spans="2:7" x14ac:dyDescent="0.2">
      <c r="B22" s="6">
        <f>'Report WorkSheet'!B22</f>
        <v>0</v>
      </c>
      <c r="C22" s="8" t="str">
        <f>'Report WorkSheet'!C22</f>
        <v>COMPRESSOR SUCTION TEMP</v>
      </c>
      <c r="D22" s="14" t="e">
        <f>'Report WorkSheet'!L22</f>
        <v>#N/A</v>
      </c>
      <c r="E22" s="14" t="e">
        <f>'Report WorkSheet'!M22</f>
        <v>#N/A</v>
      </c>
    </row>
    <row r="23" spans="2:7" ht="13.9" customHeight="1" x14ac:dyDescent="0.2">
      <c r="B23" s="6">
        <f>'Report WorkSheet'!B23</f>
        <v>0</v>
      </c>
      <c r="C23" s="8" t="str">
        <f>'Report WorkSheet'!C23</f>
        <v>COMPRESSOR DISCHARGE TEMP</v>
      </c>
      <c r="D23" s="14" t="e">
        <f>'Report WorkSheet'!L23</f>
        <v>#N/A</v>
      </c>
      <c r="E23" s="14" t="e">
        <f>'Report WorkSheet'!M23</f>
        <v>#N/A</v>
      </c>
    </row>
    <row r="24" spans="2:7" ht="13.9" customHeight="1" x14ac:dyDescent="0.2">
      <c r="B24" s="6">
        <f>'Report WorkSheet'!B24</f>
        <v>0</v>
      </c>
      <c r="C24" s="8" t="str">
        <f>'Report WorkSheet'!C24</f>
        <v>REFRIGERANT LIQUID TEMP TO EXPANSION VALVE</v>
      </c>
      <c r="D24" s="14" t="e">
        <f>'Report WorkSheet'!L24</f>
        <v>#N/A</v>
      </c>
      <c r="E24" s="14" t="e">
        <f>'Report WorkSheet'!M24</f>
        <v>#N/A</v>
      </c>
    </row>
    <row r="25" spans="2:7" ht="13.9" customHeight="1" x14ac:dyDescent="0.2">
      <c r="B25" s="6">
        <f>'Report WorkSheet'!B25</f>
        <v>0</v>
      </c>
      <c r="C25" s="8" t="str">
        <f>'Report WorkSheet'!C25</f>
        <v>OIL COOLER WATER ON</v>
      </c>
      <c r="D25" s="14" t="e">
        <f>'Report WorkSheet'!L25</f>
        <v>#N/A</v>
      </c>
      <c r="E25" s="14" t="e">
        <f>'Report WorkSheet'!M25</f>
        <v>#N/A</v>
      </c>
    </row>
    <row r="26" spans="2:7" ht="13.9" customHeight="1" x14ac:dyDescent="0.2">
      <c r="B26" s="6">
        <f>'Report WorkSheet'!B26</f>
        <v>0</v>
      </c>
      <c r="C26" s="8" t="str">
        <f>'Report WorkSheet'!C26</f>
        <v>OIL COOLER WATER OFF</v>
      </c>
      <c r="D26" s="14" t="e">
        <f>'Report WorkSheet'!L26</f>
        <v>#N/A</v>
      </c>
      <c r="E26" s="14" t="e">
        <f>'Report WorkSheet'!M26</f>
        <v>#N/A</v>
      </c>
    </row>
    <row r="27" spans="2:7" ht="13.9" customHeight="1" x14ac:dyDescent="0.2">
      <c r="B27" s="6">
        <f>'Report WorkSheet'!B27</f>
        <v>0</v>
      </c>
      <c r="C27" s="8" t="str">
        <f>'Report WorkSheet'!C27</f>
        <v>AMBIENT TEMPERATURE</v>
      </c>
      <c r="D27" s="14" t="e">
        <f>'Report WorkSheet'!L27</f>
        <v>#N/A</v>
      </c>
      <c r="E27" s="14" t="e">
        <f>'Report WorkSheet'!M27</f>
        <v>#N/A</v>
      </c>
    </row>
    <row r="28" spans="2:7" ht="6.95" customHeight="1" x14ac:dyDescent="0.2">
      <c r="B28" s="7"/>
      <c r="C28" s="7"/>
      <c r="D28" s="7"/>
      <c r="E28" s="7"/>
    </row>
    <row r="29" spans="2:7" x14ac:dyDescent="0.2">
      <c r="B29" s="5" t="s">
        <v>7</v>
      </c>
      <c r="C29" s="5"/>
      <c r="D29" s="5"/>
      <c r="E29" s="5"/>
    </row>
    <row r="30" spans="2:7" x14ac:dyDescent="0.2">
      <c r="B30" s="6">
        <f>'Report WorkSheet'!B30</f>
        <v>0</v>
      </c>
      <c r="C30" s="6" t="str">
        <f>'Report WorkSheet'!C30</f>
        <v>COMPRESSOR SUCTION PRESSURE</v>
      </c>
      <c r="D30" s="14" t="e">
        <f>'Report WorkSheet'!L30</f>
        <v>#N/A</v>
      </c>
      <c r="E30" s="14" t="e">
        <f>'Report WorkSheet'!M30</f>
        <v>#N/A</v>
      </c>
    </row>
    <row r="31" spans="2:7" x14ac:dyDescent="0.2">
      <c r="B31" s="6">
        <f>'Report WorkSheet'!B31</f>
        <v>0</v>
      </c>
      <c r="C31" s="6" t="str">
        <f>'Report WorkSheet'!C31</f>
        <v>COMPRESSOR DISCHARGE PRESSURE</v>
      </c>
      <c r="D31" s="14" t="e">
        <f>'Report WorkSheet'!L31</f>
        <v>#N/A</v>
      </c>
      <c r="E31" s="14" t="e">
        <f>'Report WorkSheet'!M31</f>
        <v>#N/A</v>
      </c>
    </row>
    <row r="32" spans="2:7" x14ac:dyDescent="0.2">
      <c r="B32" s="6">
        <f>'Report WorkSheet'!B32</f>
        <v>0</v>
      </c>
      <c r="C32" s="6" t="str">
        <f>'Report WorkSheet'!C32</f>
        <v>CONDENSER PRESSURE</v>
      </c>
      <c r="D32" s="14" t="e">
        <f>'Report WorkSheet'!L32</f>
        <v>#N/A</v>
      </c>
      <c r="E32" s="14" t="e">
        <f>'Report WorkSheet'!M32</f>
        <v>#N/A</v>
      </c>
    </row>
    <row r="33" spans="2:5" x14ac:dyDescent="0.2">
      <c r="B33" s="6">
        <f>'Report WorkSheet'!B33</f>
        <v>0</v>
      </c>
      <c r="C33" s="6" t="str">
        <f>'Report WorkSheet'!C33</f>
        <v>OIL PRESSURE</v>
      </c>
      <c r="D33" s="14" t="e">
        <f>'Report WorkSheet'!L33</f>
        <v>#N/A</v>
      </c>
      <c r="E33" s="14" t="e">
        <f>'Report WorkSheet'!M33</f>
        <v>#N/A</v>
      </c>
    </row>
    <row r="34" spans="2:5" x14ac:dyDescent="0.2">
      <c r="B34" s="6">
        <f>'Report WorkSheet'!B34</f>
        <v>0</v>
      </c>
      <c r="C34" s="6" t="str">
        <f>'Report WorkSheet'!C34</f>
        <v>OIL SUMP PRESSURE</v>
      </c>
      <c r="D34" s="14" t="e">
        <f>'Report WorkSheet'!L34</f>
        <v>#N/A</v>
      </c>
      <c r="E34" s="14" t="e">
        <f>'Report WorkSheet'!M34</f>
        <v>#N/A</v>
      </c>
    </row>
    <row r="35" spans="2:5" x14ac:dyDescent="0.2">
      <c r="B35" s="6">
        <f>'Report WorkSheet'!B35</f>
        <v>0</v>
      </c>
      <c r="C35" s="6" t="str">
        <f>'Report WorkSheet'!C35</f>
        <v>BAROMETRIC PRESSURE</v>
      </c>
      <c r="D35" s="14" t="e">
        <f>'Report WorkSheet'!L35</f>
        <v>#N/A</v>
      </c>
      <c r="E35" s="14" t="e">
        <f>'Report WorkSheet'!M35</f>
        <v>#N/A</v>
      </c>
    </row>
    <row r="36" spans="2:5" x14ac:dyDescent="0.2">
      <c r="B36" s="6">
        <f>'Report WorkSheet'!B36</f>
        <v>0</v>
      </c>
      <c r="C36" s="6" t="str">
        <f>'Report WorkSheet'!C36</f>
        <v>TEST CHAMBER HUMIDITY</v>
      </c>
      <c r="D36" s="14" t="e">
        <f>'Report WorkSheet'!L36</f>
        <v>#N/A</v>
      </c>
      <c r="E36" s="14" t="e">
        <f>'Report WorkSheet'!M36</f>
        <v>#N/A</v>
      </c>
    </row>
    <row r="37" spans="2:5" ht="6.95" customHeight="1" x14ac:dyDescent="0.2">
      <c r="B37" s="7"/>
      <c r="C37" s="7"/>
      <c r="D37" s="7"/>
      <c r="E37" s="7"/>
    </row>
    <row r="38" spans="2:5" x14ac:dyDescent="0.2">
      <c r="B38" s="5" t="s">
        <v>9</v>
      </c>
      <c r="C38" s="5"/>
      <c r="D38" s="5"/>
      <c r="E38" s="5"/>
    </row>
    <row r="39" spans="2:5" x14ac:dyDescent="0.2">
      <c r="B39" s="6">
        <f>'Report WorkSheet'!B39</f>
        <v>0</v>
      </c>
      <c r="C39" s="6" t="str">
        <f>'Report WorkSheet'!C39</f>
        <v>EVAPORATOR WATER PRESSURE DROP</v>
      </c>
      <c r="D39" s="14" t="e">
        <f>'Report WorkSheet'!L39</f>
        <v>#N/A</v>
      </c>
      <c r="E39" s="14" t="e">
        <f>'Report WorkSheet'!M39</f>
        <v>#N/A</v>
      </c>
    </row>
    <row r="40" spans="2:5" x14ac:dyDescent="0.2">
      <c r="B40" s="6">
        <f>'Report WorkSheet'!B40</f>
        <v>0</v>
      </c>
      <c r="C40" s="6" t="str">
        <f>'Report WorkSheet'!C40</f>
        <v>CONDENSER WATER PRESSURE DROP</v>
      </c>
      <c r="D40" s="14" t="e">
        <f>'Report WorkSheet'!L40</f>
        <v>#N/A</v>
      </c>
      <c r="E40" s="14" t="e">
        <f>'Report WorkSheet'!M40</f>
        <v>#N/A</v>
      </c>
    </row>
    <row r="41" spans="2:5" x14ac:dyDescent="0.2">
      <c r="B41" s="6">
        <f>'Report WorkSheet'!B41</f>
        <v>0</v>
      </c>
      <c r="C41" s="6" t="str">
        <f>'Report WorkSheet'!C41</f>
        <v>OIL COOLER WATER PRESSURE DROP</v>
      </c>
      <c r="D41" s="14" t="e">
        <f>'Report WorkSheet'!L41</f>
        <v>#N/A</v>
      </c>
      <c r="E41" s="14" t="e">
        <f>'Report WorkSheet'!M41</f>
        <v>#N/A</v>
      </c>
    </row>
    <row r="42" spans="2:5" ht="6.95" customHeight="1" x14ac:dyDescent="0.2">
      <c r="B42" s="7"/>
      <c r="C42" s="7"/>
      <c r="D42" s="7"/>
      <c r="E42" s="7"/>
    </row>
    <row r="43" spans="2:5" x14ac:dyDescent="0.2">
      <c r="B43" s="5" t="s">
        <v>11</v>
      </c>
      <c r="C43" s="5"/>
      <c r="D43" s="5"/>
      <c r="E43" s="5"/>
    </row>
    <row r="44" spans="2:5" x14ac:dyDescent="0.2">
      <c r="B44" s="6">
        <f>'Report WorkSheet'!B44</f>
        <v>0</v>
      </c>
      <c r="C44" s="20" t="str">
        <f>'Report WorkSheet'!C44</f>
        <v>EVAPORATOR WATER FLOW A</v>
      </c>
      <c r="D44" s="14" t="e">
        <f>'Report WorkSheet'!L44</f>
        <v>#N/A</v>
      </c>
      <c r="E44" s="14" t="e">
        <f>'Report WorkSheet'!M44</f>
        <v>#N/A</v>
      </c>
    </row>
    <row r="45" spans="2:5" x14ac:dyDescent="0.2">
      <c r="B45" s="6">
        <f>'Report WorkSheet'!B45</f>
        <v>0</v>
      </c>
      <c r="C45" s="20" t="str">
        <f>'Report WorkSheet'!C45</f>
        <v>EVAPORATOR WATER FLOW B</v>
      </c>
      <c r="D45" s="14" t="e">
        <f>'Report WorkSheet'!L45</f>
        <v>#N/A</v>
      </c>
      <c r="E45" s="14" t="e">
        <f>'Report WorkSheet'!M45</f>
        <v>#N/A</v>
      </c>
    </row>
    <row r="46" spans="2:5" x14ac:dyDescent="0.2">
      <c r="B46" s="6">
        <f>'Report WorkSheet'!B46</f>
        <v>0</v>
      </c>
      <c r="C46" s="20" t="str">
        <f>'Report WorkSheet'!C46</f>
        <v>CONDENSER WATER FLOW A</v>
      </c>
      <c r="D46" s="14" t="e">
        <f>'Report WorkSheet'!L46</f>
        <v>#N/A</v>
      </c>
      <c r="E46" s="14" t="e">
        <f>'Report WorkSheet'!M46</f>
        <v>#N/A</v>
      </c>
    </row>
    <row r="47" spans="2:5" x14ac:dyDescent="0.2">
      <c r="B47" s="6">
        <f>'Report WorkSheet'!B47</f>
        <v>0</v>
      </c>
      <c r="C47" s="20" t="str">
        <f>'Report WorkSheet'!C47</f>
        <v>CONDENSER WATER FLOW B</v>
      </c>
      <c r="D47" s="14" t="e">
        <f>'Report WorkSheet'!L47</f>
        <v>#N/A</v>
      </c>
      <c r="E47" s="14" t="e">
        <f>'Report WorkSheet'!M47</f>
        <v>#N/A</v>
      </c>
    </row>
    <row r="48" spans="2:5" x14ac:dyDescent="0.2">
      <c r="B48" s="6">
        <f>'Report WorkSheet'!B48</f>
        <v>0</v>
      </c>
      <c r="C48" s="20" t="str">
        <f>'Report WorkSheet'!C48</f>
        <v>OIL COOLER WATER FLOW</v>
      </c>
      <c r="D48" s="14" t="e">
        <f>'Report WorkSheet'!L48</f>
        <v>#N/A</v>
      </c>
      <c r="E48" s="14" t="e">
        <f>'Report WorkSheet'!M48</f>
        <v>#N/A</v>
      </c>
    </row>
    <row r="49" spans="1:5" ht="6.95" customHeight="1" x14ac:dyDescent="0.2">
      <c r="B49" s="7"/>
      <c r="C49" s="7"/>
      <c r="D49" s="7"/>
      <c r="E49" s="7"/>
    </row>
    <row r="50" spans="1:5" x14ac:dyDescent="0.2">
      <c r="A50" s="4" t="s">
        <v>32</v>
      </c>
      <c r="B50" s="5" t="s">
        <v>16</v>
      </c>
      <c r="C50" s="5"/>
      <c r="D50" s="5"/>
      <c r="E50" s="5"/>
    </row>
    <row r="51" spans="1:5" x14ac:dyDescent="0.2">
      <c r="B51" s="6">
        <f>'Report WorkSheet'!B51</f>
        <v>0</v>
      </c>
      <c r="C51" s="6" t="str">
        <f>'Report WorkSheet'!C51</f>
        <v>CHILLER INPUT</v>
      </c>
      <c r="D51" s="14" t="e">
        <f>'Report WorkSheet'!L51</f>
        <v>#N/A</v>
      </c>
      <c r="E51" s="14" t="e">
        <f>'Report WorkSheet'!M51</f>
        <v>#N/A</v>
      </c>
    </row>
    <row r="52" spans="1:5" x14ac:dyDescent="0.2">
      <c r="B52" s="6">
        <f>'Report WorkSheet'!B52</f>
        <v>0</v>
      </c>
      <c r="C52" s="6" t="str">
        <f>'Report WorkSheet'!C52</f>
        <v>OIL PUMP</v>
      </c>
      <c r="D52" s="14" t="e">
        <f>'Report WorkSheet'!L52</f>
        <v>#N/A</v>
      </c>
      <c r="E52" s="14" t="e">
        <f>'Report WorkSheet'!M52</f>
        <v>#N/A</v>
      </c>
    </row>
    <row r="53" spans="1:5" ht="6.95" customHeight="1" x14ac:dyDescent="0.2">
      <c r="B53" s="7"/>
      <c r="C53" s="7"/>
      <c r="D53" s="7"/>
      <c r="E53" s="7"/>
    </row>
    <row r="54" spans="1:5" ht="12.75" customHeight="1" x14ac:dyDescent="0.2">
      <c r="A54" s="18"/>
      <c r="D54" s="3"/>
      <c r="E54" s="3"/>
    </row>
    <row r="55" spans="1:5" x14ac:dyDescent="0.2">
      <c r="A55" s="18"/>
      <c r="D55" s="3"/>
      <c r="E55" s="3"/>
    </row>
    <row r="56" spans="1:5" x14ac:dyDescent="0.2">
      <c r="A56" s="18"/>
      <c r="B56" s="9" t="s">
        <v>30</v>
      </c>
      <c r="C56" s="9">
        <f>'Report WorkSheet'!C56</f>
        <v>0</v>
      </c>
      <c r="D56" s="9" t="s">
        <v>31</v>
      </c>
      <c r="E56" s="19">
        <f>'Report WorkSheet'!E56</f>
        <v>0</v>
      </c>
    </row>
    <row r="57" spans="1:5" x14ac:dyDescent="0.2">
      <c r="A57" s="3"/>
      <c r="D57" s="3"/>
      <c r="E57" s="3"/>
    </row>
  </sheetData>
  <mergeCells count="8">
    <mergeCell ref="B7:B8"/>
    <mergeCell ref="C7:C8"/>
    <mergeCell ref="D7:E7"/>
    <mergeCell ref="B1:E1"/>
    <mergeCell ref="B2:E2"/>
    <mergeCell ref="B3:E3"/>
    <mergeCell ref="B4:E4"/>
    <mergeCell ref="B5:E5"/>
  </mergeCells>
  <printOptions horizontalCentered="1" verticalCentered="1"/>
  <pageMargins left="0.25" right="0.25" top="0.25" bottom="0.25" header="0.3" footer="0.3"/>
  <pageSetup scale="9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O57"/>
  <sheetViews>
    <sheetView tabSelected="1" workbookViewId="0">
      <selection activeCell="D10" sqref="D10:E52"/>
    </sheetView>
  </sheetViews>
  <sheetFormatPr defaultColWidth="8.85546875" defaultRowHeight="12.75" x14ac:dyDescent="0.2"/>
  <cols>
    <col min="1" max="1" width="8.85546875" style="4" customWidth="1"/>
    <col min="2" max="2" width="30.28515625" style="3" bestFit="1" customWidth="1"/>
    <col min="3" max="3" width="42.140625" style="3" bestFit="1" customWidth="1"/>
    <col min="4" max="4" width="33.140625" style="9" bestFit="1" customWidth="1"/>
    <col min="5" max="5" width="26.140625" style="9" bestFit="1" customWidth="1"/>
    <col min="6" max="6" width="21.42578125" style="3" bestFit="1" customWidth="1"/>
    <col min="7" max="7" width="5" style="3" customWidth="1"/>
    <col min="8" max="8" width="31.7109375" style="3" customWidth="1"/>
    <col min="9" max="9" width="23.42578125" style="3" customWidth="1"/>
    <col min="10" max="11" width="29.85546875" style="3" customWidth="1"/>
    <col min="12" max="12" width="25" style="3" bestFit="1" customWidth="1"/>
    <col min="13" max="13" width="24.7109375" style="3" bestFit="1" customWidth="1"/>
    <col min="14" max="14" width="10.42578125" style="3" bestFit="1" customWidth="1"/>
    <col min="15" max="15" width="16.140625" style="3" bestFit="1" customWidth="1"/>
    <col min="16" max="16384" width="8.85546875" style="3"/>
  </cols>
  <sheetData>
    <row r="1" spans="1:15" ht="13.9" customHeight="1" x14ac:dyDescent="0.2">
      <c r="A1" s="11"/>
      <c r="B1" s="11" t="s">
        <v>33</v>
      </c>
      <c r="C1" s="11"/>
      <c r="D1" s="11"/>
      <c r="E1" s="11"/>
      <c r="F1" s="11"/>
    </row>
    <row r="2" spans="1:15" ht="13.9" customHeight="1" x14ac:dyDescent="0.2">
      <c r="A2" s="11"/>
      <c r="B2" s="11" t="s">
        <v>44</v>
      </c>
      <c r="C2" s="40" t="s">
        <v>66</v>
      </c>
      <c r="D2" s="11"/>
      <c r="E2" s="11"/>
      <c r="F2" s="11"/>
      <c r="J2" s="43"/>
      <c r="K2" s="43"/>
      <c r="L2" s="43"/>
    </row>
    <row r="3" spans="1:15" ht="13.9" customHeight="1" x14ac:dyDescent="0.2">
      <c r="A3" s="11"/>
      <c r="B3" s="11" t="s">
        <v>45</v>
      </c>
      <c r="C3" s="40"/>
      <c r="D3" s="11"/>
      <c r="E3" s="11" t="s">
        <v>49</v>
      </c>
      <c r="F3" s="11"/>
      <c r="H3" s="9"/>
    </row>
    <row r="4" spans="1:15" ht="12.75" customHeight="1" x14ac:dyDescent="0.2">
      <c r="A4" s="11"/>
      <c r="B4" s="41" t="s">
        <v>46</v>
      </c>
      <c r="C4" s="49"/>
      <c r="E4" s="45"/>
      <c r="F4" s="11"/>
    </row>
    <row r="5" spans="1:15" x14ac:dyDescent="0.2">
      <c r="A5" s="11"/>
      <c r="B5" s="11" t="s">
        <v>47</v>
      </c>
      <c r="C5" s="40"/>
      <c r="D5" s="11"/>
      <c r="E5" s="11"/>
      <c r="F5" s="11"/>
    </row>
    <row r="6" spans="1:15" x14ac:dyDescent="0.2">
      <c r="A6" s="10"/>
      <c r="B6" s="11"/>
      <c r="C6" s="12"/>
      <c r="D6" s="15"/>
      <c r="E6" s="15"/>
    </row>
    <row r="7" spans="1:15" x14ac:dyDescent="0.2">
      <c r="B7" s="55" t="s">
        <v>0</v>
      </c>
      <c r="C7" s="55" t="s">
        <v>1</v>
      </c>
      <c r="D7" s="55" t="s">
        <v>35</v>
      </c>
      <c r="E7" s="55"/>
      <c r="F7" s="56" t="s">
        <v>36</v>
      </c>
      <c r="H7" s="5" t="s">
        <v>41</v>
      </c>
      <c r="I7" s="5" t="s">
        <v>17</v>
      </c>
      <c r="J7" s="5" t="s">
        <v>40</v>
      </c>
      <c r="K7" s="5" t="s">
        <v>19</v>
      </c>
      <c r="L7" s="5" t="s">
        <v>38</v>
      </c>
      <c r="M7" s="17" t="s">
        <v>39</v>
      </c>
      <c r="N7" s="47" t="s">
        <v>48</v>
      </c>
      <c r="O7" s="5" t="s">
        <v>43</v>
      </c>
    </row>
    <row r="8" spans="1:15" x14ac:dyDescent="0.2">
      <c r="B8" s="55"/>
      <c r="C8" s="55"/>
      <c r="D8" s="37" t="s">
        <v>34</v>
      </c>
      <c r="E8" s="37" t="s">
        <v>18</v>
      </c>
      <c r="F8" s="57"/>
      <c r="H8" s="6"/>
      <c r="I8" s="6"/>
      <c r="J8" s="6"/>
      <c r="K8" s="6"/>
      <c r="L8" s="6"/>
      <c r="M8" s="8"/>
      <c r="N8" s="48"/>
      <c r="O8" s="44"/>
    </row>
    <row r="9" spans="1:15" x14ac:dyDescent="0.2">
      <c r="B9" s="38" t="s">
        <v>5</v>
      </c>
      <c r="C9" s="29"/>
      <c r="D9" s="30"/>
      <c r="E9" s="31"/>
      <c r="F9" s="31"/>
      <c r="H9" s="6"/>
      <c r="I9" s="6"/>
      <c r="J9" s="6"/>
      <c r="K9" s="6"/>
      <c r="L9" s="6"/>
      <c r="M9" s="8"/>
      <c r="N9" s="48"/>
      <c r="O9" s="44"/>
    </row>
    <row r="10" spans="1:15" x14ac:dyDescent="0.2">
      <c r="B10" s="26"/>
      <c r="C10" s="5" t="s">
        <v>20</v>
      </c>
      <c r="D10" s="58" t="s">
        <v>67</v>
      </c>
      <c r="E10" s="58" t="s">
        <v>68</v>
      </c>
      <c r="F10" s="52" t="s">
        <v>42</v>
      </c>
      <c r="H10" s="6" t="e">
        <f>INDEX(CalReport!D:D,MATCH($B10,CalReport!R:R,0))</f>
        <v>#N/A</v>
      </c>
      <c r="I10" s="6" t="e">
        <f>IF(EXACT(D10,H10), "y","n")</f>
        <v>#N/A</v>
      </c>
      <c r="J10" s="6" t="e">
        <f>INDEX(CalReport!G:G,MATCH($B10,CalReport!R:R,0))</f>
        <v>#N/A</v>
      </c>
      <c r="K10" s="6" t="e">
        <f>IF(EXACT(E10,J10), "y","n")</f>
        <v>#N/A</v>
      </c>
      <c r="L10" s="42" t="e">
        <f>INDEX(CalReport!V:V,MATCH($B10,CalReport!R:R,0))</f>
        <v>#N/A</v>
      </c>
      <c r="M10" s="46" t="e">
        <f>INDEX(CalReport!W:W,MATCH($B10,CalReport!R:R,0))</f>
        <v>#N/A</v>
      </c>
      <c r="N10" s="48" t="e">
        <f t="shared" ref="N10:N19" si="0">M10-L10</f>
        <v>#N/A</v>
      </c>
      <c r="O10" s="44" t="e">
        <f t="shared" ref="O10:O19" si="1">AND($E$4&gt;=L10,$E$4&lt;=M10)</f>
        <v>#N/A</v>
      </c>
    </row>
    <row r="11" spans="1:15" x14ac:dyDescent="0.2">
      <c r="B11" s="24"/>
      <c r="C11" s="6" t="s">
        <v>21</v>
      </c>
      <c r="D11" s="59" t="s">
        <v>69</v>
      </c>
      <c r="E11" s="59" t="s">
        <v>70</v>
      </c>
      <c r="F11" s="53"/>
      <c r="H11" s="6" t="e">
        <f>INDEX(CalReport!D:D,MATCH($B11,CalReport!R:R,0))</f>
        <v>#N/A</v>
      </c>
      <c r="I11" s="6" t="e">
        <f t="shared" ref="I11:I44" si="2">IF(EXACT(D11,H11), "y","n")</f>
        <v>#N/A</v>
      </c>
      <c r="J11" s="6" t="e">
        <f>INDEX(CalReport!G:G,MATCH($B11,CalReport!R:R,0))</f>
        <v>#N/A</v>
      </c>
      <c r="K11" s="6" t="e">
        <f t="shared" ref="K11:K44" si="3">IF(EXACT(E11,J11), "y","n")</f>
        <v>#N/A</v>
      </c>
      <c r="L11" s="42" t="e">
        <f>INDEX(CalReport!V:V,MATCH($B11,CalReport!R:R,0))</f>
        <v>#N/A</v>
      </c>
      <c r="M11" s="46" t="e">
        <f>INDEX(CalReport!W:W,MATCH($B11,CalReport!R:R,0))</f>
        <v>#N/A</v>
      </c>
      <c r="N11" s="48" t="e">
        <f t="shared" si="0"/>
        <v>#N/A</v>
      </c>
      <c r="O11" s="44" t="e">
        <f t="shared" si="1"/>
        <v>#N/A</v>
      </c>
    </row>
    <row r="12" spans="1:15" x14ac:dyDescent="0.2">
      <c r="B12" s="24"/>
      <c r="C12" s="6" t="s">
        <v>22</v>
      </c>
      <c r="D12" s="59" t="s">
        <v>71</v>
      </c>
      <c r="E12" s="59" t="s">
        <v>72</v>
      </c>
      <c r="F12" s="53"/>
      <c r="H12" s="6" t="e">
        <f>INDEX(CalReport!D:D,MATCH($B12,CalReport!R:R,0))</f>
        <v>#N/A</v>
      </c>
      <c r="I12" s="6" t="e">
        <f t="shared" si="2"/>
        <v>#N/A</v>
      </c>
      <c r="J12" s="6" t="e">
        <f>INDEX(CalReport!G:G,MATCH($B12,CalReport!R:R,0))</f>
        <v>#N/A</v>
      </c>
      <c r="K12" s="6" t="e">
        <f t="shared" si="3"/>
        <v>#N/A</v>
      </c>
      <c r="L12" s="42" t="e">
        <f>INDEX(CalReport!V:V,MATCH($B12,CalReport!R:R,0))</f>
        <v>#N/A</v>
      </c>
      <c r="M12" s="46" t="e">
        <f>INDEX(CalReport!W:W,MATCH($B12,CalReport!R:R,0))</f>
        <v>#N/A</v>
      </c>
      <c r="N12" s="48" t="e">
        <f t="shared" si="0"/>
        <v>#N/A</v>
      </c>
      <c r="O12" s="44" t="e">
        <f t="shared" si="1"/>
        <v>#N/A</v>
      </c>
    </row>
    <row r="13" spans="1:15" x14ac:dyDescent="0.2">
      <c r="B13" s="24"/>
      <c r="C13" s="6" t="s">
        <v>23</v>
      </c>
      <c r="D13" s="59" t="s">
        <v>73</v>
      </c>
      <c r="E13" s="59" t="s">
        <v>74</v>
      </c>
      <c r="F13" s="53"/>
      <c r="H13" s="6" t="e">
        <f>INDEX(CalReport!D:D,MATCH($B13,CalReport!R:R,0))</f>
        <v>#N/A</v>
      </c>
      <c r="I13" s="6" t="e">
        <f t="shared" si="2"/>
        <v>#N/A</v>
      </c>
      <c r="J13" s="6" t="e">
        <f>INDEX(CalReport!G:G,MATCH($B13,CalReport!R:R,0))</f>
        <v>#N/A</v>
      </c>
      <c r="K13" s="6" t="e">
        <f t="shared" si="3"/>
        <v>#N/A</v>
      </c>
      <c r="L13" s="42" t="e">
        <f>INDEX(CalReport!V:V,MATCH($B13,CalReport!R:R,0))</f>
        <v>#N/A</v>
      </c>
      <c r="M13" s="46" t="e">
        <f>INDEX(CalReport!W:W,MATCH($B13,CalReport!R:R,0))</f>
        <v>#N/A</v>
      </c>
      <c r="N13" s="48" t="e">
        <f t="shared" si="0"/>
        <v>#N/A</v>
      </c>
      <c r="O13" s="44" t="e">
        <f t="shared" si="1"/>
        <v>#N/A</v>
      </c>
    </row>
    <row r="14" spans="1:15" x14ac:dyDescent="0.2">
      <c r="B14" s="24"/>
      <c r="C14" s="6" t="s">
        <v>24</v>
      </c>
      <c r="D14" s="59" t="s">
        <v>75</v>
      </c>
      <c r="E14" s="59" t="s">
        <v>76</v>
      </c>
      <c r="F14" s="53"/>
      <c r="H14" s="6" t="e">
        <f>INDEX(CalReport!D:D,MATCH($B14,CalReport!R:R,0))</f>
        <v>#N/A</v>
      </c>
      <c r="I14" s="6" t="e">
        <f t="shared" si="2"/>
        <v>#N/A</v>
      </c>
      <c r="J14" s="6" t="e">
        <f>INDEX(CalReport!G:G,MATCH($B14,CalReport!R:R,0))</f>
        <v>#N/A</v>
      </c>
      <c r="K14" s="6" t="e">
        <f t="shared" si="3"/>
        <v>#N/A</v>
      </c>
      <c r="L14" s="42" t="e">
        <f>INDEX(CalReport!V:V,MATCH($B14,CalReport!R:R,0))</f>
        <v>#N/A</v>
      </c>
      <c r="M14" s="46" t="e">
        <f>INDEX(CalReport!W:W,MATCH($B14,CalReport!R:R,0))</f>
        <v>#N/A</v>
      </c>
      <c r="N14" s="48" t="e">
        <f t="shared" si="0"/>
        <v>#N/A</v>
      </c>
      <c r="O14" s="44" t="e">
        <f t="shared" si="1"/>
        <v>#N/A</v>
      </c>
    </row>
    <row r="15" spans="1:15" x14ac:dyDescent="0.2">
      <c r="B15" s="24"/>
      <c r="C15" s="8" t="s">
        <v>25</v>
      </c>
      <c r="D15" s="59" t="s">
        <v>77</v>
      </c>
      <c r="E15" s="59" t="s">
        <v>78</v>
      </c>
      <c r="F15" s="53"/>
      <c r="H15" s="6" t="e">
        <f>INDEX(CalReport!D:D,MATCH($B15,CalReport!R:R,0))</f>
        <v>#N/A</v>
      </c>
      <c r="I15" s="6" t="e">
        <f t="shared" si="2"/>
        <v>#N/A</v>
      </c>
      <c r="J15" s="6" t="e">
        <f>INDEX(CalReport!G:G,MATCH($B15,CalReport!R:R,0))</f>
        <v>#N/A</v>
      </c>
      <c r="K15" s="6" t="e">
        <f t="shared" si="3"/>
        <v>#N/A</v>
      </c>
      <c r="L15" s="42" t="e">
        <f>INDEX(CalReport!V:V,MATCH($B15,CalReport!R:R,0))</f>
        <v>#N/A</v>
      </c>
      <c r="M15" s="46" t="e">
        <f>INDEX(CalReport!W:W,MATCH($B15,CalReport!R:R,0))</f>
        <v>#N/A</v>
      </c>
      <c r="N15" s="48" t="e">
        <f t="shared" si="0"/>
        <v>#N/A</v>
      </c>
      <c r="O15" s="44" t="e">
        <f t="shared" si="1"/>
        <v>#N/A</v>
      </c>
    </row>
    <row r="16" spans="1:15" x14ac:dyDescent="0.2">
      <c r="B16" s="24"/>
      <c r="C16" s="8" t="s">
        <v>26</v>
      </c>
      <c r="D16" s="59" t="s">
        <v>79</v>
      </c>
      <c r="E16" s="59" t="s">
        <v>80</v>
      </c>
      <c r="F16" s="53"/>
      <c r="H16" s="6" t="e">
        <f>INDEX(CalReport!D:D,MATCH($B16,CalReport!R:R,0))</f>
        <v>#N/A</v>
      </c>
      <c r="I16" s="6" t="e">
        <f t="shared" si="2"/>
        <v>#N/A</v>
      </c>
      <c r="J16" s="6" t="e">
        <f>INDEX(CalReport!G:G,MATCH($B16,CalReport!R:R,0))</f>
        <v>#N/A</v>
      </c>
      <c r="K16" s="6" t="e">
        <f t="shared" si="3"/>
        <v>#N/A</v>
      </c>
      <c r="L16" s="42" t="e">
        <f>INDEX(CalReport!V:V,MATCH($B16,CalReport!R:R,0))</f>
        <v>#N/A</v>
      </c>
      <c r="M16" s="46" t="e">
        <f>INDEX(CalReport!W:W,MATCH($B16,CalReport!R:R,0))</f>
        <v>#N/A</v>
      </c>
      <c r="N16" s="48" t="e">
        <f t="shared" si="0"/>
        <v>#N/A</v>
      </c>
      <c r="O16" s="44" t="e">
        <f t="shared" si="1"/>
        <v>#N/A</v>
      </c>
    </row>
    <row r="17" spans="2:15" x14ac:dyDescent="0.2">
      <c r="B17" s="24"/>
      <c r="C17" s="8" t="s">
        <v>27</v>
      </c>
      <c r="D17" s="59" t="s">
        <v>81</v>
      </c>
      <c r="E17" s="59" t="s">
        <v>82</v>
      </c>
      <c r="F17" s="53"/>
      <c r="G17" s="13"/>
      <c r="H17" s="6" t="e">
        <f>INDEX(CalReport!D:D,MATCH($B17,CalReport!R:R,0))</f>
        <v>#N/A</v>
      </c>
      <c r="I17" s="6" t="e">
        <f t="shared" si="2"/>
        <v>#N/A</v>
      </c>
      <c r="J17" s="6" t="e">
        <f>INDEX(CalReport!G:G,MATCH($B17,CalReport!R:R,0))</f>
        <v>#N/A</v>
      </c>
      <c r="K17" s="6" t="e">
        <f t="shared" si="3"/>
        <v>#N/A</v>
      </c>
      <c r="L17" s="42" t="e">
        <f>INDEX(CalReport!V:V,MATCH($B17,CalReport!R:R,0))</f>
        <v>#N/A</v>
      </c>
      <c r="M17" s="46" t="e">
        <f>INDEX(CalReport!W:W,MATCH($B17,CalReport!R:R,0))</f>
        <v>#N/A</v>
      </c>
      <c r="N17" s="48" t="e">
        <f t="shared" si="0"/>
        <v>#N/A</v>
      </c>
      <c r="O17" s="44" t="e">
        <f t="shared" si="1"/>
        <v>#N/A</v>
      </c>
    </row>
    <row r="18" spans="2:15" x14ac:dyDescent="0.2">
      <c r="B18" s="24"/>
      <c r="C18" s="8" t="s">
        <v>28</v>
      </c>
      <c r="D18" s="59" t="s">
        <v>83</v>
      </c>
      <c r="E18" s="59" t="s">
        <v>84</v>
      </c>
      <c r="F18" s="53"/>
      <c r="H18" s="6" t="e">
        <f>INDEX(CalReport!D:D,MATCH($B18,CalReport!R:R,0))</f>
        <v>#N/A</v>
      </c>
      <c r="I18" s="6" t="e">
        <f t="shared" si="2"/>
        <v>#N/A</v>
      </c>
      <c r="J18" s="6" t="e">
        <f>INDEX(CalReport!G:G,MATCH($B18,CalReport!R:R,0))</f>
        <v>#N/A</v>
      </c>
      <c r="K18" s="6" t="e">
        <f t="shared" si="3"/>
        <v>#N/A</v>
      </c>
      <c r="L18" s="42" t="e">
        <f>INDEX(CalReport!V:V,MATCH($B18,CalReport!R:R,0))</f>
        <v>#N/A</v>
      </c>
      <c r="M18" s="46" t="e">
        <f>INDEX(CalReport!W:W,MATCH($B18,CalReport!R:R,0))</f>
        <v>#N/A</v>
      </c>
      <c r="N18" s="48" t="e">
        <f t="shared" si="0"/>
        <v>#N/A</v>
      </c>
      <c r="O18" s="44" t="e">
        <f t="shared" si="1"/>
        <v>#N/A</v>
      </c>
    </row>
    <row r="19" spans="2:15" x14ac:dyDescent="0.2">
      <c r="B19" s="27"/>
      <c r="C19" s="28" t="s">
        <v>29</v>
      </c>
      <c r="D19" s="60" t="s">
        <v>85</v>
      </c>
      <c r="E19" s="60" t="s">
        <v>86</v>
      </c>
      <c r="F19" s="54"/>
      <c r="H19" s="6" t="e">
        <f>INDEX(CalReport!D:D,MATCH($B19,CalReport!R:R,0))</f>
        <v>#N/A</v>
      </c>
      <c r="I19" s="6" t="e">
        <f t="shared" si="2"/>
        <v>#N/A</v>
      </c>
      <c r="J19" s="6" t="e">
        <f>INDEX(CalReport!G:G,MATCH($B19,CalReport!R:R,0))</f>
        <v>#N/A</v>
      </c>
      <c r="K19" s="6" t="e">
        <f t="shared" si="3"/>
        <v>#N/A</v>
      </c>
      <c r="L19" s="42" t="e">
        <f>INDEX(CalReport!V:V,MATCH($B19,CalReport!R:R,0))</f>
        <v>#N/A</v>
      </c>
      <c r="M19" s="46" t="e">
        <f>INDEX(CalReport!W:W,MATCH($B19,CalReport!R:R,0))</f>
        <v>#N/A</v>
      </c>
      <c r="N19" s="48" t="e">
        <f t="shared" si="0"/>
        <v>#N/A</v>
      </c>
      <c r="O19" s="44" t="e">
        <f t="shared" si="1"/>
        <v>#N/A</v>
      </c>
    </row>
    <row r="20" spans="2:15" ht="6.95" customHeight="1" x14ac:dyDescent="0.2">
      <c r="B20" s="6"/>
      <c r="C20" s="8"/>
      <c r="D20" s="61"/>
      <c r="E20" s="61"/>
      <c r="F20" s="25"/>
      <c r="H20" s="6"/>
      <c r="I20" s="6"/>
      <c r="J20" s="6"/>
      <c r="K20" s="6"/>
      <c r="L20" s="42"/>
      <c r="M20" s="46"/>
      <c r="N20" s="48"/>
      <c r="O20" s="44"/>
    </row>
    <row r="21" spans="2:15" x14ac:dyDescent="0.2">
      <c r="B21" s="38" t="s">
        <v>6</v>
      </c>
      <c r="C21" s="8"/>
      <c r="D21" s="61"/>
      <c r="E21" s="61"/>
      <c r="F21" s="25"/>
      <c r="H21" s="6"/>
      <c r="I21" s="6"/>
      <c r="J21" s="6"/>
      <c r="K21" s="6"/>
      <c r="L21" s="42"/>
      <c r="M21" s="46"/>
      <c r="N21" s="48"/>
      <c r="O21" s="44"/>
    </row>
    <row r="22" spans="2:15" ht="12.75" customHeight="1" x14ac:dyDescent="0.2">
      <c r="B22" s="26"/>
      <c r="C22" s="17" t="s">
        <v>60</v>
      </c>
      <c r="D22" s="62" t="s">
        <v>87</v>
      </c>
      <c r="E22" s="62" t="s">
        <v>112</v>
      </c>
      <c r="F22" s="52" t="s">
        <v>37</v>
      </c>
      <c r="H22" s="6" t="e">
        <f>INDEX(CalReport!D:D,MATCH($B22,CalReport!R:R,0))</f>
        <v>#N/A</v>
      </c>
      <c r="I22" s="6" t="e">
        <f t="shared" si="2"/>
        <v>#N/A</v>
      </c>
      <c r="J22" s="6" t="e">
        <f>INDEX(CalReport!G:G,MATCH($B22,CalReport!R:R,0))</f>
        <v>#N/A</v>
      </c>
      <c r="K22" s="6" t="e">
        <f t="shared" si="3"/>
        <v>#N/A</v>
      </c>
      <c r="L22" s="42" t="e">
        <f>INDEX(CalReport!V:V,MATCH($B22,CalReport!R:R,0))</f>
        <v>#N/A</v>
      </c>
      <c r="M22" s="46" t="e">
        <f>INDEX(CalReport!W:W,MATCH($B22,CalReport!R:R,0))</f>
        <v>#N/A</v>
      </c>
      <c r="N22" s="48" t="e">
        <f t="shared" ref="N22" si="4">M22-L22</f>
        <v>#N/A</v>
      </c>
      <c r="O22" s="44" t="e">
        <f t="shared" ref="O22" si="5">AND($E$4&gt;=L22,$E$4&lt;=M22)</f>
        <v>#N/A</v>
      </c>
    </row>
    <row r="23" spans="2:15" ht="13.9" customHeight="1" x14ac:dyDescent="0.2">
      <c r="B23" s="24"/>
      <c r="C23" s="8" t="s">
        <v>61</v>
      </c>
      <c r="D23" s="63" t="s">
        <v>88</v>
      </c>
      <c r="E23" s="63" t="s">
        <v>113</v>
      </c>
      <c r="F23" s="53"/>
      <c r="H23" s="6" t="e">
        <f>INDEX(CalReport!D:D,MATCH($B23,CalReport!R:R,0))</f>
        <v>#N/A</v>
      </c>
      <c r="I23" s="6" t="e">
        <f t="shared" ref="I23:I27" si="6">IF(EXACT(D23,H23), "y","n")</f>
        <v>#N/A</v>
      </c>
      <c r="J23" s="6" t="e">
        <f>INDEX(CalReport!G:G,MATCH($B23,CalReport!R:R,0))</f>
        <v>#N/A</v>
      </c>
      <c r="K23" s="6" t="e">
        <f t="shared" ref="K23:K27" si="7">IF(EXACT(E23,J23), "y","n")</f>
        <v>#N/A</v>
      </c>
      <c r="L23" s="42" t="e">
        <f>INDEX(CalReport!V:V,MATCH($B23,CalReport!R:R,0))</f>
        <v>#N/A</v>
      </c>
      <c r="M23" s="46" t="e">
        <f>INDEX(CalReport!W:W,MATCH($B23,CalReport!R:R,0))</f>
        <v>#N/A</v>
      </c>
      <c r="N23" s="48" t="e">
        <f t="shared" ref="N23:N27" si="8">M23-L23</f>
        <v>#N/A</v>
      </c>
      <c r="O23" s="44" t="e">
        <f t="shared" ref="O23:O27" si="9">AND($E$4&gt;=L23,$E$4&lt;=M23)</f>
        <v>#N/A</v>
      </c>
    </row>
    <row r="24" spans="2:15" ht="13.9" customHeight="1" x14ac:dyDescent="0.2">
      <c r="B24" s="24"/>
      <c r="C24" s="6" t="s">
        <v>62</v>
      </c>
      <c r="D24" s="63" t="s">
        <v>89</v>
      </c>
      <c r="E24" s="63" t="s">
        <v>114</v>
      </c>
      <c r="F24" s="53"/>
      <c r="H24" s="6" t="e">
        <f>INDEX(CalReport!D:D,MATCH($B24,CalReport!R:R,0))</f>
        <v>#N/A</v>
      </c>
      <c r="I24" s="6" t="e">
        <f t="shared" si="6"/>
        <v>#N/A</v>
      </c>
      <c r="J24" s="6" t="e">
        <f>INDEX(CalReport!G:G,MATCH($B24,CalReport!R:R,0))</f>
        <v>#N/A</v>
      </c>
      <c r="K24" s="6" t="e">
        <f t="shared" si="7"/>
        <v>#N/A</v>
      </c>
      <c r="L24" s="42" t="e">
        <f>INDEX(CalReport!V:V,MATCH($B24,CalReport!R:R,0))</f>
        <v>#N/A</v>
      </c>
      <c r="M24" s="46" t="e">
        <f>INDEX(CalReport!W:W,MATCH($B24,CalReport!R:R,0))</f>
        <v>#N/A</v>
      </c>
      <c r="N24" s="48" t="e">
        <f t="shared" si="8"/>
        <v>#N/A</v>
      </c>
      <c r="O24" s="44" t="e">
        <f t="shared" si="9"/>
        <v>#N/A</v>
      </c>
    </row>
    <row r="25" spans="2:15" ht="13.9" customHeight="1" x14ac:dyDescent="0.2">
      <c r="B25" s="24"/>
      <c r="C25" s="6" t="s">
        <v>63</v>
      </c>
      <c r="D25" s="63" t="s">
        <v>90</v>
      </c>
      <c r="E25" s="63" t="s">
        <v>115</v>
      </c>
      <c r="F25" s="53"/>
      <c r="H25" s="6" t="e">
        <f>INDEX(CalReport!D:D,MATCH($B25,CalReport!R:R,0))</f>
        <v>#N/A</v>
      </c>
      <c r="I25" s="6" t="e">
        <f t="shared" si="6"/>
        <v>#N/A</v>
      </c>
      <c r="J25" s="6" t="e">
        <f>INDEX(CalReport!G:G,MATCH($B25,CalReport!R:R,0))</f>
        <v>#N/A</v>
      </c>
      <c r="K25" s="6" t="e">
        <f t="shared" si="7"/>
        <v>#N/A</v>
      </c>
      <c r="L25" s="42" t="e">
        <f>INDEX(CalReport!V:V,MATCH($B25,CalReport!R:R,0))</f>
        <v>#N/A</v>
      </c>
      <c r="M25" s="46" t="e">
        <f>INDEX(CalReport!W:W,MATCH($B25,CalReport!R:R,0))</f>
        <v>#N/A</v>
      </c>
      <c r="N25" s="48" t="e">
        <f t="shared" si="8"/>
        <v>#N/A</v>
      </c>
      <c r="O25" s="44" t="e">
        <f t="shared" si="9"/>
        <v>#N/A</v>
      </c>
    </row>
    <row r="26" spans="2:15" ht="13.9" customHeight="1" x14ac:dyDescent="0.2">
      <c r="B26" s="24"/>
      <c r="C26" s="6" t="s">
        <v>64</v>
      </c>
      <c r="D26" s="63" t="s">
        <v>91</v>
      </c>
      <c r="E26" s="63" t="s">
        <v>116</v>
      </c>
      <c r="F26" s="53"/>
      <c r="H26" s="6" t="e">
        <f>INDEX(CalReport!D:D,MATCH($B26,CalReport!R:R,0))</f>
        <v>#N/A</v>
      </c>
      <c r="I26" s="6" t="e">
        <f t="shared" si="6"/>
        <v>#N/A</v>
      </c>
      <c r="J26" s="6" t="e">
        <f>INDEX(CalReport!G:G,MATCH($B26,CalReport!R:R,0))</f>
        <v>#N/A</v>
      </c>
      <c r="K26" s="6" t="e">
        <f t="shared" si="7"/>
        <v>#N/A</v>
      </c>
      <c r="L26" s="42" t="e">
        <f>INDEX(CalReport!V:V,MATCH($B26,CalReport!R:R,0))</f>
        <v>#N/A</v>
      </c>
      <c r="M26" s="46" t="e">
        <f>INDEX(CalReport!W:W,MATCH($B26,CalReport!R:R,0))</f>
        <v>#N/A</v>
      </c>
      <c r="N26" s="48" t="e">
        <f t="shared" si="8"/>
        <v>#N/A</v>
      </c>
      <c r="O26" s="44" t="e">
        <f t="shared" si="9"/>
        <v>#N/A</v>
      </c>
    </row>
    <row r="27" spans="2:15" ht="13.9" customHeight="1" x14ac:dyDescent="0.2">
      <c r="B27" s="27"/>
      <c r="C27" s="7" t="s">
        <v>50</v>
      </c>
      <c r="D27" s="64" t="s">
        <v>92</v>
      </c>
      <c r="E27" s="64" t="s">
        <v>117</v>
      </c>
      <c r="F27" s="53"/>
      <c r="H27" s="6" t="e">
        <f>INDEX(CalReport!D:D,MATCH($B27,CalReport!R:R,0))</f>
        <v>#N/A</v>
      </c>
      <c r="I27" s="6" t="e">
        <f t="shared" si="6"/>
        <v>#N/A</v>
      </c>
      <c r="J27" s="6" t="e">
        <f>INDEX(CalReport!G:G,MATCH($B27,CalReport!R:R,0))</f>
        <v>#N/A</v>
      </c>
      <c r="K27" s="6" t="e">
        <f t="shared" si="7"/>
        <v>#N/A</v>
      </c>
      <c r="L27" s="42" t="e">
        <f>INDEX(CalReport!V:V,MATCH($B27,CalReport!R:R,0))</f>
        <v>#N/A</v>
      </c>
      <c r="M27" s="46" t="e">
        <f>INDEX(CalReport!W:W,MATCH($B27,CalReport!R:R,0))</f>
        <v>#N/A</v>
      </c>
      <c r="N27" s="48" t="e">
        <f t="shared" si="8"/>
        <v>#N/A</v>
      </c>
      <c r="O27" s="44" t="e">
        <f t="shared" si="9"/>
        <v>#N/A</v>
      </c>
    </row>
    <row r="28" spans="2:15" ht="6.95" customHeight="1" x14ac:dyDescent="0.2">
      <c r="B28" s="35"/>
      <c r="C28" s="9"/>
      <c r="D28" s="65"/>
      <c r="E28" s="66"/>
      <c r="F28" s="53"/>
      <c r="H28" s="6"/>
      <c r="I28" s="6"/>
      <c r="J28" s="6"/>
      <c r="K28" s="6"/>
      <c r="L28" s="42"/>
      <c r="M28" s="46"/>
      <c r="N28" s="48"/>
      <c r="O28" s="44"/>
    </row>
    <row r="29" spans="2:15" x14ac:dyDescent="0.2">
      <c r="B29" s="39" t="s">
        <v>7</v>
      </c>
      <c r="C29" s="9"/>
      <c r="D29" s="65"/>
      <c r="E29" s="66"/>
      <c r="F29" s="53"/>
      <c r="H29" s="6"/>
      <c r="I29" s="6"/>
      <c r="J29" s="6"/>
      <c r="K29" s="6"/>
      <c r="L29" s="42"/>
      <c r="M29" s="46"/>
      <c r="N29" s="48"/>
      <c r="O29" s="44"/>
    </row>
    <row r="30" spans="2:15" ht="12.75" customHeight="1" x14ac:dyDescent="0.2">
      <c r="B30" s="32"/>
      <c r="C30" s="5" t="s">
        <v>55</v>
      </c>
      <c r="D30" s="62" t="s">
        <v>93</v>
      </c>
      <c r="E30" s="67" t="s">
        <v>118</v>
      </c>
      <c r="F30" s="53"/>
      <c r="H30" s="6" t="e">
        <f>INDEX(CalReport!D:D,MATCH($B30,CalReport!R:R,0))</f>
        <v>#N/A</v>
      </c>
      <c r="I30" s="6" t="e">
        <f t="shared" si="2"/>
        <v>#N/A</v>
      </c>
      <c r="J30" s="6" t="e">
        <f>INDEX(CalReport!G:G,MATCH($B30,CalReport!R:R,0))</f>
        <v>#N/A</v>
      </c>
      <c r="K30" s="6" t="e">
        <f t="shared" si="3"/>
        <v>#N/A</v>
      </c>
      <c r="L30" s="42" t="e">
        <f>INDEX(CalReport!V:V,MATCH($B30,CalReport!R:R,0))</f>
        <v>#N/A</v>
      </c>
      <c r="M30" s="46" t="e">
        <f>INDEX(CalReport!W:W,MATCH($B30,CalReport!R:R,0))</f>
        <v>#N/A</v>
      </c>
      <c r="N30" s="48" t="e">
        <f t="shared" ref="N30" si="10">M30-L30</f>
        <v>#N/A</v>
      </c>
      <c r="O30" s="44" t="e">
        <f t="shared" ref="O30" si="11">AND($E$4&gt;=L30,$E$4&lt;=M30)</f>
        <v>#N/A</v>
      </c>
    </row>
    <row r="31" spans="2:15" x14ac:dyDescent="0.2">
      <c r="B31" s="21"/>
      <c r="C31" s="6" t="s">
        <v>54</v>
      </c>
      <c r="D31" s="63" t="s">
        <v>94</v>
      </c>
      <c r="E31" s="68" t="s">
        <v>119</v>
      </c>
      <c r="F31" s="53"/>
      <c r="H31" s="6" t="e">
        <f>INDEX(CalReport!D:D,MATCH($B31,CalReport!R:R,0))</f>
        <v>#N/A</v>
      </c>
      <c r="I31" s="6" t="e">
        <f t="shared" ref="I31:I36" si="12">IF(EXACT(D31,H31), "y","n")</f>
        <v>#N/A</v>
      </c>
      <c r="J31" s="6" t="e">
        <f>INDEX(CalReport!G:G,MATCH($B31,CalReport!R:R,0))</f>
        <v>#N/A</v>
      </c>
      <c r="K31" s="6" t="e">
        <f t="shared" ref="K31:K36" si="13">IF(EXACT(E31,J31), "y","n")</f>
        <v>#N/A</v>
      </c>
      <c r="L31" s="42" t="e">
        <f>INDEX(CalReport!V:V,MATCH($B31,CalReport!R:R,0))</f>
        <v>#N/A</v>
      </c>
      <c r="M31" s="46" t="e">
        <f>INDEX(CalReport!W:W,MATCH($B31,CalReport!R:R,0))</f>
        <v>#N/A</v>
      </c>
      <c r="N31" s="48" t="e">
        <f t="shared" ref="N31:N36" si="14">M31-L31</f>
        <v>#N/A</v>
      </c>
      <c r="O31" s="44" t="e">
        <f t="shared" ref="O31:O36" si="15">AND($E$4&gt;=L31,$E$4&lt;=M31)</f>
        <v>#N/A</v>
      </c>
    </row>
    <row r="32" spans="2:15" x14ac:dyDescent="0.2">
      <c r="B32" s="21"/>
      <c r="C32" s="9" t="s">
        <v>58</v>
      </c>
      <c r="D32" s="63" t="s">
        <v>95</v>
      </c>
      <c r="E32" s="68" t="s">
        <v>120</v>
      </c>
      <c r="F32" s="53"/>
      <c r="H32" s="6" t="e">
        <f>INDEX(CalReport!D:D,MATCH($B32,CalReport!R:R,0))</f>
        <v>#N/A</v>
      </c>
      <c r="I32" s="6" t="e">
        <f t="shared" si="12"/>
        <v>#N/A</v>
      </c>
      <c r="J32" s="6" t="e">
        <f>INDEX(CalReport!G:G,MATCH($B32,CalReport!R:R,0))</f>
        <v>#N/A</v>
      </c>
      <c r="K32" s="6" t="e">
        <f t="shared" si="13"/>
        <v>#N/A</v>
      </c>
      <c r="L32" s="42" t="e">
        <f>INDEX(CalReport!V:V,MATCH($B32,CalReport!R:R,0))</f>
        <v>#N/A</v>
      </c>
      <c r="M32" s="46" t="e">
        <f>INDEX(CalReport!W:W,MATCH($B32,CalReport!R:R,0))</f>
        <v>#N/A</v>
      </c>
      <c r="N32" s="48" t="e">
        <f t="shared" si="14"/>
        <v>#N/A</v>
      </c>
      <c r="O32" s="44" t="e">
        <f t="shared" si="15"/>
        <v>#N/A</v>
      </c>
    </row>
    <row r="33" spans="2:15" x14ac:dyDescent="0.2">
      <c r="B33" s="21"/>
      <c r="C33" s="6" t="s">
        <v>53</v>
      </c>
      <c r="D33" s="63" t="s">
        <v>96</v>
      </c>
      <c r="E33" s="68" t="s">
        <v>121</v>
      </c>
      <c r="F33" s="53"/>
      <c r="H33" s="6" t="e">
        <f>INDEX(CalReport!D:D,MATCH($B33,CalReport!R:R,0))</f>
        <v>#N/A</v>
      </c>
      <c r="I33" s="6" t="e">
        <f t="shared" si="12"/>
        <v>#N/A</v>
      </c>
      <c r="J33" s="6" t="e">
        <f>INDEX(CalReport!G:G,MATCH($B33,CalReport!R:R,0))</f>
        <v>#N/A</v>
      </c>
      <c r="K33" s="6" t="e">
        <f t="shared" si="13"/>
        <v>#N/A</v>
      </c>
      <c r="L33" s="42" t="e">
        <f>INDEX(CalReport!V:V,MATCH($B33,CalReport!R:R,0))</f>
        <v>#N/A</v>
      </c>
      <c r="M33" s="46" t="e">
        <f>INDEX(CalReport!W:W,MATCH($B33,CalReport!R:R,0))</f>
        <v>#N/A</v>
      </c>
      <c r="N33" s="48" t="e">
        <f t="shared" si="14"/>
        <v>#N/A</v>
      </c>
      <c r="O33" s="44" t="e">
        <f t="shared" si="15"/>
        <v>#N/A</v>
      </c>
    </row>
    <row r="34" spans="2:15" x14ac:dyDescent="0.2">
      <c r="B34" s="21"/>
      <c r="C34" s="6" t="s">
        <v>56</v>
      </c>
      <c r="D34" s="63" t="s">
        <v>97</v>
      </c>
      <c r="E34" s="68" t="s">
        <v>122</v>
      </c>
      <c r="F34" s="53"/>
      <c r="H34" s="6" t="e">
        <f>INDEX(CalReport!D:D,MATCH($B34,CalReport!R:R,0))</f>
        <v>#N/A</v>
      </c>
      <c r="I34" s="6" t="e">
        <f t="shared" si="12"/>
        <v>#N/A</v>
      </c>
      <c r="J34" s="6" t="e">
        <f>INDEX(CalReport!G:G,MATCH($B34,CalReport!R:R,0))</f>
        <v>#N/A</v>
      </c>
      <c r="K34" s="6" t="e">
        <f t="shared" si="13"/>
        <v>#N/A</v>
      </c>
      <c r="L34" s="42" t="e">
        <f>INDEX(CalReport!V:V,MATCH($B34,CalReport!R:R,0))</f>
        <v>#N/A</v>
      </c>
      <c r="M34" s="46" t="e">
        <f>INDEX(CalReport!W:W,MATCH($B34,CalReport!R:R,0))</f>
        <v>#N/A</v>
      </c>
      <c r="N34" s="48" t="e">
        <f t="shared" si="14"/>
        <v>#N/A</v>
      </c>
      <c r="O34" s="44" t="e">
        <f t="shared" si="15"/>
        <v>#N/A</v>
      </c>
    </row>
    <row r="35" spans="2:15" x14ac:dyDescent="0.2">
      <c r="B35" s="21"/>
      <c r="C35" s="6" t="s">
        <v>8</v>
      </c>
      <c r="D35" s="63" t="s">
        <v>98</v>
      </c>
      <c r="E35" s="68" t="s">
        <v>123</v>
      </c>
      <c r="F35" s="53"/>
      <c r="H35" s="6" t="e">
        <f>INDEX(CalReport!D:D,MATCH($B35,CalReport!R:R,0))</f>
        <v>#N/A</v>
      </c>
      <c r="I35" s="6" t="e">
        <f t="shared" si="12"/>
        <v>#N/A</v>
      </c>
      <c r="J35" s="6" t="e">
        <f>INDEX(CalReport!G:G,MATCH($B35,CalReport!R:R,0))</f>
        <v>#N/A</v>
      </c>
      <c r="K35" s="6" t="e">
        <f t="shared" si="13"/>
        <v>#N/A</v>
      </c>
      <c r="L35" s="42" t="e">
        <f>INDEX(CalReport!V:V,MATCH($B35,CalReport!R:R,0))</f>
        <v>#N/A</v>
      </c>
      <c r="M35" s="46" t="e">
        <f>INDEX(CalReport!W:W,MATCH($B35,CalReport!R:R,0))</f>
        <v>#N/A</v>
      </c>
      <c r="N35" s="48" t="e">
        <f t="shared" si="14"/>
        <v>#N/A</v>
      </c>
      <c r="O35" s="44" t="e">
        <f t="shared" si="15"/>
        <v>#N/A</v>
      </c>
    </row>
    <row r="36" spans="2:15" x14ac:dyDescent="0.2">
      <c r="B36" s="33"/>
      <c r="C36" s="7" t="s">
        <v>57</v>
      </c>
      <c r="D36" s="64" t="s">
        <v>99</v>
      </c>
      <c r="E36" s="69" t="s">
        <v>124</v>
      </c>
      <c r="F36" s="53"/>
      <c r="H36" s="6" t="e">
        <f>INDEX(CalReport!D:D,MATCH($B36,CalReport!R:R,0))</f>
        <v>#N/A</v>
      </c>
      <c r="I36" s="6" t="e">
        <f t="shared" si="12"/>
        <v>#N/A</v>
      </c>
      <c r="J36" s="6" t="e">
        <f>INDEX(CalReport!G:G,MATCH($B36,CalReport!R:R,0))</f>
        <v>#N/A</v>
      </c>
      <c r="K36" s="6" t="e">
        <f t="shared" si="13"/>
        <v>#N/A</v>
      </c>
      <c r="L36" s="42" t="e">
        <f>INDEX(CalReport!V:V,MATCH($B36,CalReport!R:R,0))</f>
        <v>#N/A</v>
      </c>
      <c r="M36" s="46" t="e">
        <f>INDEX(CalReport!W:W,MATCH($B36,CalReport!R:R,0))</f>
        <v>#N/A</v>
      </c>
      <c r="N36" s="48" t="e">
        <f t="shared" si="14"/>
        <v>#N/A</v>
      </c>
      <c r="O36" s="44" t="e">
        <f t="shared" si="15"/>
        <v>#N/A</v>
      </c>
    </row>
    <row r="37" spans="2:15" ht="6.95" customHeight="1" x14ac:dyDescent="0.2">
      <c r="B37" s="35"/>
      <c r="C37" s="9"/>
      <c r="D37" s="65"/>
      <c r="E37" s="66"/>
      <c r="F37" s="53"/>
      <c r="H37" s="6"/>
      <c r="I37" s="6"/>
      <c r="J37" s="6"/>
      <c r="K37" s="6"/>
      <c r="L37" s="42"/>
      <c r="M37" s="46"/>
      <c r="N37" s="48"/>
      <c r="O37" s="44"/>
    </row>
    <row r="38" spans="2:15" x14ac:dyDescent="0.2">
      <c r="B38" s="39" t="s">
        <v>9</v>
      </c>
      <c r="C38" s="9"/>
      <c r="D38" s="65"/>
      <c r="E38" s="66"/>
      <c r="F38" s="53"/>
      <c r="H38" s="6"/>
      <c r="I38" s="6"/>
      <c r="J38" s="6"/>
      <c r="K38" s="6"/>
      <c r="L38" s="42"/>
      <c r="M38" s="46"/>
      <c r="N38" s="48"/>
      <c r="O38" s="44"/>
    </row>
    <row r="39" spans="2:15" x14ac:dyDescent="0.2">
      <c r="B39" s="32"/>
      <c r="C39" s="5" t="s">
        <v>10</v>
      </c>
      <c r="D39" s="62" t="s">
        <v>100</v>
      </c>
      <c r="E39" s="67" t="s">
        <v>125</v>
      </c>
      <c r="F39" s="53"/>
      <c r="H39" s="6" t="e">
        <f>INDEX(CalReport!D:D,MATCH($B39,CalReport!R:R,0))</f>
        <v>#N/A</v>
      </c>
      <c r="I39" s="6" t="e">
        <f t="shared" si="2"/>
        <v>#N/A</v>
      </c>
      <c r="J39" s="6" t="e">
        <f>INDEX(CalReport!G:G,MATCH($B39,CalReport!R:R,0))</f>
        <v>#N/A</v>
      </c>
      <c r="K39" s="6" t="e">
        <f t="shared" si="3"/>
        <v>#N/A</v>
      </c>
      <c r="L39" s="42" t="e">
        <f>INDEX(CalReport!V:V,MATCH($B39,CalReport!R:R,0))</f>
        <v>#N/A</v>
      </c>
      <c r="M39" s="46" t="e">
        <f>INDEX(CalReport!W:W,MATCH($B39,CalReport!R:R,0))</f>
        <v>#N/A</v>
      </c>
      <c r="N39" s="48" t="e">
        <f>M39-L39</f>
        <v>#N/A</v>
      </c>
      <c r="O39" s="44" t="e">
        <f>AND($E$4&gt;=L39,$E$4&lt;=M39)</f>
        <v>#N/A</v>
      </c>
    </row>
    <row r="40" spans="2:15" x14ac:dyDescent="0.2">
      <c r="B40" s="21"/>
      <c r="C40" s="6" t="s">
        <v>51</v>
      </c>
      <c r="D40" s="63" t="s">
        <v>101</v>
      </c>
      <c r="E40" s="68" t="s">
        <v>126</v>
      </c>
      <c r="F40" s="53"/>
      <c r="H40" s="6" t="e">
        <f>INDEX(CalReport!D:D,MATCH($B40,CalReport!R:R,0))</f>
        <v>#N/A</v>
      </c>
      <c r="I40" s="6" t="e">
        <f t="shared" ref="I40:I41" si="16">IF(EXACT(D40,H40), "y","n")</f>
        <v>#N/A</v>
      </c>
      <c r="J40" s="6" t="e">
        <f>INDEX(CalReport!G:G,MATCH($B40,CalReport!R:R,0))</f>
        <v>#N/A</v>
      </c>
      <c r="K40" s="6" t="e">
        <f t="shared" ref="K40:K41" si="17">IF(EXACT(E40,J40), "y","n")</f>
        <v>#N/A</v>
      </c>
      <c r="L40" s="42" t="e">
        <f>INDEX(CalReport!V:V,MATCH($B40,CalReport!R:R,0))</f>
        <v>#N/A</v>
      </c>
      <c r="M40" s="46" t="e">
        <f>INDEX(CalReport!W:W,MATCH($B40,CalReport!R:R,0))</f>
        <v>#N/A</v>
      </c>
      <c r="N40" s="48" t="e">
        <f t="shared" ref="N40:N41" si="18">M40-L40</f>
        <v>#N/A</v>
      </c>
      <c r="O40" s="44" t="e">
        <f t="shared" ref="O40:O41" si="19">AND($E$4&gt;=L40,$E$4&lt;=M40)</f>
        <v>#N/A</v>
      </c>
    </row>
    <row r="41" spans="2:15" x14ac:dyDescent="0.2">
      <c r="B41" s="33"/>
      <c r="C41" s="7" t="s">
        <v>52</v>
      </c>
      <c r="D41" s="64" t="s">
        <v>102</v>
      </c>
      <c r="E41" s="69" t="s">
        <v>127</v>
      </c>
      <c r="F41" s="54"/>
      <c r="H41" s="6" t="e">
        <f>INDEX(CalReport!D:D,MATCH($B41,CalReport!R:R,0))</f>
        <v>#N/A</v>
      </c>
      <c r="I41" s="6" t="e">
        <f t="shared" si="16"/>
        <v>#N/A</v>
      </c>
      <c r="J41" s="6" t="e">
        <f>INDEX(CalReport!G:G,MATCH($B41,CalReport!R:R,0))</f>
        <v>#N/A</v>
      </c>
      <c r="K41" s="6" t="e">
        <f t="shared" si="17"/>
        <v>#N/A</v>
      </c>
      <c r="L41" s="42" t="e">
        <f>INDEX(CalReport!V:V,MATCH($B41,CalReport!R:R,0))</f>
        <v>#N/A</v>
      </c>
      <c r="M41" s="46" t="e">
        <f>INDEX(CalReport!W:W,MATCH($B41,CalReport!R:R,0))</f>
        <v>#N/A</v>
      </c>
      <c r="N41" s="48" t="e">
        <f t="shared" si="18"/>
        <v>#N/A</v>
      </c>
      <c r="O41" s="44" t="e">
        <f t="shared" si="19"/>
        <v>#N/A</v>
      </c>
    </row>
    <row r="42" spans="2:15" ht="6.95" customHeight="1" x14ac:dyDescent="0.2">
      <c r="B42" s="35"/>
      <c r="C42" s="9"/>
      <c r="D42" s="65"/>
      <c r="E42" s="65"/>
      <c r="F42" s="36"/>
      <c r="H42" s="6"/>
      <c r="I42" s="6"/>
      <c r="J42" s="6"/>
      <c r="K42" s="6"/>
      <c r="L42" s="42"/>
      <c r="M42" s="46"/>
      <c r="N42" s="48"/>
      <c r="O42" s="44"/>
    </row>
    <row r="43" spans="2:15" x14ac:dyDescent="0.2">
      <c r="B43" s="39" t="s">
        <v>11</v>
      </c>
      <c r="C43" s="9"/>
      <c r="D43" s="65"/>
      <c r="E43" s="65"/>
      <c r="F43" s="25"/>
      <c r="H43" s="6"/>
      <c r="I43" s="6"/>
      <c r="J43" s="6"/>
      <c r="K43" s="6"/>
      <c r="L43" s="42"/>
      <c r="M43" s="46"/>
      <c r="N43" s="48"/>
      <c r="O43" s="44"/>
    </row>
    <row r="44" spans="2:15" ht="12.75" customHeight="1" x14ac:dyDescent="0.2">
      <c r="B44" s="26"/>
      <c r="C44" s="34" t="s">
        <v>12</v>
      </c>
      <c r="D44" s="70" t="s">
        <v>103</v>
      </c>
      <c r="E44" s="58" t="s">
        <v>104</v>
      </c>
      <c r="F44" s="52" t="s">
        <v>42</v>
      </c>
      <c r="H44" s="6" t="e">
        <f>INDEX(CalReport!D:D,MATCH($B44,CalReport!R:R,0))</f>
        <v>#N/A</v>
      </c>
      <c r="I44" s="6" t="e">
        <f t="shared" si="2"/>
        <v>#N/A</v>
      </c>
      <c r="J44" s="6" t="e">
        <f>INDEX(CalReport!G:G,MATCH($B44,CalReport!R:R,0))</f>
        <v>#N/A</v>
      </c>
      <c r="K44" s="6" t="e">
        <f t="shared" si="3"/>
        <v>#N/A</v>
      </c>
      <c r="L44" s="42" t="e">
        <f>INDEX(CalReport!V:V,MATCH($B44,CalReport!R:R,0))</f>
        <v>#N/A</v>
      </c>
      <c r="M44" s="46" t="e">
        <f>INDEX(CalReport!W:W,MATCH($B44,CalReport!R:R,0))</f>
        <v>#N/A</v>
      </c>
      <c r="N44" s="48" t="e">
        <f>M44-L44</f>
        <v>#N/A</v>
      </c>
      <c r="O44" s="44" t="e">
        <f>AND($E$4&gt;=L44,$E$4&lt;=M44)</f>
        <v>#N/A</v>
      </c>
    </row>
    <row r="45" spans="2:15" x14ac:dyDescent="0.2">
      <c r="B45" s="24"/>
      <c r="C45" s="20" t="s">
        <v>13</v>
      </c>
      <c r="D45" s="71" t="s">
        <v>103</v>
      </c>
      <c r="E45" s="59" t="s">
        <v>105</v>
      </c>
      <c r="F45" s="53"/>
      <c r="H45" s="6" t="e">
        <f>INDEX(CalReport!D:D,MATCH($B45,CalReport!R:R,0))</f>
        <v>#N/A</v>
      </c>
      <c r="I45" s="6" t="e">
        <f t="shared" ref="I45:I48" si="20">IF(EXACT(D45,H45), "y","n")</f>
        <v>#N/A</v>
      </c>
      <c r="J45" s="6" t="e">
        <f>INDEX(CalReport!G:G,MATCH($B45,CalReport!R:R,0))</f>
        <v>#N/A</v>
      </c>
      <c r="K45" s="6" t="e">
        <f t="shared" ref="K45:K48" si="21">IF(EXACT(E45,J45), "y","n")</f>
        <v>#N/A</v>
      </c>
      <c r="L45" s="42" t="e">
        <f>INDEX(CalReport!V:V,MATCH($B45,CalReport!R:R,0))</f>
        <v>#N/A</v>
      </c>
      <c r="M45" s="46" t="e">
        <f>INDEX(CalReport!W:W,MATCH($B45,CalReport!R:R,0))</f>
        <v>#N/A</v>
      </c>
      <c r="N45" s="48" t="e">
        <f t="shared" ref="N45:N48" si="22">M45-L45</f>
        <v>#N/A</v>
      </c>
      <c r="O45" s="44" t="e">
        <f t="shared" ref="O45:O48" si="23">AND($E$4&gt;=L45,$E$4&lt;=M45)</f>
        <v>#N/A</v>
      </c>
    </row>
    <row r="46" spans="2:15" x14ac:dyDescent="0.2">
      <c r="B46" s="24"/>
      <c r="C46" s="6" t="s">
        <v>14</v>
      </c>
      <c r="D46" s="71" t="s">
        <v>106</v>
      </c>
      <c r="E46" s="59" t="s">
        <v>107</v>
      </c>
      <c r="F46" s="53"/>
      <c r="H46" s="6" t="e">
        <f>INDEX(CalReport!D:D,MATCH($B46,CalReport!R:R,0))</f>
        <v>#N/A</v>
      </c>
      <c r="I46" s="6" t="e">
        <f t="shared" si="20"/>
        <v>#N/A</v>
      </c>
      <c r="J46" s="6" t="e">
        <f>INDEX(CalReport!G:G,MATCH($B46,CalReport!R:R,0))</f>
        <v>#N/A</v>
      </c>
      <c r="K46" s="6" t="e">
        <f t="shared" si="21"/>
        <v>#N/A</v>
      </c>
      <c r="L46" s="42" t="e">
        <f>INDEX(CalReport!V:V,MATCH($B46,CalReport!R:R,0))</f>
        <v>#N/A</v>
      </c>
      <c r="M46" s="46" t="e">
        <f>INDEX(CalReport!W:W,MATCH($B46,CalReport!R:R,0))</f>
        <v>#N/A</v>
      </c>
      <c r="N46" s="48" t="e">
        <f t="shared" si="22"/>
        <v>#N/A</v>
      </c>
      <c r="O46" s="44" t="e">
        <f t="shared" si="23"/>
        <v>#N/A</v>
      </c>
    </row>
    <row r="47" spans="2:15" x14ac:dyDescent="0.2">
      <c r="B47" s="24"/>
      <c r="C47" s="6" t="s">
        <v>15</v>
      </c>
      <c r="D47" s="71" t="s">
        <v>106</v>
      </c>
      <c r="E47" s="59" t="s">
        <v>108</v>
      </c>
      <c r="F47" s="53"/>
      <c r="H47" s="6" t="e">
        <f>INDEX(CalReport!D:D,MATCH($B47,CalReport!R:R,0))</f>
        <v>#N/A</v>
      </c>
      <c r="I47" s="6" t="e">
        <f t="shared" si="20"/>
        <v>#N/A</v>
      </c>
      <c r="J47" s="6" t="e">
        <f>INDEX(CalReport!G:G,MATCH($B47,CalReport!R:R,0))</f>
        <v>#N/A</v>
      </c>
      <c r="K47" s="6" t="e">
        <f t="shared" si="21"/>
        <v>#N/A</v>
      </c>
      <c r="L47" s="42" t="e">
        <f>INDEX(CalReport!V:V,MATCH($B47,CalReport!R:R,0))</f>
        <v>#N/A</v>
      </c>
      <c r="M47" s="46" t="e">
        <f>INDEX(CalReport!W:W,MATCH($B47,CalReport!R:R,0))</f>
        <v>#N/A</v>
      </c>
      <c r="N47" s="48" t="e">
        <f t="shared" si="22"/>
        <v>#N/A</v>
      </c>
      <c r="O47" s="44" t="e">
        <f t="shared" si="23"/>
        <v>#N/A</v>
      </c>
    </row>
    <row r="48" spans="2:15" x14ac:dyDescent="0.2">
      <c r="B48" s="27"/>
      <c r="C48" s="7" t="s">
        <v>59</v>
      </c>
      <c r="D48" s="72" t="s">
        <v>109</v>
      </c>
      <c r="E48" s="60" t="s">
        <v>110</v>
      </c>
      <c r="F48" s="54"/>
      <c r="H48" s="6" t="e">
        <f>INDEX(CalReport!D:D,MATCH($B48,CalReport!R:R,0))</f>
        <v>#N/A</v>
      </c>
      <c r="I48" s="6" t="e">
        <f t="shared" si="20"/>
        <v>#N/A</v>
      </c>
      <c r="J48" s="6" t="e">
        <f>INDEX(CalReport!G:G,MATCH($B48,CalReport!R:R,0))</f>
        <v>#N/A</v>
      </c>
      <c r="K48" s="6" t="e">
        <f t="shared" si="21"/>
        <v>#N/A</v>
      </c>
      <c r="L48" s="42" t="e">
        <f>INDEX(CalReport!V:V,MATCH($B48,CalReport!R:R,0))</f>
        <v>#N/A</v>
      </c>
      <c r="M48" s="46" t="e">
        <f>INDEX(CalReport!W:W,MATCH($B48,CalReport!R:R,0))</f>
        <v>#N/A</v>
      </c>
      <c r="N48" s="48" t="e">
        <f t="shared" si="22"/>
        <v>#N/A</v>
      </c>
      <c r="O48" s="44" t="e">
        <f t="shared" si="23"/>
        <v>#N/A</v>
      </c>
    </row>
    <row r="49" spans="1:15" ht="6.95" customHeight="1" x14ac:dyDescent="0.2">
      <c r="B49" s="35"/>
      <c r="C49" s="9"/>
      <c r="D49" s="65"/>
      <c r="E49" s="65"/>
      <c r="F49" s="36"/>
      <c r="H49" s="6"/>
      <c r="I49" s="6"/>
      <c r="J49" s="6"/>
      <c r="K49" s="6"/>
      <c r="L49" s="42"/>
      <c r="M49" s="46"/>
      <c r="N49" s="48"/>
      <c r="O49" s="44"/>
    </row>
    <row r="50" spans="1:15" ht="12.75" customHeight="1" x14ac:dyDescent="0.2">
      <c r="A50" s="4" t="s">
        <v>32</v>
      </c>
      <c r="B50" s="39" t="s">
        <v>16</v>
      </c>
      <c r="C50" s="9"/>
      <c r="D50" s="65"/>
      <c r="E50" s="65"/>
      <c r="F50" s="25"/>
      <c r="H50" s="6"/>
      <c r="I50" s="6"/>
      <c r="J50" s="6"/>
      <c r="K50" s="6"/>
      <c r="L50" s="42"/>
      <c r="M50" s="46"/>
      <c r="N50" s="48"/>
      <c r="O50" s="44"/>
    </row>
    <row r="51" spans="1:15" ht="12.75" customHeight="1" x14ac:dyDescent="0.2">
      <c r="B51" s="26"/>
      <c r="C51" s="5" t="s">
        <v>65</v>
      </c>
      <c r="D51" s="58" t="s">
        <v>128</v>
      </c>
      <c r="E51" s="58" t="s">
        <v>128</v>
      </c>
      <c r="F51" s="52"/>
      <c r="H51" s="6" t="e">
        <f>INDEX(CalReport!C:C,MATCH($B51,CalReport!D:D,0))</f>
        <v>#N/A</v>
      </c>
      <c r="I51" s="6" t="e">
        <f t="shared" ref="I51:I52" si="24">IF(EXACT(D51,H51), "y","n")</f>
        <v>#N/A</v>
      </c>
      <c r="J51" s="6" t="e">
        <f>INDEX(CalReport!C:C,MATCH($B51,CalReport!D:D,0))</f>
        <v>#N/A</v>
      </c>
      <c r="K51" s="6" t="e">
        <f t="shared" ref="K51:K52" si="25">IF(EXACT(E51,J51), "y","n")</f>
        <v>#N/A</v>
      </c>
      <c r="L51" s="42" t="e">
        <f>INDEX(CalReport!H:H,MATCH($B51,CalReport!D:D,0))</f>
        <v>#N/A</v>
      </c>
      <c r="M51" s="42" t="e">
        <f>INDEX(CalReport!I:I,MATCH($B51,CalReport!D:D,0))</f>
        <v>#N/A</v>
      </c>
      <c r="N51" s="48" t="e">
        <f t="shared" ref="N51:N52" si="26">M51-L51</f>
        <v>#N/A</v>
      </c>
      <c r="O51" s="44" t="e">
        <f t="shared" ref="O51:O52" si="27">AND($E$4&gt;=L51,$E$4&lt;=M51)</f>
        <v>#N/A</v>
      </c>
    </row>
    <row r="52" spans="1:15" x14ac:dyDescent="0.2">
      <c r="B52" s="27"/>
      <c r="C52" s="7" t="s">
        <v>111</v>
      </c>
      <c r="D52" s="60" t="s">
        <v>129</v>
      </c>
      <c r="E52" s="60" t="s">
        <v>129</v>
      </c>
      <c r="F52" s="54"/>
      <c r="H52" s="6" t="e">
        <f>INDEX(CalReport!C:C,MATCH($B52,CalReport!D:D,0))</f>
        <v>#N/A</v>
      </c>
      <c r="I52" s="6" t="e">
        <f t="shared" si="24"/>
        <v>#N/A</v>
      </c>
      <c r="J52" s="6" t="e">
        <f>INDEX(CalReport!C:C,MATCH($B52,CalReport!D:D,0))</f>
        <v>#N/A</v>
      </c>
      <c r="K52" s="6" t="e">
        <f t="shared" si="25"/>
        <v>#N/A</v>
      </c>
      <c r="L52" s="42" t="e">
        <f>INDEX(CalReport!H:H,MATCH($B52,CalReport!D:D,0))</f>
        <v>#N/A</v>
      </c>
      <c r="M52" s="42" t="e">
        <f>INDEX(CalReport!I:I,MATCH($B52,CalReport!D:D,0))</f>
        <v>#N/A</v>
      </c>
      <c r="N52" s="48" t="e">
        <f t="shared" si="26"/>
        <v>#N/A</v>
      </c>
      <c r="O52" s="44" t="e">
        <f t="shared" si="27"/>
        <v>#N/A</v>
      </c>
    </row>
    <row r="53" spans="1:15" ht="6.95" customHeight="1" x14ac:dyDescent="0.2">
      <c r="B53" s="9"/>
      <c r="C53" s="9"/>
      <c r="F53" s="11"/>
    </row>
    <row r="54" spans="1:15" ht="12.75" customHeight="1" x14ac:dyDescent="0.2">
      <c r="A54" s="18"/>
      <c r="D54" s="3"/>
      <c r="E54" s="3"/>
    </row>
    <row r="55" spans="1:15" x14ac:dyDescent="0.2">
      <c r="A55" s="18"/>
      <c r="D55" s="3"/>
      <c r="E55" s="3"/>
    </row>
    <row r="56" spans="1:15" x14ac:dyDescent="0.2">
      <c r="A56" s="18"/>
      <c r="B56" s="9" t="s">
        <v>30</v>
      </c>
      <c r="C56" s="22"/>
      <c r="D56" s="9" t="s">
        <v>31</v>
      </c>
      <c r="E56" s="23"/>
    </row>
    <row r="57" spans="1:15" x14ac:dyDescent="0.2">
      <c r="A57" s="3"/>
      <c r="D57" s="3"/>
      <c r="E57" s="3"/>
    </row>
  </sheetData>
  <mergeCells count="8">
    <mergeCell ref="F22:F41"/>
    <mergeCell ref="F44:F48"/>
    <mergeCell ref="F51:F52"/>
    <mergeCell ref="F10:F19"/>
    <mergeCell ref="B7:B8"/>
    <mergeCell ref="C7:C8"/>
    <mergeCell ref="D7:E7"/>
    <mergeCell ref="F7:F8"/>
  </mergeCells>
  <conditionalFormatting sqref="I10:I52 K10:K52">
    <cfRule type="cellIs" dxfId="3" priority="1" operator="equal">
      <formula>"y"</formula>
    </cfRule>
    <cfRule type="cellIs" dxfId="2" priority="2" operator="equal">
      <formula>"n"</formula>
    </cfRule>
  </conditionalFormatting>
  <conditionalFormatting sqref="O10:O52">
    <cfRule type="cellIs" dxfId="1" priority="19" operator="equal">
      <formula>TRUE</formula>
    </cfRule>
    <cfRule type="cellIs" dxfId="0" priority="20" operator="equal">
      <formula>FALSE</formula>
    </cfRule>
  </conditionalFormatting>
  <printOptions horizontalCentered="1" verticalCentered="1"/>
  <pageMargins left="0.25" right="0.25" top="0.25" bottom="0.25" header="0.3" footer="0.3"/>
  <pageSetup scale="6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W181"/>
  <sheetViews>
    <sheetView workbookViewId="0"/>
  </sheetViews>
  <sheetFormatPr defaultRowHeight="15" x14ac:dyDescent="0.25"/>
  <cols>
    <col min="1" max="1" width="20.7109375" bestFit="1" customWidth="1"/>
    <col min="2" max="2" width="16.5703125" bestFit="1" customWidth="1"/>
    <col min="3" max="3" width="20.85546875" bestFit="1" customWidth="1"/>
    <col min="4" max="4" width="37.7109375" bestFit="1" customWidth="1"/>
    <col min="5" max="5" width="16" bestFit="1" customWidth="1"/>
    <col min="6" max="6" width="23.42578125" bestFit="1" customWidth="1"/>
    <col min="7" max="7" width="34.42578125" bestFit="1" customWidth="1"/>
    <col min="8" max="8" width="37.7109375" bestFit="1" customWidth="1"/>
    <col min="9" max="9" width="14.85546875" bestFit="1" customWidth="1"/>
    <col min="10" max="10" width="13.85546875" bestFit="1" customWidth="1"/>
    <col min="11" max="11" width="13.140625" bestFit="1" customWidth="1"/>
    <col min="12" max="12" width="15.42578125" bestFit="1" customWidth="1"/>
    <col min="13" max="13" width="19.5703125" bestFit="1" customWidth="1"/>
    <col min="14" max="14" width="13.85546875" bestFit="1" customWidth="1"/>
    <col min="15" max="15" width="9.140625" bestFit="1" customWidth="1"/>
    <col min="16" max="16" width="8.85546875" bestFit="1" customWidth="1"/>
    <col min="17" max="17" width="18.7109375" bestFit="1" customWidth="1"/>
    <col min="18" max="18" width="26.7109375" bestFit="1" customWidth="1"/>
    <col min="19" max="19" width="12.42578125" bestFit="1" customWidth="1"/>
    <col min="20" max="20" width="19.42578125" bestFit="1" customWidth="1"/>
    <col min="21" max="21" width="6.7109375" bestFit="1" customWidth="1"/>
    <col min="22" max="22" width="15.42578125" bestFit="1" customWidth="1"/>
    <col min="23" max="23" width="19.5703125" bestFit="1" customWidth="1"/>
    <col min="24" max="24" width="13.85546875" bestFit="1" customWidth="1"/>
    <col min="25" max="25" width="7.85546875" bestFit="1" customWidth="1"/>
  </cols>
  <sheetData>
    <row r="1" spans="2:13" x14ac:dyDescent="0.25">
      <c r="B1" s="1"/>
    </row>
    <row r="9" spans="2:13" x14ac:dyDescent="0.25">
      <c r="H9" s="2"/>
      <c r="I9" s="2"/>
    </row>
    <row r="10" spans="2:13" x14ac:dyDescent="0.25">
      <c r="H10" s="2"/>
      <c r="I10" s="2"/>
    </row>
    <row r="13" spans="2:13" x14ac:dyDescent="0.25">
      <c r="L13" s="2"/>
      <c r="M13" s="2"/>
    </row>
    <row r="14" spans="2:13" x14ac:dyDescent="0.25">
      <c r="L14" s="2"/>
      <c r="M14" s="2"/>
    </row>
    <row r="15" spans="2:13" x14ac:dyDescent="0.25">
      <c r="L15" s="2"/>
      <c r="M15" s="2"/>
    </row>
    <row r="16" spans="2:13" x14ac:dyDescent="0.25">
      <c r="L16" s="2"/>
      <c r="M16" s="2"/>
    </row>
    <row r="17" spans="12:13" x14ac:dyDescent="0.25">
      <c r="L17" s="2"/>
      <c r="M17" s="2"/>
    </row>
    <row r="18" spans="12:13" x14ac:dyDescent="0.25">
      <c r="L18" s="2"/>
      <c r="M18" s="2"/>
    </row>
    <row r="19" spans="12:13" x14ac:dyDescent="0.25">
      <c r="L19" s="2"/>
      <c r="M19" s="2"/>
    </row>
    <row r="20" spans="12:13" x14ac:dyDescent="0.25">
      <c r="L20" s="2"/>
      <c r="M20" s="2"/>
    </row>
    <row r="21" spans="12:13" x14ac:dyDescent="0.25">
      <c r="L21" s="2"/>
      <c r="M21" s="2"/>
    </row>
    <row r="22" spans="12:13" x14ac:dyDescent="0.25">
      <c r="L22" s="2"/>
      <c r="M22" s="2"/>
    </row>
    <row r="23" spans="12:13" x14ac:dyDescent="0.25">
      <c r="L23" s="2"/>
      <c r="M23" s="2"/>
    </row>
    <row r="24" spans="12:13" x14ac:dyDescent="0.25">
      <c r="L24" s="2"/>
      <c r="M24" s="2"/>
    </row>
    <row r="25" spans="12:13" x14ac:dyDescent="0.25">
      <c r="L25" s="2"/>
      <c r="M25" s="2"/>
    </row>
    <row r="26" spans="12:13" x14ac:dyDescent="0.25">
      <c r="L26" s="2"/>
      <c r="M26" s="2"/>
    </row>
    <row r="27" spans="12:13" x14ac:dyDescent="0.25">
      <c r="L27" s="2"/>
      <c r="M27" s="2"/>
    </row>
    <row r="28" spans="12:13" x14ac:dyDescent="0.25">
      <c r="L28" s="2"/>
      <c r="M28" s="2"/>
    </row>
    <row r="29" spans="12:13" x14ac:dyDescent="0.25">
      <c r="L29" s="2"/>
      <c r="M29" s="2"/>
    </row>
    <row r="30" spans="12:13" x14ac:dyDescent="0.25">
      <c r="L30" s="2"/>
      <c r="M30" s="2"/>
    </row>
    <row r="31" spans="12:13" x14ac:dyDescent="0.25">
      <c r="L31" s="2"/>
      <c r="M31" s="2"/>
    </row>
    <row r="32" spans="12:13" x14ac:dyDescent="0.25">
      <c r="L32" s="2"/>
      <c r="M32" s="2"/>
    </row>
    <row r="33" spans="12:23" x14ac:dyDescent="0.25">
      <c r="L33" s="2"/>
      <c r="M33" s="2"/>
    </row>
    <row r="34" spans="12:23" x14ac:dyDescent="0.25">
      <c r="L34" s="2"/>
      <c r="M34" s="2"/>
    </row>
    <row r="35" spans="12:23" x14ac:dyDescent="0.25">
      <c r="L35" s="2"/>
      <c r="M35" s="2"/>
    </row>
    <row r="36" spans="12:23" x14ac:dyDescent="0.25">
      <c r="L36" s="2"/>
      <c r="M36" s="2"/>
    </row>
    <row r="37" spans="12:23" x14ac:dyDescent="0.25">
      <c r="L37" s="2"/>
      <c r="M37" s="2"/>
    </row>
    <row r="38" spans="12:23" x14ac:dyDescent="0.25">
      <c r="L38" s="2"/>
      <c r="M38" s="2"/>
    </row>
    <row r="39" spans="12:23" x14ac:dyDescent="0.25">
      <c r="L39" s="2"/>
      <c r="M39" s="2"/>
    </row>
    <row r="40" spans="12:23" x14ac:dyDescent="0.25">
      <c r="L40" s="2"/>
      <c r="M40" s="2"/>
    </row>
    <row r="41" spans="12:23" x14ac:dyDescent="0.25">
      <c r="L41" s="2"/>
      <c r="M41" s="2"/>
    </row>
    <row r="42" spans="12:23" x14ac:dyDescent="0.25">
      <c r="L42" s="2"/>
      <c r="M42" s="2"/>
    </row>
    <row r="43" spans="12:23" x14ac:dyDescent="0.25">
      <c r="L43" s="2"/>
      <c r="M43" s="2"/>
    </row>
    <row r="46" spans="12:23" x14ac:dyDescent="0.25">
      <c r="V46" s="2"/>
      <c r="W46" s="2"/>
    </row>
    <row r="47" spans="12:23" x14ac:dyDescent="0.25">
      <c r="V47" s="2"/>
      <c r="W47" s="2"/>
    </row>
    <row r="48" spans="12:23" x14ac:dyDescent="0.25">
      <c r="V48" s="2"/>
      <c r="W48" s="2"/>
    </row>
    <row r="49" spans="22:23" x14ac:dyDescent="0.25">
      <c r="V49" s="2"/>
      <c r="W49" s="2"/>
    </row>
    <row r="50" spans="22:23" x14ac:dyDescent="0.25">
      <c r="V50" s="2"/>
      <c r="W50" s="2"/>
    </row>
    <row r="51" spans="22:23" x14ac:dyDescent="0.25">
      <c r="V51" s="2"/>
      <c r="W51" s="2"/>
    </row>
    <row r="52" spans="22:23" x14ac:dyDescent="0.25">
      <c r="V52" s="2"/>
      <c r="W52" s="2"/>
    </row>
    <row r="53" spans="22:23" x14ac:dyDescent="0.25">
      <c r="V53" s="2"/>
      <c r="W53" s="2"/>
    </row>
    <row r="54" spans="22:23" x14ac:dyDescent="0.25">
      <c r="V54" s="2"/>
      <c r="W54" s="2"/>
    </row>
    <row r="55" spans="22:23" x14ac:dyDescent="0.25">
      <c r="V55" s="2"/>
      <c r="W55" s="2"/>
    </row>
    <row r="56" spans="22:23" x14ac:dyDescent="0.25">
      <c r="V56" s="2"/>
      <c r="W56" s="2"/>
    </row>
    <row r="57" spans="22:23" x14ac:dyDescent="0.25">
      <c r="V57" s="2"/>
      <c r="W57" s="2"/>
    </row>
    <row r="58" spans="22:23" x14ac:dyDescent="0.25">
      <c r="V58" s="2"/>
      <c r="W58" s="2"/>
    </row>
    <row r="59" spans="22:23" x14ac:dyDescent="0.25">
      <c r="V59" s="2"/>
      <c r="W59" s="2"/>
    </row>
    <row r="60" spans="22:23" x14ac:dyDescent="0.25">
      <c r="V60" s="2"/>
      <c r="W60" s="2"/>
    </row>
    <row r="61" spans="22:23" x14ac:dyDescent="0.25">
      <c r="V61" s="2"/>
      <c r="W61" s="2"/>
    </row>
    <row r="62" spans="22:23" x14ac:dyDescent="0.25">
      <c r="V62" s="2"/>
      <c r="W62" s="2"/>
    </row>
    <row r="63" spans="22:23" x14ac:dyDescent="0.25">
      <c r="V63" s="2"/>
      <c r="W63" s="2"/>
    </row>
    <row r="64" spans="22:23" x14ac:dyDescent="0.25">
      <c r="V64" s="2"/>
      <c r="W64" s="2"/>
    </row>
    <row r="65" spans="22:23" x14ac:dyDescent="0.25">
      <c r="V65" s="2"/>
      <c r="W65" s="2"/>
    </row>
    <row r="66" spans="22:23" x14ac:dyDescent="0.25">
      <c r="V66" s="2"/>
      <c r="W66" s="2"/>
    </row>
    <row r="67" spans="22:23" x14ac:dyDescent="0.25">
      <c r="V67" s="2"/>
      <c r="W67" s="2"/>
    </row>
    <row r="68" spans="22:23" x14ac:dyDescent="0.25">
      <c r="V68" s="2"/>
      <c r="W68" s="2"/>
    </row>
    <row r="69" spans="22:23" x14ac:dyDescent="0.25">
      <c r="V69" s="2"/>
      <c r="W69" s="2"/>
    </row>
    <row r="70" spans="22:23" x14ac:dyDescent="0.25">
      <c r="V70" s="2"/>
      <c r="W70" s="2"/>
    </row>
    <row r="71" spans="22:23" x14ac:dyDescent="0.25">
      <c r="V71" s="2"/>
      <c r="W71" s="2"/>
    </row>
    <row r="72" spans="22:23" x14ac:dyDescent="0.25">
      <c r="V72" s="2"/>
      <c r="W72" s="2"/>
    </row>
    <row r="73" spans="22:23" x14ac:dyDescent="0.25">
      <c r="V73" s="2"/>
      <c r="W73" s="2"/>
    </row>
    <row r="74" spans="22:23" x14ac:dyDescent="0.25">
      <c r="V74" s="2"/>
      <c r="W74" s="2"/>
    </row>
    <row r="75" spans="22:23" x14ac:dyDescent="0.25">
      <c r="V75" s="2"/>
      <c r="W75" s="2"/>
    </row>
    <row r="76" spans="22:23" x14ac:dyDescent="0.25">
      <c r="V76" s="2"/>
      <c r="W76" s="2"/>
    </row>
    <row r="77" spans="22:23" x14ac:dyDescent="0.25">
      <c r="V77" s="2"/>
      <c r="W77" s="2"/>
    </row>
    <row r="78" spans="22:23" x14ac:dyDescent="0.25">
      <c r="V78" s="2"/>
      <c r="W78" s="2"/>
    </row>
    <row r="79" spans="22:23" x14ac:dyDescent="0.25">
      <c r="V79" s="2"/>
      <c r="W79" s="2"/>
    </row>
    <row r="80" spans="22:23" x14ac:dyDescent="0.25">
      <c r="V80" s="2"/>
      <c r="W80" s="2"/>
    </row>
    <row r="81" spans="22:23" x14ac:dyDescent="0.25">
      <c r="V81" s="2"/>
      <c r="W81" s="2"/>
    </row>
    <row r="82" spans="22:23" x14ac:dyDescent="0.25">
      <c r="V82" s="2"/>
      <c r="W82" s="2"/>
    </row>
    <row r="83" spans="22:23" x14ac:dyDescent="0.25">
      <c r="V83" s="2"/>
      <c r="W83" s="2"/>
    </row>
    <row r="84" spans="22:23" x14ac:dyDescent="0.25">
      <c r="V84" s="2"/>
      <c r="W84" s="2"/>
    </row>
    <row r="85" spans="22:23" x14ac:dyDescent="0.25">
      <c r="V85" s="2"/>
      <c r="W85" s="2"/>
    </row>
    <row r="86" spans="22:23" x14ac:dyDescent="0.25">
      <c r="V86" s="2"/>
      <c r="W86" s="2"/>
    </row>
    <row r="87" spans="22:23" x14ac:dyDescent="0.25">
      <c r="V87" s="2"/>
      <c r="W87" s="2"/>
    </row>
    <row r="88" spans="22:23" x14ac:dyDescent="0.25">
      <c r="V88" s="2"/>
      <c r="W88" s="2"/>
    </row>
    <row r="89" spans="22:23" x14ac:dyDescent="0.25">
      <c r="V89" s="2"/>
      <c r="W89" s="2"/>
    </row>
    <row r="90" spans="22:23" x14ac:dyDescent="0.25">
      <c r="V90" s="2"/>
      <c r="W90" s="2"/>
    </row>
    <row r="91" spans="22:23" x14ac:dyDescent="0.25">
      <c r="V91" s="2"/>
      <c r="W91" s="2"/>
    </row>
    <row r="92" spans="22:23" x14ac:dyDescent="0.25">
      <c r="V92" s="2"/>
      <c r="W92" s="2"/>
    </row>
    <row r="93" spans="22:23" x14ac:dyDescent="0.25">
      <c r="V93" s="2"/>
      <c r="W93" s="2"/>
    </row>
    <row r="94" spans="22:23" x14ac:dyDescent="0.25">
      <c r="V94" s="2"/>
      <c r="W94" s="2"/>
    </row>
    <row r="95" spans="22:23" x14ac:dyDescent="0.25">
      <c r="V95" s="2"/>
      <c r="W95" s="2"/>
    </row>
    <row r="96" spans="22:23" x14ac:dyDescent="0.25">
      <c r="V96" s="2"/>
      <c r="W96" s="2"/>
    </row>
    <row r="97" spans="22:23" x14ac:dyDescent="0.25">
      <c r="V97" s="2"/>
      <c r="W97" s="2"/>
    </row>
    <row r="98" spans="22:23" x14ac:dyDescent="0.25">
      <c r="V98" s="2"/>
      <c r="W98" s="2"/>
    </row>
    <row r="99" spans="22:23" x14ac:dyDescent="0.25">
      <c r="V99" s="2"/>
      <c r="W99" s="2"/>
    </row>
    <row r="100" spans="22:23" x14ac:dyDescent="0.25">
      <c r="V100" s="2"/>
      <c r="W100" s="2"/>
    </row>
    <row r="101" spans="22:23" x14ac:dyDescent="0.25">
      <c r="V101" s="2"/>
      <c r="W101" s="2"/>
    </row>
    <row r="102" spans="22:23" x14ac:dyDescent="0.25">
      <c r="V102" s="2"/>
      <c r="W102" s="2"/>
    </row>
    <row r="103" spans="22:23" x14ac:dyDescent="0.25">
      <c r="V103" s="2"/>
      <c r="W103" s="2"/>
    </row>
    <row r="104" spans="22:23" x14ac:dyDescent="0.25">
      <c r="V104" s="2"/>
      <c r="W104" s="2"/>
    </row>
    <row r="105" spans="22:23" x14ac:dyDescent="0.25">
      <c r="V105" s="2"/>
      <c r="W105" s="2"/>
    </row>
    <row r="106" spans="22:23" x14ac:dyDescent="0.25">
      <c r="V106" s="2"/>
      <c r="W106" s="2"/>
    </row>
    <row r="107" spans="22:23" x14ac:dyDescent="0.25">
      <c r="V107" s="2"/>
      <c r="W107" s="2"/>
    </row>
    <row r="108" spans="22:23" x14ac:dyDescent="0.25">
      <c r="V108" s="2"/>
      <c r="W108" s="2"/>
    </row>
    <row r="109" spans="22:23" x14ac:dyDescent="0.25">
      <c r="V109" s="2"/>
      <c r="W109" s="2"/>
    </row>
    <row r="110" spans="22:23" x14ac:dyDescent="0.25">
      <c r="V110" s="2"/>
      <c r="W110" s="2"/>
    </row>
    <row r="111" spans="22:23" x14ac:dyDescent="0.25">
      <c r="V111" s="2"/>
      <c r="W111" s="2"/>
    </row>
    <row r="112" spans="22:23" x14ac:dyDescent="0.25">
      <c r="V112" s="2"/>
      <c r="W112" s="2"/>
    </row>
    <row r="113" spans="22:23" x14ac:dyDescent="0.25">
      <c r="V113" s="2"/>
      <c r="W113" s="2"/>
    </row>
    <row r="114" spans="22:23" x14ac:dyDescent="0.25">
      <c r="V114" s="2"/>
      <c r="W114" s="2"/>
    </row>
    <row r="115" spans="22:23" x14ac:dyDescent="0.25">
      <c r="V115" s="2"/>
      <c r="W115" s="2"/>
    </row>
    <row r="116" spans="22:23" x14ac:dyDescent="0.25">
      <c r="V116" s="2"/>
      <c r="W116" s="2"/>
    </row>
    <row r="117" spans="22:23" x14ac:dyDescent="0.25">
      <c r="V117" s="2"/>
      <c r="W117" s="2"/>
    </row>
    <row r="118" spans="22:23" x14ac:dyDescent="0.25">
      <c r="V118" s="2"/>
      <c r="W118" s="2"/>
    </row>
    <row r="119" spans="22:23" x14ac:dyDescent="0.25">
      <c r="V119" s="2"/>
      <c r="W119" s="2"/>
    </row>
    <row r="120" spans="22:23" x14ac:dyDescent="0.25">
      <c r="V120" s="2"/>
      <c r="W120" s="2"/>
    </row>
    <row r="121" spans="22:23" x14ac:dyDescent="0.25">
      <c r="V121" s="2"/>
      <c r="W121" s="2"/>
    </row>
    <row r="122" spans="22:23" x14ac:dyDescent="0.25">
      <c r="V122" s="2"/>
      <c r="W122" s="2"/>
    </row>
    <row r="123" spans="22:23" x14ac:dyDescent="0.25">
      <c r="V123" s="2"/>
      <c r="W123" s="2"/>
    </row>
    <row r="124" spans="22:23" x14ac:dyDescent="0.25">
      <c r="V124" s="2"/>
      <c r="W124" s="2"/>
    </row>
    <row r="125" spans="22:23" x14ac:dyDescent="0.25">
      <c r="V125" s="2"/>
      <c r="W125" s="2"/>
    </row>
    <row r="126" spans="22:23" x14ac:dyDescent="0.25">
      <c r="V126" s="2"/>
      <c r="W126" s="2"/>
    </row>
    <row r="127" spans="22:23" x14ac:dyDescent="0.25">
      <c r="V127" s="2"/>
      <c r="W127" s="2"/>
    </row>
    <row r="128" spans="22:23" x14ac:dyDescent="0.25">
      <c r="V128" s="2"/>
      <c r="W128" s="2"/>
    </row>
    <row r="129" spans="22:23" x14ac:dyDescent="0.25">
      <c r="V129" s="2"/>
      <c r="W129" s="2"/>
    </row>
    <row r="130" spans="22:23" x14ac:dyDescent="0.25">
      <c r="V130" s="2"/>
      <c r="W130" s="2"/>
    </row>
    <row r="131" spans="22:23" x14ac:dyDescent="0.25">
      <c r="V131" s="2"/>
      <c r="W131" s="2"/>
    </row>
    <row r="132" spans="22:23" x14ac:dyDescent="0.25">
      <c r="V132" s="2"/>
      <c r="W132" s="2"/>
    </row>
    <row r="133" spans="22:23" x14ac:dyDescent="0.25">
      <c r="V133" s="2"/>
      <c r="W133" s="2"/>
    </row>
    <row r="134" spans="22:23" x14ac:dyDescent="0.25">
      <c r="V134" s="2"/>
      <c r="W134" s="2"/>
    </row>
    <row r="135" spans="22:23" x14ac:dyDescent="0.25">
      <c r="V135" s="2"/>
      <c r="W135" s="2"/>
    </row>
    <row r="136" spans="22:23" x14ac:dyDescent="0.25">
      <c r="V136" s="2"/>
      <c r="W136" s="2"/>
    </row>
    <row r="137" spans="22:23" x14ac:dyDescent="0.25">
      <c r="V137" s="2"/>
      <c r="W137" s="2"/>
    </row>
    <row r="138" spans="22:23" x14ac:dyDescent="0.25">
      <c r="V138" s="2"/>
      <c r="W138" s="2"/>
    </row>
    <row r="139" spans="22:23" x14ac:dyDescent="0.25">
      <c r="V139" s="2"/>
      <c r="W139" s="2"/>
    </row>
    <row r="140" spans="22:23" x14ac:dyDescent="0.25">
      <c r="V140" s="2"/>
      <c r="W140" s="2"/>
    </row>
    <row r="141" spans="22:23" x14ac:dyDescent="0.25">
      <c r="V141" s="2"/>
      <c r="W141" s="2"/>
    </row>
    <row r="142" spans="22:23" x14ac:dyDescent="0.25">
      <c r="V142" s="2"/>
      <c r="W142" s="2"/>
    </row>
    <row r="143" spans="22:23" x14ac:dyDescent="0.25">
      <c r="V143" s="2"/>
      <c r="W143" s="2"/>
    </row>
    <row r="144" spans="22:23" x14ac:dyDescent="0.25">
      <c r="V144" s="2"/>
      <c r="W144" s="2"/>
    </row>
    <row r="145" spans="22:23" x14ac:dyDescent="0.25">
      <c r="V145" s="2"/>
      <c r="W145" s="2"/>
    </row>
    <row r="146" spans="22:23" x14ac:dyDescent="0.25">
      <c r="V146" s="2"/>
      <c r="W146" s="2"/>
    </row>
    <row r="147" spans="22:23" x14ac:dyDescent="0.25">
      <c r="V147" s="2"/>
      <c r="W147" s="2"/>
    </row>
    <row r="148" spans="22:23" x14ac:dyDescent="0.25">
      <c r="V148" s="2"/>
      <c r="W148" s="2"/>
    </row>
    <row r="149" spans="22:23" x14ac:dyDescent="0.25">
      <c r="V149" s="2"/>
      <c r="W149" s="2"/>
    </row>
    <row r="150" spans="22:23" x14ac:dyDescent="0.25">
      <c r="V150" s="2"/>
      <c r="W150" s="2"/>
    </row>
    <row r="151" spans="22:23" x14ac:dyDescent="0.25">
      <c r="V151" s="2"/>
      <c r="W151" s="2"/>
    </row>
    <row r="152" spans="22:23" x14ac:dyDescent="0.25">
      <c r="V152" s="2"/>
      <c r="W152" s="2"/>
    </row>
    <row r="153" spans="22:23" x14ac:dyDescent="0.25">
      <c r="V153" s="2"/>
      <c r="W153" s="2"/>
    </row>
    <row r="154" spans="22:23" x14ac:dyDescent="0.25">
      <c r="V154" s="2"/>
      <c r="W154" s="2"/>
    </row>
    <row r="155" spans="22:23" x14ac:dyDescent="0.25">
      <c r="V155" s="2"/>
      <c r="W155" s="2"/>
    </row>
    <row r="156" spans="22:23" x14ac:dyDescent="0.25">
      <c r="V156" s="2"/>
      <c r="W156" s="2"/>
    </row>
    <row r="157" spans="22:23" x14ac:dyDescent="0.25">
      <c r="V157" s="2"/>
      <c r="W157" s="2"/>
    </row>
    <row r="158" spans="22:23" x14ac:dyDescent="0.25">
      <c r="V158" s="2"/>
      <c r="W158" s="2"/>
    </row>
    <row r="159" spans="22:23" x14ac:dyDescent="0.25">
      <c r="V159" s="2"/>
      <c r="W159" s="2"/>
    </row>
    <row r="160" spans="22:23" x14ac:dyDescent="0.25">
      <c r="V160" s="2"/>
      <c r="W160" s="2"/>
    </row>
    <row r="161" spans="22:23" x14ac:dyDescent="0.25">
      <c r="V161" s="2"/>
      <c r="W161" s="2"/>
    </row>
    <row r="162" spans="22:23" x14ac:dyDescent="0.25">
      <c r="V162" s="2"/>
      <c r="W162" s="2"/>
    </row>
    <row r="163" spans="22:23" x14ac:dyDescent="0.25">
      <c r="V163" s="2"/>
      <c r="W163" s="2"/>
    </row>
    <row r="164" spans="22:23" x14ac:dyDescent="0.25">
      <c r="V164" s="2"/>
      <c r="W164" s="2"/>
    </row>
    <row r="165" spans="22:23" x14ac:dyDescent="0.25">
      <c r="V165" s="2"/>
      <c r="W165" s="2"/>
    </row>
    <row r="166" spans="22:23" x14ac:dyDescent="0.25">
      <c r="V166" s="2"/>
      <c r="W166" s="2"/>
    </row>
    <row r="167" spans="22:23" x14ac:dyDescent="0.25">
      <c r="V167" s="2"/>
      <c r="W167" s="2"/>
    </row>
    <row r="168" spans="22:23" x14ac:dyDescent="0.25">
      <c r="V168" s="2"/>
      <c r="W168" s="2"/>
    </row>
    <row r="169" spans="22:23" x14ac:dyDescent="0.25">
      <c r="V169" s="2"/>
      <c r="W169" s="2"/>
    </row>
    <row r="170" spans="22:23" x14ac:dyDescent="0.25">
      <c r="V170" s="2"/>
      <c r="W170" s="2"/>
    </row>
    <row r="171" spans="22:23" x14ac:dyDescent="0.25">
      <c r="V171" s="2"/>
      <c r="W171" s="2"/>
    </row>
    <row r="172" spans="22:23" x14ac:dyDescent="0.25">
      <c r="V172" s="2"/>
      <c r="W172" s="2"/>
    </row>
    <row r="173" spans="22:23" x14ac:dyDescent="0.25">
      <c r="V173" s="2"/>
      <c r="W173" s="2"/>
    </row>
    <row r="174" spans="22:23" x14ac:dyDescent="0.25">
      <c r="V174" s="2"/>
      <c r="W174" s="2"/>
    </row>
    <row r="175" spans="22:23" x14ac:dyDescent="0.25">
      <c r="V175" s="2"/>
      <c r="W175" s="2"/>
    </row>
    <row r="176" spans="22:23" x14ac:dyDescent="0.25">
      <c r="V176" s="2"/>
      <c r="W176" s="2"/>
    </row>
    <row r="177" spans="22:23" x14ac:dyDescent="0.25">
      <c r="V177" s="2"/>
      <c r="W177" s="2"/>
    </row>
    <row r="178" spans="22:23" x14ac:dyDescent="0.25">
      <c r="V178" s="2"/>
      <c r="W178" s="2"/>
    </row>
    <row r="179" spans="22:23" x14ac:dyDescent="0.25">
      <c r="V179" s="2"/>
      <c r="W179" s="2"/>
    </row>
    <row r="180" spans="22:23" x14ac:dyDescent="0.25">
      <c r="V180" s="2"/>
      <c r="W180" s="2"/>
    </row>
    <row r="181" spans="22:23" x14ac:dyDescent="0.25">
      <c r="V181" s="2"/>
      <c r="W181" s="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haredContentType xmlns="Microsoft.SharePoint.Taxonomy.ContentTypeSync" SourceId="f2a00314-ae30-474d-911b-f8e025e1af2d" ContentTypeId="0x010100EA254AAEB50D427F87E6DD3EC4BD2437" PreviousValue="false"/>
</file>

<file path=customXml/item2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JCI Document" ma:contentTypeID="0x010100EA254AAEB50D427F87E6DD3EC4BD243700E9DE5F98739F3B429380BCA2E3696BC2" ma:contentTypeVersion="5" ma:contentTypeDescription="JCI Document" ma:contentTypeScope="" ma:versionID="3955ada78c24239fa9700bbfd7f7934b">
  <xsd:schema xmlns:xsd="http://www.w3.org/2001/XMLSchema" xmlns:xs="http://www.w3.org/2001/XMLSchema" xmlns:p="http://schemas.microsoft.com/office/2006/metadata/properties" xmlns:ns2="9c4207fe-393b-4012-82d4-488376c51aab" xmlns:ns3="e3e2664a-4298-401e-9fa6-8f5325dd2938" targetNamespace="http://schemas.microsoft.com/office/2006/metadata/properties" ma:root="true" ma:fieldsID="50021d37a7b8ab4183afcb8aff0b29f5" ns2:_="" ns3:_="">
    <xsd:import namespace="9c4207fe-393b-4012-82d4-488376c51aab"/>
    <xsd:import namespace="e3e2664a-4298-401e-9fa6-8f5325dd2938"/>
    <xsd:element name="properties">
      <xsd:complexType>
        <xsd:sequence>
          <xsd:element name="documentManagement">
            <xsd:complexType>
              <xsd:all>
                <xsd:element ref="ns2:JCIBusinessUnitTaxHTField0" minOccurs="0"/>
                <xsd:element ref="ns2:JCILocationTaxHTField0" minOccurs="0"/>
                <xsd:element ref="ns2:JCILanguageTaxHTField0" minOccurs="0"/>
                <xsd:element ref="ns2:TopicTaxHTField0" minOccurs="0"/>
                <xsd:element ref="ns2:DataClassificationLevelTaxHTField0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4207fe-393b-4012-82d4-488376c51aab" elementFormDefault="qualified">
    <xsd:import namespace="http://schemas.microsoft.com/office/2006/documentManagement/types"/>
    <xsd:import namespace="http://schemas.microsoft.com/office/infopath/2007/PartnerControls"/>
    <xsd:element name="JCIBusinessUnitTaxHTField0" ma:index="9" nillable="true" ma:taxonomy="true" ma:internalName="JCIBusinessUnitTaxHTField0" ma:taxonomyFieldName="JCIBusinessUnit" ma:displayName="JCI Business Unit" ma:readOnly="false" ma:default="" ma:fieldId="{24d4f6e7-885d-4561-8381-5613b813a45f}" ma:taxonomyMulti="true" ma:sspId="f2a00314-ae30-474d-911b-f8e025e1af2d" ma:termSetId="9cb87515-392a-4392-b6bb-9d224e1d437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ocationTaxHTField0" ma:index="11" nillable="true" ma:taxonomy="true" ma:internalName="JCILocationTaxHTField0" ma:taxonomyFieldName="JCILocation" ma:displayName="JCI Location" ma:readOnly="false" ma:default="" ma:fieldId="{617e4336-b4c5-4c11-a84a-563b34604034}" ma:sspId="f2a00314-ae30-474d-911b-f8e025e1af2d" ma:termSetId="07003981-637c-4838-a343-bac88dd2881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anguageTaxHTField0" ma:index="13" nillable="true" ma:taxonomy="true" ma:internalName="JCILanguageTaxHTField0" ma:taxonomyFieldName="JCILanguage" ma:displayName="JCI Language" ma:fieldId="{24f4bd7e-396c-4b09-a734-43ac5ad5d554}" ma:sspId="f2a00314-ae30-474d-911b-f8e025e1af2d" ma:termSetId="0762c3c1-5030-4853-9ae8-983fa53dee3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opicTaxHTField0" ma:index="15" nillable="true" ma:taxonomy="true" ma:internalName="TopicTaxHTField0" ma:taxonomyFieldName="Topic" ma:displayName="Topic" ma:fieldId="{cc23096b-b68a-4ab9-bdbc-041cb02baae8}" ma:sspId="f2a00314-ae30-474d-911b-f8e025e1af2d" ma:termSetId="a5a0fed3-45dd-484f-a67e-3cafc0ec6d5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ataClassificationLevelTaxHTField0" ma:index="17" nillable="true" ma:taxonomy="true" ma:internalName="DataClassificationLevelTaxHTField0" ma:taxonomyFieldName="DataClassificationLevel" ma:displayName="Data Classification Level" ma:readOnly="false" ma:default="" ma:fieldId="{6e650b06-ad35-42d8-9b98-3f3a368024d7}" ma:sspId="f2a00314-ae30-474d-911b-f8e025e1af2d" ma:termSetId="36eb6eb5-fd24-49d9-953c-2dddb29c16af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e2664a-4298-401e-9fa6-8f5325dd293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38a1afa5-da74-4e39-9667-6cc7600f0e3c}" ma:internalName="TaxCatchAll" ma:showField="CatchAllData" ma:web="9c4207fe-393b-4012-82d4-488376c51a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JCILocationTaxHTField0 xmlns="9c4207fe-393b-4012-82d4-488376c51aab">
      <Terms xmlns="http://schemas.microsoft.com/office/infopath/2007/PartnerControls"/>
    </JCILocationTaxHTField0>
    <JCIBusinessUnitTaxHTField0 xmlns="9c4207fe-393b-4012-82d4-488376c51aab">
      <Terms xmlns="http://schemas.microsoft.com/office/infopath/2007/PartnerControls"/>
    </JCIBusinessUnitTaxHTField0>
    <TaxCatchAll xmlns="e3e2664a-4298-401e-9fa6-8f5325dd2938"/>
    <JCILanguageTaxHTField0 xmlns="9c4207fe-393b-4012-82d4-488376c51aab">
      <Terms xmlns="http://schemas.microsoft.com/office/infopath/2007/PartnerControls"/>
    </JCILanguageTaxHTField0>
    <DataClassificationLevelTaxHTField0 xmlns="9c4207fe-393b-4012-82d4-488376c51aab">
      <Terms xmlns="http://schemas.microsoft.com/office/infopath/2007/PartnerControls"/>
    </DataClassificationLevelTaxHTField0>
    <TopicTaxHTField0 xmlns="9c4207fe-393b-4012-82d4-488376c51aab">
      <Terms xmlns="http://schemas.microsoft.com/office/infopath/2007/PartnerControls"/>
    </TopicTaxHTField0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270C07-0F4E-475D-ABEF-EBCA88CCD3E8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75DFDF45-1E46-469B-B7AF-371ED483F09D}">
  <ds:schemaRefs>
    <ds:schemaRef ds:uri="http://schemas.microsoft.com/office/2006/metadata/customXsn"/>
  </ds:schemaRefs>
</ds:datastoreItem>
</file>

<file path=customXml/itemProps3.xml><?xml version="1.0" encoding="utf-8"?>
<ds:datastoreItem xmlns:ds="http://schemas.openxmlformats.org/officeDocument/2006/customXml" ds:itemID="{95CE8855-DAB9-4D18-B52A-3F140E85C3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4207fe-393b-4012-82d4-488376c51aab"/>
    <ds:schemaRef ds:uri="e3e2664a-4298-401e-9fa6-8f5325dd29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BB540BB-0801-4752-8CD2-070B7A123846}">
  <ds:schemaRefs>
    <ds:schemaRef ds:uri="http://schemas.microsoft.com/office/2006/documentManagement/types"/>
    <ds:schemaRef ds:uri="9c4207fe-393b-4012-82d4-488376c51aab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e3e2664a-4298-401e-9fa6-8f5325dd2938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3109AC88-0E60-488C-8AC3-0188325481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Report Template</vt:lpstr>
      <vt:lpstr>Report WorkSheet</vt:lpstr>
      <vt:lpstr>Instrument Map</vt:lpstr>
      <vt:lpstr>CalReport</vt:lpstr>
      <vt:lpstr>'Report Template'!Print_Area</vt:lpstr>
      <vt:lpstr>'Report WorkSheet'!Print_Area</vt:lpstr>
    </vt:vector>
  </TitlesOfParts>
  <Manager/>
  <Company>Johnson Controls,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Corey W King</dc:creator>
  <cp:keywords/>
  <dc:description/>
  <cp:lastModifiedBy>Scott Gerald Beach</cp:lastModifiedBy>
  <cp:revision/>
  <cp:lastPrinted>2021-11-30T22:49:37Z</cp:lastPrinted>
  <dcterms:created xsi:type="dcterms:W3CDTF">2021-08-25T17:40:48Z</dcterms:created>
  <dcterms:modified xsi:type="dcterms:W3CDTF">2024-08-22T15:38:26Z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etDate">
    <vt:lpwstr>2021-08-25T17:40:49Z</vt:lpwstr>
  </property>
  <property fmtid="{D5CDD505-2E9C-101B-9397-08002B2CF9AE}" pid="4" name="MSIP_Label_6be01c0c-f9b3-4dc4-af0b-a82110cc37cd_Method">
    <vt:lpwstr>Standard</vt:lpwstr>
  </property>
  <property fmtid="{D5CDD505-2E9C-101B-9397-08002B2CF9AE}" pid="5" name="MSIP_Label_6be01c0c-f9b3-4dc4-af0b-a82110cc37cd_Name">
    <vt:lpwstr>6be01c0c-f9b3-4dc4-af0b-a82110cc37cd</vt:lpwstr>
  </property>
  <property fmtid="{D5CDD505-2E9C-101B-9397-08002B2CF9AE}" pid="6" name="MSIP_Label_6be01c0c-f9b3-4dc4-af0b-a82110cc37cd_SiteId">
    <vt:lpwstr>a1f1e214-7ded-45b6-81a1-9e8ae3459641</vt:lpwstr>
  </property>
  <property fmtid="{D5CDD505-2E9C-101B-9397-08002B2CF9AE}" pid="7" name="MSIP_Label_6be01c0c-f9b3-4dc4-af0b-a82110cc37cd_ActionId">
    <vt:lpwstr>3c8b722c-9735-41b1-989f-83a6c90a7a7b</vt:lpwstr>
  </property>
  <property fmtid="{D5CDD505-2E9C-101B-9397-08002B2CF9AE}" pid="8" name="MSIP_Label_6be01c0c-f9b3-4dc4-af0b-a82110cc37cd_ContentBits">
    <vt:lpwstr>0</vt:lpwstr>
  </property>
  <property fmtid="{D5CDD505-2E9C-101B-9397-08002B2CF9AE}" pid="9" name="ContentTypeId">
    <vt:lpwstr>0x010100EA254AAEB50D427F87E6DD3EC4BD243700E9DE5F98739F3B429380BCA2E3696BC2</vt:lpwstr>
  </property>
  <property fmtid="{D5CDD505-2E9C-101B-9397-08002B2CF9AE}" pid="10" name="Topic">
    <vt:lpwstr/>
  </property>
  <property fmtid="{D5CDD505-2E9C-101B-9397-08002B2CF9AE}" pid="11" name="JCILanguage">
    <vt:lpwstr/>
  </property>
  <property fmtid="{D5CDD505-2E9C-101B-9397-08002B2CF9AE}" pid="12" name="DataClassificationLevel">
    <vt:lpwstr/>
  </property>
  <property fmtid="{D5CDD505-2E9C-101B-9397-08002B2CF9AE}" pid="13" name="JCILocation">
    <vt:lpwstr/>
  </property>
  <property fmtid="{D5CDD505-2E9C-101B-9397-08002B2CF9AE}" pid="14" name="JCIBusinessUnit">
    <vt:lpwstr/>
  </property>
</Properties>
</file>