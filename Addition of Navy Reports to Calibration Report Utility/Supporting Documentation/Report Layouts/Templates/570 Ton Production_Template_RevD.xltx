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beachsc\OneDrive - Johnson Controls\Documents\Projects\Addition of Navy Reports to Calibration Report Utility\Supporting Documentation\Report Layouts\Templates\"/>
    </mc:Choice>
  </mc:AlternateContent>
  <xr:revisionPtr revIDLastSave="0" documentId="13_ncr:1_{B3C96E07-8E21-4A76-A219-F1F6A7EF0E03}" xr6:coauthVersionLast="47" xr6:coauthVersionMax="47" xr10:uidLastSave="{00000000-0000-0000-0000-000000000000}"/>
  <bookViews>
    <workbookView xWindow="28680" yWindow="-345" windowWidth="29040" windowHeight="15840" tabRatio="678" activeTab="1" xr2:uid="{00000000-000D-0000-FFFF-FFFF00000000}"/>
  </bookViews>
  <sheets>
    <sheet name="Report Template" sheetId="1" r:id="rId1"/>
    <sheet name="Report WorkSheet" sheetId="12" r:id="rId2"/>
    <sheet name="Instrument Map" sheetId="17" r:id="rId3"/>
    <sheet name="CalReport" sheetId="18" r:id="rId4"/>
  </sheets>
  <definedNames>
    <definedName name="_xlnm.Print_Area" localSheetId="0">'Report Template'!$A$1:$F$70</definedName>
    <definedName name="_xlnm.Print_Area" localSheetId="1">'Report WorkSheet'!$A$1:$F$70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" l="1"/>
  <c r="C44" i="1"/>
  <c r="H44" i="12"/>
  <c r="I44" i="12" s="1"/>
  <c r="J44" i="12"/>
  <c r="K44" i="12" s="1"/>
  <c r="L44" i="12"/>
  <c r="D44" i="1" s="1"/>
  <c r="M44" i="12"/>
  <c r="O44" i="12" s="1"/>
  <c r="H56" i="12"/>
  <c r="I56" i="12" s="1"/>
  <c r="J56" i="12"/>
  <c r="K56" i="12" s="1"/>
  <c r="L56" i="12"/>
  <c r="D56" i="1" s="1"/>
  <c r="M56" i="12"/>
  <c r="E56" i="1" s="1"/>
  <c r="H57" i="12"/>
  <c r="I57" i="12" s="1"/>
  <c r="J57" i="12"/>
  <c r="K57" i="12" s="1"/>
  <c r="L57" i="12"/>
  <c r="D57" i="1" s="1"/>
  <c r="M57" i="12"/>
  <c r="E57" i="1" s="1"/>
  <c r="H58" i="12"/>
  <c r="I58" i="12" s="1"/>
  <c r="J58" i="12"/>
  <c r="K58" i="12" s="1"/>
  <c r="L58" i="12"/>
  <c r="D58" i="1" s="1"/>
  <c r="M58" i="12"/>
  <c r="E58" i="1" s="1"/>
  <c r="H59" i="12"/>
  <c r="I59" i="12" s="1"/>
  <c r="J59" i="12"/>
  <c r="K59" i="12" s="1"/>
  <c r="L59" i="12"/>
  <c r="M59" i="12"/>
  <c r="E59" i="1" s="1"/>
  <c r="H60" i="12"/>
  <c r="I60" i="12" s="1"/>
  <c r="J60" i="12"/>
  <c r="K60" i="12" s="1"/>
  <c r="L60" i="12"/>
  <c r="M60" i="12"/>
  <c r="H61" i="12"/>
  <c r="I61" i="12" s="1"/>
  <c r="J61" i="12"/>
  <c r="K61" i="12" s="1"/>
  <c r="L61" i="12"/>
  <c r="D61" i="1" s="1"/>
  <c r="M61" i="12"/>
  <c r="E61" i="1" s="1"/>
  <c r="H39" i="12"/>
  <c r="I39" i="12" s="1"/>
  <c r="J39" i="12"/>
  <c r="K39" i="12" s="1"/>
  <c r="L39" i="12"/>
  <c r="M39" i="12"/>
  <c r="E39" i="1" s="1"/>
  <c r="H40" i="12"/>
  <c r="I40" i="12" s="1"/>
  <c r="J40" i="12"/>
  <c r="K40" i="12"/>
  <c r="L40" i="12"/>
  <c r="D40" i="1" s="1"/>
  <c r="M40" i="12"/>
  <c r="E40" i="1" s="1"/>
  <c r="H41" i="12"/>
  <c r="I41" i="12" s="1"/>
  <c r="J41" i="12"/>
  <c r="K41" i="12" s="1"/>
  <c r="L41" i="12"/>
  <c r="D41" i="1" s="1"/>
  <c r="M41" i="12"/>
  <c r="E41" i="1" s="1"/>
  <c r="H42" i="12"/>
  <c r="I42" i="12" s="1"/>
  <c r="J42" i="12"/>
  <c r="K42" i="12" s="1"/>
  <c r="L42" i="12"/>
  <c r="M42" i="12"/>
  <c r="E42" i="1" s="1"/>
  <c r="H43" i="12"/>
  <c r="I43" i="12"/>
  <c r="J43" i="12"/>
  <c r="K43" i="12" s="1"/>
  <c r="L43" i="12"/>
  <c r="D43" i="1" s="1"/>
  <c r="M43" i="12"/>
  <c r="E43" i="1" s="1"/>
  <c r="H45" i="12"/>
  <c r="I45" i="12" s="1"/>
  <c r="J45" i="12"/>
  <c r="K45" i="12" s="1"/>
  <c r="L45" i="12"/>
  <c r="D45" i="1" s="1"/>
  <c r="M45" i="12"/>
  <c r="E45" i="1" s="1"/>
  <c r="H46" i="12"/>
  <c r="I46" i="12" s="1"/>
  <c r="J46" i="12"/>
  <c r="K46" i="12" s="1"/>
  <c r="L46" i="12"/>
  <c r="M46" i="12"/>
  <c r="H23" i="12"/>
  <c r="I23" i="12" s="1"/>
  <c r="J23" i="12"/>
  <c r="K23" i="12" s="1"/>
  <c r="L23" i="12"/>
  <c r="M23" i="12"/>
  <c r="E23" i="1" s="1"/>
  <c r="H24" i="12"/>
  <c r="I24" i="12" s="1"/>
  <c r="J24" i="12"/>
  <c r="K24" i="12" s="1"/>
  <c r="L24" i="12"/>
  <c r="D24" i="1" s="1"/>
  <c r="M24" i="12"/>
  <c r="H25" i="12"/>
  <c r="I25" i="12" s="1"/>
  <c r="J25" i="12"/>
  <c r="K25" i="12" s="1"/>
  <c r="L25" i="12"/>
  <c r="M25" i="12"/>
  <c r="E25" i="1" s="1"/>
  <c r="H26" i="12"/>
  <c r="I26" i="12" s="1"/>
  <c r="J26" i="12"/>
  <c r="K26" i="12" s="1"/>
  <c r="L26" i="12"/>
  <c r="M26" i="12"/>
  <c r="H27" i="12"/>
  <c r="I27" i="12" s="1"/>
  <c r="J27" i="12"/>
  <c r="K27" i="12" s="1"/>
  <c r="L27" i="12"/>
  <c r="D27" i="1" s="1"/>
  <c r="M27" i="12"/>
  <c r="E27" i="1" s="1"/>
  <c r="H28" i="12"/>
  <c r="I28" i="12" s="1"/>
  <c r="J28" i="12"/>
  <c r="K28" i="12" s="1"/>
  <c r="L28" i="12"/>
  <c r="M28" i="12"/>
  <c r="N28" i="12" s="1"/>
  <c r="H29" i="12"/>
  <c r="I29" i="12" s="1"/>
  <c r="J29" i="12"/>
  <c r="K29" i="12" s="1"/>
  <c r="L29" i="12"/>
  <c r="D29" i="1" s="1"/>
  <c r="M29" i="12"/>
  <c r="H30" i="12"/>
  <c r="I30" i="12" s="1"/>
  <c r="J30" i="12"/>
  <c r="K30" i="12" s="1"/>
  <c r="L30" i="12"/>
  <c r="M30" i="12"/>
  <c r="H31" i="12"/>
  <c r="I31" i="12" s="1"/>
  <c r="J31" i="12"/>
  <c r="K31" i="12" s="1"/>
  <c r="L31" i="12"/>
  <c r="D31" i="1" s="1"/>
  <c r="M31" i="12"/>
  <c r="E31" i="1" s="1"/>
  <c r="H32" i="12"/>
  <c r="I32" i="12"/>
  <c r="J32" i="12"/>
  <c r="K32" i="12" s="1"/>
  <c r="L32" i="12"/>
  <c r="M32" i="12"/>
  <c r="E32" i="1" s="1"/>
  <c r="H33" i="12"/>
  <c r="I33" i="12" s="1"/>
  <c r="J33" i="12"/>
  <c r="K33" i="12" s="1"/>
  <c r="L33" i="12"/>
  <c r="M33" i="12"/>
  <c r="N33" i="12" s="1"/>
  <c r="H34" i="12"/>
  <c r="I34" i="12" s="1"/>
  <c r="J34" i="12"/>
  <c r="K34" i="12" s="1"/>
  <c r="L34" i="12"/>
  <c r="M34" i="12"/>
  <c r="E34" i="1" s="1"/>
  <c r="H35" i="12"/>
  <c r="I35" i="12" s="1"/>
  <c r="J35" i="12"/>
  <c r="K35" i="12" s="1"/>
  <c r="L35" i="12"/>
  <c r="D35" i="1" s="1"/>
  <c r="M35" i="12"/>
  <c r="E35" i="1" s="1"/>
  <c r="B56" i="1"/>
  <c r="C56" i="1"/>
  <c r="B57" i="1"/>
  <c r="C57" i="1"/>
  <c r="B58" i="1"/>
  <c r="C58" i="1"/>
  <c r="B59" i="1"/>
  <c r="C59" i="1"/>
  <c r="B60" i="1"/>
  <c r="C60" i="1"/>
  <c r="B61" i="1"/>
  <c r="C61" i="1"/>
  <c r="B39" i="1"/>
  <c r="C39" i="1"/>
  <c r="B40" i="1"/>
  <c r="C40" i="1"/>
  <c r="B41" i="1"/>
  <c r="C41" i="1"/>
  <c r="B42" i="1"/>
  <c r="C42" i="1"/>
  <c r="B43" i="1"/>
  <c r="C43" i="1"/>
  <c r="B45" i="1"/>
  <c r="C45" i="1"/>
  <c r="B46" i="1"/>
  <c r="C46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D28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M65" i="12"/>
  <c r="E65" i="1" s="1"/>
  <c r="M64" i="12"/>
  <c r="E64" i="1" s="1"/>
  <c r="L65" i="12"/>
  <c r="L64" i="12"/>
  <c r="D64" i="1" s="1"/>
  <c r="J65" i="12"/>
  <c r="K65" i="12" s="1"/>
  <c r="J64" i="12"/>
  <c r="K64" i="12" s="1"/>
  <c r="H65" i="12"/>
  <c r="I65" i="12" s="1"/>
  <c r="H64" i="12"/>
  <c r="I64" i="12" s="1"/>
  <c r="M22" i="12"/>
  <c r="E22" i="1" s="1"/>
  <c r="M38" i="12"/>
  <c r="E38" i="1" s="1"/>
  <c r="M49" i="12"/>
  <c r="E49" i="1" s="1"/>
  <c r="M50" i="12"/>
  <c r="M51" i="12"/>
  <c r="E51" i="1" s="1"/>
  <c r="M52" i="12"/>
  <c r="M55" i="12"/>
  <c r="E55" i="1" s="1"/>
  <c r="L22" i="12"/>
  <c r="L38" i="12"/>
  <c r="L49" i="12"/>
  <c r="L50" i="12"/>
  <c r="D50" i="1" s="1"/>
  <c r="L51" i="12"/>
  <c r="D51" i="1" s="1"/>
  <c r="L52" i="12"/>
  <c r="D52" i="1" s="1"/>
  <c r="L55" i="12"/>
  <c r="D55" i="1" s="1"/>
  <c r="J22" i="12"/>
  <c r="K22" i="12" s="1"/>
  <c r="J38" i="12"/>
  <c r="K38" i="12" s="1"/>
  <c r="J49" i="12"/>
  <c r="K49" i="12" s="1"/>
  <c r="J50" i="12"/>
  <c r="K50" i="12" s="1"/>
  <c r="J51" i="12"/>
  <c r="K51" i="12" s="1"/>
  <c r="J52" i="12"/>
  <c r="K52" i="12" s="1"/>
  <c r="J55" i="12"/>
  <c r="K55" i="12" s="1"/>
  <c r="H55" i="12"/>
  <c r="I55" i="12" s="1"/>
  <c r="H49" i="12"/>
  <c r="I49" i="12" s="1"/>
  <c r="H50" i="12"/>
  <c r="I50" i="12" s="1"/>
  <c r="H51" i="12"/>
  <c r="I51" i="12" s="1"/>
  <c r="H52" i="12"/>
  <c r="I52" i="12" s="1"/>
  <c r="H38" i="12"/>
  <c r="I38" i="12" s="1"/>
  <c r="H22" i="12"/>
  <c r="I22" i="12" s="1"/>
  <c r="M11" i="12"/>
  <c r="E11" i="1" s="1"/>
  <c r="M12" i="12"/>
  <c r="E12" i="1" s="1"/>
  <c r="M13" i="12"/>
  <c r="E13" i="1" s="1"/>
  <c r="M14" i="12"/>
  <c r="E14" i="1" s="1"/>
  <c r="M15" i="12"/>
  <c r="E15" i="1" s="1"/>
  <c r="M16" i="12"/>
  <c r="E16" i="1" s="1"/>
  <c r="M17" i="12"/>
  <c r="E17" i="1" s="1"/>
  <c r="M18" i="12"/>
  <c r="E18" i="1" s="1"/>
  <c r="M19" i="12"/>
  <c r="L11" i="12"/>
  <c r="L12" i="12"/>
  <c r="L13" i="12"/>
  <c r="D13" i="1" s="1"/>
  <c r="L14" i="12"/>
  <c r="L15" i="12"/>
  <c r="D15" i="1" s="1"/>
  <c r="L16" i="12"/>
  <c r="D16" i="1" s="1"/>
  <c r="L17" i="12"/>
  <c r="D17" i="1" s="1"/>
  <c r="L18" i="12"/>
  <c r="D18" i="1" s="1"/>
  <c r="L19" i="12"/>
  <c r="D19" i="1" s="1"/>
  <c r="J11" i="12"/>
  <c r="K11" i="12" s="1"/>
  <c r="J12" i="12"/>
  <c r="K12" i="12" s="1"/>
  <c r="J13" i="12"/>
  <c r="K13" i="12" s="1"/>
  <c r="J14" i="12"/>
  <c r="K14" i="12" s="1"/>
  <c r="J15" i="12"/>
  <c r="K15" i="12" s="1"/>
  <c r="J16" i="12"/>
  <c r="K16" i="12" s="1"/>
  <c r="J17" i="12"/>
  <c r="K17" i="12" s="1"/>
  <c r="J18" i="12"/>
  <c r="K18" i="12" s="1"/>
  <c r="J19" i="12"/>
  <c r="K19" i="12" s="1"/>
  <c r="H11" i="12"/>
  <c r="I11" i="12" s="1"/>
  <c r="H12" i="12"/>
  <c r="I12" i="12" s="1"/>
  <c r="H13" i="12"/>
  <c r="I13" i="12" s="1"/>
  <c r="H14" i="12"/>
  <c r="I14" i="12" s="1"/>
  <c r="H15" i="12"/>
  <c r="I15" i="12" s="1"/>
  <c r="H16" i="12"/>
  <c r="I16" i="12" s="1"/>
  <c r="H17" i="12"/>
  <c r="I17" i="12" s="1"/>
  <c r="H18" i="12"/>
  <c r="I18" i="12" s="1"/>
  <c r="H19" i="12"/>
  <c r="I19" i="12" s="1"/>
  <c r="M10" i="12"/>
  <c r="E10" i="1" s="1"/>
  <c r="L10" i="12"/>
  <c r="D10" i="1" s="1"/>
  <c r="J10" i="12"/>
  <c r="K10" i="12" s="1"/>
  <c r="H10" i="12"/>
  <c r="I10" i="12" s="1"/>
  <c r="B64" i="1"/>
  <c r="B65" i="1"/>
  <c r="C78" i="12"/>
  <c r="B4" i="1"/>
  <c r="B50" i="1"/>
  <c r="C50" i="1"/>
  <c r="B51" i="1"/>
  <c r="C51" i="1"/>
  <c r="B52" i="1"/>
  <c r="C52" i="1"/>
  <c r="C87" i="12"/>
  <c r="B3" i="1"/>
  <c r="B5" i="1"/>
  <c r="B2" i="1"/>
  <c r="B1" i="1"/>
  <c r="E69" i="1"/>
  <c r="C69" i="1"/>
  <c r="C65" i="1"/>
  <c r="C64" i="1"/>
  <c r="C55" i="1"/>
  <c r="C49" i="1"/>
  <c r="C38" i="1"/>
  <c r="C22" i="1"/>
  <c r="B10" i="1"/>
  <c r="B11" i="1"/>
  <c r="B12" i="1"/>
  <c r="B13" i="1"/>
  <c r="B14" i="1"/>
  <c r="B15" i="1"/>
  <c r="B16" i="1"/>
  <c r="B17" i="1"/>
  <c r="B18" i="1"/>
  <c r="B19" i="1"/>
  <c r="B22" i="1"/>
  <c r="B38" i="1"/>
  <c r="B49" i="1"/>
  <c r="B55" i="1"/>
  <c r="C11" i="1"/>
  <c r="C12" i="1"/>
  <c r="C13" i="1"/>
  <c r="C14" i="1"/>
  <c r="C15" i="1"/>
  <c r="C16" i="1"/>
  <c r="C17" i="1"/>
  <c r="C18" i="1"/>
  <c r="C19" i="1"/>
  <c r="C10" i="1"/>
  <c r="O34" i="12" l="1"/>
  <c r="O39" i="12"/>
  <c r="N44" i="12"/>
  <c r="E44" i="1"/>
  <c r="O42" i="12"/>
  <c r="N24" i="12"/>
  <c r="N41" i="12"/>
  <c r="N57" i="12"/>
  <c r="N60" i="12"/>
  <c r="O41" i="12"/>
  <c r="O46" i="12"/>
  <c r="O26" i="12"/>
  <c r="E28" i="1"/>
  <c r="O43" i="12"/>
  <c r="O30" i="12"/>
  <c r="O25" i="12"/>
  <c r="D39" i="1"/>
  <c r="N29" i="12"/>
  <c r="O56" i="12"/>
  <c r="D25" i="1"/>
  <c r="O32" i="12"/>
  <c r="O33" i="12"/>
  <c r="O29" i="12"/>
  <c r="O40" i="12"/>
  <c r="N39" i="12"/>
  <c r="O60" i="12"/>
  <c r="O23" i="12"/>
  <c r="O58" i="12"/>
  <c r="N35" i="12"/>
  <c r="N58" i="12"/>
  <c r="D46" i="1"/>
  <c r="O61" i="12"/>
  <c r="N46" i="12"/>
  <c r="N61" i="12"/>
  <c r="N26" i="12"/>
  <c r="N30" i="12"/>
  <c r="E60" i="1"/>
  <c r="O45" i="12"/>
  <c r="E46" i="1"/>
  <c r="D60" i="1"/>
  <c r="N25" i="12"/>
  <c r="N45" i="12"/>
  <c r="N40" i="12"/>
  <c r="N59" i="12"/>
  <c r="N43" i="12"/>
  <c r="D42" i="1"/>
  <c r="N32" i="12"/>
  <c r="O28" i="12"/>
  <c r="O59" i="12"/>
  <c r="D59" i="1"/>
  <c r="O57" i="12"/>
  <c r="N56" i="12"/>
  <c r="N42" i="12"/>
  <c r="E24" i="1"/>
  <c r="D23" i="1"/>
  <c r="D34" i="1"/>
  <c r="O31" i="12"/>
  <c r="E33" i="1"/>
  <c r="N34" i="12"/>
  <c r="N31" i="12"/>
  <c r="D33" i="1"/>
  <c r="D30" i="1"/>
  <c r="O27" i="12"/>
  <c r="O24" i="12"/>
  <c r="D32" i="1"/>
  <c r="E30" i="1"/>
  <c r="E29" i="1"/>
  <c r="N27" i="12"/>
  <c r="E26" i="1"/>
  <c r="D26" i="1"/>
  <c r="O35" i="12"/>
  <c r="N23" i="12"/>
  <c r="O16" i="12"/>
  <c r="O38" i="12"/>
  <c r="O49" i="12"/>
  <c r="O11" i="12"/>
  <c r="N22" i="12"/>
  <c r="D22" i="1"/>
  <c r="O17" i="12"/>
  <c r="N65" i="12"/>
  <c r="O22" i="12"/>
  <c r="N52" i="12"/>
  <c r="O12" i="12"/>
  <c r="O51" i="12"/>
  <c r="O52" i="12"/>
  <c r="N50" i="12"/>
  <c r="O55" i="12"/>
  <c r="N51" i="12"/>
  <c r="D65" i="1"/>
  <c r="O14" i="12"/>
  <c r="E52" i="1"/>
  <c r="D12" i="1"/>
  <c r="O13" i="12"/>
  <c r="O19" i="12"/>
  <c r="O18" i="12"/>
  <c r="N64" i="12"/>
  <c r="N13" i="12"/>
  <c r="O64" i="12"/>
  <c r="N12" i="12"/>
  <c r="O65" i="12"/>
  <c r="N49" i="12"/>
  <c r="D49" i="1"/>
  <c r="N55" i="12"/>
  <c r="N11" i="12"/>
  <c r="O15" i="12"/>
  <c r="E50" i="1"/>
  <c r="N14" i="12"/>
  <c r="N15" i="12"/>
  <c r="N18" i="12"/>
  <c r="D38" i="1"/>
  <c r="O10" i="12"/>
  <c r="D14" i="1"/>
  <c r="O50" i="12"/>
  <c r="E19" i="1"/>
  <c r="N19" i="12"/>
  <c r="N17" i="12"/>
  <c r="D11" i="1"/>
  <c r="N38" i="12"/>
  <c r="N10" i="12"/>
  <c r="N16" i="12"/>
</calcChain>
</file>

<file path=xl/sharedStrings.xml><?xml version="1.0" encoding="utf-8"?>
<sst xmlns="http://schemas.openxmlformats.org/spreadsheetml/2006/main" count="186" uniqueCount="171">
  <si>
    <t>Instrument Serial Number</t>
  </si>
  <si>
    <t>Instrument Title</t>
  </si>
  <si>
    <t>Calibration Dates</t>
  </si>
  <si>
    <t>Last</t>
  </si>
  <si>
    <t>Next</t>
  </si>
  <si>
    <t>DAQ2 RTD Temperatures</t>
  </si>
  <si>
    <t>DAQ3 RTD Temperatures</t>
  </si>
  <si>
    <t>Omega Pressure Transducer</t>
  </si>
  <si>
    <t>Rosemount Delta P Transducer</t>
  </si>
  <si>
    <t>Rosemount Magmeter</t>
  </si>
  <si>
    <t>EVAPORATOR WATER FLOW A</t>
  </si>
  <si>
    <t>EVAPORATOR WATER FLOW B</t>
  </si>
  <si>
    <t>CONDENSER WATER FLOW A</t>
  </si>
  <si>
    <t>CONDENSER WATER FLOW B</t>
  </si>
  <si>
    <t>Xitron Power Analyzer</t>
  </si>
  <si>
    <t>↓ Eng Tag Names Match? ↓</t>
  </si>
  <si>
    <t>HW Tag Name</t>
  </si>
  <si>
    <t>↓ HW Tag Names Match? ↓</t>
  </si>
  <si>
    <t>COND WATER ENTERING TEMP A</t>
  </si>
  <si>
    <t>COND WATER ENTERING TEMP B</t>
  </si>
  <si>
    <t>COND WATER LEAVING TEMP A</t>
  </si>
  <si>
    <t>COND WATER LEAVING TEMP B</t>
  </si>
  <si>
    <t>EVAP WATER ENTERING TEMP A</t>
  </si>
  <si>
    <t>EVAP WATER ENTERING TEMP B</t>
  </si>
  <si>
    <t>EVAP WATER LEAVING TEMP A</t>
  </si>
  <si>
    <t>EVAP WATER LEAVING TEMP B</t>
  </si>
  <si>
    <t>AUX COOLING WATER ENTERING TEMP</t>
  </si>
  <si>
    <t>AUX COOLING WATER LEAVING TEMP</t>
  </si>
  <si>
    <t>Prepared By:</t>
  </si>
  <si>
    <t>Date:</t>
  </si>
  <si>
    <t>`</t>
  </si>
  <si>
    <t>Johnson Controls Calibration Report</t>
  </si>
  <si>
    <t>ENG Tag Name</t>
  </si>
  <si>
    <t>Tag Names</t>
  </si>
  <si>
    <t>Notes</t>
  </si>
  <si>
    <t>↓ Cal Date from Cal Report ↓</t>
  </si>
  <si>
    <t>↓ Cal Due From Cal Report ↓</t>
  </si>
  <si>
    <t>↓ HW Tag Names from Cal Report ↓</t>
  </si>
  <si>
    <t>↓ Eng Tag Names from Cal Report ↓</t>
  </si>
  <si>
    <t>Facility Information
Not on Inst Map
Get From
Cal Report</t>
  </si>
  <si>
    <t>Not on Inst Map
Get From Cal Report</t>
  </si>
  <si>
    <t>↓ Date in Range ↓</t>
  </si>
  <si>
    <t xml:space="preserve">Unit Type:  </t>
  </si>
  <si>
    <t xml:space="preserve">Test Request Number: </t>
  </si>
  <si>
    <t xml:space="preserve">Instrument Map Date:  </t>
  </si>
  <si>
    <t xml:space="preserve">JADEC Test Facility:  </t>
  </si>
  <si>
    <t>↓ # Days ↓</t>
  </si>
  <si>
    <t>Calibration Report Date</t>
  </si>
  <si>
    <t>BAROMETRIC PRESSURE</t>
  </si>
  <si>
    <t>COND_WTR_E_TEMP_TET-CW-2A</t>
  </si>
  <si>
    <t>DAQ2_RTD_001</t>
  </si>
  <si>
    <t>COND_WTR_E_TEMP_TET-CW-2B</t>
  </si>
  <si>
    <t>DAQ2_RTD_002</t>
  </si>
  <si>
    <t>COND_WTR_L_TEMP_TET-CW-3A</t>
  </si>
  <si>
    <t>DAQ2_RTD_003</t>
  </si>
  <si>
    <t>COND_WTR_L_TEMP_TET-CW-3B</t>
  </si>
  <si>
    <t>DAQ2_RTD_004</t>
  </si>
  <si>
    <t>EVAP_WTR_E_TEMP_TET-EW-2A</t>
  </si>
  <si>
    <t>DAQ2_RTD_005</t>
  </si>
  <si>
    <t>EVAP_WTR_E_TEMP_TET-EW-2B</t>
  </si>
  <si>
    <t>DAQ2_RTD_006</t>
  </si>
  <si>
    <t>EVAP_WTR_L_TEMP_TET-EW-3A</t>
  </si>
  <si>
    <t>DAQ2_RTD_007</t>
  </si>
  <si>
    <t>EVAP_WTR_L_TEMP_TET-EW-3B</t>
  </si>
  <si>
    <t>DAQ2_RTD_008</t>
  </si>
  <si>
    <t>CH_WTR_E_TEMP_TET-CH-2</t>
  </si>
  <si>
    <t>DAQ2_RTD_009</t>
  </si>
  <si>
    <t>CH_WTR_L_TEMP_TET-CH-3</t>
  </si>
  <si>
    <t>DAQ2_RTD_010</t>
  </si>
  <si>
    <t>EVAP_WTR_E_TOTAL_FLOW</t>
  </si>
  <si>
    <t>EVAP_WTR_E_FLOW_FT-EW-1A</t>
  </si>
  <si>
    <t>EVAP_WTR_E_FLOW_FT-EW-1B</t>
  </si>
  <si>
    <t>COND_WTR_E_TOTAL_FLOW</t>
  </si>
  <si>
    <t>COND_WTR_E_FLOW_FT-CW-1A</t>
  </si>
  <si>
    <t>COND_WTR_E_FLOW_FT-CW-1B</t>
  </si>
  <si>
    <t>Facility Information
Not on Inst Map
Get From
Cal Report
ENG and HW Tag Names
Should remain the same</t>
  </si>
  <si>
    <t>HW Tag Names
Not on Inst Map
Use Channel to determine
Eng Tag Names
Should remain the same</t>
  </si>
  <si>
    <t>OIL_SYS01_WTR_CLR-E_TEMP_01</t>
  </si>
  <si>
    <t>OIL_SYS02_WTR_CLR-E_TEMP_01</t>
  </si>
  <si>
    <t>OIL_SYS01_WTR_CLR-L_TEMP_01</t>
  </si>
  <si>
    <t>OIL_SYS02_WTR_CLR-L_TEMP_01</t>
  </si>
  <si>
    <t>COMPR_SYS01_RFG_SUCT_TEMP_01</t>
  </si>
  <si>
    <t>COMPR_SYS01_RFG_DISCH_TEMP_01</t>
  </si>
  <si>
    <t>COMPR_SYS02_RFG_SUCT_TEMP_01</t>
  </si>
  <si>
    <t>COMPR_SYS02_RFG_DISCH_TEMP_01</t>
  </si>
  <si>
    <t>AMB_UNIT_AIR_EXT_TEMP_01</t>
  </si>
  <si>
    <t>AMB_UNIT_AIR_EXT_PRESS_01</t>
  </si>
  <si>
    <t>OIL_SYS01_OIL_PUMP_PRESS_01</t>
  </si>
  <si>
    <t>OIL_SYS02_OIL_PUMP_PRESS_01</t>
  </si>
  <si>
    <t>OIL_SYS01_OIL_SUMP-MID_PRESS_01</t>
  </si>
  <si>
    <t>EVAP_UNIT_WTR_NOZ_DP_01</t>
  </si>
  <si>
    <t>COND_UNIT_WTR_NOZ_DP_01</t>
  </si>
  <si>
    <t>OIL_SYS01_WTR_NOZ_DP_01</t>
  </si>
  <si>
    <t>OIL_SYS02_WTR_NOZ_DP_01</t>
  </si>
  <si>
    <t>COND_SYS01_RLIQ_L_TEMP_01</t>
  </si>
  <si>
    <t>COND_SYS02_RLIQ_L_TEMP_01</t>
  </si>
  <si>
    <t>EVAP PRESSURE</t>
  </si>
  <si>
    <t>EVAP_SYS01_RVAP_TOP_PRESS_01</t>
  </si>
  <si>
    <t>EVAP_SYS01_RLIQ_LOW-CTR_TEMP_01</t>
  </si>
  <si>
    <t>OIL_SYS01_WTR_CLR-E_FLOW_01</t>
  </si>
  <si>
    <t>OIL_SYS02_WTR_CLR-E_FLOW_01</t>
  </si>
  <si>
    <t>OIL COOLER WATER FLOW SYS01</t>
  </si>
  <si>
    <t>OIL COOLER WATER FLOW SYS02</t>
  </si>
  <si>
    <t>570 Ton</t>
  </si>
  <si>
    <t>COMPRESSOR SUCTION TEMP SYS01</t>
  </si>
  <si>
    <t>COMPRESSOR DISCHARGE TEMP SYS01</t>
  </si>
  <si>
    <t>COMPRESSOR SUCTION TEMP SYS02</t>
  </si>
  <si>
    <t>COMPRESSOR DISCHARGE TEMP SYS02</t>
  </si>
  <si>
    <t>OIL COOLER WATER ON SYS01</t>
  </si>
  <si>
    <t>OIL COOLER WATER OFF SYS01</t>
  </si>
  <si>
    <t>OIL COOLER WATER ON SYS02</t>
  </si>
  <si>
    <t>OIL COOLER WATER OFF SYS02</t>
  </si>
  <si>
    <t>AMBIENT TEMPERATURE</t>
  </si>
  <si>
    <t>COND_UNIT_WTR_L_TEMP_01</t>
  </si>
  <si>
    <t>COND_UNIT_WTR_L_TEMP_02</t>
  </si>
  <si>
    <t>COND WATER LEAVING TEMP 01</t>
  </si>
  <si>
    <t>COND WATER LEAVING TEMP 02</t>
  </si>
  <si>
    <t>EVAP LIQUID LOW CENTER RTD</t>
  </si>
  <si>
    <t>LIQUID OUT OF COND SYS01</t>
  </si>
  <si>
    <t>LIQUID OUT OF COND SYS02</t>
  </si>
  <si>
    <t>COND_SYS01_RVAP_TOP_PRESS_01</t>
  </si>
  <si>
    <t>COND PRESSURE</t>
  </si>
  <si>
    <t>OIL PRESSURE SYS01</t>
  </si>
  <si>
    <t>OIL PRESSURE SYS02</t>
  </si>
  <si>
    <t xml:space="preserve">OIL SUMP PRESSURE </t>
  </si>
  <si>
    <t>COND_UNIT_WTR_CWCV-L_PRESS_01</t>
  </si>
  <si>
    <t>COND_UNIT_WTR_CWCV-BYP_PRESS_01</t>
  </si>
  <si>
    <t>CWCV OUTLET PRESSURE</t>
  </si>
  <si>
    <t>CWCV BYPASS LEG PRESSURE</t>
  </si>
  <si>
    <t>OIL COOLER WATER PRESSURE DROP SYS01</t>
  </si>
  <si>
    <t>OIL COOLER WATER PRESSURE DROP SYS02</t>
  </si>
  <si>
    <t>EVAP WATER PRESSURE DROP</t>
  </si>
  <si>
    <t>COND WATER PRESSURE DROP</t>
  </si>
  <si>
    <t>CWCV BYPASS FLOW</t>
  </si>
  <si>
    <t>COND_UNIT_WTR_CWCV-BYP_FLOW_01</t>
  </si>
  <si>
    <t>CWCV INLET PRESSURE</t>
  </si>
  <si>
    <t>COND_UNIT_WTR_CWCV-E_PRESS_01</t>
  </si>
  <si>
    <t>MOTOR 2 INPUT</t>
  </si>
  <si>
    <t>MOTOR 1 INPUT</t>
  </si>
  <si>
    <t>DAQ3A_RTD_001</t>
  </si>
  <si>
    <t>DAQ3A_RTD_002</t>
  </si>
  <si>
    <t>DAQ3A_RTD_003</t>
  </si>
  <si>
    <t>DAQ3A_RTD_004</t>
  </si>
  <si>
    <t>DAQ3A_RTD_005</t>
  </si>
  <si>
    <t>DAQ3A_RTD_006</t>
  </si>
  <si>
    <t>DAQ3A_RTD_007</t>
  </si>
  <si>
    <t>DAQ3A_RTD_008</t>
  </si>
  <si>
    <t>DAQ3A_RTD_009</t>
  </si>
  <si>
    <t>DAQ3A_RTD_010</t>
  </si>
  <si>
    <t>DAQ3A_RTD_011</t>
  </si>
  <si>
    <t>DAQ3A_RTD_012</t>
  </si>
  <si>
    <t>DAQ3A_RTD_013</t>
  </si>
  <si>
    <t>DAQ3A_RTD_014</t>
  </si>
  <si>
    <t>DAQ3A_AI_001</t>
  </si>
  <si>
    <t>DAQ3A_AI_002</t>
  </si>
  <si>
    <t>DAQ3A_AI_003</t>
  </si>
  <si>
    <t>DAQ3A_AI_004</t>
  </si>
  <si>
    <t>DAQ3A_AI_005</t>
  </si>
  <si>
    <t>DAQ3A_AI_006</t>
  </si>
  <si>
    <t>DAQ3A_AI_007</t>
  </si>
  <si>
    <t>DAQ3A_AI_008</t>
  </si>
  <si>
    <t>DAQ3A_AI_009</t>
  </si>
  <si>
    <t>DAQ3A_AI_010</t>
  </si>
  <si>
    <t>DAQ3A_AI_011</t>
  </si>
  <si>
    <t>DAQ3A_AI_012</t>
  </si>
  <si>
    <t>DAQ3A_AI_013</t>
  </si>
  <si>
    <t>DAQ3A_AI_014</t>
  </si>
  <si>
    <t>DAQ3A_AI_015</t>
  </si>
  <si>
    <t>DAQ3A_AI_016</t>
  </si>
  <si>
    <t>XT2640-045</t>
  </si>
  <si>
    <t>XT2640-066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</si>
</sst>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/d/yyyy;@"/>
    <numFmt numFmtId="165" formatCode="mm/dd/yy;@"/>
    <numFmt numFmtId="166" formatCode="m/d/yy;@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1E1E1E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FFF99"/>
        <bgColor rgb="FF00000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3" fillId="0" borderId="0" xfId="0" applyFont="1"/>
    <xf numFmtId="14" fontId="1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64" fontId="1" fillId="0" borderId="4" xfId="0" applyNumberFormat="1" applyFont="1" applyBorder="1" applyAlignment="1">
      <alignment horizontal="center"/>
    </xf>
    <xf numFmtId="165" fontId="1" fillId="0" borderId="0" xfId="0" applyNumberFormat="1" applyFont="1"/>
    <xf numFmtId="0" fontId="1" fillId="0" borderId="4" xfId="0" applyFont="1" applyBorder="1"/>
    <xf numFmtId="0" fontId="1" fillId="0" borderId="3" xfId="0" applyFont="1" applyBorder="1"/>
    <xf numFmtId="164" fontId="1" fillId="2" borderId="0" xfId="0" applyNumberFormat="1" applyFont="1" applyFill="1" applyAlignment="1">
      <alignment horizontal="left"/>
    </xf>
    <xf numFmtId="164" fontId="1" fillId="0" borderId="5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4" fontId="1" fillId="2" borderId="0" xfId="0" quotePrefix="1" applyNumberFormat="1" applyFont="1" applyFill="1" applyAlignment="1">
      <alignment horizontal="left"/>
    </xf>
    <xf numFmtId="166" fontId="1" fillId="0" borderId="0" xfId="0" applyNumberFormat="1" applyFont="1"/>
    <xf numFmtId="22" fontId="0" fillId="0" borderId="0" xfId="0" applyNumberFormat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0" fontId="10" fillId="4" borderId="3" xfId="0" applyFont="1" applyFill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5" borderId="6" xfId="0" applyFont="1" applyFill="1" applyBorder="1" applyAlignment="1">
      <alignment horizontal="center"/>
    </xf>
    <xf numFmtId="0" fontId="10" fillId="5" borderId="5" xfId="0" applyFont="1" applyFill="1" applyBorder="1" applyAlignment="1">
      <alignment horizontal="center"/>
    </xf>
    <xf numFmtId="0" fontId="10" fillId="5" borderId="7" xfId="0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0" fontId="10" fillId="5" borderId="12" xfId="0" applyFont="1" applyFill="1" applyBorder="1" applyAlignment="1">
      <alignment horizontal="center"/>
    </xf>
  </cellXfs>
  <cellStyles count="1">
    <cellStyle name="Normal" xfId="0" builtinId="0"/>
  </cellStyles>
  <dxfs count="19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</dxfs>
  <tableStyles count="1" defaultTableStyle="TableStyleMedium2" defaultPivotStyle="PivotStyleLight16">
    <tableStyle name="Invisible" pivot="0" table="0" count="0" xr9:uid="{CBD2CA9C-1674-4E39-BF71-D269897F3B70}"/>
  </tableStyles>
  <colors>
    <mruColors>
      <color rgb="FFFFFF99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70"/>
  <sheetViews>
    <sheetView workbookViewId="0">
      <selection activeCell="D57" sqref="D57"/>
    </sheetView>
  </sheetViews>
  <sheetFormatPr defaultColWidth="8.85546875" defaultRowHeight="12.75" x14ac:dyDescent="0.2"/>
  <cols>
    <col min="1" max="1" width="8.85546875" style="2" customWidth="1"/>
    <col min="2" max="2" width="25.140625" style="1" customWidth="1"/>
    <col min="3" max="3" width="42.140625" style="1" bestFit="1" customWidth="1"/>
    <col min="4" max="5" width="10.5703125" style="7" bestFit="1" customWidth="1"/>
    <col min="6" max="7" width="8.85546875" style="1" customWidth="1"/>
    <col min="8" max="16384" width="8.85546875" style="1"/>
  </cols>
  <sheetData>
    <row r="1" spans="1:6" ht="13.9" customHeight="1" x14ac:dyDescent="0.2">
      <c r="A1" s="9"/>
      <c r="B1" s="72" t="str">
        <f>'Report WorkSheet'!B1:E1</f>
        <v>Johnson Controls Calibration Report</v>
      </c>
      <c r="C1" s="72"/>
      <c r="D1" s="72"/>
      <c r="E1" s="72"/>
      <c r="F1" s="9"/>
    </row>
    <row r="2" spans="1:6" ht="13.9" customHeight="1" x14ac:dyDescent="0.2">
      <c r="A2" s="9"/>
      <c r="B2" s="72" t="str">
        <f>CONCATENATE('Report WorkSheet'!B2,'Report WorkSheet'!C2)</f>
        <v>Unit Type:  570 Ton</v>
      </c>
      <c r="C2" s="72"/>
      <c r="D2" s="72"/>
      <c r="E2" s="72"/>
      <c r="F2" s="9"/>
    </row>
    <row r="3" spans="1:6" x14ac:dyDescent="0.2">
      <c r="A3" s="9"/>
      <c r="B3" s="72" t="str">
        <f>CONCATENATE('Report WorkSheet'!B3,'Report WorkSheet'!C3)</f>
        <v xml:space="preserve">Test Request Number: </v>
      </c>
      <c r="C3" s="72"/>
      <c r="D3" s="72"/>
      <c r="E3" s="72"/>
      <c r="F3" s="9"/>
    </row>
    <row r="4" spans="1:6" x14ac:dyDescent="0.2">
      <c r="A4" s="9"/>
      <c r="B4" s="72" t="str">
        <f>CONCATENATE('Report WorkSheet'!B4,'Report WorkSheet'!C4)</f>
        <v xml:space="preserve">Instrument Map Date:  </v>
      </c>
      <c r="C4" s="72"/>
      <c r="D4" s="72"/>
      <c r="E4" s="72"/>
      <c r="F4" s="9"/>
    </row>
    <row r="5" spans="1:6" x14ac:dyDescent="0.2">
      <c r="A5" s="9"/>
      <c r="B5" s="72" t="str">
        <f>CONCATENATE('Report WorkSheet'!B5,'Report WorkSheet'!C5)</f>
        <v xml:space="preserve">JADEC Test Facility:  </v>
      </c>
      <c r="C5" s="72"/>
      <c r="D5" s="72"/>
      <c r="E5" s="72"/>
      <c r="F5" s="9"/>
    </row>
    <row r="6" spans="1:6" x14ac:dyDescent="0.2">
      <c r="A6" s="8"/>
      <c r="B6" s="9"/>
      <c r="C6" s="10"/>
      <c r="D6" s="13"/>
      <c r="E6" s="13"/>
    </row>
    <row r="7" spans="1:6" x14ac:dyDescent="0.2">
      <c r="B7" s="71" t="s">
        <v>0</v>
      </c>
      <c r="C7" s="71" t="s">
        <v>1</v>
      </c>
      <c r="D7" s="71" t="s">
        <v>2</v>
      </c>
      <c r="E7" s="71"/>
    </row>
    <row r="8" spans="1:6" x14ac:dyDescent="0.2">
      <c r="B8" s="71"/>
      <c r="C8" s="71"/>
      <c r="D8" s="14" t="s">
        <v>3</v>
      </c>
      <c r="E8" s="14" t="s">
        <v>4</v>
      </c>
    </row>
    <row r="9" spans="1:6" x14ac:dyDescent="0.2">
      <c r="B9" s="3" t="s">
        <v>5</v>
      </c>
      <c r="C9" s="3"/>
      <c r="D9" s="3"/>
      <c r="E9" s="3"/>
    </row>
    <row r="10" spans="1:6" x14ac:dyDescent="0.2">
      <c r="B10" s="4">
        <f>'Report WorkSheet'!B10</f>
        <v>0</v>
      </c>
      <c r="C10" s="4" t="str">
        <f>'Report WorkSheet'!C10</f>
        <v>COND WATER ENTERING TEMP A</v>
      </c>
      <c r="D10" s="12" t="e">
        <f>'Report WorkSheet'!L10</f>
        <v>#N/A</v>
      </c>
      <c r="E10" s="12" t="e">
        <f>'Report WorkSheet'!M10</f>
        <v>#N/A</v>
      </c>
    </row>
    <row r="11" spans="1:6" x14ac:dyDescent="0.2">
      <c r="B11" s="4">
        <f>'Report WorkSheet'!B11</f>
        <v>0</v>
      </c>
      <c r="C11" s="4" t="str">
        <f>'Report WorkSheet'!C11</f>
        <v>COND WATER ENTERING TEMP B</v>
      </c>
      <c r="D11" s="12" t="e">
        <f>'Report WorkSheet'!L11</f>
        <v>#N/A</v>
      </c>
      <c r="E11" s="12" t="e">
        <f>'Report WorkSheet'!M11</f>
        <v>#N/A</v>
      </c>
    </row>
    <row r="12" spans="1:6" x14ac:dyDescent="0.2">
      <c r="B12" s="4">
        <f>'Report WorkSheet'!B12</f>
        <v>0</v>
      </c>
      <c r="C12" s="4" t="str">
        <f>'Report WorkSheet'!C12</f>
        <v>COND WATER LEAVING TEMP A</v>
      </c>
      <c r="D12" s="12" t="e">
        <f>'Report WorkSheet'!L12</f>
        <v>#N/A</v>
      </c>
      <c r="E12" s="12" t="e">
        <f>'Report WorkSheet'!M12</f>
        <v>#N/A</v>
      </c>
    </row>
    <row r="13" spans="1:6" x14ac:dyDescent="0.2">
      <c r="B13" s="4">
        <f>'Report WorkSheet'!B13</f>
        <v>0</v>
      </c>
      <c r="C13" s="4" t="str">
        <f>'Report WorkSheet'!C13</f>
        <v>COND WATER LEAVING TEMP B</v>
      </c>
      <c r="D13" s="12" t="e">
        <f>'Report WorkSheet'!L13</f>
        <v>#N/A</v>
      </c>
      <c r="E13" s="12" t="e">
        <f>'Report WorkSheet'!M13</f>
        <v>#N/A</v>
      </c>
    </row>
    <row r="14" spans="1:6" x14ac:dyDescent="0.2">
      <c r="B14" s="4">
        <f>'Report WorkSheet'!B14</f>
        <v>0</v>
      </c>
      <c r="C14" s="4" t="str">
        <f>'Report WorkSheet'!C14</f>
        <v>EVAP WATER ENTERING TEMP A</v>
      </c>
      <c r="D14" s="12" t="e">
        <f>'Report WorkSheet'!L14</f>
        <v>#N/A</v>
      </c>
      <c r="E14" s="12" t="e">
        <f>'Report WorkSheet'!M14</f>
        <v>#N/A</v>
      </c>
    </row>
    <row r="15" spans="1:6" x14ac:dyDescent="0.2">
      <c r="B15" s="4">
        <f>'Report WorkSheet'!B15</f>
        <v>0</v>
      </c>
      <c r="C15" s="4" t="str">
        <f>'Report WorkSheet'!C15</f>
        <v>EVAP WATER ENTERING TEMP B</v>
      </c>
      <c r="D15" s="12" t="e">
        <f>'Report WorkSheet'!L15</f>
        <v>#N/A</v>
      </c>
      <c r="E15" s="12" t="e">
        <f>'Report WorkSheet'!M15</f>
        <v>#N/A</v>
      </c>
    </row>
    <row r="16" spans="1:6" x14ac:dyDescent="0.2">
      <c r="B16" s="4">
        <f>'Report WorkSheet'!B16</f>
        <v>0</v>
      </c>
      <c r="C16" s="4" t="str">
        <f>'Report WorkSheet'!C16</f>
        <v>EVAP WATER LEAVING TEMP A</v>
      </c>
      <c r="D16" s="12" t="e">
        <f>'Report WorkSheet'!L16</f>
        <v>#N/A</v>
      </c>
      <c r="E16" s="12" t="e">
        <f>'Report WorkSheet'!M16</f>
        <v>#N/A</v>
      </c>
    </row>
    <row r="17" spans="2:7" x14ac:dyDescent="0.2">
      <c r="B17" s="4">
        <f>'Report WorkSheet'!B17</f>
        <v>0</v>
      </c>
      <c r="C17" s="4" t="str">
        <f>'Report WorkSheet'!C17</f>
        <v>EVAP WATER LEAVING TEMP B</v>
      </c>
      <c r="D17" s="12" t="e">
        <f>'Report WorkSheet'!L17</f>
        <v>#N/A</v>
      </c>
      <c r="E17" s="12" t="e">
        <f>'Report WorkSheet'!M17</f>
        <v>#N/A</v>
      </c>
      <c r="G17" s="11"/>
    </row>
    <row r="18" spans="2:7" x14ac:dyDescent="0.2">
      <c r="B18" s="4">
        <f>'Report WorkSheet'!B18</f>
        <v>0</v>
      </c>
      <c r="C18" s="4" t="str">
        <f>'Report WorkSheet'!C18</f>
        <v>AUX COOLING WATER ENTERING TEMP</v>
      </c>
      <c r="D18" s="12" t="e">
        <f>'Report WorkSheet'!L18</f>
        <v>#N/A</v>
      </c>
      <c r="E18" s="12" t="e">
        <f>'Report WorkSheet'!M18</f>
        <v>#N/A</v>
      </c>
    </row>
    <row r="19" spans="2:7" x14ac:dyDescent="0.2">
      <c r="B19" s="4">
        <f>'Report WorkSheet'!B19</f>
        <v>0</v>
      </c>
      <c r="C19" s="4" t="str">
        <f>'Report WorkSheet'!C19</f>
        <v>AUX COOLING WATER LEAVING TEMP</v>
      </c>
      <c r="D19" s="12" t="e">
        <f>'Report WorkSheet'!L19</f>
        <v>#N/A</v>
      </c>
      <c r="E19" s="12" t="e">
        <f>'Report WorkSheet'!M19</f>
        <v>#N/A</v>
      </c>
    </row>
    <row r="20" spans="2:7" ht="6.95" customHeight="1" x14ac:dyDescent="0.2">
      <c r="B20" s="4"/>
      <c r="C20" s="6"/>
      <c r="D20" s="4"/>
      <c r="E20" s="4"/>
    </row>
    <row r="21" spans="2:7" x14ac:dyDescent="0.2">
      <c r="B21" s="3" t="s">
        <v>6</v>
      </c>
      <c r="C21" s="15"/>
      <c r="D21" s="3"/>
      <c r="E21" s="3"/>
    </row>
    <row r="22" spans="2:7" x14ac:dyDescent="0.2">
      <c r="B22" s="4">
        <f>'Report WorkSheet'!B22</f>
        <v>0</v>
      </c>
      <c r="C22" s="6" t="str">
        <f>'Report WorkSheet'!C22</f>
        <v>COMPRESSOR SUCTION TEMP SYS01</v>
      </c>
      <c r="D22" s="12" t="e">
        <f>'Report WorkSheet'!L22</f>
        <v>#N/A</v>
      </c>
      <c r="E22" s="12" t="e">
        <f>'Report WorkSheet'!M22</f>
        <v>#N/A</v>
      </c>
    </row>
    <row r="23" spans="2:7" ht="13.9" customHeight="1" x14ac:dyDescent="0.2">
      <c r="B23" s="4">
        <f>'Report WorkSheet'!B23</f>
        <v>0</v>
      </c>
      <c r="C23" s="6" t="str">
        <f>'Report WorkSheet'!C23</f>
        <v>COMPRESSOR DISCHARGE TEMP SYS01</v>
      </c>
      <c r="D23" s="12" t="e">
        <f>'Report WorkSheet'!L23</f>
        <v>#N/A</v>
      </c>
      <c r="E23" s="12" t="e">
        <f>'Report WorkSheet'!M23</f>
        <v>#N/A</v>
      </c>
    </row>
    <row r="24" spans="2:7" ht="13.9" customHeight="1" x14ac:dyDescent="0.2">
      <c r="B24" s="4">
        <f>'Report WorkSheet'!B24</f>
        <v>0</v>
      </c>
      <c r="C24" s="6" t="str">
        <f>'Report WorkSheet'!C24</f>
        <v>COMPRESSOR SUCTION TEMP SYS02</v>
      </c>
      <c r="D24" s="12" t="e">
        <f>'Report WorkSheet'!L24</f>
        <v>#N/A</v>
      </c>
      <c r="E24" s="12" t="e">
        <f>'Report WorkSheet'!M24</f>
        <v>#N/A</v>
      </c>
    </row>
    <row r="25" spans="2:7" ht="13.9" customHeight="1" x14ac:dyDescent="0.2">
      <c r="B25" s="4">
        <f>'Report WorkSheet'!B25</f>
        <v>0</v>
      </c>
      <c r="C25" s="6" t="str">
        <f>'Report WorkSheet'!C25</f>
        <v>COMPRESSOR DISCHARGE TEMP SYS02</v>
      </c>
      <c r="D25" s="12" t="e">
        <f>'Report WorkSheet'!L25</f>
        <v>#N/A</v>
      </c>
      <c r="E25" s="12" t="e">
        <f>'Report WorkSheet'!M25</f>
        <v>#N/A</v>
      </c>
    </row>
    <row r="26" spans="2:7" ht="13.9" customHeight="1" x14ac:dyDescent="0.2">
      <c r="B26" s="4">
        <f>'Report WorkSheet'!B26</f>
        <v>0</v>
      </c>
      <c r="C26" s="6" t="str">
        <f>'Report WorkSheet'!C26</f>
        <v>OIL COOLER WATER ON SYS01</v>
      </c>
      <c r="D26" s="12" t="e">
        <f>'Report WorkSheet'!L26</f>
        <v>#N/A</v>
      </c>
      <c r="E26" s="12" t="e">
        <f>'Report WorkSheet'!M26</f>
        <v>#N/A</v>
      </c>
    </row>
    <row r="27" spans="2:7" ht="13.9" customHeight="1" x14ac:dyDescent="0.2">
      <c r="B27" s="4">
        <f>'Report WorkSheet'!B27</f>
        <v>0</v>
      </c>
      <c r="C27" s="6" t="str">
        <f>'Report WorkSheet'!C27</f>
        <v>OIL COOLER WATER OFF SYS01</v>
      </c>
      <c r="D27" s="12" t="e">
        <f>'Report WorkSheet'!L27</f>
        <v>#N/A</v>
      </c>
      <c r="E27" s="12" t="e">
        <f>'Report WorkSheet'!M27</f>
        <v>#N/A</v>
      </c>
    </row>
    <row r="28" spans="2:7" ht="13.9" customHeight="1" x14ac:dyDescent="0.2">
      <c r="B28" s="4">
        <f>'Report WorkSheet'!B28</f>
        <v>0</v>
      </c>
      <c r="C28" s="6" t="str">
        <f>'Report WorkSheet'!C28</f>
        <v>OIL COOLER WATER ON SYS02</v>
      </c>
      <c r="D28" s="12" t="e">
        <f>'Report WorkSheet'!L28</f>
        <v>#N/A</v>
      </c>
      <c r="E28" s="12" t="e">
        <f>'Report WorkSheet'!M28</f>
        <v>#N/A</v>
      </c>
    </row>
    <row r="29" spans="2:7" ht="13.9" customHeight="1" x14ac:dyDescent="0.2">
      <c r="B29" s="4">
        <f>'Report WorkSheet'!B29</f>
        <v>0</v>
      </c>
      <c r="C29" s="6" t="str">
        <f>'Report WorkSheet'!C29</f>
        <v>OIL COOLER WATER OFF SYS02</v>
      </c>
      <c r="D29" s="12" t="e">
        <f>'Report WorkSheet'!L29</f>
        <v>#N/A</v>
      </c>
      <c r="E29" s="12" t="e">
        <f>'Report WorkSheet'!M29</f>
        <v>#N/A</v>
      </c>
    </row>
    <row r="30" spans="2:7" ht="13.9" customHeight="1" x14ac:dyDescent="0.2">
      <c r="B30" s="4">
        <f>'Report WorkSheet'!B30</f>
        <v>0</v>
      </c>
      <c r="C30" s="6" t="str">
        <f>'Report WorkSheet'!C30</f>
        <v>EVAP LIQUID LOW CENTER RTD</v>
      </c>
      <c r="D30" s="12" t="e">
        <f>'Report WorkSheet'!L30</f>
        <v>#N/A</v>
      </c>
      <c r="E30" s="12" t="e">
        <f>'Report WorkSheet'!M30</f>
        <v>#N/A</v>
      </c>
    </row>
    <row r="31" spans="2:7" ht="13.9" customHeight="1" x14ac:dyDescent="0.2">
      <c r="B31" s="4">
        <f>'Report WorkSheet'!B31</f>
        <v>0</v>
      </c>
      <c r="C31" s="6" t="str">
        <f>'Report WorkSheet'!C31</f>
        <v>LIQUID OUT OF COND SYS01</v>
      </c>
      <c r="D31" s="12" t="e">
        <f>'Report WorkSheet'!L31</f>
        <v>#N/A</v>
      </c>
      <c r="E31" s="12" t="e">
        <f>'Report WorkSheet'!M31</f>
        <v>#N/A</v>
      </c>
    </row>
    <row r="32" spans="2:7" ht="13.9" customHeight="1" x14ac:dyDescent="0.2">
      <c r="B32" s="4">
        <f>'Report WorkSheet'!B32</f>
        <v>0</v>
      </c>
      <c r="C32" s="6" t="str">
        <f>'Report WorkSheet'!C32</f>
        <v>LIQUID OUT OF COND SYS02</v>
      </c>
      <c r="D32" s="12" t="e">
        <f>'Report WorkSheet'!L32</f>
        <v>#N/A</v>
      </c>
      <c r="E32" s="12" t="e">
        <f>'Report WorkSheet'!M32</f>
        <v>#N/A</v>
      </c>
    </row>
    <row r="33" spans="2:7" ht="13.9" customHeight="1" x14ac:dyDescent="0.2">
      <c r="B33" s="4">
        <f>'Report WorkSheet'!B33</f>
        <v>0</v>
      </c>
      <c r="C33" s="6" t="str">
        <f>'Report WorkSheet'!C33</f>
        <v>AMBIENT TEMPERATURE</v>
      </c>
      <c r="D33" s="12" t="e">
        <f>'Report WorkSheet'!L33</f>
        <v>#N/A</v>
      </c>
      <c r="E33" s="12" t="e">
        <f>'Report WorkSheet'!M33</f>
        <v>#N/A</v>
      </c>
    </row>
    <row r="34" spans="2:7" ht="13.9" customHeight="1" x14ac:dyDescent="0.2">
      <c r="B34" s="4">
        <f>'Report WorkSheet'!B34</f>
        <v>0</v>
      </c>
      <c r="C34" s="6" t="str">
        <f>'Report WorkSheet'!C34</f>
        <v>COND WATER LEAVING TEMP 01</v>
      </c>
      <c r="D34" s="12" t="e">
        <f>'Report WorkSheet'!L34</f>
        <v>#N/A</v>
      </c>
      <c r="E34" s="12" t="e">
        <f>'Report WorkSheet'!M34</f>
        <v>#N/A</v>
      </c>
    </row>
    <row r="35" spans="2:7" ht="13.9" customHeight="1" x14ac:dyDescent="0.2">
      <c r="B35" s="4">
        <f>'Report WorkSheet'!B35</f>
        <v>0</v>
      </c>
      <c r="C35" s="6" t="str">
        <f>'Report WorkSheet'!C35</f>
        <v>COND WATER LEAVING TEMP 02</v>
      </c>
      <c r="D35" s="12" t="e">
        <f>'Report WorkSheet'!L35</f>
        <v>#N/A</v>
      </c>
      <c r="E35" s="12" t="e">
        <f>'Report WorkSheet'!M35</f>
        <v>#N/A</v>
      </c>
    </row>
    <row r="36" spans="2:7" ht="6.95" customHeight="1" x14ac:dyDescent="0.2">
      <c r="B36" s="5"/>
      <c r="C36" s="5"/>
      <c r="D36" s="5"/>
      <c r="E36" s="5"/>
    </row>
    <row r="37" spans="2:7" x14ac:dyDescent="0.2">
      <c r="B37" s="3" t="s">
        <v>7</v>
      </c>
      <c r="C37" s="3"/>
      <c r="D37" s="3"/>
      <c r="E37" s="3"/>
    </row>
    <row r="38" spans="2:7" x14ac:dyDescent="0.2">
      <c r="B38" s="4">
        <f>'Report WorkSheet'!B38</f>
        <v>0</v>
      </c>
      <c r="C38" s="4" t="str">
        <f>'Report WorkSheet'!C38</f>
        <v>EVAP PRESSURE</v>
      </c>
      <c r="D38" s="12" t="e">
        <f>'Report WorkSheet'!L38</f>
        <v>#N/A</v>
      </c>
      <c r="E38" s="12" t="e">
        <f>'Report WorkSheet'!M38</f>
        <v>#N/A</v>
      </c>
      <c r="G38" s="50"/>
    </row>
    <row r="39" spans="2:7" x14ac:dyDescent="0.2">
      <c r="B39" s="4">
        <f>'Report WorkSheet'!B39</f>
        <v>0</v>
      </c>
      <c r="C39" s="4" t="str">
        <f>'Report WorkSheet'!C39</f>
        <v>COND PRESSURE</v>
      </c>
      <c r="D39" s="12" t="e">
        <f>'Report WorkSheet'!L39</f>
        <v>#N/A</v>
      </c>
      <c r="E39" s="12" t="e">
        <f>'Report WorkSheet'!M39</f>
        <v>#N/A</v>
      </c>
      <c r="G39" s="50"/>
    </row>
    <row r="40" spans="2:7" x14ac:dyDescent="0.2">
      <c r="B40" s="4">
        <f>'Report WorkSheet'!B40</f>
        <v>0</v>
      </c>
      <c r="C40" s="4" t="str">
        <f>'Report WorkSheet'!C40</f>
        <v>OIL PRESSURE SYS01</v>
      </c>
      <c r="D40" s="12" t="e">
        <f>'Report WorkSheet'!L40</f>
        <v>#N/A</v>
      </c>
      <c r="E40" s="12" t="e">
        <f>'Report WorkSheet'!M40</f>
        <v>#N/A</v>
      </c>
      <c r="G40" s="50"/>
    </row>
    <row r="41" spans="2:7" x14ac:dyDescent="0.2">
      <c r="B41" s="4">
        <f>'Report WorkSheet'!B41</f>
        <v>0</v>
      </c>
      <c r="C41" s="4" t="str">
        <f>'Report WorkSheet'!C41</f>
        <v>OIL PRESSURE SYS02</v>
      </c>
      <c r="D41" s="12" t="e">
        <f>'Report WorkSheet'!L41</f>
        <v>#N/A</v>
      </c>
      <c r="E41" s="12" t="e">
        <f>'Report WorkSheet'!M41</f>
        <v>#N/A</v>
      </c>
      <c r="G41" s="50"/>
    </row>
    <row r="42" spans="2:7" x14ac:dyDescent="0.2">
      <c r="B42" s="4">
        <f>'Report WorkSheet'!B42</f>
        <v>0</v>
      </c>
      <c r="C42" s="4" t="str">
        <f>'Report WorkSheet'!C42</f>
        <v xml:space="preserve">OIL SUMP PRESSURE </v>
      </c>
      <c r="D42" s="12" t="e">
        <f>'Report WorkSheet'!L42</f>
        <v>#N/A</v>
      </c>
      <c r="E42" s="12" t="e">
        <f>'Report WorkSheet'!M42</f>
        <v>#N/A</v>
      </c>
      <c r="G42" s="50"/>
    </row>
    <row r="43" spans="2:7" x14ac:dyDescent="0.2">
      <c r="B43" s="4">
        <f>'Report WorkSheet'!B43</f>
        <v>0</v>
      </c>
      <c r="C43" s="4" t="str">
        <f>'Report WorkSheet'!C43</f>
        <v>BAROMETRIC PRESSURE</v>
      </c>
      <c r="D43" s="12" t="e">
        <f>'Report WorkSheet'!L43</f>
        <v>#N/A</v>
      </c>
      <c r="E43" s="12" t="e">
        <f>'Report WorkSheet'!M43</f>
        <v>#N/A</v>
      </c>
      <c r="G43" s="50"/>
    </row>
    <row r="44" spans="2:7" x14ac:dyDescent="0.2">
      <c r="B44" s="4">
        <f>'Report WorkSheet'!B44</f>
        <v>0</v>
      </c>
      <c r="C44" s="4" t="str">
        <f>'Report WorkSheet'!C44</f>
        <v>CWCV INLET PRESSURE</v>
      </c>
      <c r="D44" s="12" t="e">
        <f>'Report WorkSheet'!L44</f>
        <v>#N/A</v>
      </c>
      <c r="E44" s="12" t="e">
        <f>'Report WorkSheet'!M44</f>
        <v>#N/A</v>
      </c>
      <c r="G44" s="50"/>
    </row>
    <row r="45" spans="2:7" x14ac:dyDescent="0.2">
      <c r="B45" s="4">
        <f>'Report WorkSheet'!B45</f>
        <v>0</v>
      </c>
      <c r="C45" s="4" t="str">
        <f>'Report WorkSheet'!C45</f>
        <v>CWCV OUTLET PRESSURE</v>
      </c>
      <c r="D45" s="12" t="e">
        <f>'Report WorkSheet'!L45</f>
        <v>#N/A</v>
      </c>
      <c r="E45" s="12" t="e">
        <f>'Report WorkSheet'!M45</f>
        <v>#N/A</v>
      </c>
      <c r="G45" s="50"/>
    </row>
    <row r="46" spans="2:7" x14ac:dyDescent="0.2">
      <c r="B46" s="4">
        <f>'Report WorkSheet'!B46</f>
        <v>0</v>
      </c>
      <c r="C46" s="4" t="str">
        <f>'Report WorkSheet'!C46</f>
        <v>CWCV BYPASS LEG PRESSURE</v>
      </c>
      <c r="D46" s="12" t="e">
        <f>'Report WorkSheet'!L46</f>
        <v>#N/A</v>
      </c>
      <c r="E46" s="12" t="e">
        <f>'Report WorkSheet'!M46</f>
        <v>#N/A</v>
      </c>
      <c r="G46" s="50"/>
    </row>
    <row r="47" spans="2:7" ht="6.95" customHeight="1" x14ac:dyDescent="0.2">
      <c r="B47" s="5"/>
      <c r="C47" s="5"/>
      <c r="D47" s="5"/>
      <c r="E47" s="5"/>
    </row>
    <row r="48" spans="2:7" x14ac:dyDescent="0.2">
      <c r="B48" s="3" t="s">
        <v>8</v>
      </c>
      <c r="C48" s="3"/>
      <c r="D48" s="3"/>
      <c r="E48" s="3"/>
    </row>
    <row r="49" spans="1:5" x14ac:dyDescent="0.2">
      <c r="B49" s="4">
        <f>'Report WorkSheet'!B49</f>
        <v>0</v>
      </c>
      <c r="C49" s="4" t="str">
        <f>'Report WorkSheet'!C49</f>
        <v>EVAP WATER PRESSURE DROP</v>
      </c>
      <c r="D49" s="12" t="e">
        <f>'Report WorkSheet'!L49</f>
        <v>#N/A</v>
      </c>
      <c r="E49" s="12" t="e">
        <f>'Report WorkSheet'!M49</f>
        <v>#N/A</v>
      </c>
    </row>
    <row r="50" spans="1:5" x14ac:dyDescent="0.2">
      <c r="B50" s="4">
        <f>'Report WorkSheet'!B50</f>
        <v>0</v>
      </c>
      <c r="C50" s="4" t="str">
        <f>'Report WorkSheet'!C50</f>
        <v>COND WATER PRESSURE DROP</v>
      </c>
      <c r="D50" s="12" t="e">
        <f>'Report WorkSheet'!L50</f>
        <v>#N/A</v>
      </c>
      <c r="E50" s="12" t="e">
        <f>'Report WorkSheet'!M50</f>
        <v>#N/A</v>
      </c>
    </row>
    <row r="51" spans="1:5" x14ac:dyDescent="0.2">
      <c r="B51" s="4">
        <f>'Report WorkSheet'!B51</f>
        <v>0</v>
      </c>
      <c r="C51" s="4" t="str">
        <f>'Report WorkSheet'!C51</f>
        <v>OIL COOLER WATER PRESSURE DROP SYS01</v>
      </c>
      <c r="D51" s="12" t="e">
        <f>'Report WorkSheet'!L51</f>
        <v>#N/A</v>
      </c>
      <c r="E51" s="12" t="e">
        <f>'Report WorkSheet'!M51</f>
        <v>#N/A</v>
      </c>
    </row>
    <row r="52" spans="1:5" x14ac:dyDescent="0.2">
      <c r="B52" s="4">
        <f>'Report WorkSheet'!B52</f>
        <v>0</v>
      </c>
      <c r="C52" s="4" t="str">
        <f>'Report WorkSheet'!C52</f>
        <v>OIL COOLER WATER PRESSURE DROP SYS02</v>
      </c>
      <c r="D52" s="12" t="e">
        <f>'Report WorkSheet'!L52</f>
        <v>#N/A</v>
      </c>
      <c r="E52" s="12" t="e">
        <f>'Report WorkSheet'!M52</f>
        <v>#N/A</v>
      </c>
    </row>
    <row r="53" spans="1:5" ht="6.95" customHeight="1" x14ac:dyDescent="0.2">
      <c r="B53" s="5"/>
      <c r="C53" s="5"/>
      <c r="D53" s="5"/>
      <c r="E53" s="5"/>
    </row>
    <row r="54" spans="1:5" x14ac:dyDescent="0.2">
      <c r="B54" s="3" t="s">
        <v>9</v>
      </c>
      <c r="C54" s="3"/>
      <c r="D54" s="3"/>
      <c r="E54" s="3"/>
    </row>
    <row r="55" spans="1:5" x14ac:dyDescent="0.2">
      <c r="B55" s="4">
        <f>'Report WorkSheet'!B55</f>
        <v>0</v>
      </c>
      <c r="C55" s="18" t="str">
        <f>'Report WorkSheet'!C55</f>
        <v>EVAPORATOR WATER FLOW A</v>
      </c>
      <c r="D55" s="12" t="e">
        <f>'Report WorkSheet'!L55</f>
        <v>#N/A</v>
      </c>
      <c r="E55" s="12" t="e">
        <f>'Report WorkSheet'!M55</f>
        <v>#N/A</v>
      </c>
    </row>
    <row r="56" spans="1:5" x14ac:dyDescent="0.2">
      <c r="B56" s="4">
        <f>'Report WorkSheet'!B56</f>
        <v>0</v>
      </c>
      <c r="C56" s="18" t="str">
        <f>'Report WorkSheet'!C56</f>
        <v>EVAPORATOR WATER FLOW B</v>
      </c>
      <c r="D56" s="12" t="e">
        <f>'Report WorkSheet'!L56</f>
        <v>#N/A</v>
      </c>
      <c r="E56" s="12" t="e">
        <f>'Report WorkSheet'!M56</f>
        <v>#N/A</v>
      </c>
    </row>
    <row r="57" spans="1:5" x14ac:dyDescent="0.2">
      <c r="B57" s="4">
        <f>'Report WorkSheet'!B57</f>
        <v>0</v>
      </c>
      <c r="C57" s="18" t="str">
        <f>'Report WorkSheet'!C57</f>
        <v>CONDENSER WATER FLOW A</v>
      </c>
      <c r="D57" s="12" t="e">
        <f>'Report WorkSheet'!L57</f>
        <v>#N/A</v>
      </c>
      <c r="E57" s="12" t="e">
        <f>'Report WorkSheet'!M57</f>
        <v>#N/A</v>
      </c>
    </row>
    <row r="58" spans="1:5" x14ac:dyDescent="0.2">
      <c r="B58" s="4">
        <f>'Report WorkSheet'!B58</f>
        <v>0</v>
      </c>
      <c r="C58" s="18" t="str">
        <f>'Report WorkSheet'!C58</f>
        <v>CONDENSER WATER FLOW B</v>
      </c>
      <c r="D58" s="12" t="e">
        <f>'Report WorkSheet'!L58</f>
        <v>#N/A</v>
      </c>
      <c r="E58" s="12" t="e">
        <f>'Report WorkSheet'!M58</f>
        <v>#N/A</v>
      </c>
    </row>
    <row r="59" spans="1:5" x14ac:dyDescent="0.2">
      <c r="B59" s="4">
        <f>'Report WorkSheet'!B59</f>
        <v>0</v>
      </c>
      <c r="C59" s="18" t="str">
        <f>'Report WorkSheet'!C59</f>
        <v>OIL COOLER WATER FLOW SYS01</v>
      </c>
      <c r="D59" s="12" t="e">
        <f>'Report WorkSheet'!L59</f>
        <v>#N/A</v>
      </c>
      <c r="E59" s="12" t="e">
        <f>'Report WorkSheet'!M59</f>
        <v>#N/A</v>
      </c>
    </row>
    <row r="60" spans="1:5" x14ac:dyDescent="0.2">
      <c r="B60" s="4">
        <f>'Report WorkSheet'!B60</f>
        <v>0</v>
      </c>
      <c r="C60" s="18" t="str">
        <f>'Report WorkSheet'!C60</f>
        <v>OIL COOLER WATER FLOW SYS02</v>
      </c>
      <c r="D60" s="12" t="e">
        <f>'Report WorkSheet'!L60</f>
        <v>#N/A</v>
      </c>
      <c r="E60" s="12" t="e">
        <f>'Report WorkSheet'!M60</f>
        <v>#N/A</v>
      </c>
    </row>
    <row r="61" spans="1:5" ht="13.9" customHeight="1" x14ac:dyDescent="0.2">
      <c r="B61" s="4">
        <f>'Report WorkSheet'!B61</f>
        <v>0</v>
      </c>
      <c r="C61" s="18" t="str">
        <f>'Report WorkSheet'!C61</f>
        <v>CWCV BYPASS FLOW</v>
      </c>
      <c r="D61" s="12" t="e">
        <f>'Report WorkSheet'!L61</f>
        <v>#N/A</v>
      </c>
      <c r="E61" s="12" t="e">
        <f>'Report WorkSheet'!M61</f>
        <v>#N/A</v>
      </c>
    </row>
    <row r="62" spans="1:5" ht="6.95" customHeight="1" x14ac:dyDescent="0.2">
      <c r="B62" s="5"/>
      <c r="C62" s="5"/>
      <c r="D62" s="5"/>
      <c r="E62" s="5"/>
    </row>
    <row r="63" spans="1:5" x14ac:dyDescent="0.2">
      <c r="A63" s="2" t="s">
        <v>30</v>
      </c>
      <c r="B63" s="3" t="s">
        <v>14</v>
      </c>
      <c r="C63" s="3"/>
      <c r="D63" s="3"/>
      <c r="E63" s="3"/>
    </row>
    <row r="64" spans="1:5" x14ac:dyDescent="0.2">
      <c r="B64" s="4">
        <f>'Report WorkSheet'!B64</f>
        <v>0</v>
      </c>
      <c r="C64" s="4" t="str">
        <f>'Report WorkSheet'!C64</f>
        <v>MOTOR 1 INPUT</v>
      </c>
      <c r="D64" s="12" t="e">
        <f>'Report WorkSheet'!L64</f>
        <v>#N/A</v>
      </c>
      <c r="E64" s="12" t="e">
        <f>'Report WorkSheet'!M64</f>
        <v>#N/A</v>
      </c>
    </row>
    <row r="65" spans="1:5" x14ac:dyDescent="0.2">
      <c r="B65" s="4">
        <f>'Report WorkSheet'!B65</f>
        <v>0</v>
      </c>
      <c r="C65" s="4" t="str">
        <f>'Report WorkSheet'!C65</f>
        <v>MOTOR 2 INPUT</v>
      </c>
      <c r="D65" s="12" t="e">
        <f>'Report WorkSheet'!L65</f>
        <v>#N/A</v>
      </c>
      <c r="E65" s="12" t="e">
        <f>'Report WorkSheet'!M65</f>
        <v>#N/A</v>
      </c>
    </row>
    <row r="66" spans="1:5" ht="6.95" customHeight="1" x14ac:dyDescent="0.2">
      <c r="B66" s="5"/>
      <c r="C66" s="5"/>
      <c r="D66" s="5"/>
      <c r="E66" s="5"/>
    </row>
    <row r="67" spans="1:5" ht="12.75" customHeight="1" x14ac:dyDescent="0.2">
      <c r="A67" s="16"/>
      <c r="D67" s="1"/>
      <c r="E67" s="1"/>
    </row>
    <row r="68" spans="1:5" x14ac:dyDescent="0.2">
      <c r="A68" s="16"/>
      <c r="D68" s="1"/>
      <c r="E68" s="1"/>
    </row>
    <row r="69" spans="1:5" x14ac:dyDescent="0.2">
      <c r="A69" s="16"/>
      <c r="B69" s="7" t="s">
        <v>28</v>
      </c>
      <c r="C69" s="7">
        <f>'Report WorkSheet'!C69</f>
        <v>0</v>
      </c>
      <c r="D69" s="7" t="s">
        <v>29</v>
      </c>
      <c r="E69" s="17">
        <f>'Report WorkSheet'!E69</f>
        <v>0</v>
      </c>
    </row>
    <row r="70" spans="1:5" x14ac:dyDescent="0.2">
      <c r="A70" s="1"/>
      <c r="D70" s="1"/>
      <c r="E70" s="1"/>
    </row>
  </sheetData>
  <mergeCells count="8">
    <mergeCell ref="B7:B8"/>
    <mergeCell ref="C7:C8"/>
    <mergeCell ref="D7:E7"/>
    <mergeCell ref="B1:E1"/>
    <mergeCell ref="B2:E2"/>
    <mergeCell ref="B3:E3"/>
    <mergeCell ref="B4:E4"/>
    <mergeCell ref="B5:E5"/>
  </mergeCells>
  <printOptions horizontalCentered="1" verticalCentered="1"/>
  <pageMargins left="0.25" right="0.25" top="0.25" bottom="0.25" header="0.3" footer="0.3"/>
  <pageSetup scale="9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O87"/>
  <sheetViews>
    <sheetView tabSelected="1" workbookViewId="0">
      <selection activeCell="D10" sqref="D10:E65"/>
    </sheetView>
  </sheetViews>
  <sheetFormatPr defaultColWidth="8.85546875" defaultRowHeight="12.75" x14ac:dyDescent="0.2"/>
  <cols>
    <col min="1" max="1" width="8.85546875" style="2" customWidth="1"/>
    <col min="2" max="2" width="30.28515625" style="1" bestFit="1" customWidth="1"/>
    <col min="3" max="3" width="42.140625" style="1" bestFit="1" customWidth="1"/>
    <col min="4" max="4" width="33.140625" style="7" bestFit="1" customWidth="1"/>
    <col min="5" max="5" width="26.140625" style="7" bestFit="1" customWidth="1"/>
    <col min="6" max="6" width="21.42578125" style="1" bestFit="1" customWidth="1"/>
    <col min="7" max="7" width="5" style="1" customWidth="1"/>
    <col min="8" max="8" width="31.7109375" style="1" customWidth="1"/>
    <col min="9" max="9" width="23.42578125" style="1" customWidth="1"/>
    <col min="10" max="11" width="29.85546875" style="1" customWidth="1"/>
    <col min="12" max="12" width="25" style="1" bestFit="1" customWidth="1"/>
    <col min="13" max="13" width="24.7109375" style="1" bestFit="1" customWidth="1"/>
    <col min="14" max="14" width="10.42578125" style="1" bestFit="1" customWidth="1"/>
    <col min="15" max="15" width="16.140625" style="1" bestFit="1" customWidth="1"/>
    <col min="16" max="16384" width="8.85546875" style="1"/>
  </cols>
  <sheetData>
    <row r="1" spans="1:15" ht="13.9" customHeight="1" x14ac:dyDescent="0.2">
      <c r="A1" s="9"/>
      <c r="B1" s="9" t="s">
        <v>31</v>
      </c>
      <c r="C1" s="9"/>
      <c r="D1" s="9"/>
      <c r="E1" s="9"/>
      <c r="F1" s="9"/>
    </row>
    <row r="2" spans="1:15" ht="13.9" customHeight="1" x14ac:dyDescent="0.2">
      <c r="A2" s="9"/>
      <c r="B2" s="9" t="s">
        <v>42</v>
      </c>
      <c r="C2" s="38" t="s">
        <v>103</v>
      </c>
      <c r="D2" s="9"/>
      <c r="E2" s="9"/>
      <c r="F2" s="9"/>
      <c r="J2" s="41"/>
      <c r="K2" s="41"/>
      <c r="L2" s="41"/>
    </row>
    <row r="3" spans="1:15" ht="13.9" customHeight="1" x14ac:dyDescent="0.2">
      <c r="A3" s="9"/>
      <c r="B3" s="9" t="s">
        <v>43</v>
      </c>
      <c r="C3" s="38"/>
      <c r="D3" s="9"/>
      <c r="E3" s="9" t="s">
        <v>47</v>
      </c>
      <c r="F3" s="9"/>
      <c r="H3" s="7"/>
    </row>
    <row r="4" spans="1:15" ht="12.75" customHeight="1" x14ac:dyDescent="0.2">
      <c r="A4" s="9"/>
      <c r="B4" s="39" t="s">
        <v>44</v>
      </c>
      <c r="C4" s="49"/>
      <c r="E4" s="44"/>
      <c r="F4" s="9"/>
    </row>
    <row r="5" spans="1:15" x14ac:dyDescent="0.2">
      <c r="A5" s="9"/>
      <c r="B5" s="9" t="s">
        <v>45</v>
      </c>
      <c r="C5" s="38"/>
      <c r="D5" s="9"/>
      <c r="E5" s="9"/>
      <c r="F5" s="9"/>
    </row>
    <row r="6" spans="1:15" x14ac:dyDescent="0.2">
      <c r="A6" s="8"/>
      <c r="B6" s="9"/>
      <c r="C6" s="10"/>
      <c r="D6" s="13"/>
      <c r="E6" s="13"/>
    </row>
    <row r="7" spans="1:15" x14ac:dyDescent="0.2">
      <c r="B7" s="76" t="s">
        <v>0</v>
      </c>
      <c r="C7" s="76" t="s">
        <v>1</v>
      </c>
      <c r="D7" s="76" t="s">
        <v>33</v>
      </c>
      <c r="E7" s="76"/>
      <c r="F7" s="77" t="s">
        <v>34</v>
      </c>
      <c r="H7" s="3" t="s">
        <v>38</v>
      </c>
      <c r="I7" s="3" t="s">
        <v>15</v>
      </c>
      <c r="J7" s="3" t="s">
        <v>37</v>
      </c>
      <c r="K7" s="3" t="s">
        <v>17</v>
      </c>
      <c r="L7" s="3" t="s">
        <v>35</v>
      </c>
      <c r="M7" s="15" t="s">
        <v>36</v>
      </c>
      <c r="N7" s="46" t="s">
        <v>46</v>
      </c>
      <c r="O7" s="3" t="s">
        <v>41</v>
      </c>
    </row>
    <row r="8" spans="1:15" x14ac:dyDescent="0.2">
      <c r="B8" s="76"/>
      <c r="C8" s="76"/>
      <c r="D8" s="35" t="s">
        <v>32</v>
      </c>
      <c r="E8" s="35" t="s">
        <v>16</v>
      </c>
      <c r="F8" s="78"/>
      <c r="H8" s="4"/>
      <c r="I8" s="4"/>
      <c r="J8" s="4"/>
      <c r="K8" s="4"/>
      <c r="L8" s="4"/>
      <c r="M8" s="6"/>
      <c r="N8" s="47"/>
      <c r="O8" s="42"/>
    </row>
    <row r="9" spans="1:15" x14ac:dyDescent="0.2">
      <c r="B9" s="36" t="s">
        <v>5</v>
      </c>
      <c r="C9" s="27"/>
      <c r="D9" s="28"/>
      <c r="E9" s="29"/>
      <c r="F9" s="29"/>
      <c r="H9" s="4"/>
      <c r="I9" s="4"/>
      <c r="J9" s="4"/>
      <c r="K9" s="4"/>
      <c r="L9" s="4"/>
      <c r="M9" s="6"/>
      <c r="N9" s="47"/>
      <c r="O9" s="42"/>
    </row>
    <row r="10" spans="1:15" x14ac:dyDescent="0.2">
      <c r="B10" s="24"/>
      <c r="C10" s="3" t="s">
        <v>18</v>
      </c>
      <c r="D10" s="82" t="s">
        <v>49</v>
      </c>
      <c r="E10" s="82" t="s">
        <v>50</v>
      </c>
      <c r="F10" s="73" t="s">
        <v>75</v>
      </c>
      <c r="H10" s="4" t="e">
        <f>INDEX(CalReport!D:D,MATCH($B10,CalReport!R:R,0))</f>
        <v>#N/A</v>
      </c>
      <c r="I10" s="4" t="e">
        <f>IF(EXACT(D10,H10), "y","n")</f>
        <v>#N/A</v>
      </c>
      <c r="J10" s="4" t="e">
        <f>INDEX(CalReport!G:G,MATCH($B10,CalReport!R:R,0))</f>
        <v>#N/A</v>
      </c>
      <c r="K10" s="4" t="e">
        <f>IF(EXACT(E10,J10), "y","n")</f>
        <v>#N/A</v>
      </c>
      <c r="L10" s="40" t="e">
        <f>INDEX(CalReport!V:V,MATCH($B10,CalReport!R:R,0))</f>
        <v>#N/A</v>
      </c>
      <c r="M10" s="45" t="e">
        <f>INDEX(CalReport!W:W,MATCH($B10,CalReport!R:R,0))</f>
        <v>#N/A</v>
      </c>
      <c r="N10" s="47" t="e">
        <f t="shared" ref="N10:N19" si="0">M10-L10</f>
        <v>#N/A</v>
      </c>
      <c r="O10" s="42" t="e">
        <f t="shared" ref="O10:O19" si="1">AND($E$4&gt;=L10,$E$4&lt;=M10)</f>
        <v>#N/A</v>
      </c>
    </row>
    <row r="11" spans="1:15" x14ac:dyDescent="0.2">
      <c r="B11" s="22"/>
      <c r="C11" s="4" t="s">
        <v>19</v>
      </c>
      <c r="D11" s="83" t="s">
        <v>51</v>
      </c>
      <c r="E11" s="83" t="s">
        <v>52</v>
      </c>
      <c r="F11" s="74"/>
      <c r="H11" s="4" t="e">
        <f>INDEX(CalReport!D:D,MATCH($B11,CalReport!R:R,0))</f>
        <v>#N/A</v>
      </c>
      <c r="I11" s="4" t="e">
        <f t="shared" ref="I11:I65" si="2">IF(EXACT(D11,H11), "y","n")</f>
        <v>#N/A</v>
      </c>
      <c r="J11" s="4" t="e">
        <f>INDEX(CalReport!G:G,MATCH($B11,CalReport!R:R,0))</f>
        <v>#N/A</v>
      </c>
      <c r="K11" s="4" t="e">
        <f t="shared" ref="K11:K65" si="3">IF(EXACT(E11,J11), "y","n")</f>
        <v>#N/A</v>
      </c>
      <c r="L11" s="40" t="e">
        <f>INDEX(CalReport!V:V,MATCH($B11,CalReport!R:R,0))</f>
        <v>#N/A</v>
      </c>
      <c r="M11" s="45" t="e">
        <f>INDEX(CalReport!W:W,MATCH($B11,CalReport!R:R,0))</f>
        <v>#N/A</v>
      </c>
      <c r="N11" s="47" t="e">
        <f t="shared" si="0"/>
        <v>#N/A</v>
      </c>
      <c r="O11" s="42" t="e">
        <f t="shared" si="1"/>
        <v>#N/A</v>
      </c>
    </row>
    <row r="12" spans="1:15" x14ac:dyDescent="0.2">
      <c r="B12" s="22"/>
      <c r="C12" s="4" t="s">
        <v>20</v>
      </c>
      <c r="D12" s="83" t="s">
        <v>53</v>
      </c>
      <c r="E12" s="83" t="s">
        <v>54</v>
      </c>
      <c r="F12" s="74"/>
      <c r="H12" s="4" t="e">
        <f>INDEX(CalReport!D:D,MATCH($B12,CalReport!R:R,0))</f>
        <v>#N/A</v>
      </c>
      <c r="I12" s="4" t="e">
        <f t="shared" si="2"/>
        <v>#N/A</v>
      </c>
      <c r="J12" s="4" t="e">
        <f>INDEX(CalReport!G:G,MATCH($B12,CalReport!R:R,0))</f>
        <v>#N/A</v>
      </c>
      <c r="K12" s="4" t="e">
        <f t="shared" si="3"/>
        <v>#N/A</v>
      </c>
      <c r="L12" s="40" t="e">
        <f>INDEX(CalReport!V:V,MATCH($B12,CalReport!R:R,0))</f>
        <v>#N/A</v>
      </c>
      <c r="M12" s="45" t="e">
        <f>INDEX(CalReport!W:W,MATCH($B12,CalReport!R:R,0))</f>
        <v>#N/A</v>
      </c>
      <c r="N12" s="47" t="e">
        <f t="shared" si="0"/>
        <v>#N/A</v>
      </c>
      <c r="O12" s="42" t="e">
        <f t="shared" si="1"/>
        <v>#N/A</v>
      </c>
    </row>
    <row r="13" spans="1:15" x14ac:dyDescent="0.2">
      <c r="B13" s="22"/>
      <c r="C13" s="4" t="s">
        <v>21</v>
      </c>
      <c r="D13" s="83" t="s">
        <v>55</v>
      </c>
      <c r="E13" s="83" t="s">
        <v>56</v>
      </c>
      <c r="F13" s="74"/>
      <c r="H13" s="4" t="e">
        <f>INDEX(CalReport!D:D,MATCH($B13,CalReport!R:R,0))</f>
        <v>#N/A</v>
      </c>
      <c r="I13" s="4" t="e">
        <f t="shared" si="2"/>
        <v>#N/A</v>
      </c>
      <c r="J13" s="4" t="e">
        <f>INDEX(CalReport!G:G,MATCH($B13,CalReport!R:R,0))</f>
        <v>#N/A</v>
      </c>
      <c r="K13" s="4" t="e">
        <f t="shared" si="3"/>
        <v>#N/A</v>
      </c>
      <c r="L13" s="40" t="e">
        <f>INDEX(CalReport!V:V,MATCH($B13,CalReport!R:R,0))</f>
        <v>#N/A</v>
      </c>
      <c r="M13" s="45" t="e">
        <f>INDEX(CalReport!W:W,MATCH($B13,CalReport!R:R,0))</f>
        <v>#N/A</v>
      </c>
      <c r="N13" s="47" t="e">
        <f t="shared" si="0"/>
        <v>#N/A</v>
      </c>
      <c r="O13" s="42" t="e">
        <f t="shared" si="1"/>
        <v>#N/A</v>
      </c>
    </row>
    <row r="14" spans="1:15" x14ac:dyDescent="0.2">
      <c r="B14" s="22"/>
      <c r="C14" s="4" t="s">
        <v>22</v>
      </c>
      <c r="D14" s="83" t="s">
        <v>57</v>
      </c>
      <c r="E14" s="83" t="s">
        <v>58</v>
      </c>
      <c r="F14" s="74"/>
      <c r="H14" s="4" t="e">
        <f>INDEX(CalReport!D:D,MATCH($B14,CalReport!R:R,0))</f>
        <v>#N/A</v>
      </c>
      <c r="I14" s="4" t="e">
        <f t="shared" si="2"/>
        <v>#N/A</v>
      </c>
      <c r="J14" s="4" t="e">
        <f>INDEX(CalReport!G:G,MATCH($B14,CalReport!R:R,0))</f>
        <v>#N/A</v>
      </c>
      <c r="K14" s="4" t="e">
        <f t="shared" si="3"/>
        <v>#N/A</v>
      </c>
      <c r="L14" s="40" t="e">
        <f>INDEX(CalReport!V:V,MATCH($B14,CalReport!R:R,0))</f>
        <v>#N/A</v>
      </c>
      <c r="M14" s="45" t="e">
        <f>INDEX(CalReport!W:W,MATCH($B14,CalReport!R:R,0))</f>
        <v>#N/A</v>
      </c>
      <c r="N14" s="47" t="e">
        <f t="shared" si="0"/>
        <v>#N/A</v>
      </c>
      <c r="O14" s="42" t="e">
        <f t="shared" si="1"/>
        <v>#N/A</v>
      </c>
    </row>
    <row r="15" spans="1:15" x14ac:dyDescent="0.2">
      <c r="B15" s="22"/>
      <c r="C15" s="6" t="s">
        <v>23</v>
      </c>
      <c r="D15" s="83" t="s">
        <v>59</v>
      </c>
      <c r="E15" s="83" t="s">
        <v>60</v>
      </c>
      <c r="F15" s="74"/>
      <c r="H15" s="4" t="e">
        <f>INDEX(CalReport!D:D,MATCH($B15,CalReport!R:R,0))</f>
        <v>#N/A</v>
      </c>
      <c r="I15" s="4" t="e">
        <f t="shared" si="2"/>
        <v>#N/A</v>
      </c>
      <c r="J15" s="4" t="e">
        <f>INDEX(CalReport!G:G,MATCH($B15,CalReport!R:R,0))</f>
        <v>#N/A</v>
      </c>
      <c r="K15" s="4" t="e">
        <f t="shared" si="3"/>
        <v>#N/A</v>
      </c>
      <c r="L15" s="40" t="e">
        <f>INDEX(CalReport!V:V,MATCH($B15,CalReport!R:R,0))</f>
        <v>#N/A</v>
      </c>
      <c r="M15" s="45" t="e">
        <f>INDEX(CalReport!W:W,MATCH($B15,CalReport!R:R,0))</f>
        <v>#N/A</v>
      </c>
      <c r="N15" s="47" t="e">
        <f t="shared" si="0"/>
        <v>#N/A</v>
      </c>
      <c r="O15" s="42" t="e">
        <f t="shared" si="1"/>
        <v>#N/A</v>
      </c>
    </row>
    <row r="16" spans="1:15" x14ac:dyDescent="0.2">
      <c r="B16" s="22"/>
      <c r="C16" s="6" t="s">
        <v>24</v>
      </c>
      <c r="D16" s="83" t="s">
        <v>61</v>
      </c>
      <c r="E16" s="83" t="s">
        <v>62</v>
      </c>
      <c r="F16" s="74"/>
      <c r="H16" s="4" t="e">
        <f>INDEX(CalReport!D:D,MATCH($B16,CalReport!R:R,0))</f>
        <v>#N/A</v>
      </c>
      <c r="I16" s="4" t="e">
        <f t="shared" si="2"/>
        <v>#N/A</v>
      </c>
      <c r="J16" s="4" t="e">
        <f>INDEX(CalReport!G:G,MATCH($B16,CalReport!R:R,0))</f>
        <v>#N/A</v>
      </c>
      <c r="K16" s="4" t="e">
        <f t="shared" si="3"/>
        <v>#N/A</v>
      </c>
      <c r="L16" s="40" t="e">
        <f>INDEX(CalReport!V:V,MATCH($B16,CalReport!R:R,0))</f>
        <v>#N/A</v>
      </c>
      <c r="M16" s="45" t="e">
        <f>INDEX(CalReport!W:W,MATCH($B16,CalReport!R:R,0))</f>
        <v>#N/A</v>
      </c>
      <c r="N16" s="47" t="e">
        <f t="shared" si="0"/>
        <v>#N/A</v>
      </c>
      <c r="O16" s="42" t="e">
        <f t="shared" si="1"/>
        <v>#N/A</v>
      </c>
    </row>
    <row r="17" spans="2:15" x14ac:dyDescent="0.2">
      <c r="B17" s="22"/>
      <c r="C17" s="6" t="s">
        <v>25</v>
      </c>
      <c r="D17" s="83" t="s">
        <v>63</v>
      </c>
      <c r="E17" s="83" t="s">
        <v>64</v>
      </c>
      <c r="F17" s="74"/>
      <c r="G17" s="11"/>
      <c r="H17" s="4" t="e">
        <f>INDEX(CalReport!D:D,MATCH($B17,CalReport!R:R,0))</f>
        <v>#N/A</v>
      </c>
      <c r="I17" s="4" t="e">
        <f t="shared" si="2"/>
        <v>#N/A</v>
      </c>
      <c r="J17" s="4" t="e">
        <f>INDEX(CalReport!G:G,MATCH($B17,CalReport!R:R,0))</f>
        <v>#N/A</v>
      </c>
      <c r="K17" s="4" t="e">
        <f t="shared" si="3"/>
        <v>#N/A</v>
      </c>
      <c r="L17" s="40" t="e">
        <f>INDEX(CalReport!V:V,MATCH($B17,CalReport!R:R,0))</f>
        <v>#N/A</v>
      </c>
      <c r="M17" s="45" t="e">
        <f>INDEX(CalReport!W:W,MATCH($B17,CalReport!R:R,0))</f>
        <v>#N/A</v>
      </c>
      <c r="N17" s="47" t="e">
        <f t="shared" si="0"/>
        <v>#N/A</v>
      </c>
      <c r="O17" s="42" t="e">
        <f t="shared" si="1"/>
        <v>#N/A</v>
      </c>
    </row>
    <row r="18" spans="2:15" x14ac:dyDescent="0.2">
      <c r="B18" s="22"/>
      <c r="C18" s="6" t="s">
        <v>26</v>
      </c>
      <c r="D18" s="83" t="s">
        <v>65</v>
      </c>
      <c r="E18" s="83" t="s">
        <v>66</v>
      </c>
      <c r="F18" s="74"/>
      <c r="H18" s="4" t="e">
        <f>INDEX(CalReport!D:D,MATCH($B18,CalReport!R:R,0))</f>
        <v>#N/A</v>
      </c>
      <c r="I18" s="4" t="e">
        <f t="shared" si="2"/>
        <v>#N/A</v>
      </c>
      <c r="J18" s="4" t="e">
        <f>INDEX(CalReport!G:G,MATCH($B18,CalReport!R:R,0))</f>
        <v>#N/A</v>
      </c>
      <c r="K18" s="4" t="e">
        <f t="shared" si="3"/>
        <v>#N/A</v>
      </c>
      <c r="L18" s="40" t="e">
        <f>INDEX(CalReport!V:V,MATCH($B18,CalReport!R:R,0))</f>
        <v>#N/A</v>
      </c>
      <c r="M18" s="45" t="e">
        <f>INDEX(CalReport!W:W,MATCH($B18,CalReport!R:R,0))</f>
        <v>#N/A</v>
      </c>
      <c r="N18" s="47" t="e">
        <f t="shared" si="0"/>
        <v>#N/A</v>
      </c>
      <c r="O18" s="42" t="e">
        <f t="shared" si="1"/>
        <v>#N/A</v>
      </c>
    </row>
    <row r="19" spans="2:15" x14ac:dyDescent="0.2">
      <c r="B19" s="25"/>
      <c r="C19" s="26" t="s">
        <v>27</v>
      </c>
      <c r="D19" s="84" t="s">
        <v>67</v>
      </c>
      <c r="E19" s="84" t="s">
        <v>68</v>
      </c>
      <c r="F19" s="75"/>
      <c r="H19" s="4" t="e">
        <f>INDEX(CalReport!D:D,MATCH($B19,CalReport!R:R,0))</f>
        <v>#N/A</v>
      </c>
      <c r="I19" s="4" t="e">
        <f t="shared" si="2"/>
        <v>#N/A</v>
      </c>
      <c r="J19" s="4" t="e">
        <f>INDEX(CalReport!G:G,MATCH($B19,CalReport!R:R,0))</f>
        <v>#N/A</v>
      </c>
      <c r="K19" s="4" t="e">
        <f t="shared" si="3"/>
        <v>#N/A</v>
      </c>
      <c r="L19" s="40" t="e">
        <f>INDEX(CalReport!V:V,MATCH($B19,CalReport!R:R,0))</f>
        <v>#N/A</v>
      </c>
      <c r="M19" s="45" t="e">
        <f>INDEX(CalReport!W:W,MATCH($B19,CalReport!R:R,0))</f>
        <v>#N/A</v>
      </c>
      <c r="N19" s="47" t="e">
        <f t="shared" si="0"/>
        <v>#N/A</v>
      </c>
      <c r="O19" s="42" t="e">
        <f t="shared" si="1"/>
        <v>#N/A</v>
      </c>
    </row>
    <row r="20" spans="2:15" ht="6.95" customHeight="1" x14ac:dyDescent="0.2">
      <c r="B20" s="4"/>
      <c r="C20" s="6"/>
      <c r="D20" s="85"/>
      <c r="E20" s="85"/>
      <c r="F20" s="23"/>
      <c r="H20" s="4"/>
      <c r="I20" s="4"/>
      <c r="J20" s="4"/>
      <c r="K20" s="4"/>
      <c r="L20" s="40"/>
      <c r="M20" s="45"/>
      <c r="N20" s="47"/>
      <c r="O20" s="42"/>
    </row>
    <row r="21" spans="2:15" x14ac:dyDescent="0.2">
      <c r="B21" s="36" t="s">
        <v>6</v>
      </c>
      <c r="C21" s="6"/>
      <c r="D21" s="85"/>
      <c r="E21" s="85"/>
      <c r="F21" s="23"/>
      <c r="H21" s="4"/>
      <c r="I21" s="4"/>
      <c r="J21" s="4"/>
      <c r="K21" s="4"/>
      <c r="L21" s="40"/>
      <c r="M21" s="45"/>
      <c r="N21" s="47"/>
      <c r="O21" s="42"/>
    </row>
    <row r="22" spans="2:15" ht="12.75" customHeight="1" x14ac:dyDescent="0.2">
      <c r="B22" s="30"/>
      <c r="C22" s="15" t="s">
        <v>104</v>
      </c>
      <c r="D22" s="86" t="s">
        <v>81</v>
      </c>
      <c r="E22" s="86" t="s">
        <v>139</v>
      </c>
      <c r="F22" s="73" t="s">
        <v>76</v>
      </c>
      <c r="H22" s="4" t="e">
        <f>INDEX(CalReport!D:D,MATCH($B22,CalReport!R:R,0))</f>
        <v>#N/A</v>
      </c>
      <c r="I22" s="4" t="e">
        <f>IF(EXACT(D22,H22), "y","n")</f>
        <v>#N/A</v>
      </c>
      <c r="J22" s="4" t="e">
        <f>INDEX(CalReport!G:G,MATCH($B22,CalReport!R:R,0))</f>
        <v>#N/A</v>
      </c>
      <c r="K22" s="4" t="e">
        <f>IF(EXACT(E22,J22), "y","n")</f>
        <v>#N/A</v>
      </c>
      <c r="L22" s="40" t="e">
        <f>INDEX(CalReport!V:V,MATCH($B22,CalReport!R:R,0))</f>
        <v>#N/A</v>
      </c>
      <c r="M22" s="45" t="e">
        <f>INDEX(CalReport!W:W,MATCH($B22,CalReport!R:R,0))</f>
        <v>#N/A</v>
      </c>
      <c r="N22" s="47" t="e">
        <f t="shared" ref="N22" si="4">M22-L22</f>
        <v>#N/A</v>
      </c>
      <c r="O22" s="42" t="e">
        <f t="shared" ref="O22" si="5">AND($E$4&gt;=L22,$E$4&lt;=M22)</f>
        <v>#N/A</v>
      </c>
    </row>
    <row r="23" spans="2:15" ht="12.75" customHeight="1" x14ac:dyDescent="0.2">
      <c r="B23" s="19"/>
      <c r="C23" s="6" t="s">
        <v>105</v>
      </c>
      <c r="D23" s="87" t="s">
        <v>82</v>
      </c>
      <c r="E23" s="87" t="s">
        <v>140</v>
      </c>
      <c r="F23" s="74"/>
      <c r="H23" s="4" t="e">
        <f>INDEX(CalReport!D:D,MATCH($B23,CalReport!R:R,0))</f>
        <v>#N/A</v>
      </c>
      <c r="I23" s="4" t="e">
        <f t="shared" ref="I23:I35" si="6">IF(EXACT(D23,H23), "y","n")</f>
        <v>#N/A</v>
      </c>
      <c r="J23" s="4" t="e">
        <f>INDEX(CalReport!G:G,MATCH($B23,CalReport!R:R,0))</f>
        <v>#N/A</v>
      </c>
      <c r="K23" s="4" t="e">
        <f t="shared" ref="K23:K35" si="7">IF(EXACT(E23,J23), "y","n")</f>
        <v>#N/A</v>
      </c>
      <c r="L23" s="40" t="e">
        <f>INDEX(CalReport!V:V,MATCH($B23,CalReport!R:R,0))</f>
        <v>#N/A</v>
      </c>
      <c r="M23" s="45" t="e">
        <f>INDEX(CalReport!W:W,MATCH($B23,CalReport!R:R,0))</f>
        <v>#N/A</v>
      </c>
      <c r="N23" s="47" t="e">
        <f t="shared" ref="N23:N35" si="8">M23-L23</f>
        <v>#N/A</v>
      </c>
      <c r="O23" s="42" t="e">
        <f t="shared" ref="O23:O35" si="9">AND($E$4&gt;=L23,$E$4&lt;=M23)</f>
        <v>#N/A</v>
      </c>
    </row>
    <row r="24" spans="2:15" ht="12.75" customHeight="1" x14ac:dyDescent="0.2">
      <c r="B24" s="19"/>
      <c r="C24" s="6" t="s">
        <v>106</v>
      </c>
      <c r="D24" s="87" t="s">
        <v>83</v>
      </c>
      <c r="E24" s="87" t="s">
        <v>141</v>
      </c>
      <c r="F24" s="74"/>
      <c r="H24" s="4" t="e">
        <f>INDEX(CalReport!D:D,MATCH($B24,CalReport!R:R,0))</f>
        <v>#N/A</v>
      </c>
      <c r="I24" s="4" t="e">
        <f t="shared" si="6"/>
        <v>#N/A</v>
      </c>
      <c r="J24" s="4" t="e">
        <f>INDEX(CalReport!G:G,MATCH($B24,CalReport!R:R,0))</f>
        <v>#N/A</v>
      </c>
      <c r="K24" s="4" t="e">
        <f t="shared" si="7"/>
        <v>#N/A</v>
      </c>
      <c r="L24" s="40" t="e">
        <f>INDEX(CalReport!V:V,MATCH($B24,CalReport!R:R,0))</f>
        <v>#N/A</v>
      </c>
      <c r="M24" s="45" t="e">
        <f>INDEX(CalReport!W:W,MATCH($B24,CalReport!R:R,0))</f>
        <v>#N/A</v>
      </c>
      <c r="N24" s="47" t="e">
        <f t="shared" si="8"/>
        <v>#N/A</v>
      </c>
      <c r="O24" s="42" t="e">
        <f t="shared" si="9"/>
        <v>#N/A</v>
      </c>
    </row>
    <row r="25" spans="2:15" ht="12.75" customHeight="1" x14ac:dyDescent="0.2">
      <c r="B25" s="19"/>
      <c r="C25" s="6" t="s">
        <v>107</v>
      </c>
      <c r="D25" s="87" t="s">
        <v>84</v>
      </c>
      <c r="E25" s="87" t="s">
        <v>142</v>
      </c>
      <c r="F25" s="74"/>
      <c r="H25" s="4" t="e">
        <f>INDEX(CalReport!D:D,MATCH($B25,CalReport!R:R,0))</f>
        <v>#N/A</v>
      </c>
      <c r="I25" s="4" t="e">
        <f t="shared" si="6"/>
        <v>#N/A</v>
      </c>
      <c r="J25" s="4" t="e">
        <f>INDEX(CalReport!G:G,MATCH($B25,CalReport!R:R,0))</f>
        <v>#N/A</v>
      </c>
      <c r="K25" s="4" t="e">
        <f t="shared" si="7"/>
        <v>#N/A</v>
      </c>
      <c r="L25" s="40" t="e">
        <f>INDEX(CalReport!V:V,MATCH($B25,CalReport!R:R,0))</f>
        <v>#N/A</v>
      </c>
      <c r="M25" s="45" t="e">
        <f>INDEX(CalReport!W:W,MATCH($B25,CalReport!R:R,0))</f>
        <v>#N/A</v>
      </c>
      <c r="N25" s="47" t="e">
        <f t="shared" si="8"/>
        <v>#N/A</v>
      </c>
      <c r="O25" s="42" t="e">
        <f t="shared" si="9"/>
        <v>#N/A</v>
      </c>
    </row>
    <row r="26" spans="2:15" ht="12.75" customHeight="1" x14ac:dyDescent="0.2">
      <c r="B26" s="19"/>
      <c r="C26" s="6" t="s">
        <v>108</v>
      </c>
      <c r="D26" s="87" t="s">
        <v>77</v>
      </c>
      <c r="E26" s="87" t="s">
        <v>143</v>
      </c>
      <c r="F26" s="74"/>
      <c r="H26" s="4" t="e">
        <f>INDEX(CalReport!D:D,MATCH($B26,CalReport!R:R,0))</f>
        <v>#N/A</v>
      </c>
      <c r="I26" s="4" t="e">
        <f t="shared" si="6"/>
        <v>#N/A</v>
      </c>
      <c r="J26" s="4" t="e">
        <f>INDEX(CalReport!G:G,MATCH($B26,CalReport!R:R,0))</f>
        <v>#N/A</v>
      </c>
      <c r="K26" s="4" t="e">
        <f t="shared" si="7"/>
        <v>#N/A</v>
      </c>
      <c r="L26" s="40" t="e">
        <f>INDEX(CalReport!V:V,MATCH($B26,CalReport!R:R,0))</f>
        <v>#N/A</v>
      </c>
      <c r="M26" s="45" t="e">
        <f>INDEX(CalReport!W:W,MATCH($B26,CalReport!R:R,0))</f>
        <v>#N/A</v>
      </c>
      <c r="N26" s="47" t="e">
        <f t="shared" si="8"/>
        <v>#N/A</v>
      </c>
      <c r="O26" s="42" t="e">
        <f t="shared" si="9"/>
        <v>#N/A</v>
      </c>
    </row>
    <row r="27" spans="2:15" ht="12.75" customHeight="1" x14ac:dyDescent="0.2">
      <c r="B27" s="19"/>
      <c r="C27" s="6" t="s">
        <v>109</v>
      </c>
      <c r="D27" s="87" t="s">
        <v>79</v>
      </c>
      <c r="E27" s="87" t="s">
        <v>144</v>
      </c>
      <c r="F27" s="74"/>
      <c r="H27" s="4" t="e">
        <f>INDEX(CalReport!D:D,MATCH($B27,CalReport!R:R,0))</f>
        <v>#N/A</v>
      </c>
      <c r="I27" s="4" t="e">
        <f t="shared" si="6"/>
        <v>#N/A</v>
      </c>
      <c r="J27" s="4" t="e">
        <f>INDEX(CalReport!G:G,MATCH($B27,CalReport!R:R,0))</f>
        <v>#N/A</v>
      </c>
      <c r="K27" s="4" t="e">
        <f t="shared" si="7"/>
        <v>#N/A</v>
      </c>
      <c r="L27" s="40" t="e">
        <f>INDEX(CalReport!V:V,MATCH($B27,CalReport!R:R,0))</f>
        <v>#N/A</v>
      </c>
      <c r="M27" s="45" t="e">
        <f>INDEX(CalReport!W:W,MATCH($B27,CalReport!R:R,0))</f>
        <v>#N/A</v>
      </c>
      <c r="N27" s="47" t="e">
        <f t="shared" si="8"/>
        <v>#N/A</v>
      </c>
      <c r="O27" s="42" t="e">
        <f t="shared" si="9"/>
        <v>#N/A</v>
      </c>
    </row>
    <row r="28" spans="2:15" ht="12.75" customHeight="1" x14ac:dyDescent="0.2">
      <c r="B28" s="19"/>
      <c r="C28" s="6" t="s">
        <v>110</v>
      </c>
      <c r="D28" s="87" t="s">
        <v>78</v>
      </c>
      <c r="E28" s="87" t="s">
        <v>145</v>
      </c>
      <c r="F28" s="74"/>
      <c r="H28" s="4" t="e">
        <f>INDEX(CalReport!D:D,MATCH($B28,CalReport!R:R,0))</f>
        <v>#N/A</v>
      </c>
      <c r="I28" s="4" t="e">
        <f t="shared" si="6"/>
        <v>#N/A</v>
      </c>
      <c r="J28" s="4" t="e">
        <f>INDEX(CalReport!G:G,MATCH($B28,CalReport!R:R,0))</f>
        <v>#N/A</v>
      </c>
      <c r="K28" s="4" t="e">
        <f t="shared" si="7"/>
        <v>#N/A</v>
      </c>
      <c r="L28" s="40" t="e">
        <f>INDEX(CalReport!V:V,MATCH($B28,CalReport!R:R,0))</f>
        <v>#N/A</v>
      </c>
      <c r="M28" s="45" t="e">
        <f>INDEX(CalReport!W:W,MATCH($B28,CalReport!R:R,0))</f>
        <v>#N/A</v>
      </c>
      <c r="N28" s="47" t="e">
        <f t="shared" si="8"/>
        <v>#N/A</v>
      </c>
      <c r="O28" s="42" t="e">
        <f t="shared" si="9"/>
        <v>#N/A</v>
      </c>
    </row>
    <row r="29" spans="2:15" ht="12.75" customHeight="1" x14ac:dyDescent="0.2">
      <c r="B29" s="19"/>
      <c r="C29" s="6" t="s">
        <v>111</v>
      </c>
      <c r="D29" s="87" t="s">
        <v>80</v>
      </c>
      <c r="E29" s="87" t="s">
        <v>146</v>
      </c>
      <c r="F29" s="74"/>
      <c r="H29" s="4" t="e">
        <f>INDEX(CalReport!D:D,MATCH($B29,CalReport!R:R,0))</f>
        <v>#N/A</v>
      </c>
      <c r="I29" s="4" t="e">
        <f t="shared" si="6"/>
        <v>#N/A</v>
      </c>
      <c r="J29" s="4" t="e">
        <f>INDEX(CalReport!G:G,MATCH($B29,CalReport!R:R,0))</f>
        <v>#N/A</v>
      </c>
      <c r="K29" s="4" t="e">
        <f t="shared" si="7"/>
        <v>#N/A</v>
      </c>
      <c r="L29" s="40" t="e">
        <f>INDEX(CalReport!V:V,MATCH($B29,CalReport!R:R,0))</f>
        <v>#N/A</v>
      </c>
      <c r="M29" s="45" t="e">
        <f>INDEX(CalReport!W:W,MATCH($B29,CalReport!R:R,0))</f>
        <v>#N/A</v>
      </c>
      <c r="N29" s="47" t="e">
        <f t="shared" si="8"/>
        <v>#N/A</v>
      </c>
      <c r="O29" s="42" t="e">
        <f t="shared" si="9"/>
        <v>#N/A</v>
      </c>
    </row>
    <row r="30" spans="2:15" ht="12.75" customHeight="1" x14ac:dyDescent="0.2">
      <c r="B30" s="19"/>
      <c r="C30" s="6" t="s">
        <v>117</v>
      </c>
      <c r="D30" s="87" t="s">
        <v>98</v>
      </c>
      <c r="E30" s="87" t="s">
        <v>147</v>
      </c>
      <c r="F30" s="74"/>
      <c r="H30" s="4" t="e">
        <f>INDEX(CalReport!D:D,MATCH($B30,CalReport!R:R,0))</f>
        <v>#N/A</v>
      </c>
      <c r="I30" s="4" t="e">
        <f t="shared" si="6"/>
        <v>#N/A</v>
      </c>
      <c r="J30" s="4" t="e">
        <f>INDEX(CalReport!G:G,MATCH($B30,CalReport!R:R,0))</f>
        <v>#N/A</v>
      </c>
      <c r="K30" s="4" t="e">
        <f t="shared" si="7"/>
        <v>#N/A</v>
      </c>
      <c r="L30" s="40" t="e">
        <f>INDEX(CalReport!V:V,MATCH($B30,CalReport!R:R,0))</f>
        <v>#N/A</v>
      </c>
      <c r="M30" s="45" t="e">
        <f>INDEX(CalReport!W:W,MATCH($B30,CalReport!R:R,0))</f>
        <v>#N/A</v>
      </c>
      <c r="N30" s="47" t="e">
        <f t="shared" si="8"/>
        <v>#N/A</v>
      </c>
      <c r="O30" s="42" t="e">
        <f t="shared" si="9"/>
        <v>#N/A</v>
      </c>
    </row>
    <row r="31" spans="2:15" ht="12.75" customHeight="1" x14ac:dyDescent="0.2">
      <c r="B31" s="19"/>
      <c r="C31" s="6" t="s">
        <v>118</v>
      </c>
      <c r="D31" s="87" t="s">
        <v>94</v>
      </c>
      <c r="E31" s="87" t="s">
        <v>148</v>
      </c>
      <c r="F31" s="74"/>
      <c r="H31" s="4" t="e">
        <f>INDEX(CalReport!D:D,MATCH($B31,CalReport!R:R,0))</f>
        <v>#N/A</v>
      </c>
      <c r="I31" s="4" t="e">
        <f t="shared" si="6"/>
        <v>#N/A</v>
      </c>
      <c r="J31" s="4" t="e">
        <f>INDEX(CalReport!G:G,MATCH($B31,CalReport!R:R,0))</f>
        <v>#N/A</v>
      </c>
      <c r="K31" s="4" t="e">
        <f t="shared" si="7"/>
        <v>#N/A</v>
      </c>
      <c r="L31" s="40" t="e">
        <f>INDEX(CalReport!V:V,MATCH($B31,CalReport!R:R,0))</f>
        <v>#N/A</v>
      </c>
      <c r="M31" s="45" t="e">
        <f>INDEX(CalReport!W:W,MATCH($B31,CalReport!R:R,0))</f>
        <v>#N/A</v>
      </c>
      <c r="N31" s="47" t="e">
        <f t="shared" si="8"/>
        <v>#N/A</v>
      </c>
      <c r="O31" s="42" t="e">
        <f t="shared" si="9"/>
        <v>#N/A</v>
      </c>
    </row>
    <row r="32" spans="2:15" ht="12.75" customHeight="1" x14ac:dyDescent="0.2">
      <c r="B32" s="19"/>
      <c r="C32" s="6" t="s">
        <v>119</v>
      </c>
      <c r="D32" s="87" t="s">
        <v>95</v>
      </c>
      <c r="E32" s="87" t="s">
        <v>149</v>
      </c>
      <c r="F32" s="74"/>
      <c r="H32" s="4" t="e">
        <f>INDEX(CalReport!D:D,MATCH($B32,CalReport!R:R,0))</f>
        <v>#N/A</v>
      </c>
      <c r="I32" s="4" t="e">
        <f t="shared" si="6"/>
        <v>#N/A</v>
      </c>
      <c r="J32" s="4" t="e">
        <f>INDEX(CalReport!G:G,MATCH($B32,CalReport!R:R,0))</f>
        <v>#N/A</v>
      </c>
      <c r="K32" s="4" t="e">
        <f t="shared" si="7"/>
        <v>#N/A</v>
      </c>
      <c r="L32" s="40" t="e">
        <f>INDEX(CalReport!V:V,MATCH($B32,CalReport!R:R,0))</f>
        <v>#N/A</v>
      </c>
      <c r="M32" s="45" t="e">
        <f>INDEX(CalReport!W:W,MATCH($B32,CalReport!R:R,0))</f>
        <v>#N/A</v>
      </c>
      <c r="N32" s="47" t="e">
        <f t="shared" si="8"/>
        <v>#N/A</v>
      </c>
      <c r="O32" s="42" t="e">
        <f t="shared" si="9"/>
        <v>#N/A</v>
      </c>
    </row>
    <row r="33" spans="2:15" ht="12.75" customHeight="1" x14ac:dyDescent="0.2">
      <c r="B33" s="19"/>
      <c r="C33" s="6" t="s">
        <v>112</v>
      </c>
      <c r="D33" s="87" t="s">
        <v>85</v>
      </c>
      <c r="E33" s="87" t="s">
        <v>150</v>
      </c>
      <c r="F33" s="74"/>
      <c r="H33" s="4" t="e">
        <f>INDEX(CalReport!D:D,MATCH($B33,CalReport!R:R,0))</f>
        <v>#N/A</v>
      </c>
      <c r="I33" s="4" t="e">
        <f t="shared" si="6"/>
        <v>#N/A</v>
      </c>
      <c r="J33" s="4" t="e">
        <f>INDEX(CalReport!G:G,MATCH($B33,CalReport!R:R,0))</f>
        <v>#N/A</v>
      </c>
      <c r="K33" s="4" t="e">
        <f t="shared" si="7"/>
        <v>#N/A</v>
      </c>
      <c r="L33" s="40" t="e">
        <f>INDEX(CalReport!V:V,MATCH($B33,CalReport!R:R,0))</f>
        <v>#N/A</v>
      </c>
      <c r="M33" s="45" t="e">
        <f>INDEX(CalReport!W:W,MATCH($B33,CalReport!R:R,0))</f>
        <v>#N/A</v>
      </c>
      <c r="N33" s="47" t="e">
        <f t="shared" si="8"/>
        <v>#N/A</v>
      </c>
      <c r="O33" s="42" t="e">
        <f t="shared" si="9"/>
        <v>#N/A</v>
      </c>
    </row>
    <row r="34" spans="2:15" ht="12.75" customHeight="1" x14ac:dyDescent="0.2">
      <c r="B34" s="19"/>
      <c r="C34" s="6" t="s">
        <v>115</v>
      </c>
      <c r="D34" s="87" t="s">
        <v>113</v>
      </c>
      <c r="E34" s="87" t="s">
        <v>151</v>
      </c>
      <c r="F34" s="74"/>
      <c r="H34" s="4" t="e">
        <f>INDEX(CalReport!D:D,MATCH($B34,CalReport!R:R,0))</f>
        <v>#N/A</v>
      </c>
      <c r="I34" s="4" t="e">
        <f t="shared" si="6"/>
        <v>#N/A</v>
      </c>
      <c r="J34" s="4" t="e">
        <f>INDEX(CalReport!G:G,MATCH($B34,CalReport!R:R,0))</f>
        <v>#N/A</v>
      </c>
      <c r="K34" s="4" t="e">
        <f t="shared" si="7"/>
        <v>#N/A</v>
      </c>
      <c r="L34" s="40" t="e">
        <f>INDEX(CalReport!V:V,MATCH($B34,CalReport!R:R,0))</f>
        <v>#N/A</v>
      </c>
      <c r="M34" s="45" t="e">
        <f>INDEX(CalReport!W:W,MATCH($B34,CalReport!R:R,0))</f>
        <v>#N/A</v>
      </c>
      <c r="N34" s="47" t="e">
        <f t="shared" si="8"/>
        <v>#N/A</v>
      </c>
      <c r="O34" s="42" t="e">
        <f t="shared" si="9"/>
        <v>#N/A</v>
      </c>
    </row>
    <row r="35" spans="2:15" ht="13.9" customHeight="1" x14ac:dyDescent="0.2">
      <c r="B35" s="31"/>
      <c r="C35" s="5" t="s">
        <v>116</v>
      </c>
      <c r="D35" s="88" t="s">
        <v>114</v>
      </c>
      <c r="E35" s="88" t="s">
        <v>152</v>
      </c>
      <c r="F35" s="74"/>
      <c r="H35" s="4" t="e">
        <f>INDEX(CalReport!D:D,MATCH($B35,CalReport!R:R,0))</f>
        <v>#N/A</v>
      </c>
      <c r="I35" s="4" t="e">
        <f t="shared" si="6"/>
        <v>#N/A</v>
      </c>
      <c r="J35" s="4" t="e">
        <f>INDEX(CalReport!G:G,MATCH($B35,CalReport!R:R,0))</f>
        <v>#N/A</v>
      </c>
      <c r="K35" s="4" t="e">
        <f t="shared" si="7"/>
        <v>#N/A</v>
      </c>
      <c r="L35" s="40" t="e">
        <f>INDEX(CalReport!V:V,MATCH($B35,CalReport!R:R,0))</f>
        <v>#N/A</v>
      </c>
      <c r="M35" s="45" t="e">
        <f>INDEX(CalReport!W:W,MATCH($B35,CalReport!R:R,0))</f>
        <v>#N/A</v>
      </c>
      <c r="N35" s="47" t="e">
        <f t="shared" si="8"/>
        <v>#N/A</v>
      </c>
      <c r="O35" s="42" t="e">
        <f t="shared" si="9"/>
        <v>#N/A</v>
      </c>
    </row>
    <row r="36" spans="2:15" ht="6.95" customHeight="1" x14ac:dyDescent="0.2">
      <c r="B36" s="33"/>
      <c r="C36" s="7"/>
      <c r="D36" s="89"/>
      <c r="E36" s="90"/>
      <c r="F36" s="74"/>
      <c r="H36" s="4"/>
      <c r="I36" s="4"/>
      <c r="J36" s="4"/>
      <c r="K36" s="4"/>
      <c r="L36" s="40"/>
      <c r="M36" s="45"/>
      <c r="N36" s="47"/>
      <c r="O36" s="42"/>
    </row>
    <row r="37" spans="2:15" x14ac:dyDescent="0.2">
      <c r="B37" s="37" t="s">
        <v>7</v>
      </c>
      <c r="C37" s="7"/>
      <c r="D37" s="89"/>
      <c r="E37" s="90"/>
      <c r="F37" s="74"/>
      <c r="H37" s="4"/>
      <c r="I37" s="4"/>
      <c r="J37" s="4"/>
      <c r="K37" s="4"/>
      <c r="L37" s="40"/>
      <c r="M37" s="45"/>
      <c r="N37" s="47"/>
      <c r="O37" s="42"/>
    </row>
    <row r="38" spans="2:15" ht="12.75" customHeight="1" x14ac:dyDescent="0.2">
      <c r="B38" s="30"/>
      <c r="C38" s="3" t="s">
        <v>96</v>
      </c>
      <c r="D38" s="86" t="s">
        <v>97</v>
      </c>
      <c r="E38" s="91" t="s">
        <v>153</v>
      </c>
      <c r="F38" s="74"/>
      <c r="H38" s="4" t="e">
        <f>INDEX(CalReport!D:D,MATCH($B38,CalReport!R:R,0))</f>
        <v>#N/A</v>
      </c>
      <c r="I38" s="4" t="e">
        <f t="shared" si="2"/>
        <v>#N/A</v>
      </c>
      <c r="J38" s="4" t="e">
        <f>INDEX(CalReport!G:G,MATCH($B38,CalReport!R:R,0))</f>
        <v>#N/A</v>
      </c>
      <c r="K38" s="4" t="e">
        <f t="shared" si="3"/>
        <v>#N/A</v>
      </c>
      <c r="L38" s="40" t="e">
        <f>INDEX(CalReport!V:V,MATCH($B38,CalReport!R:R,0))</f>
        <v>#N/A</v>
      </c>
      <c r="M38" s="45" t="e">
        <f>INDEX(CalReport!W:W,MATCH($B38,CalReport!R:R,0))</f>
        <v>#N/A</v>
      </c>
      <c r="N38" s="47" t="e">
        <f t="shared" ref="N38" si="10">M38-L38</f>
        <v>#N/A</v>
      </c>
      <c r="O38" s="42" t="e">
        <f t="shared" ref="O38" si="11">AND($E$4&gt;=L38,$E$4&lt;=M38)</f>
        <v>#N/A</v>
      </c>
    </row>
    <row r="39" spans="2:15" x14ac:dyDescent="0.2">
      <c r="B39" s="19"/>
      <c r="C39" s="4" t="s">
        <v>121</v>
      </c>
      <c r="D39" s="87" t="s">
        <v>120</v>
      </c>
      <c r="E39" s="92" t="s">
        <v>154</v>
      </c>
      <c r="F39" s="74"/>
      <c r="H39" s="4" t="e">
        <f>INDEX(CalReport!D:D,MATCH($B39,CalReport!R:R,0))</f>
        <v>#N/A</v>
      </c>
      <c r="I39" s="4" t="e">
        <f t="shared" ref="I39:I46" si="12">IF(EXACT(D39,H39), "y","n")</f>
        <v>#N/A</v>
      </c>
      <c r="J39" s="4" t="e">
        <f>INDEX(CalReport!G:G,MATCH($B39,CalReport!R:R,0))</f>
        <v>#N/A</v>
      </c>
      <c r="K39" s="4" t="e">
        <f t="shared" ref="K39:K46" si="13">IF(EXACT(E39,J39), "y","n")</f>
        <v>#N/A</v>
      </c>
      <c r="L39" s="40" t="e">
        <f>INDEX(CalReport!V:V,MATCH($B39,CalReport!R:R,0))</f>
        <v>#N/A</v>
      </c>
      <c r="M39" s="45" t="e">
        <f>INDEX(CalReport!W:W,MATCH($B39,CalReport!R:R,0))</f>
        <v>#N/A</v>
      </c>
      <c r="N39" s="47" t="e">
        <f t="shared" ref="N39:N46" si="14">M39-L39</f>
        <v>#N/A</v>
      </c>
      <c r="O39" s="42" t="e">
        <f t="shared" ref="O39:O46" si="15">AND($E$4&gt;=L39,$E$4&lt;=M39)</f>
        <v>#N/A</v>
      </c>
    </row>
    <row r="40" spans="2:15" x14ac:dyDescent="0.2">
      <c r="B40" s="19"/>
      <c r="C40" s="4" t="s">
        <v>122</v>
      </c>
      <c r="D40" s="87" t="s">
        <v>87</v>
      </c>
      <c r="E40" s="92" t="s">
        <v>155</v>
      </c>
      <c r="F40" s="74"/>
      <c r="H40" s="4" t="e">
        <f>INDEX(CalReport!D:D,MATCH($B40,CalReport!R:R,0))</f>
        <v>#N/A</v>
      </c>
      <c r="I40" s="4" t="e">
        <f t="shared" si="12"/>
        <v>#N/A</v>
      </c>
      <c r="J40" s="4" t="e">
        <f>INDEX(CalReport!G:G,MATCH($B40,CalReport!R:R,0))</f>
        <v>#N/A</v>
      </c>
      <c r="K40" s="4" t="e">
        <f t="shared" si="13"/>
        <v>#N/A</v>
      </c>
      <c r="L40" s="40" t="e">
        <f>INDEX(CalReport!V:V,MATCH($B40,CalReport!R:R,0))</f>
        <v>#N/A</v>
      </c>
      <c r="M40" s="45" t="e">
        <f>INDEX(CalReport!W:W,MATCH($B40,CalReport!R:R,0))</f>
        <v>#N/A</v>
      </c>
      <c r="N40" s="47" t="e">
        <f t="shared" si="14"/>
        <v>#N/A</v>
      </c>
      <c r="O40" s="42" t="e">
        <f t="shared" si="15"/>
        <v>#N/A</v>
      </c>
    </row>
    <row r="41" spans="2:15" x14ac:dyDescent="0.2">
      <c r="B41" s="19"/>
      <c r="C41" s="4" t="s">
        <v>123</v>
      </c>
      <c r="D41" s="87" t="s">
        <v>88</v>
      </c>
      <c r="E41" s="92" t="s">
        <v>156</v>
      </c>
      <c r="F41" s="74"/>
      <c r="H41" s="4" t="e">
        <f>INDEX(CalReport!D:D,MATCH($B41,CalReport!R:R,0))</f>
        <v>#N/A</v>
      </c>
      <c r="I41" s="4" t="e">
        <f t="shared" si="12"/>
        <v>#N/A</v>
      </c>
      <c r="J41" s="4" t="e">
        <f>INDEX(CalReport!G:G,MATCH($B41,CalReport!R:R,0))</f>
        <v>#N/A</v>
      </c>
      <c r="K41" s="4" t="e">
        <f t="shared" si="13"/>
        <v>#N/A</v>
      </c>
      <c r="L41" s="40" t="e">
        <f>INDEX(CalReport!V:V,MATCH($B41,CalReport!R:R,0))</f>
        <v>#N/A</v>
      </c>
      <c r="M41" s="45" t="e">
        <f>INDEX(CalReport!W:W,MATCH($B41,CalReport!R:R,0))</f>
        <v>#N/A</v>
      </c>
      <c r="N41" s="47" t="e">
        <f t="shared" si="14"/>
        <v>#N/A</v>
      </c>
      <c r="O41" s="42" t="e">
        <f t="shared" si="15"/>
        <v>#N/A</v>
      </c>
    </row>
    <row r="42" spans="2:15" x14ac:dyDescent="0.2">
      <c r="B42" s="19"/>
      <c r="C42" s="4" t="s">
        <v>124</v>
      </c>
      <c r="D42" s="87" t="s">
        <v>89</v>
      </c>
      <c r="E42" s="92" t="s">
        <v>157</v>
      </c>
      <c r="F42" s="74"/>
      <c r="H42" s="4" t="e">
        <f>INDEX(CalReport!D:D,MATCH($B42,CalReport!R:R,0))</f>
        <v>#N/A</v>
      </c>
      <c r="I42" s="4" t="e">
        <f t="shared" si="12"/>
        <v>#N/A</v>
      </c>
      <c r="J42" s="4" t="e">
        <f>INDEX(CalReport!G:G,MATCH($B42,CalReport!R:R,0))</f>
        <v>#N/A</v>
      </c>
      <c r="K42" s="4" t="e">
        <f t="shared" si="13"/>
        <v>#N/A</v>
      </c>
      <c r="L42" s="40" t="e">
        <f>INDEX(CalReport!V:V,MATCH($B42,CalReport!R:R,0))</f>
        <v>#N/A</v>
      </c>
      <c r="M42" s="45" t="e">
        <f>INDEX(CalReport!W:W,MATCH($B42,CalReport!R:R,0))</f>
        <v>#N/A</v>
      </c>
      <c r="N42" s="47" t="e">
        <f t="shared" si="14"/>
        <v>#N/A</v>
      </c>
      <c r="O42" s="42" t="e">
        <f t="shared" si="15"/>
        <v>#N/A</v>
      </c>
    </row>
    <row r="43" spans="2:15" x14ac:dyDescent="0.2">
      <c r="B43" s="19"/>
      <c r="C43" s="4" t="s">
        <v>48</v>
      </c>
      <c r="D43" s="87" t="s">
        <v>86</v>
      </c>
      <c r="E43" s="92" t="s">
        <v>158</v>
      </c>
      <c r="F43" s="74"/>
      <c r="H43" s="4" t="e">
        <f>INDEX(CalReport!D:D,MATCH($B43,CalReport!R:R,0))</f>
        <v>#N/A</v>
      </c>
      <c r="I43" s="4" t="e">
        <f t="shared" si="12"/>
        <v>#N/A</v>
      </c>
      <c r="J43" s="4" t="e">
        <f>INDEX(CalReport!G:G,MATCH($B43,CalReport!R:R,0))</f>
        <v>#N/A</v>
      </c>
      <c r="K43" s="4" t="e">
        <f t="shared" si="13"/>
        <v>#N/A</v>
      </c>
      <c r="L43" s="40" t="e">
        <f>INDEX(CalReport!V:V,MATCH($B43,CalReport!R:R,0))</f>
        <v>#N/A</v>
      </c>
      <c r="M43" s="45" t="e">
        <f>INDEX(CalReport!W:W,MATCH($B43,CalReport!R:R,0))</f>
        <v>#N/A</v>
      </c>
      <c r="N43" s="47" t="e">
        <f t="shared" si="14"/>
        <v>#N/A</v>
      </c>
      <c r="O43" s="42" t="e">
        <f t="shared" si="15"/>
        <v>#N/A</v>
      </c>
    </row>
    <row r="44" spans="2:15" x14ac:dyDescent="0.2">
      <c r="B44" s="19"/>
      <c r="C44" s="4" t="s">
        <v>135</v>
      </c>
      <c r="D44" s="87" t="s">
        <v>136</v>
      </c>
      <c r="E44" s="92" t="s">
        <v>159</v>
      </c>
      <c r="F44" s="74"/>
      <c r="H44" s="4" t="e">
        <f>INDEX(CalReport!D:D,MATCH($B44,CalReport!R:R,0))</f>
        <v>#N/A</v>
      </c>
      <c r="I44" s="4" t="e">
        <f t="shared" ref="I44" si="16">IF(EXACT(D44,H44), "y","n")</f>
        <v>#N/A</v>
      </c>
      <c r="J44" s="4" t="e">
        <f>INDEX(CalReport!G:G,MATCH($B44,CalReport!R:R,0))</f>
        <v>#N/A</v>
      </c>
      <c r="K44" s="4" t="e">
        <f t="shared" ref="K44" si="17">IF(EXACT(E44,J44), "y","n")</f>
        <v>#N/A</v>
      </c>
      <c r="L44" s="40" t="e">
        <f>INDEX(CalReport!V:V,MATCH($B44,CalReport!R:R,0))</f>
        <v>#N/A</v>
      </c>
      <c r="M44" s="45" t="e">
        <f>INDEX(CalReport!W:W,MATCH($B44,CalReport!R:R,0))</f>
        <v>#N/A</v>
      </c>
      <c r="N44" s="47" t="e">
        <f t="shared" ref="N44" si="18">M44-L44</f>
        <v>#N/A</v>
      </c>
      <c r="O44" s="42" t="e">
        <f t="shared" ref="O44" si="19">AND($E$4&gt;=L44,$E$4&lt;=M44)</f>
        <v>#N/A</v>
      </c>
    </row>
    <row r="45" spans="2:15" x14ac:dyDescent="0.2">
      <c r="B45" s="19"/>
      <c r="C45" s="4" t="s">
        <v>127</v>
      </c>
      <c r="D45" s="87" t="s">
        <v>125</v>
      </c>
      <c r="E45" s="92" t="s">
        <v>160</v>
      </c>
      <c r="F45" s="74"/>
      <c r="H45" s="4" t="e">
        <f>INDEX(CalReport!D:D,MATCH($B45,CalReport!R:R,0))</f>
        <v>#N/A</v>
      </c>
      <c r="I45" s="4" t="e">
        <f t="shared" si="12"/>
        <v>#N/A</v>
      </c>
      <c r="J45" s="4" t="e">
        <f>INDEX(CalReport!G:G,MATCH($B45,CalReport!R:R,0))</f>
        <v>#N/A</v>
      </c>
      <c r="K45" s="4" t="e">
        <f t="shared" si="13"/>
        <v>#N/A</v>
      </c>
      <c r="L45" s="40" t="e">
        <f>INDEX(CalReport!V:V,MATCH($B45,CalReport!R:R,0))</f>
        <v>#N/A</v>
      </c>
      <c r="M45" s="45" t="e">
        <f>INDEX(CalReport!W:W,MATCH($B45,CalReport!R:R,0))</f>
        <v>#N/A</v>
      </c>
      <c r="N45" s="47" t="e">
        <f t="shared" si="14"/>
        <v>#N/A</v>
      </c>
      <c r="O45" s="42" t="e">
        <f t="shared" si="15"/>
        <v>#N/A</v>
      </c>
    </row>
    <row r="46" spans="2:15" x14ac:dyDescent="0.2">
      <c r="B46" s="31"/>
      <c r="C46" s="5" t="s">
        <v>128</v>
      </c>
      <c r="D46" s="88" t="s">
        <v>126</v>
      </c>
      <c r="E46" s="93" t="s">
        <v>161</v>
      </c>
      <c r="F46" s="74"/>
      <c r="H46" s="4" t="e">
        <f>INDEX(CalReport!D:D,MATCH($B46,CalReport!R:R,0))</f>
        <v>#N/A</v>
      </c>
      <c r="I46" s="4" t="e">
        <f t="shared" si="12"/>
        <v>#N/A</v>
      </c>
      <c r="J46" s="4" t="e">
        <f>INDEX(CalReport!G:G,MATCH($B46,CalReport!R:R,0))</f>
        <v>#N/A</v>
      </c>
      <c r="K46" s="4" t="e">
        <f t="shared" si="13"/>
        <v>#N/A</v>
      </c>
      <c r="L46" s="40" t="e">
        <f>INDEX(CalReport!V:V,MATCH($B46,CalReport!R:R,0))</f>
        <v>#N/A</v>
      </c>
      <c r="M46" s="45" t="e">
        <f>INDEX(CalReport!W:W,MATCH($B46,CalReport!R:R,0))</f>
        <v>#N/A</v>
      </c>
      <c r="N46" s="47" t="e">
        <f t="shared" si="14"/>
        <v>#N/A</v>
      </c>
      <c r="O46" s="42" t="e">
        <f t="shared" si="15"/>
        <v>#N/A</v>
      </c>
    </row>
    <row r="47" spans="2:15" ht="6.95" customHeight="1" x14ac:dyDescent="0.2">
      <c r="B47" s="33"/>
      <c r="C47" s="7"/>
      <c r="D47" s="89"/>
      <c r="E47" s="90"/>
      <c r="F47" s="74"/>
      <c r="H47" s="4"/>
      <c r="I47" s="4"/>
      <c r="J47" s="4"/>
      <c r="K47" s="4"/>
      <c r="L47" s="40"/>
      <c r="M47" s="45"/>
      <c r="N47" s="47"/>
      <c r="O47" s="42"/>
    </row>
    <row r="48" spans="2:15" x14ac:dyDescent="0.2">
      <c r="B48" s="37" t="s">
        <v>8</v>
      </c>
      <c r="C48" s="7"/>
      <c r="D48" s="89"/>
      <c r="E48" s="90"/>
      <c r="F48" s="74"/>
      <c r="H48" s="4"/>
      <c r="I48" s="4"/>
      <c r="J48" s="4"/>
      <c r="K48" s="4"/>
      <c r="L48" s="40"/>
      <c r="M48" s="45"/>
      <c r="N48" s="47"/>
      <c r="O48" s="42"/>
    </row>
    <row r="49" spans="1:15" x14ac:dyDescent="0.2">
      <c r="B49" s="30"/>
      <c r="C49" s="3" t="s">
        <v>131</v>
      </c>
      <c r="D49" s="86" t="s">
        <v>90</v>
      </c>
      <c r="E49" s="91" t="s">
        <v>162</v>
      </c>
      <c r="F49" s="74"/>
      <c r="H49" s="4" t="e">
        <f>INDEX(CalReport!D:D,MATCH($B49,CalReport!R:R,0))</f>
        <v>#N/A</v>
      </c>
      <c r="I49" s="4" t="e">
        <f t="shared" si="2"/>
        <v>#N/A</v>
      </c>
      <c r="J49" s="4" t="e">
        <f>INDEX(CalReport!G:G,MATCH($B49,CalReport!R:R,0))</f>
        <v>#N/A</v>
      </c>
      <c r="K49" s="4" t="e">
        <f t="shared" si="3"/>
        <v>#N/A</v>
      </c>
      <c r="L49" s="40" t="e">
        <f>INDEX(CalReport!V:V,MATCH($B49,CalReport!R:R,0))</f>
        <v>#N/A</v>
      </c>
      <c r="M49" s="45" t="e">
        <f>INDEX(CalReport!W:W,MATCH($B49,CalReport!R:R,0))</f>
        <v>#N/A</v>
      </c>
      <c r="N49" s="47" t="e">
        <f>M49-L49</f>
        <v>#N/A</v>
      </c>
      <c r="O49" s="42" t="e">
        <f>AND($E$4&gt;=L49,$E$4&lt;=M49)</f>
        <v>#N/A</v>
      </c>
    </row>
    <row r="50" spans="1:15" x14ac:dyDescent="0.2">
      <c r="B50" s="19"/>
      <c r="C50" s="4" t="s">
        <v>132</v>
      </c>
      <c r="D50" s="87" t="s">
        <v>91</v>
      </c>
      <c r="E50" s="92" t="s">
        <v>163</v>
      </c>
      <c r="F50" s="74"/>
      <c r="H50" s="4" t="e">
        <f>INDEX(CalReport!D:D,MATCH($B50,CalReport!R:R,0))</f>
        <v>#N/A</v>
      </c>
      <c r="I50" s="4" t="e">
        <f t="shared" ref="I50:I52" si="20">IF(EXACT(D50,H50), "y","n")</f>
        <v>#N/A</v>
      </c>
      <c r="J50" s="4" t="e">
        <f>INDEX(CalReport!G:G,MATCH($B50,CalReport!R:R,0))</f>
        <v>#N/A</v>
      </c>
      <c r="K50" s="4" t="e">
        <f t="shared" ref="K50:K52" si="21">IF(EXACT(E50,J50), "y","n")</f>
        <v>#N/A</v>
      </c>
      <c r="L50" s="40" t="e">
        <f>INDEX(CalReport!V:V,MATCH($B50,CalReport!R:R,0))</f>
        <v>#N/A</v>
      </c>
      <c r="M50" s="45" t="e">
        <f>INDEX(CalReport!W:W,MATCH($B50,CalReport!R:R,0))</f>
        <v>#N/A</v>
      </c>
      <c r="N50" s="47" t="e">
        <f t="shared" ref="N50:N52" si="22">M50-L50</f>
        <v>#N/A</v>
      </c>
      <c r="O50" s="42" t="e">
        <f t="shared" ref="O50:O52" si="23">AND($E$4&gt;=L50,$E$4&lt;=M50)</f>
        <v>#N/A</v>
      </c>
    </row>
    <row r="51" spans="1:15" x14ac:dyDescent="0.2">
      <c r="B51" s="19"/>
      <c r="C51" s="4" t="s">
        <v>129</v>
      </c>
      <c r="D51" s="87" t="s">
        <v>92</v>
      </c>
      <c r="E51" s="92" t="s">
        <v>164</v>
      </c>
      <c r="F51" s="74"/>
      <c r="H51" s="4" t="e">
        <f>INDEX(CalReport!D:D,MATCH($B51,CalReport!R:R,0))</f>
        <v>#N/A</v>
      </c>
      <c r="I51" s="4" t="e">
        <f t="shared" si="20"/>
        <v>#N/A</v>
      </c>
      <c r="J51" s="4" t="e">
        <f>INDEX(CalReport!G:G,MATCH($B51,CalReport!R:R,0))</f>
        <v>#N/A</v>
      </c>
      <c r="K51" s="4" t="e">
        <f t="shared" si="21"/>
        <v>#N/A</v>
      </c>
      <c r="L51" s="40" t="e">
        <f>INDEX(CalReport!V:V,MATCH($B51,CalReport!R:R,0))</f>
        <v>#N/A</v>
      </c>
      <c r="M51" s="45" t="e">
        <f>INDEX(CalReport!W:W,MATCH($B51,CalReport!R:R,0))</f>
        <v>#N/A</v>
      </c>
      <c r="N51" s="47" t="e">
        <f t="shared" si="22"/>
        <v>#N/A</v>
      </c>
      <c r="O51" s="42" t="e">
        <f t="shared" si="23"/>
        <v>#N/A</v>
      </c>
    </row>
    <row r="52" spans="1:15" x14ac:dyDescent="0.2">
      <c r="B52" s="31"/>
      <c r="C52" s="5" t="s">
        <v>130</v>
      </c>
      <c r="D52" s="88" t="s">
        <v>93</v>
      </c>
      <c r="E52" s="93" t="s">
        <v>165</v>
      </c>
      <c r="F52" s="75"/>
      <c r="H52" s="4" t="e">
        <f>INDEX(CalReport!D:D,MATCH($B52,CalReport!R:R,0))</f>
        <v>#N/A</v>
      </c>
      <c r="I52" s="4" t="e">
        <f t="shared" si="20"/>
        <v>#N/A</v>
      </c>
      <c r="J52" s="4" t="e">
        <f>INDEX(CalReport!G:G,MATCH($B52,CalReport!R:R,0))</f>
        <v>#N/A</v>
      </c>
      <c r="K52" s="4" t="e">
        <f t="shared" si="21"/>
        <v>#N/A</v>
      </c>
      <c r="L52" s="40" t="e">
        <f>INDEX(CalReport!V:V,MATCH($B52,CalReport!R:R,0))</f>
        <v>#N/A</v>
      </c>
      <c r="M52" s="45" t="e">
        <f>INDEX(CalReport!W:W,MATCH($B52,CalReport!R:R,0))</f>
        <v>#N/A</v>
      </c>
      <c r="N52" s="47" t="e">
        <f t="shared" si="22"/>
        <v>#N/A</v>
      </c>
      <c r="O52" s="42" t="e">
        <f t="shared" si="23"/>
        <v>#N/A</v>
      </c>
    </row>
    <row r="53" spans="1:15" ht="6.95" customHeight="1" x14ac:dyDescent="0.2">
      <c r="B53" s="33"/>
      <c r="C53" s="7"/>
      <c r="D53" s="89"/>
      <c r="E53" s="89"/>
      <c r="F53" s="34"/>
      <c r="H53" s="4"/>
      <c r="I53" s="4"/>
      <c r="J53" s="4"/>
      <c r="K53" s="4"/>
      <c r="L53" s="40"/>
      <c r="M53" s="45"/>
      <c r="N53" s="47"/>
      <c r="O53" s="42"/>
    </row>
    <row r="54" spans="1:15" x14ac:dyDescent="0.2">
      <c r="B54" s="37" t="s">
        <v>9</v>
      </c>
      <c r="C54" s="7"/>
      <c r="D54" s="89"/>
      <c r="E54" s="89"/>
      <c r="F54" s="23"/>
      <c r="H54" s="4"/>
      <c r="I54" s="4"/>
      <c r="J54" s="4"/>
      <c r="K54" s="4"/>
      <c r="L54" s="40"/>
      <c r="M54" s="45"/>
      <c r="N54" s="47"/>
      <c r="O54" s="42"/>
    </row>
    <row r="55" spans="1:15" ht="12.75" customHeight="1" x14ac:dyDescent="0.2">
      <c r="B55" s="24"/>
      <c r="C55" s="32" t="s">
        <v>10</v>
      </c>
      <c r="D55" s="82" t="s">
        <v>69</v>
      </c>
      <c r="E55" s="82" t="s">
        <v>70</v>
      </c>
      <c r="F55" s="79" t="s">
        <v>39</v>
      </c>
      <c r="H55" s="4" t="e">
        <f>INDEX(CalReport!D:D,MATCH($B55,CalReport!R:R,0))</f>
        <v>#N/A</v>
      </c>
      <c r="I55" s="4" t="e">
        <f t="shared" si="2"/>
        <v>#N/A</v>
      </c>
      <c r="J55" s="4" t="e">
        <f>INDEX(CalReport!G:G,MATCH($B55,CalReport!R:R,0))</f>
        <v>#N/A</v>
      </c>
      <c r="K55" s="4" t="e">
        <f t="shared" si="3"/>
        <v>#N/A</v>
      </c>
      <c r="L55" s="40" t="e">
        <f>INDEX(CalReport!V:V,MATCH($B55,CalReport!R:R,0))</f>
        <v>#N/A</v>
      </c>
      <c r="M55" s="45" t="e">
        <f>INDEX(CalReport!W:W,MATCH($B55,CalReport!R:R,0))</f>
        <v>#N/A</v>
      </c>
      <c r="N55" s="47" t="e">
        <f>M55-L55</f>
        <v>#N/A</v>
      </c>
      <c r="O55" s="42" t="e">
        <f>AND($E$4&gt;=L55,$E$4&lt;=M55)</f>
        <v>#N/A</v>
      </c>
    </row>
    <row r="56" spans="1:15" x14ac:dyDescent="0.2">
      <c r="B56" s="22"/>
      <c r="C56" s="18" t="s">
        <v>11</v>
      </c>
      <c r="D56" s="83" t="s">
        <v>69</v>
      </c>
      <c r="E56" s="83" t="s">
        <v>71</v>
      </c>
      <c r="F56" s="80"/>
      <c r="H56" s="4" t="e">
        <f>INDEX(CalReport!D:D,MATCH($B56,CalReport!R:R,0))</f>
        <v>#N/A</v>
      </c>
      <c r="I56" s="4" t="e">
        <f t="shared" ref="I56:I61" si="24">IF(EXACT(D56,H56), "y","n")</f>
        <v>#N/A</v>
      </c>
      <c r="J56" s="4" t="e">
        <f>INDEX(CalReport!G:G,MATCH($B56,CalReport!R:R,0))</f>
        <v>#N/A</v>
      </c>
      <c r="K56" s="4" t="e">
        <f t="shared" ref="K56:K61" si="25">IF(EXACT(E56,J56), "y","n")</f>
        <v>#N/A</v>
      </c>
      <c r="L56" s="40" t="e">
        <f>INDEX(CalReport!V:V,MATCH($B56,CalReport!R:R,0))</f>
        <v>#N/A</v>
      </c>
      <c r="M56" s="45" t="e">
        <f>INDEX(CalReport!W:W,MATCH($B56,CalReport!R:R,0))</f>
        <v>#N/A</v>
      </c>
      <c r="N56" s="47" t="e">
        <f t="shared" ref="N56:N61" si="26">M56-L56</f>
        <v>#N/A</v>
      </c>
      <c r="O56" s="42" t="e">
        <f t="shared" ref="O56:O61" si="27">AND($E$4&gt;=L56,$E$4&lt;=M56)</f>
        <v>#N/A</v>
      </c>
    </row>
    <row r="57" spans="1:15" x14ac:dyDescent="0.2">
      <c r="B57" s="22"/>
      <c r="C57" s="4" t="s">
        <v>12</v>
      </c>
      <c r="D57" s="83" t="s">
        <v>72</v>
      </c>
      <c r="E57" s="83" t="s">
        <v>73</v>
      </c>
      <c r="F57" s="80"/>
      <c r="H57" s="4" t="e">
        <f>INDEX(CalReport!D:D,MATCH($B57,CalReport!R:R,0))</f>
        <v>#N/A</v>
      </c>
      <c r="I57" s="4" t="e">
        <f t="shared" si="24"/>
        <v>#N/A</v>
      </c>
      <c r="J57" s="4" t="e">
        <f>INDEX(CalReport!G:G,MATCH($B57,CalReport!R:R,0))</f>
        <v>#N/A</v>
      </c>
      <c r="K57" s="4" t="e">
        <f t="shared" si="25"/>
        <v>#N/A</v>
      </c>
      <c r="L57" s="40" t="e">
        <f>INDEX(CalReport!V:V,MATCH($B57,CalReport!R:R,0))</f>
        <v>#N/A</v>
      </c>
      <c r="M57" s="45" t="e">
        <f>INDEX(CalReport!W:W,MATCH($B57,CalReport!R:R,0))</f>
        <v>#N/A</v>
      </c>
      <c r="N57" s="47" t="e">
        <f t="shared" si="26"/>
        <v>#N/A</v>
      </c>
      <c r="O57" s="42" t="e">
        <f t="shared" si="27"/>
        <v>#N/A</v>
      </c>
    </row>
    <row r="58" spans="1:15" x14ac:dyDescent="0.2">
      <c r="B58" s="22"/>
      <c r="C58" s="4" t="s">
        <v>13</v>
      </c>
      <c r="D58" s="83" t="s">
        <v>72</v>
      </c>
      <c r="E58" s="83" t="s">
        <v>74</v>
      </c>
      <c r="F58" s="80"/>
      <c r="H58" s="4" t="e">
        <f>INDEX(CalReport!D:D,MATCH($B58,CalReport!R:R,0))</f>
        <v>#N/A</v>
      </c>
      <c r="I58" s="4" t="e">
        <f t="shared" si="24"/>
        <v>#N/A</v>
      </c>
      <c r="J58" s="4" t="e">
        <f>INDEX(CalReport!G:G,MATCH($B58,CalReport!R:R,0))</f>
        <v>#N/A</v>
      </c>
      <c r="K58" s="4" t="e">
        <f t="shared" si="25"/>
        <v>#N/A</v>
      </c>
      <c r="L58" s="40" t="e">
        <f>INDEX(CalReport!V:V,MATCH($B58,CalReport!R:R,0))</f>
        <v>#N/A</v>
      </c>
      <c r="M58" s="45" t="e">
        <f>INDEX(CalReport!W:W,MATCH($B58,CalReport!R:R,0))</f>
        <v>#N/A</v>
      </c>
      <c r="N58" s="47" t="e">
        <f t="shared" si="26"/>
        <v>#N/A</v>
      </c>
      <c r="O58" s="42" t="e">
        <f t="shared" si="27"/>
        <v>#N/A</v>
      </c>
    </row>
    <row r="59" spans="1:15" x14ac:dyDescent="0.2">
      <c r="B59" s="22"/>
      <c r="C59" s="4" t="s">
        <v>101</v>
      </c>
      <c r="D59" s="94" t="s">
        <v>99</v>
      </c>
      <c r="E59" s="83" t="s">
        <v>166</v>
      </c>
      <c r="F59" s="80"/>
      <c r="H59" s="4" t="e">
        <f>INDEX(CalReport!D:D,MATCH($B59,CalReport!R:R,0))</f>
        <v>#N/A</v>
      </c>
      <c r="I59" s="4" t="e">
        <f t="shared" si="24"/>
        <v>#N/A</v>
      </c>
      <c r="J59" s="4" t="e">
        <f>INDEX(CalReport!G:G,MATCH($B59,CalReport!R:R,0))</f>
        <v>#N/A</v>
      </c>
      <c r="K59" s="4" t="e">
        <f t="shared" si="25"/>
        <v>#N/A</v>
      </c>
      <c r="L59" s="40" t="e">
        <f>INDEX(CalReport!V:V,MATCH($B59,CalReport!R:R,0))</f>
        <v>#N/A</v>
      </c>
      <c r="M59" s="45" t="e">
        <f>INDEX(CalReport!W:W,MATCH($B59,CalReport!R:R,0))</f>
        <v>#N/A</v>
      </c>
      <c r="N59" s="47" t="e">
        <f t="shared" si="26"/>
        <v>#N/A</v>
      </c>
      <c r="O59" s="42" t="e">
        <f t="shared" si="27"/>
        <v>#N/A</v>
      </c>
    </row>
    <row r="60" spans="1:15" x14ac:dyDescent="0.2">
      <c r="B60" s="22"/>
      <c r="C60" s="4" t="s">
        <v>102</v>
      </c>
      <c r="D60" s="94" t="s">
        <v>100</v>
      </c>
      <c r="E60" s="83" t="s">
        <v>167</v>
      </c>
      <c r="F60" s="80"/>
      <c r="H60" s="4" t="e">
        <f>INDEX(CalReport!D:D,MATCH($B60,CalReport!R:R,0))</f>
        <v>#N/A</v>
      </c>
      <c r="I60" s="4" t="e">
        <f t="shared" si="24"/>
        <v>#N/A</v>
      </c>
      <c r="J60" s="4" t="e">
        <f>INDEX(CalReport!G:G,MATCH($B60,CalReport!R:R,0))</f>
        <v>#N/A</v>
      </c>
      <c r="K60" s="4" t="e">
        <f t="shared" si="25"/>
        <v>#N/A</v>
      </c>
      <c r="L60" s="40" t="e">
        <f>INDEX(CalReport!V:V,MATCH($B60,CalReport!R:R,0))</f>
        <v>#N/A</v>
      </c>
      <c r="M60" s="45" t="e">
        <f>INDEX(CalReport!W:W,MATCH($B60,CalReport!R:R,0))</f>
        <v>#N/A</v>
      </c>
      <c r="N60" s="47" t="e">
        <f t="shared" si="26"/>
        <v>#N/A</v>
      </c>
      <c r="O60" s="42" t="e">
        <f t="shared" si="27"/>
        <v>#N/A</v>
      </c>
    </row>
    <row r="61" spans="1:15" x14ac:dyDescent="0.2">
      <c r="B61" s="25"/>
      <c r="C61" s="5" t="s">
        <v>133</v>
      </c>
      <c r="D61" s="95" t="s">
        <v>134</v>
      </c>
      <c r="E61" s="84" t="s">
        <v>168</v>
      </c>
      <c r="F61" s="81"/>
      <c r="H61" s="4" t="e">
        <f>INDEX(CalReport!D:D,MATCH($B61,CalReport!R:R,0))</f>
        <v>#N/A</v>
      </c>
      <c r="I61" s="4" t="e">
        <f t="shared" si="24"/>
        <v>#N/A</v>
      </c>
      <c r="J61" s="4" t="e">
        <f>INDEX(CalReport!G:G,MATCH($B61,CalReport!R:R,0))</f>
        <v>#N/A</v>
      </c>
      <c r="K61" s="4" t="e">
        <f t="shared" si="25"/>
        <v>#N/A</v>
      </c>
      <c r="L61" s="40" t="e">
        <f>INDEX(CalReport!V:V,MATCH($B61,CalReport!R:R,0))</f>
        <v>#N/A</v>
      </c>
      <c r="M61" s="45" t="e">
        <f>INDEX(CalReport!W:W,MATCH($B61,CalReport!R:R,0))</f>
        <v>#N/A</v>
      </c>
      <c r="N61" s="47" t="e">
        <f t="shared" si="26"/>
        <v>#N/A</v>
      </c>
      <c r="O61" s="42" t="e">
        <f t="shared" si="27"/>
        <v>#N/A</v>
      </c>
    </row>
    <row r="62" spans="1:15" ht="6.95" customHeight="1" x14ac:dyDescent="0.2">
      <c r="B62" s="33"/>
      <c r="C62" s="7"/>
      <c r="D62" s="89"/>
      <c r="E62" s="89"/>
      <c r="F62" s="34"/>
      <c r="H62" s="4"/>
      <c r="I62" s="4"/>
      <c r="J62" s="4"/>
      <c r="K62" s="4"/>
      <c r="L62" s="40"/>
      <c r="M62" s="45"/>
      <c r="N62" s="47"/>
      <c r="O62" s="42"/>
    </row>
    <row r="63" spans="1:15" ht="12.75" customHeight="1" x14ac:dyDescent="0.2">
      <c r="A63" s="2" t="s">
        <v>30</v>
      </c>
      <c r="B63" s="37" t="s">
        <v>14</v>
      </c>
      <c r="C63" s="7"/>
      <c r="D63" s="89"/>
      <c r="E63" s="89"/>
      <c r="F63" s="23"/>
      <c r="H63" s="4"/>
      <c r="I63" s="4"/>
      <c r="J63" s="4"/>
      <c r="K63" s="4"/>
      <c r="L63" s="40"/>
      <c r="M63" s="45"/>
      <c r="N63" s="47"/>
      <c r="O63" s="42"/>
    </row>
    <row r="64" spans="1:15" ht="12.75" customHeight="1" x14ac:dyDescent="0.2">
      <c r="B64" s="24"/>
      <c r="C64" s="3" t="s">
        <v>138</v>
      </c>
      <c r="D64" s="82" t="s">
        <v>169</v>
      </c>
      <c r="E64" s="82" t="s">
        <v>169</v>
      </c>
      <c r="F64" s="73" t="s">
        <v>40</v>
      </c>
      <c r="H64" s="4" t="e">
        <f>INDEX(CalReport!C:C,MATCH($B64,CalReport!D:D,0))</f>
        <v>#N/A</v>
      </c>
      <c r="I64" s="4" t="e">
        <f t="shared" si="2"/>
        <v>#N/A</v>
      </c>
      <c r="J64" s="4" t="e">
        <f>INDEX(CalReport!C:C,MATCH($B64,CalReport!D:D,0))</f>
        <v>#N/A</v>
      </c>
      <c r="K64" s="4" t="e">
        <f t="shared" si="3"/>
        <v>#N/A</v>
      </c>
      <c r="L64" s="40" t="e">
        <f>INDEX(CalReport!H:H,MATCH($B64,CalReport!D:D,0))</f>
        <v>#N/A</v>
      </c>
      <c r="M64" s="40" t="e">
        <f>INDEX(CalReport!I:I,MATCH($B64,CalReport!D:D,0))</f>
        <v>#N/A</v>
      </c>
      <c r="N64" s="47" t="e">
        <f>M64-L64</f>
        <v>#N/A</v>
      </c>
      <c r="O64" s="42" t="e">
        <f>AND($E$4&gt;=L64,$E$4&lt;=M64)</f>
        <v>#N/A</v>
      </c>
    </row>
    <row r="65" spans="1:15" x14ac:dyDescent="0.2">
      <c r="B65" s="25"/>
      <c r="C65" s="5" t="s">
        <v>137</v>
      </c>
      <c r="D65" s="84" t="s">
        <v>170</v>
      </c>
      <c r="E65" s="84" t="s">
        <v>170</v>
      </c>
      <c r="F65" s="75"/>
      <c r="H65" s="4" t="e">
        <f>INDEX(CalReport!C:C,MATCH($B65,CalReport!D:D,0))</f>
        <v>#N/A</v>
      </c>
      <c r="I65" s="5" t="e">
        <f t="shared" si="2"/>
        <v>#N/A</v>
      </c>
      <c r="J65" s="4" t="e">
        <f>INDEX(CalReport!C:C,MATCH($B65,CalReport!D:D,0))</f>
        <v>#N/A</v>
      </c>
      <c r="K65" s="5" t="e">
        <f t="shared" si="3"/>
        <v>#N/A</v>
      </c>
      <c r="L65" s="40" t="e">
        <f>INDEX(CalReport!H:H,MATCH($B65,CalReport!D:D,0))</f>
        <v>#N/A</v>
      </c>
      <c r="M65" s="40" t="e">
        <f>INDEX(CalReport!I:I,MATCH($B65,CalReport!D:D,0))</f>
        <v>#N/A</v>
      </c>
      <c r="N65" s="48" t="e">
        <f>M65-L65</f>
        <v>#N/A</v>
      </c>
      <c r="O65" s="43" t="e">
        <f>AND($E$4&gt;=L65,$E$4&lt;=M65)</f>
        <v>#N/A</v>
      </c>
    </row>
    <row r="66" spans="1:15" ht="6.95" customHeight="1" x14ac:dyDescent="0.2">
      <c r="B66" s="7"/>
      <c r="C66" s="7"/>
      <c r="F66" s="9"/>
    </row>
    <row r="67" spans="1:15" ht="12.75" customHeight="1" x14ac:dyDescent="0.2">
      <c r="A67" s="16"/>
      <c r="D67" s="1"/>
      <c r="E67" s="1"/>
    </row>
    <row r="68" spans="1:15" x14ac:dyDescent="0.2">
      <c r="A68" s="16"/>
      <c r="D68" s="1"/>
      <c r="E68" s="1"/>
    </row>
    <row r="69" spans="1:15" x14ac:dyDescent="0.2">
      <c r="A69" s="16"/>
      <c r="B69" s="7" t="s">
        <v>28</v>
      </c>
      <c r="C69" s="20"/>
      <c r="D69" s="7" t="s">
        <v>29</v>
      </c>
      <c r="E69" s="21"/>
    </row>
    <row r="70" spans="1:15" x14ac:dyDescent="0.2">
      <c r="A70" s="1"/>
      <c r="D70" s="1"/>
      <c r="E70" s="1"/>
    </row>
    <row r="78" spans="1:15" x14ac:dyDescent="0.2">
      <c r="C78" s="1" t="str">
        <f t="shared" ref="C78" si="28">UPPER(C47)</f>
        <v/>
      </c>
    </row>
    <row r="87" spans="3:3" x14ac:dyDescent="0.2">
      <c r="C87" s="1" t="str">
        <f t="shared" ref="C87" si="29">UPPER(C36)</f>
        <v/>
      </c>
    </row>
  </sheetData>
  <mergeCells count="8">
    <mergeCell ref="F22:F52"/>
    <mergeCell ref="F64:F65"/>
    <mergeCell ref="F10:F19"/>
    <mergeCell ref="B7:B8"/>
    <mergeCell ref="C7:C8"/>
    <mergeCell ref="D7:E7"/>
    <mergeCell ref="F7:F8"/>
    <mergeCell ref="F55:F61"/>
  </mergeCells>
  <conditionalFormatting sqref="I10:I65 K10:K65">
    <cfRule type="cellIs" dxfId="18" priority="1" operator="equal">
      <formula>"y"</formula>
    </cfRule>
    <cfRule type="cellIs" dxfId="17" priority="2" operator="equal">
      <formula>"n"</formula>
    </cfRule>
  </conditionalFormatting>
  <conditionalFormatting sqref="O10:O65">
    <cfRule type="cellIs" dxfId="16" priority="19" operator="equal">
      <formula>TRUE</formula>
    </cfRule>
    <cfRule type="cellIs" dxfId="15" priority="20" operator="equal">
      <formula>FALSE</formula>
    </cfRule>
  </conditionalFormatting>
  <printOptions horizontalCentered="1" verticalCentered="1"/>
  <pageMargins left="0.25" right="0.25" top="0.25" bottom="0.25" header="0.3" footer="0.3"/>
  <pageSetup scale="62" orientation="portrait" r:id="rId1"/>
  <ignoredErrors>
    <ignoredError sqref="I65 I6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4:J258"/>
  <sheetViews>
    <sheetView workbookViewId="0"/>
  </sheetViews>
  <sheetFormatPr defaultRowHeight="15" x14ac:dyDescent="0.25"/>
  <cols>
    <col min="1" max="10" width="9.140625" customWidth="1"/>
    <col min="12" max="12" width="9.140625" customWidth="1"/>
  </cols>
  <sheetData>
    <row r="4" spans="3:9" x14ac:dyDescent="0.25">
      <c r="C4" s="54"/>
      <c r="D4" s="55"/>
      <c r="E4" s="56"/>
      <c r="F4" s="57"/>
      <c r="G4" s="58"/>
      <c r="H4" s="58"/>
      <c r="I4" s="57"/>
    </row>
    <row r="5" spans="3:9" x14ac:dyDescent="0.25">
      <c r="C5" s="59"/>
      <c r="D5" s="59"/>
      <c r="E5" s="59"/>
      <c r="F5" s="59"/>
      <c r="G5" s="59"/>
      <c r="H5" s="59"/>
      <c r="I5" s="59"/>
    </row>
    <row r="6" spans="3:9" x14ac:dyDescent="0.25">
      <c r="C6" s="60"/>
      <c r="D6" s="60"/>
      <c r="E6" s="55"/>
      <c r="F6" s="61"/>
      <c r="G6" s="62"/>
      <c r="H6" s="62"/>
      <c r="I6" s="63"/>
    </row>
    <row r="7" spans="3:9" x14ac:dyDescent="0.25">
      <c r="C7" s="60"/>
      <c r="D7" s="60"/>
      <c r="E7" s="55"/>
      <c r="F7" s="61"/>
      <c r="G7" s="62"/>
      <c r="H7" s="62"/>
      <c r="I7" s="63"/>
    </row>
    <row r="8" spans="3:9" x14ac:dyDescent="0.25">
      <c r="C8" s="60"/>
      <c r="D8" s="60"/>
      <c r="E8" s="55"/>
      <c r="F8" s="61"/>
      <c r="G8" s="62"/>
      <c r="H8" s="62"/>
      <c r="I8" s="63"/>
    </row>
    <row r="9" spans="3:9" x14ac:dyDescent="0.25">
      <c r="C9" s="60"/>
      <c r="D9" s="60"/>
      <c r="E9" s="55"/>
      <c r="F9" s="61"/>
      <c r="G9" s="62"/>
      <c r="H9" s="62"/>
      <c r="I9" s="63"/>
    </row>
    <row r="10" spans="3:9" x14ac:dyDescent="0.25">
      <c r="C10" s="60"/>
      <c r="D10" s="60"/>
      <c r="E10" s="55"/>
      <c r="F10" s="61"/>
      <c r="G10" s="62"/>
      <c r="H10" s="62"/>
      <c r="I10" s="63"/>
    </row>
    <row r="11" spans="3:9" x14ac:dyDescent="0.25">
      <c r="C11" s="60"/>
      <c r="D11" s="60"/>
      <c r="E11" s="55"/>
      <c r="F11" s="61"/>
      <c r="G11" s="62"/>
      <c r="H11" s="62"/>
      <c r="I11" s="63"/>
    </row>
    <row r="12" spans="3:9" x14ac:dyDescent="0.25">
      <c r="C12" s="60"/>
      <c r="D12" s="60"/>
      <c r="E12" s="55"/>
      <c r="F12" s="61"/>
      <c r="G12" s="62"/>
      <c r="H12" s="62"/>
      <c r="I12" s="63"/>
    </row>
    <row r="13" spans="3:9" x14ac:dyDescent="0.25">
      <c r="C13" s="60"/>
      <c r="D13" s="60"/>
      <c r="E13" s="55"/>
      <c r="F13" s="61"/>
      <c r="G13" s="62"/>
      <c r="H13" s="62"/>
      <c r="I13" s="63"/>
    </row>
    <row r="14" spans="3:9" x14ac:dyDescent="0.25">
      <c r="C14" s="60"/>
      <c r="D14" s="60"/>
      <c r="E14" s="55"/>
      <c r="F14" s="61"/>
      <c r="G14" s="62"/>
      <c r="H14" s="62"/>
      <c r="I14" s="63"/>
    </row>
    <row r="15" spans="3:9" x14ac:dyDescent="0.25">
      <c r="C15" s="60"/>
      <c r="D15" s="60"/>
      <c r="E15" s="55"/>
      <c r="F15" s="61"/>
      <c r="G15" s="62"/>
      <c r="H15" s="62"/>
      <c r="I15" s="63"/>
    </row>
    <row r="16" spans="3:9" x14ac:dyDescent="0.25">
      <c r="C16" s="60"/>
      <c r="D16" s="60"/>
      <c r="E16" s="55"/>
      <c r="F16" s="61"/>
      <c r="G16" s="62"/>
      <c r="H16" s="62"/>
      <c r="I16" s="63"/>
    </row>
    <row r="17" spans="3:9" x14ac:dyDescent="0.25">
      <c r="C17" s="60"/>
      <c r="D17" s="60"/>
      <c r="E17" s="55"/>
      <c r="F17" s="61"/>
      <c r="G17" s="62"/>
      <c r="H17" s="62"/>
      <c r="I17" s="63"/>
    </row>
    <row r="18" spans="3:9" x14ac:dyDescent="0.25">
      <c r="C18" s="60"/>
      <c r="D18" s="60"/>
      <c r="E18" s="55"/>
      <c r="F18" s="61"/>
      <c r="G18" s="62"/>
      <c r="H18" s="62"/>
      <c r="I18" s="63"/>
    </row>
    <row r="19" spans="3:9" x14ac:dyDescent="0.25">
      <c r="C19" s="60"/>
      <c r="D19" s="60"/>
      <c r="E19" s="55"/>
      <c r="F19" s="61"/>
      <c r="G19" s="62"/>
      <c r="H19" s="62"/>
      <c r="I19" s="63"/>
    </row>
    <row r="20" spans="3:9" x14ac:dyDescent="0.25">
      <c r="C20" s="60"/>
      <c r="D20" s="60"/>
      <c r="E20" s="55"/>
      <c r="F20" s="61"/>
      <c r="G20" s="62"/>
      <c r="H20" s="62"/>
      <c r="I20" s="63"/>
    </row>
    <row r="21" spans="3:9" x14ac:dyDescent="0.25">
      <c r="C21" s="60"/>
      <c r="D21" s="60"/>
      <c r="E21" s="55"/>
      <c r="F21" s="61"/>
      <c r="G21" s="62"/>
      <c r="H21" s="62"/>
      <c r="I21" s="63"/>
    </row>
    <row r="22" spans="3:9" x14ac:dyDescent="0.25">
      <c r="C22" s="60"/>
      <c r="D22" s="60"/>
      <c r="E22" s="55"/>
      <c r="F22" s="61"/>
      <c r="G22" s="62"/>
      <c r="H22" s="62"/>
      <c r="I22" s="63"/>
    </row>
    <row r="23" spans="3:9" x14ac:dyDescent="0.25">
      <c r="C23" s="60"/>
      <c r="D23" s="60"/>
      <c r="E23" s="55"/>
      <c r="F23" s="61"/>
      <c r="G23" s="62"/>
      <c r="H23" s="62"/>
      <c r="I23" s="63"/>
    </row>
    <row r="24" spans="3:9" x14ac:dyDescent="0.25">
      <c r="C24" s="60"/>
      <c r="D24" s="60"/>
      <c r="E24" s="55"/>
      <c r="F24" s="61"/>
      <c r="G24" s="64"/>
      <c r="H24" s="62"/>
      <c r="I24" s="63"/>
    </row>
    <row r="25" spans="3:9" x14ac:dyDescent="0.25">
      <c r="C25" s="60"/>
      <c r="D25" s="60"/>
      <c r="E25" s="55"/>
      <c r="F25" s="61"/>
      <c r="G25" s="62"/>
      <c r="H25" s="62"/>
      <c r="I25" s="63"/>
    </row>
    <row r="26" spans="3:9" x14ac:dyDescent="0.25">
      <c r="C26" s="60"/>
      <c r="D26" s="60"/>
      <c r="E26" s="55"/>
      <c r="F26" s="61"/>
      <c r="G26" s="62"/>
      <c r="H26" s="62"/>
      <c r="I26" s="63"/>
    </row>
    <row r="27" spans="3:9" x14ac:dyDescent="0.25">
      <c r="C27" s="60"/>
      <c r="D27" s="60"/>
      <c r="E27" s="55"/>
      <c r="F27" s="61"/>
      <c r="G27" s="62"/>
      <c r="H27" s="62"/>
      <c r="I27" s="63"/>
    </row>
    <row r="28" spans="3:9" x14ac:dyDescent="0.25">
      <c r="C28" s="60"/>
      <c r="D28" s="60"/>
      <c r="E28" s="55"/>
      <c r="F28" s="61"/>
      <c r="G28" s="62"/>
      <c r="H28" s="62"/>
      <c r="I28" s="63"/>
    </row>
    <row r="29" spans="3:9" x14ac:dyDescent="0.25">
      <c r="C29" s="60"/>
      <c r="D29" s="60"/>
      <c r="E29" s="55"/>
      <c r="F29" s="61"/>
      <c r="G29" s="62"/>
      <c r="H29" s="62"/>
      <c r="I29" s="63"/>
    </row>
    <row r="30" spans="3:9" x14ac:dyDescent="0.25">
      <c r="C30" s="60"/>
      <c r="D30" s="60"/>
      <c r="E30" s="55"/>
      <c r="F30" s="61"/>
      <c r="G30" s="62"/>
      <c r="H30" s="62"/>
      <c r="I30" s="63"/>
    </row>
    <row r="31" spans="3:9" x14ac:dyDescent="0.25">
      <c r="C31" s="60"/>
      <c r="D31" s="60"/>
      <c r="E31" s="55"/>
      <c r="F31" s="61"/>
      <c r="G31" s="62"/>
      <c r="H31" s="62"/>
      <c r="I31" s="63"/>
    </row>
    <row r="32" spans="3:9" x14ac:dyDescent="0.25">
      <c r="C32" s="60"/>
      <c r="D32" s="60"/>
      <c r="E32" s="55"/>
      <c r="F32" s="61"/>
      <c r="G32" s="62"/>
      <c r="H32" s="62"/>
      <c r="I32" s="63"/>
    </row>
    <row r="33" spans="3:10" x14ac:dyDescent="0.25">
      <c r="C33" s="60"/>
      <c r="D33" s="60"/>
      <c r="E33" s="55"/>
      <c r="F33" s="61"/>
      <c r="G33" s="62"/>
      <c r="H33" s="62"/>
      <c r="I33" s="63"/>
    </row>
    <row r="34" spans="3:10" x14ac:dyDescent="0.25">
      <c r="C34" s="60"/>
      <c r="D34" s="60"/>
      <c r="E34" s="55"/>
      <c r="F34" s="61"/>
      <c r="G34" s="62"/>
      <c r="H34" s="62"/>
      <c r="I34" s="63"/>
    </row>
    <row r="35" spans="3:10" x14ac:dyDescent="0.25">
      <c r="C35" s="60"/>
      <c r="D35" s="60"/>
      <c r="E35" s="55"/>
      <c r="F35" s="61"/>
      <c r="G35" s="62"/>
      <c r="H35" s="62"/>
      <c r="I35" s="63"/>
    </row>
    <row r="36" spans="3:10" x14ac:dyDescent="0.25">
      <c r="C36" s="60"/>
      <c r="D36" s="60"/>
      <c r="E36" s="55"/>
      <c r="F36" s="61"/>
      <c r="G36" s="62"/>
      <c r="H36" s="62"/>
      <c r="I36" s="63"/>
    </row>
    <row r="37" spans="3:10" x14ac:dyDescent="0.25">
      <c r="C37" s="60"/>
      <c r="D37" s="60"/>
      <c r="E37" s="55"/>
      <c r="F37" s="63"/>
      <c r="G37" s="62"/>
      <c r="H37" s="62"/>
      <c r="I37" s="63"/>
    </row>
    <row r="38" spans="3:10" x14ac:dyDescent="0.25">
      <c r="C38" s="60"/>
      <c r="D38" s="60"/>
      <c r="E38" s="55"/>
      <c r="F38" s="60"/>
      <c r="G38" s="65"/>
      <c r="H38" s="65"/>
      <c r="I38" s="60"/>
    </row>
    <row r="39" spans="3:10" x14ac:dyDescent="0.25">
      <c r="H39" s="66"/>
      <c r="J39" s="59"/>
    </row>
    <row r="40" spans="3:10" x14ac:dyDescent="0.25">
      <c r="H40" s="53"/>
      <c r="J40" s="53"/>
    </row>
    <row r="41" spans="3:10" x14ac:dyDescent="0.25">
      <c r="H41" s="53"/>
      <c r="J41" s="53"/>
    </row>
    <row r="42" spans="3:10" x14ac:dyDescent="0.25">
      <c r="H42" s="53"/>
      <c r="J42" s="53"/>
    </row>
    <row r="43" spans="3:10" x14ac:dyDescent="0.25">
      <c r="H43" s="53"/>
      <c r="J43" s="53"/>
    </row>
    <row r="44" spans="3:10" ht="10.15" customHeight="1" x14ac:dyDescent="0.25"/>
    <row r="48" spans="3:10" x14ac:dyDescent="0.25">
      <c r="C48" s="54"/>
      <c r="D48" s="55"/>
      <c r="E48" s="56"/>
      <c r="F48" s="57"/>
      <c r="G48" s="58"/>
      <c r="H48" s="58"/>
      <c r="I48" s="57"/>
    </row>
    <row r="49" spans="3:9" x14ac:dyDescent="0.25">
      <c r="C49" s="59"/>
      <c r="D49" s="59"/>
      <c r="E49" s="59"/>
      <c r="F49" s="59"/>
      <c r="G49" s="59"/>
      <c r="H49" s="59"/>
      <c r="I49" s="59"/>
    </row>
    <row r="50" spans="3:9" x14ac:dyDescent="0.25">
      <c r="C50" s="57"/>
      <c r="D50" s="60"/>
      <c r="E50" s="55"/>
      <c r="F50" s="59"/>
      <c r="G50" s="65"/>
      <c r="H50" s="65"/>
      <c r="I50" s="60"/>
    </row>
    <row r="51" spans="3:9" x14ac:dyDescent="0.25">
      <c r="C51" s="57"/>
      <c r="D51" s="60"/>
      <c r="E51" s="55"/>
      <c r="F51" s="59"/>
      <c r="G51" s="65"/>
      <c r="H51" s="65"/>
      <c r="I51" s="60"/>
    </row>
    <row r="52" spans="3:9" x14ac:dyDescent="0.25">
      <c r="C52" s="57"/>
      <c r="D52" s="60"/>
      <c r="E52" s="55"/>
      <c r="F52" s="59"/>
      <c r="G52" s="65"/>
      <c r="H52" s="65"/>
      <c r="I52" s="60"/>
    </row>
    <row r="53" spans="3:9" x14ac:dyDescent="0.25">
      <c r="C53" s="57"/>
      <c r="D53" s="60"/>
      <c r="E53" s="55"/>
      <c r="F53" s="59"/>
      <c r="G53" s="65"/>
      <c r="H53" s="65"/>
      <c r="I53" s="60"/>
    </row>
    <row r="54" spans="3:9" x14ac:dyDescent="0.25">
      <c r="C54" s="57"/>
      <c r="D54" s="60"/>
      <c r="E54" s="55"/>
      <c r="F54" s="59"/>
      <c r="G54" s="65"/>
      <c r="H54" s="65"/>
      <c r="I54" s="60"/>
    </row>
    <row r="55" spans="3:9" x14ac:dyDescent="0.25">
      <c r="C55" s="57"/>
      <c r="D55" s="60"/>
      <c r="E55" s="55"/>
      <c r="F55" s="59"/>
      <c r="G55" s="65"/>
      <c r="H55" s="65"/>
      <c r="I55" s="60"/>
    </row>
    <row r="56" spans="3:9" x14ac:dyDescent="0.25">
      <c r="C56" s="57"/>
      <c r="D56" s="60"/>
      <c r="E56" s="55"/>
      <c r="F56" s="59"/>
      <c r="G56" s="65"/>
      <c r="H56" s="65"/>
      <c r="I56" s="60"/>
    </row>
    <row r="57" spans="3:9" x14ac:dyDescent="0.25">
      <c r="C57" s="57"/>
      <c r="D57" s="60"/>
      <c r="E57" s="55"/>
      <c r="F57" s="59"/>
      <c r="G57" s="65"/>
      <c r="H57" s="65"/>
      <c r="I57" s="60"/>
    </row>
    <row r="58" spans="3:9" x14ac:dyDescent="0.25">
      <c r="C58" s="57"/>
      <c r="D58" s="60"/>
      <c r="E58" s="55"/>
      <c r="F58" s="59"/>
      <c r="G58" s="65"/>
      <c r="H58" s="65"/>
      <c r="I58" s="60"/>
    </row>
    <row r="59" spans="3:9" x14ac:dyDescent="0.25">
      <c r="C59" s="57"/>
      <c r="D59" s="60"/>
      <c r="E59" s="55"/>
      <c r="F59" s="59"/>
      <c r="G59" s="65"/>
      <c r="H59" s="65"/>
      <c r="I59" s="60"/>
    </row>
    <row r="60" spans="3:9" x14ac:dyDescent="0.25">
      <c r="C60" s="57"/>
      <c r="D60" s="60"/>
      <c r="E60" s="55"/>
      <c r="F60" s="59"/>
      <c r="G60" s="65"/>
      <c r="H60" s="65"/>
      <c r="I60" s="60"/>
    </row>
    <row r="61" spans="3:9" x14ac:dyDescent="0.25">
      <c r="C61" s="57"/>
      <c r="D61" s="60"/>
      <c r="E61" s="55"/>
      <c r="F61" s="59"/>
      <c r="G61" s="65"/>
      <c r="H61" s="65"/>
      <c r="I61" s="60"/>
    </row>
    <row r="62" spans="3:9" x14ac:dyDescent="0.25">
      <c r="C62" s="57"/>
      <c r="D62" s="60"/>
      <c r="E62" s="55"/>
      <c r="F62" s="59"/>
      <c r="G62" s="65"/>
      <c r="H62" s="65"/>
      <c r="I62" s="60"/>
    </row>
    <row r="63" spans="3:9" x14ac:dyDescent="0.25">
      <c r="C63" s="57"/>
      <c r="D63" s="60"/>
      <c r="E63" s="55"/>
      <c r="F63" s="59"/>
      <c r="G63" s="65"/>
      <c r="H63" s="65"/>
      <c r="I63" s="60"/>
    </row>
    <row r="64" spans="3:9" x14ac:dyDescent="0.25">
      <c r="C64" s="57"/>
      <c r="D64" s="60"/>
      <c r="E64" s="55"/>
      <c r="F64" s="59"/>
      <c r="G64" s="65"/>
      <c r="H64" s="65"/>
      <c r="I64" s="60"/>
    </row>
    <row r="65" spans="3:9" x14ac:dyDescent="0.25">
      <c r="C65" s="57"/>
      <c r="D65" s="60"/>
      <c r="E65" s="55"/>
      <c r="F65" s="59"/>
      <c r="G65" s="65"/>
      <c r="H65" s="65"/>
      <c r="I65" s="60"/>
    </row>
    <row r="66" spans="3:9" x14ac:dyDescent="0.25">
      <c r="C66" s="57"/>
      <c r="D66" s="60"/>
      <c r="E66" s="55"/>
      <c r="F66" s="59"/>
      <c r="G66" s="65"/>
      <c r="H66" s="65"/>
      <c r="I66" s="60"/>
    </row>
    <row r="67" spans="3:9" x14ac:dyDescent="0.25">
      <c r="C67" s="57"/>
      <c r="D67" s="60"/>
      <c r="E67" s="55"/>
      <c r="F67" s="59"/>
      <c r="G67" s="65"/>
      <c r="H67" s="65"/>
      <c r="I67" s="60"/>
    </row>
    <row r="68" spans="3:9" x14ac:dyDescent="0.25">
      <c r="C68" s="57"/>
      <c r="D68" s="60"/>
      <c r="E68" s="55"/>
      <c r="F68" s="59"/>
      <c r="G68" s="65"/>
      <c r="H68" s="65"/>
      <c r="I68" s="60"/>
    </row>
    <row r="69" spans="3:9" x14ac:dyDescent="0.25">
      <c r="C69" s="57"/>
      <c r="D69" s="60"/>
      <c r="E69" s="55"/>
      <c r="F69" s="59"/>
      <c r="G69" s="65"/>
      <c r="H69" s="65"/>
      <c r="I69" s="60"/>
    </row>
    <row r="70" spans="3:9" x14ac:dyDescent="0.25">
      <c r="C70" s="57"/>
      <c r="D70" s="60"/>
      <c r="E70" s="55"/>
      <c r="F70" s="59"/>
      <c r="G70" s="65"/>
      <c r="H70" s="65"/>
      <c r="I70" s="60"/>
    </row>
    <row r="71" spans="3:9" x14ac:dyDescent="0.25">
      <c r="C71" s="57"/>
      <c r="D71" s="60"/>
      <c r="E71" s="55"/>
      <c r="F71" s="59"/>
      <c r="G71" s="65"/>
      <c r="H71" s="65"/>
      <c r="I71" s="60"/>
    </row>
    <row r="72" spans="3:9" x14ac:dyDescent="0.25">
      <c r="C72" s="57"/>
      <c r="D72" s="60"/>
      <c r="E72" s="55"/>
      <c r="F72" s="59"/>
      <c r="G72" s="65"/>
      <c r="H72" s="65"/>
      <c r="I72" s="60"/>
    </row>
    <row r="73" spans="3:9" x14ac:dyDescent="0.25">
      <c r="C73" s="57"/>
      <c r="D73" s="60"/>
      <c r="E73" s="55"/>
      <c r="F73" s="59"/>
      <c r="G73" s="65"/>
      <c r="H73" s="65"/>
      <c r="I73" s="60"/>
    </row>
    <row r="74" spans="3:9" x14ac:dyDescent="0.25">
      <c r="C74" s="57"/>
      <c r="D74" s="60"/>
      <c r="E74" s="55"/>
      <c r="F74" s="59"/>
      <c r="G74" s="65"/>
      <c r="H74" s="65"/>
      <c r="I74" s="60"/>
    </row>
    <row r="75" spans="3:9" x14ac:dyDescent="0.25">
      <c r="C75" s="57"/>
      <c r="D75" s="60"/>
      <c r="E75" s="55"/>
      <c r="F75" s="59"/>
      <c r="G75" s="65"/>
      <c r="H75" s="65"/>
      <c r="I75" s="60"/>
    </row>
    <row r="76" spans="3:9" x14ac:dyDescent="0.25">
      <c r="C76" s="57"/>
      <c r="D76" s="60"/>
      <c r="E76" s="55"/>
      <c r="F76" s="59"/>
      <c r="G76" s="65"/>
      <c r="H76" s="65"/>
      <c r="I76" s="60"/>
    </row>
    <row r="77" spans="3:9" x14ac:dyDescent="0.25">
      <c r="C77" s="57"/>
      <c r="D77" s="60"/>
      <c r="E77" s="55"/>
      <c r="F77" s="59"/>
      <c r="G77" s="65"/>
      <c r="H77" s="65"/>
      <c r="I77" s="60"/>
    </row>
    <row r="78" spans="3:9" x14ac:dyDescent="0.25">
      <c r="C78" s="57"/>
      <c r="D78" s="60"/>
      <c r="E78" s="55"/>
      <c r="F78" s="59"/>
      <c r="G78" s="65"/>
      <c r="H78" s="65"/>
      <c r="I78" s="60"/>
    </row>
    <row r="79" spans="3:9" x14ac:dyDescent="0.25">
      <c r="C79" s="57"/>
      <c r="D79" s="60"/>
      <c r="E79" s="55"/>
      <c r="F79" s="59"/>
      <c r="G79" s="65"/>
      <c r="H79" s="65"/>
      <c r="I79" s="60"/>
    </row>
    <row r="80" spans="3:9" x14ac:dyDescent="0.25">
      <c r="C80" s="57"/>
      <c r="D80" s="60"/>
      <c r="E80" s="55"/>
      <c r="F80" s="59"/>
      <c r="G80" s="65"/>
      <c r="H80" s="65"/>
      <c r="I80" s="60"/>
    </row>
    <row r="81" spans="3:9" x14ac:dyDescent="0.25">
      <c r="C81" s="57"/>
      <c r="D81" s="60"/>
      <c r="E81" s="55"/>
      <c r="F81" s="59"/>
      <c r="G81" s="65"/>
      <c r="H81" s="65"/>
      <c r="I81" s="60"/>
    </row>
    <row r="92" spans="3:9" x14ac:dyDescent="0.25">
      <c r="C92" s="67"/>
      <c r="D92" s="55"/>
      <c r="E92" s="56"/>
      <c r="F92" s="57"/>
      <c r="G92" s="58"/>
      <c r="H92" s="58"/>
      <c r="I92" s="57"/>
    </row>
    <row r="93" spans="3:9" x14ac:dyDescent="0.25">
      <c r="C93" s="59"/>
      <c r="D93" s="59"/>
      <c r="E93" s="59"/>
      <c r="F93" s="59"/>
      <c r="G93" s="59"/>
      <c r="H93" s="59"/>
      <c r="I93" s="59"/>
    </row>
    <row r="94" spans="3:9" x14ac:dyDescent="0.25">
      <c r="C94" s="60"/>
      <c r="D94" s="60"/>
      <c r="E94" s="65"/>
      <c r="F94" s="59"/>
      <c r="G94" s="65"/>
      <c r="H94" s="65"/>
      <c r="I94" s="60"/>
    </row>
    <row r="95" spans="3:9" x14ac:dyDescent="0.25">
      <c r="C95" s="60"/>
      <c r="D95" s="60"/>
      <c r="E95" s="65"/>
      <c r="F95" s="59"/>
      <c r="G95" s="65"/>
      <c r="H95" s="65"/>
      <c r="I95" s="60"/>
    </row>
    <row r="96" spans="3:9" x14ac:dyDescent="0.25">
      <c r="C96" s="60"/>
      <c r="D96" s="60"/>
      <c r="E96" s="65"/>
      <c r="F96" s="59"/>
      <c r="G96" s="65"/>
      <c r="H96" s="65"/>
      <c r="I96" s="60"/>
    </row>
    <row r="97" spans="3:9" x14ac:dyDescent="0.25">
      <c r="C97" s="60"/>
      <c r="D97" s="60"/>
      <c r="E97" s="65"/>
      <c r="F97" s="59"/>
      <c r="G97" s="65"/>
      <c r="H97" s="65"/>
      <c r="I97" s="60"/>
    </row>
    <row r="98" spans="3:9" x14ac:dyDescent="0.25">
      <c r="C98" s="60"/>
      <c r="D98" s="60"/>
      <c r="E98" s="65"/>
      <c r="F98" s="59"/>
      <c r="G98" s="65"/>
      <c r="H98" s="65"/>
      <c r="I98" s="60"/>
    </row>
    <row r="99" spans="3:9" x14ac:dyDescent="0.25">
      <c r="C99" s="60"/>
      <c r="D99" s="60"/>
      <c r="E99" s="65"/>
      <c r="F99" s="59"/>
      <c r="G99" s="65"/>
      <c r="H99" s="65"/>
      <c r="I99" s="60"/>
    </row>
    <row r="100" spans="3:9" x14ac:dyDescent="0.25">
      <c r="C100" s="60"/>
      <c r="D100" s="60"/>
      <c r="E100" s="65"/>
      <c r="F100" s="59"/>
      <c r="G100" s="65"/>
      <c r="H100" s="65"/>
      <c r="I100" s="60"/>
    </row>
    <row r="101" spans="3:9" x14ac:dyDescent="0.25">
      <c r="C101" s="60"/>
      <c r="D101" s="60"/>
      <c r="E101" s="65"/>
      <c r="F101" s="59"/>
      <c r="G101" s="65"/>
      <c r="H101" s="65"/>
      <c r="I101" s="60"/>
    </row>
    <row r="102" spans="3:9" x14ac:dyDescent="0.25">
      <c r="C102" s="60"/>
      <c r="D102" s="60"/>
      <c r="E102" s="65"/>
      <c r="F102" s="59"/>
      <c r="G102" s="65"/>
      <c r="H102" s="65"/>
      <c r="I102" s="60"/>
    </row>
    <row r="103" spans="3:9" x14ac:dyDescent="0.25">
      <c r="C103" s="60"/>
      <c r="D103" s="60"/>
      <c r="E103" s="65"/>
      <c r="F103" s="59"/>
      <c r="G103" s="65"/>
      <c r="H103" s="65"/>
      <c r="I103" s="60"/>
    </row>
    <row r="104" spans="3:9" x14ac:dyDescent="0.25">
      <c r="C104" s="60"/>
      <c r="D104" s="60"/>
      <c r="E104" s="65"/>
      <c r="F104" s="59"/>
      <c r="G104" s="65"/>
      <c r="H104" s="65"/>
      <c r="I104" s="60"/>
    </row>
    <row r="105" spans="3:9" x14ac:dyDescent="0.25">
      <c r="C105" s="60"/>
      <c r="D105" s="60"/>
      <c r="E105" s="65"/>
      <c r="F105" s="59"/>
      <c r="G105" s="65"/>
      <c r="H105" s="65"/>
      <c r="I105" s="60"/>
    </row>
    <row r="106" spans="3:9" x14ac:dyDescent="0.25">
      <c r="C106" s="60"/>
      <c r="D106" s="60"/>
      <c r="E106" s="65"/>
      <c r="F106" s="59"/>
      <c r="G106" s="65"/>
      <c r="H106" s="65"/>
      <c r="I106" s="60"/>
    </row>
    <row r="107" spans="3:9" x14ac:dyDescent="0.25">
      <c r="C107" s="60"/>
      <c r="D107" s="60"/>
      <c r="E107" s="65"/>
      <c r="F107" s="59"/>
      <c r="G107" s="65"/>
      <c r="H107" s="65"/>
      <c r="I107" s="60"/>
    </row>
    <row r="108" spans="3:9" x14ac:dyDescent="0.25">
      <c r="C108" s="60"/>
      <c r="D108" s="60"/>
      <c r="E108" s="65"/>
      <c r="F108" s="59"/>
      <c r="G108" s="65"/>
      <c r="H108" s="65"/>
      <c r="I108" s="60"/>
    </row>
    <row r="109" spans="3:9" x14ac:dyDescent="0.25">
      <c r="C109" s="60"/>
      <c r="D109" s="60"/>
      <c r="E109" s="65"/>
      <c r="F109" s="59"/>
      <c r="G109" s="65"/>
      <c r="H109" s="65"/>
      <c r="I109" s="60"/>
    </row>
    <row r="110" spans="3:9" x14ac:dyDescent="0.25">
      <c r="C110" s="60"/>
      <c r="D110" s="60"/>
      <c r="E110" s="65"/>
      <c r="F110" s="59"/>
      <c r="G110" s="65"/>
      <c r="H110" s="65"/>
      <c r="I110" s="60"/>
    </row>
    <row r="111" spans="3:9" x14ac:dyDescent="0.25">
      <c r="C111" s="60"/>
      <c r="D111" s="60"/>
      <c r="E111" s="65"/>
      <c r="F111" s="59"/>
      <c r="G111" s="65"/>
      <c r="H111" s="65"/>
      <c r="I111" s="60"/>
    </row>
    <row r="112" spans="3:9" x14ac:dyDescent="0.25">
      <c r="C112" s="60"/>
      <c r="D112" s="60"/>
      <c r="E112" s="65"/>
      <c r="F112" s="59"/>
      <c r="G112" s="65"/>
      <c r="H112" s="65"/>
      <c r="I112" s="60"/>
    </row>
    <row r="113" spans="3:9" x14ac:dyDescent="0.25">
      <c r="C113" s="60"/>
      <c r="D113" s="60"/>
      <c r="E113" s="65"/>
      <c r="F113" s="59"/>
      <c r="G113" s="62"/>
      <c r="H113" s="62"/>
      <c r="I113" s="60"/>
    </row>
    <row r="114" spans="3:9" x14ac:dyDescent="0.25">
      <c r="C114" s="60"/>
      <c r="D114" s="60"/>
      <c r="E114" s="65"/>
      <c r="F114" s="59"/>
      <c r="G114" s="65"/>
      <c r="H114" s="65"/>
      <c r="I114" s="60"/>
    </row>
    <row r="115" spans="3:9" x14ac:dyDescent="0.25">
      <c r="C115" s="60"/>
      <c r="D115" s="60"/>
      <c r="E115" s="65"/>
      <c r="F115" s="59"/>
      <c r="G115" s="65"/>
      <c r="H115" s="65"/>
      <c r="I115" s="60"/>
    </row>
    <row r="116" spans="3:9" x14ac:dyDescent="0.25">
      <c r="C116" s="60"/>
      <c r="D116" s="60"/>
      <c r="E116" s="65"/>
      <c r="F116" s="59"/>
      <c r="G116" s="65"/>
      <c r="H116" s="65"/>
      <c r="I116" s="60"/>
    </row>
    <row r="117" spans="3:9" x14ac:dyDescent="0.25">
      <c r="C117" s="60"/>
      <c r="D117" s="60"/>
      <c r="E117" s="65"/>
      <c r="F117" s="59"/>
      <c r="G117" s="65"/>
      <c r="H117" s="65"/>
      <c r="I117" s="60"/>
    </row>
    <row r="118" spans="3:9" x14ac:dyDescent="0.25">
      <c r="C118" s="60"/>
      <c r="D118" s="60"/>
      <c r="E118" s="65"/>
      <c r="F118" s="59"/>
      <c r="G118" s="65"/>
      <c r="H118" s="65"/>
      <c r="I118" s="60"/>
    </row>
    <row r="119" spans="3:9" x14ac:dyDescent="0.25">
      <c r="C119" s="60"/>
      <c r="D119" s="60"/>
      <c r="E119" s="65"/>
      <c r="F119" s="59"/>
      <c r="G119" s="65"/>
      <c r="H119" s="65"/>
      <c r="I119" s="60"/>
    </row>
    <row r="120" spans="3:9" x14ac:dyDescent="0.25">
      <c r="C120" s="60"/>
      <c r="D120" s="60"/>
      <c r="E120" s="65"/>
      <c r="F120" s="59"/>
      <c r="G120" s="65"/>
      <c r="H120" s="65"/>
      <c r="I120" s="60"/>
    </row>
    <row r="121" spans="3:9" x14ac:dyDescent="0.25">
      <c r="C121" s="60"/>
      <c r="D121" s="60"/>
      <c r="E121" s="65"/>
      <c r="F121" s="59"/>
      <c r="G121" s="65"/>
      <c r="H121" s="65"/>
      <c r="I121" s="60"/>
    </row>
    <row r="122" spans="3:9" x14ac:dyDescent="0.25">
      <c r="C122" s="60"/>
      <c r="D122" s="60"/>
      <c r="E122" s="65"/>
      <c r="F122" s="59"/>
      <c r="G122" s="65"/>
      <c r="H122" s="65"/>
      <c r="I122" s="60"/>
    </row>
    <row r="123" spans="3:9" x14ac:dyDescent="0.25">
      <c r="C123" s="60"/>
      <c r="D123" s="60"/>
      <c r="E123" s="65"/>
      <c r="F123" s="59"/>
      <c r="G123" s="65"/>
      <c r="H123" s="65"/>
      <c r="I123" s="60"/>
    </row>
    <row r="124" spans="3:9" x14ac:dyDescent="0.25">
      <c r="C124" s="60"/>
      <c r="D124" s="60"/>
      <c r="E124" s="65"/>
      <c r="F124" s="59"/>
      <c r="G124" s="65"/>
      <c r="H124" s="65"/>
      <c r="I124" s="60"/>
    </row>
    <row r="125" spans="3:9" x14ac:dyDescent="0.25">
      <c r="C125" s="60"/>
      <c r="D125" s="60"/>
      <c r="E125" s="65"/>
      <c r="F125" s="59"/>
      <c r="G125" s="65"/>
      <c r="H125" s="65"/>
      <c r="I125" s="60"/>
    </row>
    <row r="136" spans="3:9" x14ac:dyDescent="0.25">
      <c r="C136" s="54"/>
      <c r="D136" s="55"/>
      <c r="E136" s="56"/>
      <c r="F136" s="57"/>
      <c r="G136" s="58"/>
      <c r="H136" s="58"/>
      <c r="I136" s="57"/>
    </row>
    <row r="137" spans="3:9" x14ac:dyDescent="0.25">
      <c r="C137" s="59"/>
      <c r="D137" s="59"/>
      <c r="E137" s="59"/>
      <c r="F137" s="59"/>
      <c r="G137" s="59"/>
      <c r="H137" s="59"/>
      <c r="I137" s="59"/>
    </row>
    <row r="138" spans="3:9" x14ac:dyDescent="0.25">
      <c r="C138" s="60"/>
      <c r="D138" s="60"/>
      <c r="E138" s="55"/>
      <c r="F138" s="59"/>
      <c r="G138" s="65"/>
      <c r="H138" s="65"/>
      <c r="I138" s="63"/>
    </row>
    <row r="139" spans="3:9" x14ac:dyDescent="0.25">
      <c r="C139" s="60"/>
      <c r="D139" s="60"/>
      <c r="E139" s="55"/>
      <c r="F139" s="59"/>
      <c r="G139" s="65"/>
      <c r="H139" s="65"/>
      <c r="I139" s="63"/>
    </row>
    <row r="140" spans="3:9" x14ac:dyDescent="0.25">
      <c r="C140" s="60"/>
      <c r="D140" s="60"/>
      <c r="E140" s="55"/>
      <c r="F140" s="59"/>
      <c r="G140" s="65"/>
      <c r="H140" s="65"/>
      <c r="I140" s="63"/>
    </row>
    <row r="141" spans="3:9" x14ac:dyDescent="0.25">
      <c r="C141" s="60"/>
      <c r="D141" s="60"/>
      <c r="E141" s="55"/>
      <c r="F141" s="59"/>
      <c r="G141" s="65"/>
      <c r="H141" s="65"/>
      <c r="I141" s="63"/>
    </row>
    <row r="142" spans="3:9" x14ac:dyDescent="0.25">
      <c r="C142" s="60"/>
      <c r="D142" s="60"/>
      <c r="E142" s="55"/>
      <c r="F142" s="59"/>
      <c r="G142" s="65"/>
      <c r="H142" s="65"/>
      <c r="I142" s="63"/>
    </row>
    <row r="143" spans="3:9" x14ac:dyDescent="0.25">
      <c r="C143" s="60"/>
      <c r="D143" s="60"/>
      <c r="E143" s="55"/>
      <c r="F143" s="59"/>
      <c r="G143" s="65"/>
      <c r="H143" s="65"/>
      <c r="I143" s="63"/>
    </row>
    <row r="144" spans="3:9" x14ac:dyDescent="0.25">
      <c r="C144" s="60"/>
      <c r="D144" s="60"/>
      <c r="E144" s="55"/>
      <c r="F144" s="59"/>
      <c r="G144" s="65"/>
      <c r="H144" s="65"/>
      <c r="I144" s="63"/>
    </row>
    <row r="145" spans="3:9" x14ac:dyDescent="0.25">
      <c r="C145" s="60"/>
      <c r="D145" s="60"/>
      <c r="E145" s="55"/>
      <c r="F145" s="59"/>
      <c r="G145" s="65"/>
      <c r="H145" s="65"/>
      <c r="I145" s="63"/>
    </row>
    <row r="146" spans="3:9" x14ac:dyDescent="0.25">
      <c r="C146" s="60"/>
      <c r="D146" s="60"/>
      <c r="E146" s="55"/>
      <c r="F146" s="59"/>
      <c r="G146" s="65"/>
      <c r="H146" s="65"/>
      <c r="I146" s="63"/>
    </row>
    <row r="147" spans="3:9" x14ac:dyDescent="0.25">
      <c r="C147" s="60"/>
      <c r="D147" s="60"/>
      <c r="E147" s="55"/>
      <c r="F147" s="59"/>
      <c r="G147" s="65"/>
      <c r="H147" s="65"/>
      <c r="I147" s="60"/>
    </row>
    <row r="148" spans="3:9" x14ac:dyDescent="0.25">
      <c r="C148" s="60"/>
      <c r="D148" s="60"/>
      <c r="E148" s="55"/>
      <c r="F148" s="59"/>
      <c r="G148" s="65"/>
      <c r="H148" s="65"/>
      <c r="I148" s="60"/>
    </row>
    <row r="149" spans="3:9" x14ac:dyDescent="0.25">
      <c r="C149" s="60"/>
      <c r="D149" s="60"/>
      <c r="E149" s="55"/>
      <c r="F149" s="60"/>
      <c r="G149" s="65"/>
      <c r="H149" s="65"/>
      <c r="I149" s="68"/>
    </row>
    <row r="150" spans="3:9" x14ac:dyDescent="0.25">
      <c r="C150" s="60"/>
      <c r="D150" s="60"/>
      <c r="E150" s="55"/>
      <c r="F150" s="60"/>
      <c r="G150" s="65"/>
      <c r="H150" s="65"/>
      <c r="I150" s="68"/>
    </row>
    <row r="151" spans="3:9" x14ac:dyDescent="0.25">
      <c r="C151" s="60"/>
      <c r="D151" s="60"/>
      <c r="E151" s="55"/>
      <c r="F151" s="60"/>
      <c r="G151" s="65"/>
      <c r="H151" s="65"/>
      <c r="I151" s="68"/>
    </row>
    <row r="152" spans="3:9" x14ac:dyDescent="0.25">
      <c r="C152" s="60"/>
      <c r="D152" s="60"/>
      <c r="E152" s="55"/>
      <c r="F152" s="60"/>
      <c r="G152" s="65"/>
      <c r="H152" s="65"/>
      <c r="I152" s="68"/>
    </row>
    <row r="153" spans="3:9" x14ac:dyDescent="0.25">
      <c r="C153" s="60"/>
      <c r="D153" s="60"/>
      <c r="E153" s="55"/>
      <c r="F153" s="60"/>
      <c r="G153" s="65"/>
      <c r="H153" s="65"/>
      <c r="I153" s="68"/>
    </row>
    <row r="154" spans="3:9" x14ac:dyDescent="0.25">
      <c r="C154" s="60"/>
      <c r="D154" s="60"/>
      <c r="E154" s="55"/>
      <c r="F154" s="59"/>
      <c r="G154" s="65"/>
      <c r="H154" s="65"/>
      <c r="I154" s="63"/>
    </row>
    <row r="155" spans="3:9" x14ac:dyDescent="0.25">
      <c r="C155" s="60"/>
      <c r="D155" s="60"/>
      <c r="E155" s="55"/>
      <c r="F155" s="59"/>
      <c r="G155" s="65"/>
      <c r="H155" s="65"/>
      <c r="I155" s="63"/>
    </row>
    <row r="156" spans="3:9" x14ac:dyDescent="0.25">
      <c r="C156" s="60"/>
      <c r="D156" s="60"/>
      <c r="E156" s="55"/>
      <c r="F156" s="59"/>
      <c r="G156" s="69"/>
      <c r="H156" s="65"/>
      <c r="I156" s="63"/>
    </row>
    <row r="157" spans="3:9" x14ac:dyDescent="0.25">
      <c r="C157" s="60"/>
      <c r="D157" s="60"/>
      <c r="E157" s="55"/>
      <c r="F157" s="59"/>
      <c r="G157" s="65"/>
      <c r="H157" s="65"/>
      <c r="I157" s="60"/>
    </row>
    <row r="158" spans="3:9" x14ac:dyDescent="0.25">
      <c r="C158" s="60"/>
      <c r="D158" s="60"/>
      <c r="E158" s="55"/>
      <c r="F158" s="59"/>
      <c r="G158" s="65"/>
      <c r="H158" s="65"/>
      <c r="I158" s="60"/>
    </row>
    <row r="159" spans="3:9" x14ac:dyDescent="0.25">
      <c r="C159" s="70"/>
      <c r="D159" s="60"/>
      <c r="E159" s="55"/>
      <c r="F159" s="60"/>
      <c r="G159" s="65"/>
      <c r="H159" s="65"/>
      <c r="I159" s="60"/>
    </row>
    <row r="160" spans="3:9" x14ac:dyDescent="0.25">
      <c r="C160" s="60"/>
      <c r="D160" s="60"/>
      <c r="E160" s="55"/>
      <c r="F160" s="60"/>
      <c r="G160" s="65"/>
      <c r="H160" s="65"/>
      <c r="I160" s="68"/>
    </row>
    <row r="161" spans="3:9" x14ac:dyDescent="0.25">
      <c r="C161" s="60"/>
      <c r="D161" s="60"/>
      <c r="E161" s="55"/>
      <c r="F161" s="60"/>
      <c r="G161" s="65"/>
      <c r="H161" s="65"/>
      <c r="I161" s="68"/>
    </row>
    <row r="162" spans="3:9" x14ac:dyDescent="0.25">
      <c r="C162" s="60"/>
      <c r="D162" s="60"/>
      <c r="E162" s="55"/>
      <c r="F162" s="60"/>
      <c r="G162" s="65"/>
      <c r="H162" s="65"/>
      <c r="I162" s="68"/>
    </row>
    <row r="163" spans="3:9" x14ac:dyDescent="0.25">
      <c r="C163" s="60"/>
      <c r="D163" s="60"/>
      <c r="E163" s="55"/>
      <c r="F163" s="60"/>
      <c r="G163" s="65"/>
      <c r="H163" s="65"/>
      <c r="I163" s="60"/>
    </row>
    <row r="164" spans="3:9" x14ac:dyDescent="0.25">
      <c r="C164" s="60"/>
      <c r="D164" s="60"/>
      <c r="E164" s="55"/>
      <c r="F164" s="60"/>
      <c r="G164" s="65"/>
      <c r="H164" s="65"/>
      <c r="I164" s="60"/>
    </row>
    <row r="165" spans="3:9" x14ac:dyDescent="0.25">
      <c r="C165" s="60"/>
      <c r="D165" s="60"/>
      <c r="E165" s="55"/>
      <c r="F165" s="60"/>
      <c r="G165" s="65"/>
      <c r="H165" s="65"/>
      <c r="I165" s="60"/>
    </row>
    <row r="166" spans="3:9" x14ac:dyDescent="0.25">
      <c r="C166" s="60"/>
      <c r="D166" s="60"/>
      <c r="E166" s="55"/>
      <c r="F166" s="60"/>
      <c r="G166" s="65"/>
      <c r="H166" s="65"/>
      <c r="I166" s="60"/>
    </row>
    <row r="167" spans="3:9" x14ac:dyDescent="0.25">
      <c r="C167" s="60"/>
      <c r="D167" s="60"/>
      <c r="E167" s="55"/>
      <c r="F167" s="60"/>
      <c r="G167" s="65"/>
      <c r="H167" s="65"/>
      <c r="I167" s="60"/>
    </row>
    <row r="168" spans="3:9" x14ac:dyDescent="0.25">
      <c r="C168" s="60"/>
      <c r="D168" s="60"/>
      <c r="E168" s="55"/>
      <c r="F168" s="60"/>
      <c r="G168" s="65"/>
      <c r="H168" s="65"/>
      <c r="I168" s="60"/>
    </row>
    <row r="169" spans="3:9" x14ac:dyDescent="0.25">
      <c r="C169" s="60"/>
      <c r="D169" s="60"/>
      <c r="E169" s="55"/>
      <c r="F169" s="60"/>
      <c r="G169" s="65"/>
      <c r="H169" s="65"/>
      <c r="I169" s="60"/>
    </row>
    <row r="170" spans="3:9" x14ac:dyDescent="0.25">
      <c r="C170" s="60"/>
      <c r="D170" s="60"/>
      <c r="E170" s="55"/>
      <c r="F170" s="60"/>
      <c r="G170" s="65"/>
      <c r="H170" s="65"/>
      <c r="I170" s="60"/>
    </row>
    <row r="180" spans="3:9" x14ac:dyDescent="0.25">
      <c r="C180" s="54"/>
      <c r="D180" s="55"/>
      <c r="E180" s="56"/>
      <c r="F180" s="57"/>
      <c r="G180" s="58"/>
      <c r="H180" s="58"/>
      <c r="I180" s="57"/>
    </row>
    <row r="181" spans="3:9" x14ac:dyDescent="0.25">
      <c r="C181" s="59"/>
      <c r="D181" s="59"/>
      <c r="E181" s="59"/>
      <c r="F181" s="59"/>
      <c r="G181" s="59"/>
      <c r="H181" s="59"/>
      <c r="I181" s="59"/>
    </row>
    <row r="182" spans="3:9" x14ac:dyDescent="0.25">
      <c r="C182" s="60"/>
      <c r="D182" s="60"/>
      <c r="E182" s="55"/>
      <c r="F182" s="59"/>
      <c r="G182" s="65"/>
      <c r="H182" s="65"/>
      <c r="I182" s="63"/>
    </row>
    <row r="183" spans="3:9" x14ac:dyDescent="0.25">
      <c r="C183" s="60"/>
      <c r="D183" s="60"/>
      <c r="E183" s="55"/>
      <c r="F183" s="59"/>
      <c r="G183" s="65"/>
      <c r="H183" s="65"/>
      <c r="I183" s="63"/>
    </row>
    <row r="184" spans="3:9" x14ac:dyDescent="0.25">
      <c r="C184" s="60"/>
      <c r="D184" s="60"/>
      <c r="E184" s="55"/>
      <c r="F184" s="59"/>
      <c r="G184" s="65"/>
      <c r="H184" s="65"/>
      <c r="I184" s="63"/>
    </row>
    <row r="185" spans="3:9" x14ac:dyDescent="0.25">
      <c r="C185" s="60"/>
      <c r="D185" s="60"/>
      <c r="E185" s="55"/>
      <c r="F185" s="59"/>
      <c r="G185" s="65"/>
      <c r="H185" s="65"/>
      <c r="I185" s="63"/>
    </row>
    <row r="186" spans="3:9" x14ac:dyDescent="0.25">
      <c r="C186" s="60"/>
      <c r="D186" s="60"/>
      <c r="E186" s="55"/>
      <c r="F186" s="59"/>
      <c r="G186" s="65"/>
      <c r="H186" s="65"/>
      <c r="I186" s="63"/>
    </row>
    <row r="187" spans="3:9" x14ac:dyDescent="0.25">
      <c r="C187" s="60"/>
      <c r="D187" s="60"/>
      <c r="E187" s="55"/>
      <c r="F187" s="59"/>
      <c r="G187" s="65"/>
      <c r="H187" s="65"/>
      <c r="I187" s="63"/>
    </row>
    <row r="188" spans="3:9" x14ac:dyDescent="0.25">
      <c r="C188" s="60"/>
      <c r="D188" s="60"/>
      <c r="E188" s="55"/>
      <c r="F188" s="59"/>
      <c r="G188" s="65"/>
      <c r="H188" s="65"/>
      <c r="I188" s="63"/>
    </row>
    <row r="189" spans="3:9" x14ac:dyDescent="0.25">
      <c r="C189" s="60"/>
      <c r="D189" s="60"/>
      <c r="E189" s="55"/>
      <c r="F189" s="59"/>
      <c r="G189" s="65"/>
      <c r="H189" s="65"/>
      <c r="I189" s="63"/>
    </row>
    <row r="190" spans="3:9" x14ac:dyDescent="0.25">
      <c r="C190" s="60"/>
      <c r="D190" s="60"/>
      <c r="E190" s="55"/>
      <c r="F190" s="59"/>
      <c r="G190" s="65"/>
      <c r="H190" s="65"/>
      <c r="I190" s="63"/>
    </row>
    <row r="191" spans="3:9" x14ac:dyDescent="0.25">
      <c r="C191" s="60"/>
      <c r="D191" s="60"/>
      <c r="E191" s="55"/>
      <c r="F191" s="59"/>
      <c r="G191" s="65"/>
      <c r="H191" s="65"/>
      <c r="I191" s="60"/>
    </row>
    <row r="192" spans="3:9" x14ac:dyDescent="0.25">
      <c r="C192" s="60"/>
      <c r="D192" s="60"/>
      <c r="E192" s="55"/>
      <c r="F192" s="59"/>
      <c r="G192" s="65"/>
      <c r="H192" s="65"/>
      <c r="I192" s="60"/>
    </row>
    <row r="193" spans="3:9" x14ac:dyDescent="0.25">
      <c r="C193" s="60"/>
      <c r="D193" s="60"/>
      <c r="E193" s="55"/>
      <c r="F193" s="60"/>
      <c r="G193" s="65"/>
      <c r="H193" s="65"/>
      <c r="I193" s="68"/>
    </row>
    <row r="194" spans="3:9" x14ac:dyDescent="0.25">
      <c r="C194" s="60"/>
      <c r="D194" s="60"/>
      <c r="E194" s="55"/>
      <c r="F194" s="60"/>
      <c r="G194" s="65"/>
      <c r="H194" s="65"/>
      <c r="I194" s="68"/>
    </row>
    <row r="195" spans="3:9" x14ac:dyDescent="0.25">
      <c r="C195" s="60"/>
      <c r="D195" s="60"/>
      <c r="E195" s="55"/>
      <c r="F195" s="60"/>
      <c r="G195" s="65"/>
      <c r="H195" s="65"/>
      <c r="I195" s="68"/>
    </row>
    <row r="196" spans="3:9" x14ac:dyDescent="0.25">
      <c r="C196" s="60"/>
      <c r="D196" s="60"/>
      <c r="E196" s="55"/>
      <c r="F196" s="60"/>
      <c r="G196" s="65"/>
      <c r="H196" s="65"/>
      <c r="I196" s="68"/>
    </row>
    <row r="197" spans="3:9" x14ac:dyDescent="0.25">
      <c r="C197" s="60"/>
      <c r="D197" s="60"/>
      <c r="E197" s="55"/>
      <c r="F197" s="60"/>
      <c r="G197" s="65"/>
      <c r="H197" s="65"/>
      <c r="I197" s="68"/>
    </row>
    <row r="198" spans="3:9" x14ac:dyDescent="0.25">
      <c r="C198" s="60"/>
      <c r="D198" s="60"/>
      <c r="E198" s="55"/>
      <c r="F198" s="59"/>
      <c r="G198" s="65"/>
      <c r="H198" s="65"/>
      <c r="I198" s="63"/>
    </row>
    <row r="199" spans="3:9" x14ac:dyDescent="0.25">
      <c r="C199" s="60"/>
      <c r="D199" s="60"/>
      <c r="E199" s="55"/>
      <c r="F199" s="59"/>
      <c r="G199" s="65"/>
      <c r="H199" s="65"/>
      <c r="I199" s="63"/>
    </row>
    <row r="200" spans="3:9" x14ac:dyDescent="0.25">
      <c r="C200" s="60"/>
      <c r="D200" s="60"/>
      <c r="E200" s="55"/>
      <c r="F200" s="59"/>
      <c r="G200" s="69"/>
      <c r="H200" s="65"/>
      <c r="I200" s="63"/>
    </row>
    <row r="201" spans="3:9" x14ac:dyDescent="0.25">
      <c r="C201" s="60"/>
      <c r="D201" s="60"/>
      <c r="E201" s="55"/>
      <c r="F201" s="59"/>
      <c r="G201" s="65"/>
      <c r="H201" s="65"/>
      <c r="I201" s="60"/>
    </row>
    <row r="202" spans="3:9" x14ac:dyDescent="0.25">
      <c r="C202" s="60"/>
      <c r="D202" s="60"/>
      <c r="E202" s="55"/>
      <c r="F202" s="59"/>
      <c r="G202" s="65"/>
      <c r="H202" s="65"/>
      <c r="I202" s="60"/>
    </row>
    <row r="203" spans="3:9" x14ac:dyDescent="0.25">
      <c r="C203" s="70"/>
      <c r="D203" s="60"/>
      <c r="E203" s="55"/>
      <c r="F203" s="60"/>
      <c r="G203" s="65"/>
      <c r="H203" s="65"/>
      <c r="I203" s="60"/>
    </row>
    <row r="204" spans="3:9" x14ac:dyDescent="0.25">
      <c r="C204" s="60"/>
      <c r="D204" s="60"/>
      <c r="E204" s="55"/>
      <c r="F204" s="60"/>
      <c r="G204" s="65"/>
      <c r="H204" s="65"/>
      <c r="I204" s="68"/>
    </row>
    <row r="205" spans="3:9" x14ac:dyDescent="0.25">
      <c r="C205" s="60"/>
      <c r="D205" s="60"/>
      <c r="E205" s="55"/>
      <c r="F205" s="60"/>
      <c r="G205" s="65"/>
      <c r="H205" s="65"/>
      <c r="I205" s="68"/>
    </row>
    <row r="206" spans="3:9" x14ac:dyDescent="0.25">
      <c r="C206" s="60"/>
      <c r="D206" s="60"/>
      <c r="E206" s="55"/>
      <c r="F206" s="60"/>
      <c r="G206" s="65"/>
      <c r="H206" s="65"/>
      <c r="I206" s="68"/>
    </row>
    <row r="207" spans="3:9" x14ac:dyDescent="0.25">
      <c r="C207" s="60"/>
      <c r="D207" s="60"/>
      <c r="E207" s="55"/>
      <c r="F207" s="60"/>
      <c r="G207" s="65"/>
      <c r="H207" s="65"/>
      <c r="I207" s="60"/>
    </row>
    <row r="208" spans="3:9" x14ac:dyDescent="0.25">
      <c r="C208" s="60"/>
      <c r="D208" s="60"/>
      <c r="E208" s="55"/>
      <c r="F208" s="60"/>
      <c r="G208" s="65"/>
      <c r="H208" s="65"/>
      <c r="I208" s="60"/>
    </row>
    <row r="209" spans="3:9" x14ac:dyDescent="0.25">
      <c r="C209" s="60"/>
      <c r="D209" s="60"/>
      <c r="E209" s="55"/>
      <c r="F209" s="60"/>
      <c r="G209" s="65"/>
      <c r="H209" s="65"/>
      <c r="I209" s="60"/>
    </row>
    <row r="210" spans="3:9" x14ac:dyDescent="0.25">
      <c r="C210" s="60"/>
      <c r="D210" s="60"/>
      <c r="E210" s="55"/>
      <c r="F210" s="60"/>
      <c r="G210" s="65"/>
      <c r="H210" s="65"/>
      <c r="I210" s="60"/>
    </row>
    <row r="211" spans="3:9" x14ac:dyDescent="0.25">
      <c r="C211" s="60"/>
      <c r="D211" s="60"/>
      <c r="E211" s="55"/>
      <c r="F211" s="60"/>
      <c r="G211" s="65"/>
      <c r="H211" s="65"/>
      <c r="I211" s="60"/>
    </row>
    <row r="212" spans="3:9" x14ac:dyDescent="0.25">
      <c r="C212" s="60"/>
      <c r="D212" s="60"/>
      <c r="E212" s="55"/>
      <c r="F212" s="60"/>
      <c r="G212" s="65"/>
      <c r="H212" s="65"/>
      <c r="I212" s="60"/>
    </row>
    <row r="213" spans="3:9" x14ac:dyDescent="0.25">
      <c r="C213" s="60"/>
      <c r="D213" s="60"/>
      <c r="E213" s="55"/>
      <c r="F213" s="60"/>
      <c r="G213" s="65"/>
      <c r="H213" s="65"/>
      <c r="I213" s="60"/>
    </row>
    <row r="214" spans="3:9" x14ac:dyDescent="0.25">
      <c r="C214" s="60"/>
      <c r="D214" s="60"/>
      <c r="E214" s="55"/>
      <c r="F214" s="60"/>
      <c r="G214" s="65"/>
      <c r="H214" s="65"/>
      <c r="I214" s="60"/>
    </row>
    <row r="224" spans="3:9" x14ac:dyDescent="0.25">
      <c r="C224" s="54"/>
      <c r="D224" s="55"/>
      <c r="E224" s="56"/>
      <c r="F224" s="57"/>
      <c r="G224" s="58"/>
      <c r="H224" s="58"/>
      <c r="I224" s="57"/>
    </row>
    <row r="225" spans="3:9" x14ac:dyDescent="0.25">
      <c r="C225" s="59"/>
      <c r="D225" s="59"/>
      <c r="E225" s="59"/>
      <c r="F225" s="59"/>
      <c r="G225" s="59"/>
      <c r="H225" s="59"/>
      <c r="I225" s="59"/>
    </row>
    <row r="226" spans="3:9" x14ac:dyDescent="0.25">
      <c r="C226" s="60"/>
      <c r="D226" s="60"/>
      <c r="E226" s="55"/>
      <c r="F226" s="59"/>
      <c r="G226" s="65"/>
      <c r="H226" s="65"/>
      <c r="I226" s="63"/>
    </row>
    <row r="227" spans="3:9" x14ac:dyDescent="0.25">
      <c r="C227" s="60"/>
      <c r="D227" s="60"/>
      <c r="E227" s="55"/>
      <c r="F227" s="59"/>
      <c r="G227" s="65"/>
      <c r="H227" s="65"/>
      <c r="I227" s="63"/>
    </row>
    <row r="228" spans="3:9" x14ac:dyDescent="0.25">
      <c r="C228" s="60"/>
      <c r="D228" s="60"/>
      <c r="E228" s="55"/>
      <c r="F228" s="59"/>
      <c r="G228" s="65"/>
      <c r="H228" s="65"/>
      <c r="I228" s="63"/>
    </row>
    <row r="229" spans="3:9" x14ac:dyDescent="0.25">
      <c r="C229" s="60"/>
      <c r="D229" s="60"/>
      <c r="E229" s="55"/>
      <c r="F229" s="59"/>
      <c r="G229" s="65"/>
      <c r="H229" s="65"/>
      <c r="I229" s="63"/>
    </row>
    <row r="230" spans="3:9" x14ac:dyDescent="0.25">
      <c r="C230" s="60"/>
      <c r="D230" s="60"/>
      <c r="E230" s="55"/>
      <c r="F230" s="59"/>
      <c r="G230" s="65"/>
      <c r="H230" s="65"/>
      <c r="I230" s="63"/>
    </row>
    <row r="231" spans="3:9" x14ac:dyDescent="0.25">
      <c r="C231" s="60"/>
      <c r="D231" s="60"/>
      <c r="E231" s="55"/>
      <c r="F231" s="59"/>
      <c r="G231" s="65"/>
      <c r="H231" s="65"/>
      <c r="I231" s="63"/>
    </row>
    <row r="232" spans="3:9" x14ac:dyDescent="0.25">
      <c r="C232" s="60"/>
      <c r="D232" s="60"/>
      <c r="E232" s="55"/>
      <c r="F232" s="59"/>
      <c r="G232" s="65"/>
      <c r="H232" s="65"/>
      <c r="I232" s="63"/>
    </row>
    <row r="233" spans="3:9" x14ac:dyDescent="0.25">
      <c r="C233" s="60"/>
      <c r="D233" s="60"/>
      <c r="E233" s="55"/>
      <c r="F233" s="59"/>
      <c r="G233" s="65"/>
      <c r="H233" s="65"/>
      <c r="I233" s="63"/>
    </row>
    <row r="234" spans="3:9" x14ac:dyDescent="0.25">
      <c r="C234" s="60"/>
      <c r="D234" s="60"/>
      <c r="E234" s="55"/>
      <c r="F234" s="59"/>
      <c r="G234" s="65"/>
      <c r="H234" s="65"/>
      <c r="I234" s="63"/>
    </row>
    <row r="235" spans="3:9" x14ac:dyDescent="0.25">
      <c r="C235" s="60"/>
      <c r="D235" s="60"/>
      <c r="E235" s="55"/>
      <c r="F235" s="59"/>
      <c r="G235" s="65"/>
      <c r="H235" s="65"/>
      <c r="I235" s="60"/>
    </row>
    <row r="236" spans="3:9" x14ac:dyDescent="0.25">
      <c r="C236" s="60"/>
      <c r="D236" s="60"/>
      <c r="E236" s="55"/>
      <c r="F236" s="59"/>
      <c r="G236" s="65"/>
      <c r="H236" s="65"/>
      <c r="I236" s="60"/>
    </row>
    <row r="237" spans="3:9" x14ac:dyDescent="0.25">
      <c r="C237" s="60"/>
      <c r="D237" s="60"/>
      <c r="E237" s="55"/>
      <c r="F237" s="60"/>
      <c r="G237" s="65"/>
      <c r="H237" s="65"/>
      <c r="I237" s="68"/>
    </row>
    <row r="238" spans="3:9" x14ac:dyDescent="0.25">
      <c r="C238" s="60"/>
      <c r="D238" s="60"/>
      <c r="E238" s="55"/>
      <c r="F238" s="60"/>
      <c r="G238" s="65"/>
      <c r="H238" s="65"/>
      <c r="I238" s="68"/>
    </row>
    <row r="239" spans="3:9" x14ac:dyDescent="0.25">
      <c r="C239" s="60"/>
      <c r="D239" s="60"/>
      <c r="E239" s="55"/>
      <c r="F239" s="60"/>
      <c r="G239" s="65"/>
      <c r="H239" s="65"/>
      <c r="I239" s="68"/>
    </row>
    <row r="240" spans="3:9" x14ac:dyDescent="0.25">
      <c r="C240" s="60"/>
      <c r="D240" s="60"/>
      <c r="E240" s="55"/>
      <c r="F240" s="60"/>
      <c r="G240" s="65"/>
      <c r="H240" s="65"/>
      <c r="I240" s="68"/>
    </row>
    <row r="241" spans="3:9" x14ac:dyDescent="0.25">
      <c r="C241" s="60"/>
      <c r="D241" s="60"/>
      <c r="E241" s="55"/>
      <c r="F241" s="60"/>
      <c r="G241" s="65"/>
      <c r="H241" s="65"/>
      <c r="I241" s="68"/>
    </row>
    <row r="242" spans="3:9" x14ac:dyDescent="0.25">
      <c r="C242" s="60"/>
      <c r="D242" s="60"/>
      <c r="E242" s="55"/>
      <c r="F242" s="59"/>
      <c r="G242" s="65"/>
      <c r="H242" s="65"/>
      <c r="I242" s="63"/>
    </row>
    <row r="243" spans="3:9" x14ac:dyDescent="0.25">
      <c r="C243" s="60"/>
      <c r="D243" s="60"/>
      <c r="E243" s="55"/>
      <c r="F243" s="59"/>
      <c r="G243" s="65"/>
      <c r="H243" s="65"/>
      <c r="I243" s="63"/>
    </row>
    <row r="244" spans="3:9" x14ac:dyDescent="0.25">
      <c r="C244" s="60"/>
      <c r="D244" s="60"/>
      <c r="E244" s="55"/>
      <c r="F244" s="59"/>
      <c r="G244" s="69"/>
      <c r="H244" s="65"/>
      <c r="I244" s="63"/>
    </row>
    <row r="245" spans="3:9" x14ac:dyDescent="0.25">
      <c r="C245" s="60"/>
      <c r="D245" s="60"/>
      <c r="E245" s="55"/>
      <c r="F245" s="59"/>
      <c r="G245" s="65"/>
      <c r="H245" s="65"/>
      <c r="I245" s="60"/>
    </row>
    <row r="246" spans="3:9" x14ac:dyDescent="0.25">
      <c r="C246" s="60"/>
      <c r="D246" s="60"/>
      <c r="E246" s="55"/>
      <c r="F246" s="59"/>
      <c r="G246" s="65"/>
      <c r="H246" s="65"/>
      <c r="I246" s="60"/>
    </row>
    <row r="247" spans="3:9" x14ac:dyDescent="0.25">
      <c r="C247" s="70"/>
      <c r="D247" s="60"/>
      <c r="E247" s="55"/>
      <c r="F247" s="60"/>
      <c r="G247" s="65"/>
      <c r="H247" s="65"/>
      <c r="I247" s="60"/>
    </row>
    <row r="248" spans="3:9" x14ac:dyDescent="0.25">
      <c r="C248" s="60"/>
      <c r="D248" s="60"/>
      <c r="E248" s="55"/>
      <c r="F248" s="60"/>
      <c r="G248" s="65"/>
      <c r="H248" s="65"/>
      <c r="I248" s="68"/>
    </row>
    <row r="249" spans="3:9" x14ac:dyDescent="0.25">
      <c r="C249" s="60"/>
      <c r="D249" s="60"/>
      <c r="E249" s="55"/>
      <c r="F249" s="60"/>
      <c r="G249" s="65"/>
      <c r="H249" s="65"/>
      <c r="I249" s="68"/>
    </row>
    <row r="250" spans="3:9" x14ac:dyDescent="0.25">
      <c r="C250" s="60"/>
      <c r="D250" s="60"/>
      <c r="E250" s="55"/>
      <c r="F250" s="60"/>
      <c r="G250" s="65"/>
      <c r="H250" s="65"/>
      <c r="I250" s="68"/>
    </row>
    <row r="251" spans="3:9" x14ac:dyDescent="0.25">
      <c r="C251" s="60"/>
      <c r="D251" s="60"/>
      <c r="E251" s="55"/>
      <c r="F251" s="60"/>
      <c r="G251" s="65"/>
      <c r="H251" s="65"/>
      <c r="I251" s="60"/>
    </row>
    <row r="252" spans="3:9" x14ac:dyDescent="0.25">
      <c r="C252" s="60"/>
      <c r="D252" s="60"/>
      <c r="E252" s="55"/>
      <c r="F252" s="60"/>
      <c r="G252" s="65"/>
      <c r="H252" s="65"/>
      <c r="I252" s="60"/>
    </row>
    <row r="253" spans="3:9" x14ac:dyDescent="0.25">
      <c r="C253" s="60"/>
      <c r="D253" s="60"/>
      <c r="E253" s="55"/>
      <c r="F253" s="60"/>
      <c r="G253" s="65"/>
      <c r="H253" s="65"/>
      <c r="I253" s="60"/>
    </row>
    <row r="254" spans="3:9" x14ac:dyDescent="0.25">
      <c r="C254" s="60"/>
      <c r="D254" s="60"/>
      <c r="E254" s="55"/>
      <c r="F254" s="60"/>
      <c r="G254" s="65"/>
      <c r="H254" s="65"/>
      <c r="I254" s="60"/>
    </row>
    <row r="255" spans="3:9" x14ac:dyDescent="0.25">
      <c r="C255" s="60"/>
      <c r="D255" s="60"/>
      <c r="E255" s="55"/>
      <c r="F255" s="60"/>
      <c r="G255" s="65"/>
      <c r="H255" s="65"/>
      <c r="I255" s="60"/>
    </row>
    <row r="256" spans="3:9" x14ac:dyDescent="0.25">
      <c r="C256" s="60"/>
      <c r="D256" s="60"/>
      <c r="E256" s="55"/>
      <c r="F256" s="60"/>
      <c r="G256" s="65"/>
      <c r="H256" s="65"/>
      <c r="I256" s="60"/>
    </row>
    <row r="257" spans="3:9" x14ac:dyDescent="0.25">
      <c r="C257" s="60"/>
      <c r="D257" s="60"/>
      <c r="E257" s="55"/>
      <c r="F257" s="60"/>
      <c r="G257" s="65"/>
      <c r="H257" s="65"/>
      <c r="I257" s="60"/>
    </row>
    <row r="258" spans="3:9" x14ac:dyDescent="0.25">
      <c r="C258" s="60"/>
      <c r="D258" s="60"/>
      <c r="E258" s="55"/>
      <c r="F258" s="60"/>
      <c r="G258" s="65"/>
      <c r="H258" s="65"/>
      <c r="I258" s="60"/>
    </row>
  </sheetData>
  <conditionalFormatting sqref="C6:C38">
    <cfRule type="containsText" dxfId="14" priority="13" operator="containsText" text="f">
      <formula>NOT(ISERROR(SEARCH("f",C6)))</formula>
    </cfRule>
    <cfRule type="containsText" dxfId="13" priority="14" operator="containsText" text="dp">
      <formula>NOT(ISERROR(SEARCH("dp",C6)))</formula>
    </cfRule>
    <cfRule type="containsText" dxfId="12" priority="15" operator="containsText" text="P">
      <formula>NOT(ISERROR(SEARCH("P",C6)))</formula>
    </cfRule>
  </conditionalFormatting>
  <conditionalFormatting sqref="C50:C81">
    <cfRule type="containsText" dxfId="11" priority="12" operator="containsText" text="rtd">
      <formula>NOT(ISERROR(SEARCH("rtd",C50)))</formula>
    </cfRule>
  </conditionalFormatting>
  <conditionalFormatting sqref="C94:C125">
    <cfRule type="containsText" dxfId="10" priority="10" operator="containsText" text="TC">
      <formula>NOT(ISERROR(SEARCH("TC",C94)))</formula>
    </cfRule>
    <cfRule type="containsText" dxfId="9" priority="11" operator="containsText" text="TC">
      <formula>NOT(ISERROR(SEARCH("TC",C94)))</formula>
    </cfRule>
  </conditionalFormatting>
  <conditionalFormatting sqref="C170">
    <cfRule type="containsText" dxfId="8" priority="7" operator="containsText" text="f">
      <formula>NOT(ISERROR(SEARCH("f",C170)))</formula>
    </cfRule>
    <cfRule type="containsText" dxfId="7" priority="8" operator="containsText" text="dp">
      <formula>NOT(ISERROR(SEARCH("dp",C170)))</formula>
    </cfRule>
    <cfRule type="containsText" dxfId="6" priority="9" operator="containsText" text="P">
      <formula>NOT(ISERROR(SEARCH("P",C170)))</formula>
    </cfRule>
  </conditionalFormatting>
  <conditionalFormatting sqref="C214">
    <cfRule type="containsText" dxfId="5" priority="4" operator="containsText" text="f">
      <formula>NOT(ISERROR(SEARCH("f",C214)))</formula>
    </cfRule>
    <cfRule type="containsText" dxfId="4" priority="5" operator="containsText" text="dp">
      <formula>NOT(ISERROR(SEARCH("dp",C214)))</formula>
    </cfRule>
    <cfRule type="containsText" dxfId="3" priority="6" operator="containsText" text="P">
      <formula>NOT(ISERROR(SEARCH("P",C214)))</formula>
    </cfRule>
  </conditionalFormatting>
  <conditionalFormatting sqref="C258">
    <cfRule type="containsText" dxfId="2" priority="1" operator="containsText" text="f">
      <formula>NOT(ISERROR(SEARCH("f",C258)))</formula>
    </cfRule>
    <cfRule type="containsText" dxfId="1" priority="2" operator="containsText" text="dp">
      <formula>NOT(ISERROR(SEARCH("dp",C258)))</formula>
    </cfRule>
    <cfRule type="containsText" dxfId="0" priority="3" operator="containsText" text="P">
      <formula>NOT(ISERROR(SEARCH("P",C258)))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W132"/>
  <sheetViews>
    <sheetView workbookViewId="0"/>
  </sheetViews>
  <sheetFormatPr defaultRowHeight="15" x14ac:dyDescent="0.25"/>
  <sheetData>
    <row r="1" spans="2:13" x14ac:dyDescent="0.25">
      <c r="B1" s="51"/>
    </row>
    <row r="10" spans="2:13" x14ac:dyDescent="0.25">
      <c r="H10" s="52"/>
      <c r="I10" s="52"/>
    </row>
    <row r="11" spans="2:13" x14ac:dyDescent="0.25">
      <c r="H11" s="52"/>
      <c r="I11" s="52"/>
    </row>
    <row r="12" spans="2:13" x14ac:dyDescent="0.25">
      <c r="H12" s="52"/>
      <c r="I12" s="52"/>
    </row>
    <row r="15" spans="2:13" x14ac:dyDescent="0.25">
      <c r="L15" s="52"/>
      <c r="M15" s="52"/>
    </row>
    <row r="16" spans="2:13" x14ac:dyDescent="0.25">
      <c r="L16" s="52"/>
      <c r="M16" s="52"/>
    </row>
    <row r="17" spans="12:13" x14ac:dyDescent="0.25">
      <c r="L17" s="52"/>
      <c r="M17" s="52"/>
    </row>
    <row r="18" spans="12:13" x14ac:dyDescent="0.25">
      <c r="L18" s="52"/>
      <c r="M18" s="52"/>
    </row>
    <row r="19" spans="12:13" x14ac:dyDescent="0.25">
      <c r="L19" s="52"/>
      <c r="M19" s="52"/>
    </row>
    <row r="20" spans="12:13" x14ac:dyDescent="0.25">
      <c r="L20" s="52"/>
      <c r="M20" s="52"/>
    </row>
    <row r="21" spans="12:13" x14ac:dyDescent="0.25">
      <c r="L21" s="52"/>
      <c r="M21" s="52"/>
    </row>
    <row r="22" spans="12:13" x14ac:dyDescent="0.25">
      <c r="L22" s="52"/>
      <c r="M22" s="52"/>
    </row>
    <row r="23" spans="12:13" x14ac:dyDescent="0.25">
      <c r="L23" s="52"/>
      <c r="M23" s="52"/>
    </row>
    <row r="24" spans="12:13" x14ac:dyDescent="0.25">
      <c r="L24" s="52"/>
      <c r="M24" s="52"/>
    </row>
    <row r="25" spans="12:13" x14ac:dyDescent="0.25">
      <c r="L25" s="52"/>
      <c r="M25" s="52"/>
    </row>
    <row r="26" spans="12:13" x14ac:dyDescent="0.25">
      <c r="L26" s="52"/>
      <c r="M26" s="52"/>
    </row>
    <row r="27" spans="12:13" x14ac:dyDescent="0.25">
      <c r="L27" s="52"/>
      <c r="M27" s="52"/>
    </row>
    <row r="28" spans="12:13" x14ac:dyDescent="0.25">
      <c r="L28" s="52"/>
      <c r="M28" s="52"/>
    </row>
    <row r="29" spans="12:13" x14ac:dyDescent="0.25">
      <c r="L29" s="52"/>
      <c r="M29" s="52"/>
    </row>
    <row r="30" spans="12:13" x14ac:dyDescent="0.25">
      <c r="L30" s="52"/>
      <c r="M30" s="52"/>
    </row>
    <row r="31" spans="12:13" x14ac:dyDescent="0.25">
      <c r="L31" s="52"/>
      <c r="M31" s="52"/>
    </row>
    <row r="32" spans="12:13" x14ac:dyDescent="0.25">
      <c r="L32" s="52"/>
      <c r="M32" s="52"/>
    </row>
    <row r="33" spans="12:23" x14ac:dyDescent="0.25">
      <c r="L33" s="52"/>
      <c r="M33" s="52"/>
    </row>
    <row r="34" spans="12:23" x14ac:dyDescent="0.25">
      <c r="L34" s="52"/>
      <c r="M34" s="52"/>
    </row>
    <row r="35" spans="12:23" x14ac:dyDescent="0.25">
      <c r="L35" s="52"/>
      <c r="M35" s="52"/>
    </row>
    <row r="36" spans="12:23" x14ac:dyDescent="0.25">
      <c r="L36" s="52"/>
      <c r="M36" s="52"/>
    </row>
    <row r="39" spans="12:23" x14ac:dyDescent="0.25">
      <c r="V39" s="52"/>
      <c r="W39" s="52"/>
    </row>
    <row r="40" spans="12:23" x14ac:dyDescent="0.25">
      <c r="V40" s="52"/>
      <c r="W40" s="52"/>
    </row>
    <row r="41" spans="12:23" x14ac:dyDescent="0.25">
      <c r="V41" s="52"/>
      <c r="W41" s="52"/>
    </row>
    <row r="42" spans="12:23" x14ac:dyDescent="0.25">
      <c r="V42" s="52"/>
      <c r="W42" s="52"/>
    </row>
    <row r="43" spans="12:23" x14ac:dyDescent="0.25">
      <c r="V43" s="52"/>
      <c r="W43" s="52"/>
    </row>
    <row r="44" spans="12:23" x14ac:dyDescent="0.25">
      <c r="V44" s="52"/>
      <c r="W44" s="52"/>
    </row>
    <row r="45" spans="12:23" x14ac:dyDescent="0.25">
      <c r="V45" s="52"/>
      <c r="W45" s="52"/>
    </row>
    <row r="46" spans="12:23" x14ac:dyDescent="0.25">
      <c r="V46" s="52"/>
      <c r="W46" s="52"/>
    </row>
    <row r="47" spans="12:23" x14ac:dyDescent="0.25">
      <c r="V47" s="52"/>
      <c r="W47" s="52"/>
    </row>
    <row r="48" spans="12:23" x14ac:dyDescent="0.25">
      <c r="V48" s="52"/>
      <c r="W48" s="52"/>
    </row>
    <row r="49" spans="22:23" x14ac:dyDescent="0.25">
      <c r="V49" s="52"/>
      <c r="W49" s="52"/>
    </row>
    <row r="50" spans="22:23" x14ac:dyDescent="0.25">
      <c r="V50" s="52"/>
      <c r="W50" s="52"/>
    </row>
    <row r="51" spans="22:23" x14ac:dyDescent="0.25">
      <c r="V51" s="52"/>
      <c r="W51" s="52"/>
    </row>
    <row r="52" spans="22:23" x14ac:dyDescent="0.25">
      <c r="V52" s="52"/>
      <c r="W52" s="52"/>
    </row>
    <row r="53" spans="22:23" x14ac:dyDescent="0.25">
      <c r="V53" s="52"/>
      <c r="W53" s="52"/>
    </row>
    <row r="54" spans="22:23" x14ac:dyDescent="0.25">
      <c r="V54" s="52"/>
      <c r="W54" s="52"/>
    </row>
    <row r="55" spans="22:23" x14ac:dyDescent="0.25">
      <c r="V55" s="52"/>
      <c r="W55" s="52"/>
    </row>
    <row r="56" spans="22:23" x14ac:dyDescent="0.25">
      <c r="V56" s="52"/>
      <c r="W56" s="52"/>
    </row>
    <row r="57" spans="22:23" x14ac:dyDescent="0.25">
      <c r="V57" s="52"/>
      <c r="W57" s="52"/>
    </row>
    <row r="58" spans="22:23" x14ac:dyDescent="0.25">
      <c r="V58" s="52"/>
      <c r="W58" s="52"/>
    </row>
    <row r="59" spans="22:23" x14ac:dyDescent="0.25">
      <c r="V59" s="52"/>
      <c r="W59" s="52"/>
    </row>
    <row r="60" spans="22:23" x14ac:dyDescent="0.25">
      <c r="V60" s="52"/>
      <c r="W60" s="52"/>
    </row>
    <row r="61" spans="22:23" x14ac:dyDescent="0.25">
      <c r="V61" s="52"/>
      <c r="W61" s="52"/>
    </row>
    <row r="62" spans="22:23" x14ac:dyDescent="0.25">
      <c r="V62" s="52"/>
      <c r="W62" s="52"/>
    </row>
    <row r="63" spans="22:23" x14ac:dyDescent="0.25">
      <c r="V63" s="52"/>
      <c r="W63" s="52"/>
    </row>
    <row r="64" spans="22:23" x14ac:dyDescent="0.25">
      <c r="V64" s="52"/>
      <c r="W64" s="52"/>
    </row>
    <row r="65" spans="22:23" x14ac:dyDescent="0.25">
      <c r="V65" s="52"/>
      <c r="W65" s="52"/>
    </row>
    <row r="66" spans="22:23" x14ac:dyDescent="0.25">
      <c r="V66" s="52"/>
      <c r="W66" s="52"/>
    </row>
    <row r="67" spans="22:23" x14ac:dyDescent="0.25">
      <c r="V67" s="52"/>
      <c r="W67" s="52"/>
    </row>
    <row r="68" spans="22:23" x14ac:dyDescent="0.25">
      <c r="V68" s="52"/>
      <c r="W68" s="52"/>
    </row>
    <row r="69" spans="22:23" x14ac:dyDescent="0.25">
      <c r="V69" s="52"/>
      <c r="W69" s="52"/>
    </row>
    <row r="70" spans="22:23" x14ac:dyDescent="0.25">
      <c r="V70" s="52"/>
      <c r="W70" s="52"/>
    </row>
    <row r="71" spans="22:23" x14ac:dyDescent="0.25">
      <c r="V71" s="52"/>
      <c r="W71" s="52"/>
    </row>
    <row r="72" spans="22:23" x14ac:dyDescent="0.25">
      <c r="V72" s="52"/>
      <c r="W72" s="52"/>
    </row>
    <row r="73" spans="22:23" x14ac:dyDescent="0.25">
      <c r="V73" s="52"/>
      <c r="W73" s="52"/>
    </row>
    <row r="74" spans="22:23" x14ac:dyDescent="0.25">
      <c r="V74" s="52"/>
      <c r="W74" s="52"/>
    </row>
    <row r="75" spans="22:23" x14ac:dyDescent="0.25">
      <c r="V75" s="52"/>
      <c r="W75" s="52"/>
    </row>
    <row r="76" spans="22:23" x14ac:dyDescent="0.25">
      <c r="V76" s="52"/>
      <c r="W76" s="52"/>
    </row>
    <row r="77" spans="22:23" x14ac:dyDescent="0.25">
      <c r="V77" s="52"/>
      <c r="W77" s="52"/>
    </row>
    <row r="78" spans="22:23" x14ac:dyDescent="0.25">
      <c r="V78" s="52"/>
      <c r="W78" s="52"/>
    </row>
    <row r="79" spans="22:23" x14ac:dyDescent="0.25">
      <c r="V79" s="52"/>
      <c r="W79" s="52"/>
    </row>
    <row r="80" spans="22:23" x14ac:dyDescent="0.25">
      <c r="V80" s="52"/>
      <c r="W80" s="52"/>
    </row>
    <row r="81" spans="22:23" x14ac:dyDescent="0.25">
      <c r="V81" s="52"/>
      <c r="W81" s="52"/>
    </row>
    <row r="82" spans="22:23" x14ac:dyDescent="0.25">
      <c r="V82" s="52"/>
      <c r="W82" s="52"/>
    </row>
    <row r="83" spans="22:23" x14ac:dyDescent="0.25">
      <c r="V83" s="52"/>
      <c r="W83" s="52"/>
    </row>
    <row r="84" spans="22:23" x14ac:dyDescent="0.25">
      <c r="V84" s="52"/>
      <c r="W84" s="52"/>
    </row>
    <row r="85" spans="22:23" x14ac:dyDescent="0.25">
      <c r="V85" s="52"/>
      <c r="W85" s="52"/>
    </row>
    <row r="86" spans="22:23" x14ac:dyDescent="0.25">
      <c r="V86" s="52"/>
      <c r="W86" s="52"/>
    </row>
    <row r="87" spans="22:23" x14ac:dyDescent="0.25">
      <c r="V87" s="52"/>
      <c r="W87" s="52"/>
    </row>
    <row r="88" spans="22:23" x14ac:dyDescent="0.25">
      <c r="V88" s="52"/>
      <c r="W88" s="52"/>
    </row>
    <row r="89" spans="22:23" x14ac:dyDescent="0.25">
      <c r="V89" s="52"/>
      <c r="W89" s="52"/>
    </row>
    <row r="90" spans="22:23" x14ac:dyDescent="0.25">
      <c r="V90" s="52"/>
      <c r="W90" s="52"/>
    </row>
    <row r="91" spans="22:23" x14ac:dyDescent="0.25">
      <c r="V91" s="52"/>
      <c r="W91" s="52"/>
    </row>
    <row r="92" spans="22:23" x14ac:dyDescent="0.25">
      <c r="V92" s="52"/>
      <c r="W92" s="52"/>
    </row>
    <row r="93" spans="22:23" x14ac:dyDescent="0.25">
      <c r="V93" s="52"/>
      <c r="W93" s="52"/>
    </row>
    <row r="94" spans="22:23" x14ac:dyDescent="0.25">
      <c r="V94" s="52"/>
      <c r="W94" s="52"/>
    </row>
    <row r="95" spans="22:23" x14ac:dyDescent="0.25">
      <c r="V95" s="52"/>
      <c r="W95" s="52"/>
    </row>
    <row r="96" spans="22:23" x14ac:dyDescent="0.25">
      <c r="V96" s="52"/>
      <c r="W96" s="52"/>
    </row>
    <row r="97" spans="22:23" x14ac:dyDescent="0.25">
      <c r="V97" s="52"/>
      <c r="W97" s="52"/>
    </row>
    <row r="98" spans="22:23" x14ac:dyDescent="0.25">
      <c r="V98" s="52"/>
      <c r="W98" s="52"/>
    </row>
    <row r="99" spans="22:23" x14ac:dyDescent="0.25">
      <c r="V99" s="52"/>
      <c r="W99" s="52"/>
    </row>
    <row r="100" spans="22:23" x14ac:dyDescent="0.25">
      <c r="V100" s="52"/>
      <c r="W100" s="52"/>
    </row>
    <row r="101" spans="22:23" x14ac:dyDescent="0.25">
      <c r="V101" s="52"/>
      <c r="W101" s="52"/>
    </row>
    <row r="102" spans="22:23" x14ac:dyDescent="0.25">
      <c r="V102" s="52"/>
      <c r="W102" s="52"/>
    </row>
    <row r="103" spans="22:23" x14ac:dyDescent="0.25">
      <c r="V103" s="52"/>
      <c r="W103" s="52"/>
    </row>
    <row r="104" spans="22:23" x14ac:dyDescent="0.25">
      <c r="V104" s="52"/>
      <c r="W104" s="52"/>
    </row>
    <row r="105" spans="22:23" x14ac:dyDescent="0.25">
      <c r="V105" s="52"/>
      <c r="W105" s="52"/>
    </row>
    <row r="106" spans="22:23" x14ac:dyDescent="0.25">
      <c r="V106" s="52"/>
      <c r="W106" s="52"/>
    </row>
    <row r="107" spans="22:23" x14ac:dyDescent="0.25">
      <c r="V107" s="52"/>
      <c r="W107" s="52"/>
    </row>
    <row r="108" spans="22:23" x14ac:dyDescent="0.25">
      <c r="V108" s="52"/>
      <c r="W108" s="52"/>
    </row>
    <row r="109" spans="22:23" x14ac:dyDescent="0.25">
      <c r="V109" s="52"/>
      <c r="W109" s="52"/>
    </row>
    <row r="110" spans="22:23" x14ac:dyDescent="0.25">
      <c r="V110" s="52"/>
      <c r="W110" s="52"/>
    </row>
    <row r="111" spans="22:23" x14ac:dyDescent="0.25">
      <c r="V111" s="52"/>
      <c r="W111" s="52"/>
    </row>
    <row r="112" spans="22:23" x14ac:dyDescent="0.25">
      <c r="V112" s="52"/>
      <c r="W112" s="52"/>
    </row>
    <row r="113" spans="22:23" x14ac:dyDescent="0.25">
      <c r="V113" s="52"/>
      <c r="W113" s="52"/>
    </row>
    <row r="114" spans="22:23" x14ac:dyDescent="0.25">
      <c r="V114" s="52"/>
      <c r="W114" s="52"/>
    </row>
    <row r="115" spans="22:23" x14ac:dyDescent="0.25">
      <c r="V115" s="52"/>
      <c r="W115" s="52"/>
    </row>
    <row r="116" spans="22:23" x14ac:dyDescent="0.25">
      <c r="V116" s="52"/>
      <c r="W116" s="52"/>
    </row>
    <row r="117" spans="22:23" x14ac:dyDescent="0.25">
      <c r="V117" s="52"/>
      <c r="W117" s="52"/>
    </row>
    <row r="118" spans="22:23" x14ac:dyDescent="0.25">
      <c r="V118" s="52"/>
      <c r="W118" s="52"/>
    </row>
    <row r="119" spans="22:23" x14ac:dyDescent="0.25">
      <c r="V119" s="52"/>
      <c r="W119" s="52"/>
    </row>
    <row r="120" spans="22:23" x14ac:dyDescent="0.25">
      <c r="V120" s="52"/>
      <c r="W120" s="52"/>
    </row>
    <row r="121" spans="22:23" x14ac:dyDescent="0.25">
      <c r="V121" s="52"/>
      <c r="W121" s="52"/>
    </row>
    <row r="122" spans="22:23" x14ac:dyDescent="0.25">
      <c r="V122" s="52"/>
      <c r="W122" s="52"/>
    </row>
    <row r="123" spans="22:23" x14ac:dyDescent="0.25">
      <c r="V123" s="52"/>
      <c r="W123" s="52"/>
    </row>
    <row r="124" spans="22:23" x14ac:dyDescent="0.25">
      <c r="V124" s="52"/>
      <c r="W124" s="52"/>
    </row>
    <row r="125" spans="22:23" x14ac:dyDescent="0.25">
      <c r="V125" s="52"/>
      <c r="W125" s="52"/>
    </row>
    <row r="126" spans="22:23" x14ac:dyDescent="0.25">
      <c r="V126" s="52"/>
      <c r="W126" s="52"/>
    </row>
    <row r="127" spans="22:23" x14ac:dyDescent="0.25">
      <c r="V127" s="52"/>
      <c r="W127" s="52"/>
    </row>
    <row r="128" spans="22:23" x14ac:dyDescent="0.25">
      <c r="V128" s="52"/>
      <c r="W128" s="52"/>
    </row>
    <row r="129" spans="22:23" x14ac:dyDescent="0.25">
      <c r="V129" s="52"/>
      <c r="W129" s="52"/>
    </row>
    <row r="130" spans="22:23" x14ac:dyDescent="0.25">
      <c r="V130" s="52"/>
      <c r="W130" s="52"/>
    </row>
    <row r="131" spans="22:23" x14ac:dyDescent="0.25">
      <c r="V131" s="52"/>
      <c r="W131" s="52"/>
    </row>
    <row r="132" spans="22:23" x14ac:dyDescent="0.25">
      <c r="V132" s="52"/>
      <c r="W132" s="5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2.xml><?xml version="1.0" encoding="utf-8"?>
<?mso-contentType ?>
<SharedContentType xmlns="Microsoft.SharePoint.Taxonomy.ContentTypeSync" SourceId="f2a00314-ae30-474d-911b-f8e025e1af2d" ContentTypeId="0x010100EA254AAEB50D427F87E6DD3EC4BD2437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CILocationTaxHTField0 xmlns="9c4207fe-393b-4012-82d4-488376c51aab">
      <Terms xmlns="http://schemas.microsoft.com/office/infopath/2007/PartnerControls"/>
    </JCILocationTaxHTField0>
    <JCIBusinessUnitTaxHTField0 xmlns="9c4207fe-393b-4012-82d4-488376c51aab">
      <Terms xmlns="http://schemas.microsoft.com/office/infopath/2007/PartnerControls"/>
    </JCIBusinessUnitTaxHTField0>
    <TaxCatchAll xmlns="e3e2664a-4298-401e-9fa6-8f5325dd2938"/>
    <JCILanguageTaxHTField0 xmlns="9c4207fe-393b-4012-82d4-488376c51aab">
      <Terms xmlns="http://schemas.microsoft.com/office/infopath/2007/PartnerControls"/>
    </JCILanguageTaxHTField0>
    <DataClassificationLevelTaxHTField0 xmlns="9c4207fe-393b-4012-82d4-488376c51aab">
      <Terms xmlns="http://schemas.microsoft.com/office/infopath/2007/PartnerControls"/>
    </DataClassificationLevelTaxHTField0>
    <TopicTaxHTField0 xmlns="9c4207fe-393b-4012-82d4-488376c51aab">
      <Terms xmlns="http://schemas.microsoft.com/office/infopath/2007/PartnerControls"/>
    </TopicTaxHTField0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JCI Document" ma:contentTypeID="0x010100EA254AAEB50D427F87E6DD3EC4BD243700E9DE5F98739F3B429380BCA2E3696BC2" ma:contentTypeVersion="5" ma:contentTypeDescription="JCI Document" ma:contentTypeScope="" ma:versionID="3955ada78c24239fa9700bbfd7f7934b">
  <xsd:schema xmlns:xsd="http://www.w3.org/2001/XMLSchema" xmlns:xs="http://www.w3.org/2001/XMLSchema" xmlns:p="http://schemas.microsoft.com/office/2006/metadata/properties" xmlns:ns2="9c4207fe-393b-4012-82d4-488376c51aab" xmlns:ns3="e3e2664a-4298-401e-9fa6-8f5325dd2938" targetNamespace="http://schemas.microsoft.com/office/2006/metadata/properties" ma:root="true" ma:fieldsID="50021d37a7b8ab4183afcb8aff0b29f5" ns2:_="" ns3:_="">
    <xsd:import namespace="9c4207fe-393b-4012-82d4-488376c51aab"/>
    <xsd:import namespace="e3e2664a-4298-401e-9fa6-8f5325dd2938"/>
    <xsd:element name="properties">
      <xsd:complexType>
        <xsd:sequence>
          <xsd:element name="documentManagement">
            <xsd:complexType>
              <xsd:all>
                <xsd:element ref="ns2:JCIBusinessUnitTaxHTField0" minOccurs="0"/>
                <xsd:element ref="ns2:JCILocationTaxHTField0" minOccurs="0"/>
                <xsd:element ref="ns2:JCILanguageTaxHTField0" minOccurs="0"/>
                <xsd:element ref="ns2:TopicTaxHTField0" minOccurs="0"/>
                <xsd:element ref="ns2:DataClassificationLevelTaxHTField0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4207fe-393b-4012-82d4-488376c51aab" elementFormDefault="qualified">
    <xsd:import namespace="http://schemas.microsoft.com/office/2006/documentManagement/types"/>
    <xsd:import namespace="http://schemas.microsoft.com/office/infopath/2007/PartnerControls"/>
    <xsd:element name="JCIBusinessUnitTaxHTField0" ma:index="9" nillable="true" ma:taxonomy="true" ma:internalName="JCIBusinessUnitTaxHTField0" ma:taxonomyFieldName="JCIBusinessUnit" ma:displayName="JCI Business Unit" ma:readOnly="false" ma:default="" ma:fieldId="{24d4f6e7-885d-4561-8381-5613b813a45f}" ma:taxonomyMulti="true" ma:sspId="f2a00314-ae30-474d-911b-f8e025e1af2d" ma:termSetId="9cb87515-392a-4392-b6bb-9d224e1d437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ocationTaxHTField0" ma:index="11" nillable="true" ma:taxonomy="true" ma:internalName="JCILocationTaxHTField0" ma:taxonomyFieldName="JCILocation" ma:displayName="JCI Location" ma:readOnly="false" ma:default="" ma:fieldId="{617e4336-b4c5-4c11-a84a-563b34604034}" ma:sspId="f2a00314-ae30-474d-911b-f8e025e1af2d" ma:termSetId="07003981-637c-4838-a343-bac88dd2881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anguageTaxHTField0" ma:index="13" nillable="true" ma:taxonomy="true" ma:internalName="JCILanguageTaxHTField0" ma:taxonomyFieldName="JCILanguage" ma:displayName="JCI Language" ma:fieldId="{24f4bd7e-396c-4b09-a734-43ac5ad5d554}" ma:sspId="f2a00314-ae30-474d-911b-f8e025e1af2d" ma:termSetId="0762c3c1-5030-4853-9ae8-983fa53dee3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opicTaxHTField0" ma:index="15" nillable="true" ma:taxonomy="true" ma:internalName="TopicTaxHTField0" ma:taxonomyFieldName="Topic" ma:displayName="Topic" ma:fieldId="{cc23096b-b68a-4ab9-bdbc-041cb02baae8}" ma:sspId="f2a00314-ae30-474d-911b-f8e025e1af2d" ma:termSetId="a5a0fed3-45dd-484f-a67e-3cafc0ec6d5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aClassificationLevelTaxHTField0" ma:index="17" nillable="true" ma:taxonomy="true" ma:internalName="DataClassificationLevelTaxHTField0" ma:taxonomyFieldName="DataClassificationLevel" ma:displayName="Data Classification Level" ma:readOnly="false" ma:default="" ma:fieldId="{6e650b06-ad35-42d8-9b98-3f3a368024d7}" ma:sspId="f2a00314-ae30-474d-911b-f8e025e1af2d" ma:termSetId="36eb6eb5-fd24-49d9-953c-2dddb29c16af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e2664a-4298-401e-9fa6-8f5325dd293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a1afa5-da74-4e39-9667-6cc7600f0e3c}" ma:internalName="TaxCatchAll" ma:showField="CatchAllData" ma:web="9c4207fe-393b-4012-82d4-488376c51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5DFDF45-1E46-469B-B7AF-371ED483F09D}">
  <ds:schemaRefs>
    <ds:schemaRef ds:uri="http://schemas.microsoft.com/office/2006/metadata/customXsn"/>
  </ds:schemaRefs>
</ds:datastoreItem>
</file>

<file path=customXml/itemProps2.xml><?xml version="1.0" encoding="utf-8"?>
<ds:datastoreItem xmlns:ds="http://schemas.openxmlformats.org/officeDocument/2006/customXml" ds:itemID="{70270C07-0F4E-475D-ABEF-EBCA88CCD3E8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3109AC88-0E60-488C-8AC3-01883254814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BB540BB-0801-4752-8CD2-070B7A12384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9c4207fe-393b-4012-82d4-488376c51aab"/>
    <ds:schemaRef ds:uri="http://purl.org/dc/elements/1.1/"/>
    <ds:schemaRef ds:uri="http://schemas.microsoft.com/office/2006/metadata/properties"/>
    <ds:schemaRef ds:uri="http://schemas.microsoft.com/office/infopath/2007/PartnerControls"/>
    <ds:schemaRef ds:uri="e3e2664a-4298-401e-9fa6-8f5325dd2938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95CE8855-DAB9-4D18-B52A-3F140E85C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4207fe-393b-4012-82d4-488376c51aab"/>
    <ds:schemaRef ds:uri="e3e2664a-4298-401e-9fa6-8f5325dd29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Report Template</vt:lpstr>
      <vt:lpstr>Report WorkSheet</vt:lpstr>
      <vt:lpstr>Instrument Map</vt:lpstr>
      <vt:lpstr>CalReport</vt:lpstr>
      <vt:lpstr>'Report Template'!Print_Area</vt:lpstr>
      <vt:lpstr>'Report WorkSheet'!Print_Area</vt:lpstr>
    </vt:vector>
  </TitlesOfParts>
  <Manager/>
  <Company>Johnson Controls,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Corey W King</dc:creator>
  <cp:keywords/>
  <dc:description/>
  <cp:lastModifiedBy>Scott Gerald Beach</cp:lastModifiedBy>
  <cp:revision/>
  <cp:lastPrinted>2021-12-01T22:35:14Z</cp:lastPrinted>
  <dcterms:created xsi:type="dcterms:W3CDTF">2021-08-25T17:40:48Z</dcterms:created>
  <dcterms:modified xsi:type="dcterms:W3CDTF">2024-08-22T15:39:18Z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etDate">
    <vt:lpwstr>2021-08-25T17:40:49Z</vt:lpwstr>
  </property>
  <property fmtid="{D5CDD505-2E9C-101B-9397-08002B2CF9AE}" pid="4" name="MSIP_Label_6be01c0c-f9b3-4dc4-af0b-a82110cc37cd_Method">
    <vt:lpwstr>Standard</vt:lpwstr>
  </property>
  <property fmtid="{D5CDD505-2E9C-101B-9397-08002B2CF9AE}" pid="5" name="MSIP_Label_6be01c0c-f9b3-4dc4-af0b-a82110cc37cd_Name">
    <vt:lpwstr>6be01c0c-f9b3-4dc4-af0b-a82110cc37cd</vt:lpwstr>
  </property>
  <property fmtid="{D5CDD505-2E9C-101B-9397-08002B2CF9AE}" pid="6" name="MSIP_Label_6be01c0c-f9b3-4dc4-af0b-a82110cc37cd_SiteId">
    <vt:lpwstr>a1f1e214-7ded-45b6-81a1-9e8ae3459641</vt:lpwstr>
  </property>
  <property fmtid="{D5CDD505-2E9C-101B-9397-08002B2CF9AE}" pid="7" name="MSIP_Label_6be01c0c-f9b3-4dc4-af0b-a82110cc37cd_ActionId">
    <vt:lpwstr>3c8b722c-9735-41b1-989f-83a6c90a7a7b</vt:lpwstr>
  </property>
  <property fmtid="{D5CDD505-2E9C-101B-9397-08002B2CF9AE}" pid="8" name="MSIP_Label_6be01c0c-f9b3-4dc4-af0b-a82110cc37cd_ContentBits">
    <vt:lpwstr>0</vt:lpwstr>
  </property>
  <property fmtid="{D5CDD505-2E9C-101B-9397-08002B2CF9AE}" pid="9" name="ContentTypeId">
    <vt:lpwstr>0x010100EA254AAEB50D427F87E6DD3EC4BD243700E9DE5F98739F3B429380BCA2E3696BC2</vt:lpwstr>
  </property>
  <property fmtid="{D5CDD505-2E9C-101B-9397-08002B2CF9AE}" pid="10" name="Topic">
    <vt:lpwstr/>
  </property>
  <property fmtid="{D5CDD505-2E9C-101B-9397-08002B2CF9AE}" pid="11" name="JCILanguage">
    <vt:lpwstr/>
  </property>
  <property fmtid="{D5CDD505-2E9C-101B-9397-08002B2CF9AE}" pid="12" name="DataClassificationLevel">
    <vt:lpwstr/>
  </property>
  <property fmtid="{D5CDD505-2E9C-101B-9397-08002B2CF9AE}" pid="13" name="JCILocation">
    <vt:lpwstr/>
  </property>
  <property fmtid="{D5CDD505-2E9C-101B-9397-08002B2CF9AE}" pid="14" name="JCIBusinessUnit">
    <vt:lpwstr/>
  </property>
</Properties>
</file>