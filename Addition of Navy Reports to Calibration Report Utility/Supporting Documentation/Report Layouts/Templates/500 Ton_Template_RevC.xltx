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beachsc\OneDrive - Johnson Controls\Documents\Projects\Addition of Navy Reports to Calibration Report Utility\Supporting Documentation\Report Layouts\Templates\"/>
    </mc:Choice>
  </mc:AlternateContent>
  <xr:revisionPtr revIDLastSave="0" documentId="13_ncr:1_{6320F7AF-4CF2-4007-BE40-1842BA036F22}" xr6:coauthVersionLast="47" xr6:coauthVersionMax="47" xr10:uidLastSave="{00000000-0000-0000-0000-000000000000}"/>
  <bookViews>
    <workbookView xWindow="28680" yWindow="-345" windowWidth="29040" windowHeight="15840" tabRatio="769" activeTab="1" xr2:uid="{00000000-000D-0000-FFFF-FFFF00000000}"/>
  </bookViews>
  <sheets>
    <sheet name="Report Template" sheetId="1" r:id="rId1"/>
    <sheet name="Report WorkSheet" sheetId="12" r:id="rId2"/>
    <sheet name="Instrument Map" sheetId="15" r:id="rId3"/>
    <sheet name="CalReport" sheetId="3" r:id="rId4"/>
  </sheets>
  <definedNames>
    <definedName name="_xlnm.Print_Area" localSheetId="0">'Report Template'!$A$1:$F$56</definedName>
    <definedName name="_xlnm.Print_Area" localSheetId="1">'Report WorkSheet'!$A$1:$F$46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2" l="1"/>
  <c r="B11" i="1"/>
  <c r="B12" i="1"/>
  <c r="B13" i="1"/>
  <c r="B14" i="1"/>
  <c r="B15" i="1"/>
  <c r="B16" i="1"/>
  <c r="B17" i="1"/>
  <c r="B18" i="1"/>
  <c r="B19" i="1"/>
  <c r="H11" i="12"/>
  <c r="H12" i="12"/>
  <c r="I12" i="12" s="1"/>
  <c r="H13" i="12"/>
  <c r="I13" i="12" s="1"/>
  <c r="H14" i="12"/>
  <c r="I14" i="12" s="1"/>
  <c r="H15" i="12"/>
  <c r="I15" i="12" s="1"/>
  <c r="M12" i="12"/>
  <c r="M13" i="12"/>
  <c r="O13" i="12" s="1"/>
  <c r="M14" i="12"/>
  <c r="N14" i="12" s="1"/>
  <c r="M15" i="12"/>
  <c r="E15" i="1" s="1"/>
  <c r="M16" i="12"/>
  <c r="E16" i="1" s="1"/>
  <c r="M17" i="12"/>
  <c r="E17" i="1" s="1"/>
  <c r="M18" i="12"/>
  <c r="M19" i="12"/>
  <c r="E19" i="1" s="1"/>
  <c r="L12" i="12"/>
  <c r="O12" i="12" s="1"/>
  <c r="L13" i="12"/>
  <c r="L14" i="12"/>
  <c r="D14" i="1" s="1"/>
  <c r="L15" i="12"/>
  <c r="D15" i="1" s="1"/>
  <c r="L16" i="12"/>
  <c r="D16" i="1" s="1"/>
  <c r="L17" i="12"/>
  <c r="D17" i="1" s="1"/>
  <c r="L18" i="12"/>
  <c r="D18" i="1" s="1"/>
  <c r="L19" i="12"/>
  <c r="J12" i="12"/>
  <c r="K12" i="12" s="1"/>
  <c r="J13" i="12"/>
  <c r="K13" i="12" s="1"/>
  <c r="J14" i="12"/>
  <c r="K14" i="12" s="1"/>
  <c r="J15" i="12"/>
  <c r="K15" i="12" s="1"/>
  <c r="J16" i="12"/>
  <c r="K16" i="12" s="1"/>
  <c r="J17" i="12"/>
  <c r="K17" i="12" s="1"/>
  <c r="J18" i="12"/>
  <c r="J19" i="12"/>
  <c r="K19" i="12" s="1"/>
  <c r="I10" i="12"/>
  <c r="H36" i="12"/>
  <c r="I36" i="12"/>
  <c r="J36" i="12"/>
  <c r="K36" i="12" s="1"/>
  <c r="L36" i="12"/>
  <c r="O36" i="12" s="1"/>
  <c r="D36" i="1"/>
  <c r="M36" i="12"/>
  <c r="H37" i="12"/>
  <c r="I37" i="12"/>
  <c r="J37" i="12"/>
  <c r="K37" i="12"/>
  <c r="L37" i="12"/>
  <c r="M37" i="12"/>
  <c r="N37" i="12" s="1"/>
  <c r="H38" i="12"/>
  <c r="I38" i="12" s="1"/>
  <c r="J38" i="12"/>
  <c r="K38" i="12" s="1"/>
  <c r="L38" i="12"/>
  <c r="D38" i="1" s="1"/>
  <c r="M38" i="12"/>
  <c r="E38" i="1" s="1"/>
  <c r="H39" i="12"/>
  <c r="I39" i="12" s="1"/>
  <c r="J39" i="12"/>
  <c r="K39" i="12" s="1"/>
  <c r="L39" i="12"/>
  <c r="D39" i="1" s="1"/>
  <c r="M39" i="12"/>
  <c r="E39" i="1"/>
  <c r="H31" i="12"/>
  <c r="I31" i="12" s="1"/>
  <c r="J31" i="12"/>
  <c r="K31" i="12" s="1"/>
  <c r="L31" i="12"/>
  <c r="D31" i="1"/>
  <c r="M31" i="12"/>
  <c r="H32" i="12"/>
  <c r="I32" i="12" s="1"/>
  <c r="J32" i="12"/>
  <c r="K32" i="12" s="1"/>
  <c r="L32" i="12"/>
  <c r="D32" i="1" s="1"/>
  <c r="M32" i="12"/>
  <c r="B36" i="1"/>
  <c r="C36" i="1"/>
  <c r="B37" i="1"/>
  <c r="C37" i="1"/>
  <c r="B38" i="1"/>
  <c r="C38" i="1"/>
  <c r="B39" i="1"/>
  <c r="C39" i="1"/>
  <c r="C31" i="1"/>
  <c r="C32" i="1"/>
  <c r="B31" i="1"/>
  <c r="B32" i="1"/>
  <c r="C27" i="1"/>
  <c r="H27" i="12"/>
  <c r="I27" i="12"/>
  <c r="J27" i="12"/>
  <c r="K27" i="12" s="1"/>
  <c r="L27" i="12"/>
  <c r="O27" i="12" s="1"/>
  <c r="D27" i="1"/>
  <c r="M27" i="12"/>
  <c r="N27" i="12" s="1"/>
  <c r="N36" i="12"/>
  <c r="E36" i="1"/>
  <c r="E27" i="1"/>
  <c r="E32" i="1"/>
  <c r="B27" i="1"/>
  <c r="B22" i="1"/>
  <c r="C22" i="1"/>
  <c r="B23" i="1"/>
  <c r="C23" i="1"/>
  <c r="B24" i="1"/>
  <c r="C24" i="1"/>
  <c r="B42" i="1"/>
  <c r="C42" i="1"/>
  <c r="H42" i="12"/>
  <c r="I42" i="12" s="1"/>
  <c r="J42" i="12"/>
  <c r="K42" i="12" s="1"/>
  <c r="L42" i="12"/>
  <c r="D42" i="1"/>
  <c r="M42" i="12"/>
  <c r="N42" i="12" s="1"/>
  <c r="H22" i="12"/>
  <c r="I22" i="12" s="1"/>
  <c r="J22" i="12"/>
  <c r="K22" i="12" s="1"/>
  <c r="L22" i="12"/>
  <c r="M22" i="12"/>
  <c r="N22" i="12" s="1"/>
  <c r="E22" i="1"/>
  <c r="H23" i="12"/>
  <c r="I23" i="12" s="1"/>
  <c r="J23" i="12"/>
  <c r="K23" i="12" s="1"/>
  <c r="L23" i="12"/>
  <c r="M23" i="12"/>
  <c r="E23" i="1" s="1"/>
  <c r="H24" i="12"/>
  <c r="I24" i="12" s="1"/>
  <c r="J24" i="12"/>
  <c r="K24" i="12" s="1"/>
  <c r="L24" i="12"/>
  <c r="D24" i="1"/>
  <c r="M24" i="12"/>
  <c r="E24" i="1" s="1"/>
  <c r="I11" i="12"/>
  <c r="J11" i="12"/>
  <c r="K11" i="12" s="1"/>
  <c r="L11" i="12"/>
  <c r="N11" i="12" s="1"/>
  <c r="D11" i="1"/>
  <c r="M11" i="12"/>
  <c r="E11" i="1" s="1"/>
  <c r="D13" i="1"/>
  <c r="E13" i="1"/>
  <c r="H16" i="12"/>
  <c r="I16" i="12"/>
  <c r="H17" i="12"/>
  <c r="I17" i="12" s="1"/>
  <c r="H18" i="12"/>
  <c r="I18" i="12"/>
  <c r="K18" i="12"/>
  <c r="H19" i="12"/>
  <c r="I19" i="12" s="1"/>
  <c r="C11" i="1"/>
  <c r="C12" i="1"/>
  <c r="C13" i="1"/>
  <c r="C14" i="1"/>
  <c r="C15" i="1"/>
  <c r="C16" i="1"/>
  <c r="C17" i="1"/>
  <c r="C18" i="1"/>
  <c r="C19" i="1"/>
  <c r="B35" i="1"/>
  <c r="C35" i="1"/>
  <c r="B4" i="1"/>
  <c r="B3" i="1"/>
  <c r="B5" i="1"/>
  <c r="B2" i="1"/>
  <c r="H35" i="12"/>
  <c r="I35" i="12" s="1"/>
  <c r="N12" i="12"/>
  <c r="E18" i="1"/>
  <c r="E12" i="1"/>
  <c r="L30" i="12"/>
  <c r="O30" i="12" s="1"/>
  <c r="D30" i="1"/>
  <c r="L35" i="12"/>
  <c r="D35" i="1"/>
  <c r="M35" i="12"/>
  <c r="O35" i="12" s="1"/>
  <c r="M30" i="12"/>
  <c r="E30" i="1" s="1"/>
  <c r="M10" i="12"/>
  <c r="O10" i="12" s="1"/>
  <c r="L10" i="12"/>
  <c r="D10" i="1"/>
  <c r="B1" i="1"/>
  <c r="E46" i="1"/>
  <c r="C46" i="1"/>
  <c r="C30" i="1"/>
  <c r="B10" i="1"/>
  <c r="B30" i="1"/>
  <c r="C10" i="1"/>
  <c r="H30" i="12"/>
  <c r="I30" i="12" s="1"/>
  <c r="J35" i="12"/>
  <c r="K35" i="12" s="1"/>
  <c r="J30" i="12"/>
  <c r="K30" i="12" s="1"/>
  <c r="J10" i="12"/>
  <c r="K10" i="12"/>
  <c r="E42" i="1" l="1"/>
  <c r="O42" i="12"/>
  <c r="O31" i="12"/>
  <c r="D12" i="1"/>
  <c r="E35" i="1"/>
  <c r="O19" i="12"/>
  <c r="E10" i="1"/>
  <c r="E37" i="1"/>
  <c r="N30" i="12"/>
  <c r="O15" i="12"/>
  <c r="N32" i="12"/>
  <c r="N39" i="12"/>
  <c r="N10" i="12"/>
  <c r="O11" i="12"/>
  <c r="N18" i="12"/>
  <c r="O39" i="12"/>
  <c r="O32" i="12"/>
  <c r="O18" i="12"/>
  <c r="O17" i="12"/>
  <c r="D19" i="1"/>
  <c r="N17" i="12"/>
  <c r="N19" i="12"/>
  <c r="N23" i="12"/>
  <c r="O22" i="12"/>
  <c r="N13" i="12"/>
  <c r="O14" i="12"/>
  <c r="N38" i="12"/>
  <c r="O38" i="12"/>
  <c r="N31" i="12"/>
  <c r="E14" i="1"/>
  <c r="O37" i="12"/>
  <c r="N15" i="12"/>
  <c r="D37" i="1"/>
  <c r="O24" i="12"/>
  <c r="E31" i="1"/>
  <c r="N16" i="12"/>
  <c r="D23" i="1"/>
  <c r="N24" i="12"/>
  <c r="O23" i="12"/>
  <c r="N35" i="12"/>
  <c r="O16" i="12"/>
  <c r="D22" i="1"/>
</calcChain>
</file>

<file path=xl/sharedStrings.xml><?xml version="1.0" encoding="utf-8"?>
<sst xmlns="http://schemas.openxmlformats.org/spreadsheetml/2006/main" count="117" uniqueCount="103">
  <si>
    <t>Instrument Serial Number</t>
  </si>
  <si>
    <t>Instrument Title</t>
  </si>
  <si>
    <t>Calibration Dates</t>
  </si>
  <si>
    <t>Last</t>
  </si>
  <si>
    <t>Next</t>
  </si>
  <si>
    <t>DAQ2 RTD Temperatures</t>
  </si>
  <si>
    <t>DAQ3 RTD Temperatures</t>
  </si>
  <si>
    <t>Omega Pressure Transducer</t>
  </si>
  <si>
    <t>BAROMETRIC PRESSURE</t>
  </si>
  <si>
    <t>Rosemount Delta P Transducer</t>
  </si>
  <si>
    <t>EVAPORATOR WATER PRESSURE DROP</t>
  </si>
  <si>
    <t>Rosemount Magmeter</t>
  </si>
  <si>
    <t>EVAPORATOR WATER FLOW A</t>
  </si>
  <si>
    <t>EVAPORATOR WATER FLOW B</t>
  </si>
  <si>
    <t>CONDENSER WATER FLOW A</t>
  </si>
  <si>
    <t>CONDENSER WATER FLOW B</t>
  </si>
  <si>
    <t>Xitron Power Analyzer</t>
  </si>
  <si>
    <t>↓ Eng Tag Names Match? ↓</t>
  </si>
  <si>
    <t>HW Tag Name</t>
  </si>
  <si>
    <t>↓ HW Tag Names Match? ↓</t>
  </si>
  <si>
    <t>COND WATER ENTERING TEMP A</t>
  </si>
  <si>
    <t>COND WATER ENTERING TEMP B</t>
  </si>
  <si>
    <t>COND WATER LEAVING TEMP A</t>
  </si>
  <si>
    <t>COND WATER LEAVING TEMP B</t>
  </si>
  <si>
    <t>EVAP WATER ENTERING TEMP A</t>
  </si>
  <si>
    <t>EVAP WATER ENTERING TEMP B</t>
  </si>
  <si>
    <t>EVAP WATER LEAVING TEMP A</t>
  </si>
  <si>
    <t>EVAP WATER LEAVING TEMP B</t>
  </si>
  <si>
    <t>AUX COOLING WATER ENTERING TEMP</t>
  </si>
  <si>
    <t>AUX COOLING WATER LEAVING TEMP</t>
  </si>
  <si>
    <t>Prepared By:</t>
  </si>
  <si>
    <t>Date:</t>
  </si>
  <si>
    <t>`</t>
  </si>
  <si>
    <t>Johnson Controls Calibration Report</t>
  </si>
  <si>
    <t>ENG Tag Name</t>
  </si>
  <si>
    <t>Tag Names</t>
  </si>
  <si>
    <t>Notes</t>
  </si>
  <si>
    <t>↓ Cal Date from Cal Report ↓</t>
  </si>
  <si>
    <t>↓ Cal Due From Cal Report ↓</t>
  </si>
  <si>
    <t>↓ HW Tag Names from Cal Report ↓</t>
  </si>
  <si>
    <t>↓ Eng Tag Names from Cal Report ↓</t>
  </si>
  <si>
    <t>Facility Information
Not on Inst Map
Get From
Cal Report</t>
  </si>
  <si>
    <t>↓ Date in Range ↓</t>
  </si>
  <si>
    <t xml:space="preserve">Unit Type:  </t>
  </si>
  <si>
    <t xml:space="preserve">Test Request Number: </t>
  </si>
  <si>
    <t xml:space="preserve">Instrument Map Date:  </t>
  </si>
  <si>
    <t xml:space="preserve">JADEC Test Facility:  </t>
  </si>
  <si>
    <t>↓ # Days ↓</t>
  </si>
  <si>
    <t>Formatted date for validation</t>
  </si>
  <si>
    <t>AMBIENT TEMPERATURE</t>
  </si>
  <si>
    <t>CONDENSER WATER PRESSURE DROP</t>
  </si>
  <si>
    <t>OIL COOLER WATER PRESSURE DROP</t>
  </si>
  <si>
    <t>OIL COOLER WATER FLOW</t>
  </si>
  <si>
    <t>OIL COOLER WATER ON</t>
  </si>
  <si>
    <t>OIL COOLER WATER OFF</t>
  </si>
  <si>
    <t>COND_WTR_E_TEMP_TET-CW-2A</t>
  </si>
  <si>
    <t>DAQ2_RTD_001</t>
  </si>
  <si>
    <t>COND_WTR_E_TEMP_TET-CW-2B</t>
  </si>
  <si>
    <t>DAQ2_RTD_002</t>
  </si>
  <si>
    <t>COND_WTR_L_TEMP_TET-CW-3A</t>
  </si>
  <si>
    <t>DAQ2_RTD_003</t>
  </si>
  <si>
    <t>COND_WTR_L_TEMP_TET-CW-3B</t>
  </si>
  <si>
    <t>DAQ2_RTD_004</t>
  </si>
  <si>
    <t>EVAP_WTR_E_TEMP_TET-EW-2A</t>
  </si>
  <si>
    <t>DAQ2_RTD_005</t>
  </si>
  <si>
    <t>EVAP_WTR_E_TEMP_TET-EW-2B</t>
  </si>
  <si>
    <t>DAQ2_RTD_006</t>
  </si>
  <si>
    <t>EVAP_WTR_L_TEMP_TET-EW-3A</t>
  </si>
  <si>
    <t>DAQ2_RTD_007</t>
  </si>
  <si>
    <t>EVAP_WTR_L_TEMP_TET-EW-3B</t>
  </si>
  <si>
    <t>DAQ2_RTD_008</t>
  </si>
  <si>
    <t>CH_WTR_E_TEMP_TET-CH-2</t>
  </si>
  <si>
    <t>DAQ2_RTD_009</t>
  </si>
  <si>
    <t>CH_WTR_L_TEMP_TET-CH-3</t>
  </si>
  <si>
    <t>DAQ2_RTD_010</t>
  </si>
  <si>
    <t>Facility Information
Not on Inst Map
Get From
Cal Report
ENG and HW Tag Names
Should remain the same</t>
  </si>
  <si>
    <t xml:space="preserve"> HW Tag Names
Not on Inst Map
Use Channel to determine
Eng Tag Names
Should remain the same</t>
  </si>
  <si>
    <t>EVAP_WTR_E_TOTAL_FLOW</t>
  </si>
  <si>
    <t>COND_WTR_E_TOTAL_FLOW</t>
  </si>
  <si>
    <t>EVAP_WTR_E_FLOW_FT-EW-1A</t>
  </si>
  <si>
    <t>EVAP_WTR_E_FLOW_FT-EW-1B</t>
  </si>
  <si>
    <t>COND_WTR_E_FLOW_FT-CW-1A</t>
  </si>
  <si>
    <t>COND_WTR_E_FLOW_FT-CW-1B</t>
  </si>
  <si>
    <t>AMB_UNIT_AIR_EXT_PRESS_01</t>
  </si>
  <si>
    <t>EVAP_UNIT_WTR_NOZ_DP_01</t>
  </si>
  <si>
    <t>COND_UNIT_WTR_NOZ_DP_01</t>
  </si>
  <si>
    <t>OIL_UNIT_WTR_NOZ_DP_01</t>
  </si>
  <si>
    <t>OIL_SYS01_WTR_CLR-E_TEMP_01</t>
  </si>
  <si>
    <t>OIL_SYS01_WTR_CLR-L_TEMP_01</t>
  </si>
  <si>
    <t>AMB_UNIT_AIR_EXT_TEMP_01</t>
  </si>
  <si>
    <t>OIL_SYS01_WTR_CLR-E_FLOW_01</t>
  </si>
  <si>
    <t>CH_WTR_E_FLOW_FT-CH-1</t>
  </si>
  <si>
    <t>Not on Inst Map
Get From Cal Report</t>
  </si>
  <si>
    <t>CHILLER INPUT</t>
  </si>
  <si>
    <t>500 Ton</t>
  </si>
  <si>
    <t>DAQ3A_RTD_001</t>
  </si>
  <si>
    <t>DAQ3A_RTD_002</t>
  </si>
  <si>
    <t>DAQ3A_RTD_003</t>
  </si>
  <si>
    <t>DAQ3A_AI_001</t>
  </si>
  <si>
    <t>DAQ3A_AI_002</t>
  </si>
  <si>
    <t>DAQ3A_AI_003</t>
  </si>
  <si>
    <t>DAQ3A_AI_004</t>
  </si>
  <si>
    <t>XT2640-011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</si>
</sst>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/d/yyyy;@"/>
    <numFmt numFmtId="165" formatCode="mm/dd/yy;@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1E1E1E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BDD7EE"/>
        <bgColor rgb="FF000000"/>
      </patternFill>
    </fill>
    <fill>
      <patternFill patternType="solid">
        <fgColor rgb="FFFFFF99"/>
        <bgColor rgb="FF000000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05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3" fillId="0" borderId="0" xfId="0" applyFont="1"/>
    <xf numFmtId="14" fontId="1" fillId="0" borderId="4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/>
    </xf>
    <xf numFmtId="0" fontId="1" fillId="0" borderId="0" xfId="0" applyFont="1" applyAlignment="1">
      <alignment wrapText="1"/>
    </xf>
    <xf numFmtId="14" fontId="1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14" fontId="1" fillId="2" borderId="0" xfId="0" applyNumberFormat="1" applyFont="1" applyFill="1" applyAlignment="1">
      <alignment horizontal="center"/>
    </xf>
    <xf numFmtId="0" fontId="1" fillId="0" borderId="5" xfId="0" applyFont="1" applyBorder="1"/>
    <xf numFmtId="0" fontId="1" fillId="0" borderId="5" xfId="0" applyFont="1" applyBorder="1" applyAlignment="1">
      <alignment vertical="center" wrapText="1"/>
    </xf>
    <xf numFmtId="0" fontId="4" fillId="0" borderId="1" xfId="0" applyFont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14" fontId="1" fillId="0" borderId="0" xfId="0" applyNumberFormat="1" applyFont="1" applyAlignment="1">
      <alignment vertical="center" wrapText="1"/>
    </xf>
    <xf numFmtId="164" fontId="1" fillId="0" borderId="4" xfId="0" applyNumberFormat="1" applyFont="1" applyBorder="1" applyAlignment="1">
      <alignment horizontal="center"/>
    </xf>
    <xf numFmtId="165" fontId="1" fillId="0" borderId="0" xfId="0" applyNumberFormat="1" applyFont="1"/>
    <xf numFmtId="0" fontId="1" fillId="0" borderId="4" xfId="0" applyFont="1" applyBorder="1"/>
    <xf numFmtId="164" fontId="1" fillId="2" borderId="0" xfId="0" applyNumberFormat="1" applyFont="1" applyFill="1" applyAlignment="1">
      <alignment horizontal="left"/>
    </xf>
    <xf numFmtId="164" fontId="1" fillId="0" borderId="5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2" borderId="0" xfId="0" quotePrefix="1" applyFont="1" applyFill="1" applyAlignment="1">
      <alignment horizontal="left"/>
    </xf>
    <xf numFmtId="0" fontId="4" fillId="0" borderId="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1" fillId="0" borderId="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1" fillId="0" borderId="2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5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/>
    </xf>
    <xf numFmtId="0" fontId="5" fillId="4" borderId="6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7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</cellXfs>
  <cellStyles count="1">
    <cellStyle name="Normal" xfId="0" builtinId="0"/>
  </cellStyles>
  <dxfs count="4"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theme="9" tint="-0.24994659260841701"/>
      </font>
      <fill>
        <patternFill>
          <bgColor theme="9" tint="0.59996337778862885"/>
        </patternFill>
      </fill>
    </dxf>
  </dxfs>
  <tableStyles count="1" defaultTableStyle="TableStyleMedium2" defaultPivotStyle="PivotStyleLight16">
    <tableStyle name="Invisible" pivot="0" table="0" count="0" xr9:uid="{B73F7B56-16B2-494D-9DA0-29008157EDDE}"/>
  </tableStyles>
  <colors>
    <mruColors>
      <color rgb="FFFFFF99"/>
      <color rgb="FF9C0006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G56"/>
  <sheetViews>
    <sheetView workbookViewId="0">
      <selection activeCell="E46" sqref="E46"/>
    </sheetView>
  </sheetViews>
  <sheetFormatPr defaultColWidth="8.85546875" defaultRowHeight="12.75" x14ac:dyDescent="0.2"/>
  <cols>
    <col min="1" max="1" width="8.85546875" style="3" customWidth="1"/>
    <col min="2" max="2" width="25.140625" style="2" customWidth="1"/>
    <col min="3" max="3" width="42.140625" style="2" bestFit="1" customWidth="1"/>
    <col min="4" max="5" width="10.5703125" style="8" bestFit="1" customWidth="1"/>
    <col min="6" max="7" width="8.85546875" style="2" customWidth="1"/>
    <col min="8" max="16384" width="8.85546875" style="2"/>
  </cols>
  <sheetData>
    <row r="1" spans="1:6" ht="13.9" customHeight="1" x14ac:dyDescent="0.2">
      <c r="A1" s="10"/>
      <c r="B1" s="63" t="str">
        <f>'Report WorkSheet'!B1:E1</f>
        <v>Johnson Controls Calibration Report</v>
      </c>
      <c r="C1" s="63"/>
      <c r="D1" s="63"/>
      <c r="E1" s="63"/>
      <c r="F1" s="10"/>
    </row>
    <row r="2" spans="1:6" ht="13.9" customHeight="1" x14ac:dyDescent="0.2">
      <c r="A2" s="10"/>
      <c r="B2" s="63" t="str">
        <f>CONCATENATE('Report WorkSheet'!B2,'Report WorkSheet'!C2)</f>
        <v>Unit Type:  500 Ton</v>
      </c>
      <c r="C2" s="63"/>
      <c r="D2" s="63"/>
      <c r="E2" s="63"/>
      <c r="F2" s="10"/>
    </row>
    <row r="3" spans="1:6" x14ac:dyDescent="0.2">
      <c r="A3" s="10"/>
      <c r="B3" s="63" t="str">
        <f>CONCATENATE('Report WorkSheet'!B3,'Report WorkSheet'!C3)</f>
        <v xml:space="preserve">Test Request Number: </v>
      </c>
      <c r="C3" s="63"/>
      <c r="D3" s="63"/>
      <c r="E3" s="63"/>
      <c r="F3" s="10"/>
    </row>
    <row r="4" spans="1:6" x14ac:dyDescent="0.2">
      <c r="A4" s="10"/>
      <c r="B4" s="63" t="str">
        <f>CONCATENATE('Report WorkSheet'!B4,'Report WorkSheet'!C4)</f>
        <v xml:space="preserve">Instrument Map Date:  </v>
      </c>
      <c r="C4" s="63"/>
      <c r="D4" s="63"/>
      <c r="E4" s="63"/>
      <c r="F4" s="10"/>
    </row>
    <row r="5" spans="1:6" x14ac:dyDescent="0.2">
      <c r="A5" s="10"/>
      <c r="B5" s="63" t="str">
        <f>CONCATENATE('Report WorkSheet'!B5,'Report WorkSheet'!C5)</f>
        <v xml:space="preserve">JADEC Test Facility:  </v>
      </c>
      <c r="C5" s="63"/>
      <c r="D5" s="63"/>
      <c r="E5" s="63"/>
      <c r="F5" s="10"/>
    </row>
    <row r="6" spans="1:6" x14ac:dyDescent="0.2">
      <c r="A6" s="9"/>
      <c r="B6" s="10"/>
      <c r="C6" s="11"/>
      <c r="D6" s="14"/>
      <c r="E6" s="14"/>
    </row>
    <row r="7" spans="1:6" x14ac:dyDescent="0.2">
      <c r="B7" s="62" t="s">
        <v>0</v>
      </c>
      <c r="C7" s="62" t="s">
        <v>1</v>
      </c>
      <c r="D7" s="62" t="s">
        <v>2</v>
      </c>
      <c r="E7" s="62"/>
    </row>
    <row r="8" spans="1:6" x14ac:dyDescent="0.2">
      <c r="B8" s="62"/>
      <c r="C8" s="62"/>
      <c r="D8" s="15" t="s">
        <v>3</v>
      </c>
      <c r="E8" s="15" t="s">
        <v>4</v>
      </c>
    </row>
    <row r="9" spans="1:6" x14ac:dyDescent="0.2">
      <c r="B9" s="4" t="s">
        <v>5</v>
      </c>
      <c r="C9" s="4"/>
      <c r="D9" s="4"/>
      <c r="E9" s="4"/>
    </row>
    <row r="10" spans="1:6" x14ac:dyDescent="0.2">
      <c r="B10" s="5">
        <f>'Report WorkSheet'!B10</f>
        <v>0</v>
      </c>
      <c r="C10" s="5" t="str">
        <f>'Report WorkSheet'!C10</f>
        <v>COND WATER ENTERING TEMP A</v>
      </c>
      <c r="D10" s="13" t="e">
        <f>'Report WorkSheet'!L10</f>
        <v>#N/A</v>
      </c>
      <c r="E10" s="13" t="e">
        <f>'Report WorkSheet'!M10</f>
        <v>#N/A</v>
      </c>
    </row>
    <row r="11" spans="1:6" x14ac:dyDescent="0.2">
      <c r="B11" s="5">
        <f>'Report WorkSheet'!B11</f>
        <v>0</v>
      </c>
      <c r="C11" s="5" t="str">
        <f>'Report WorkSheet'!C11</f>
        <v>COND WATER ENTERING TEMP B</v>
      </c>
      <c r="D11" s="13" t="e">
        <f>'Report WorkSheet'!L11</f>
        <v>#N/A</v>
      </c>
      <c r="E11" s="13" t="e">
        <f>'Report WorkSheet'!M11</f>
        <v>#N/A</v>
      </c>
    </row>
    <row r="12" spans="1:6" x14ac:dyDescent="0.2">
      <c r="B12" s="5">
        <f>'Report WorkSheet'!B12</f>
        <v>0</v>
      </c>
      <c r="C12" s="5" t="str">
        <f>'Report WorkSheet'!C12</f>
        <v>COND WATER LEAVING TEMP A</v>
      </c>
      <c r="D12" s="13" t="e">
        <f>'Report WorkSheet'!L12</f>
        <v>#N/A</v>
      </c>
      <c r="E12" s="13" t="e">
        <f>'Report WorkSheet'!M12</f>
        <v>#N/A</v>
      </c>
    </row>
    <row r="13" spans="1:6" x14ac:dyDescent="0.2">
      <c r="B13" s="5">
        <f>'Report WorkSheet'!B13</f>
        <v>0</v>
      </c>
      <c r="C13" s="5" t="str">
        <f>'Report WorkSheet'!C13</f>
        <v>COND WATER LEAVING TEMP B</v>
      </c>
      <c r="D13" s="13" t="e">
        <f>'Report WorkSheet'!L13</f>
        <v>#N/A</v>
      </c>
      <c r="E13" s="13" t="e">
        <f>'Report WorkSheet'!M13</f>
        <v>#N/A</v>
      </c>
    </row>
    <row r="14" spans="1:6" x14ac:dyDescent="0.2">
      <c r="B14" s="5">
        <f>'Report WorkSheet'!B14</f>
        <v>0</v>
      </c>
      <c r="C14" s="5" t="str">
        <f>'Report WorkSheet'!C14</f>
        <v>EVAP WATER ENTERING TEMP A</v>
      </c>
      <c r="D14" s="13" t="e">
        <f>'Report WorkSheet'!L14</f>
        <v>#N/A</v>
      </c>
      <c r="E14" s="13" t="e">
        <f>'Report WorkSheet'!M14</f>
        <v>#N/A</v>
      </c>
    </row>
    <row r="15" spans="1:6" x14ac:dyDescent="0.2">
      <c r="B15" s="5">
        <f>'Report WorkSheet'!B15</f>
        <v>0</v>
      </c>
      <c r="C15" s="5" t="str">
        <f>'Report WorkSheet'!C15</f>
        <v>EVAP WATER ENTERING TEMP B</v>
      </c>
      <c r="D15" s="13" t="e">
        <f>'Report WorkSheet'!L15</f>
        <v>#N/A</v>
      </c>
      <c r="E15" s="13" t="e">
        <f>'Report WorkSheet'!M15</f>
        <v>#N/A</v>
      </c>
    </row>
    <row r="16" spans="1:6" x14ac:dyDescent="0.2">
      <c r="B16" s="5">
        <f>'Report WorkSheet'!B16</f>
        <v>0</v>
      </c>
      <c r="C16" s="5" t="str">
        <f>'Report WorkSheet'!C16</f>
        <v>EVAP WATER LEAVING TEMP A</v>
      </c>
      <c r="D16" s="13" t="e">
        <f>'Report WorkSheet'!L16</f>
        <v>#N/A</v>
      </c>
      <c r="E16" s="13" t="e">
        <f>'Report WorkSheet'!M16</f>
        <v>#N/A</v>
      </c>
    </row>
    <row r="17" spans="2:7" x14ac:dyDescent="0.2">
      <c r="B17" s="5">
        <f>'Report WorkSheet'!B17</f>
        <v>0</v>
      </c>
      <c r="C17" s="5" t="str">
        <f>'Report WorkSheet'!C17</f>
        <v>EVAP WATER LEAVING TEMP B</v>
      </c>
      <c r="D17" s="13" t="e">
        <f>'Report WorkSheet'!L17</f>
        <v>#N/A</v>
      </c>
      <c r="E17" s="13" t="e">
        <f>'Report WorkSheet'!M17</f>
        <v>#N/A</v>
      </c>
      <c r="G17" s="12"/>
    </row>
    <row r="18" spans="2:7" x14ac:dyDescent="0.2">
      <c r="B18" s="5">
        <f>'Report WorkSheet'!B18</f>
        <v>0</v>
      </c>
      <c r="C18" s="5" t="str">
        <f>'Report WorkSheet'!C18</f>
        <v>AUX COOLING WATER ENTERING TEMP</v>
      </c>
      <c r="D18" s="13" t="e">
        <f>'Report WorkSheet'!L18</f>
        <v>#N/A</v>
      </c>
      <c r="E18" s="13" t="e">
        <f>'Report WorkSheet'!M18</f>
        <v>#N/A</v>
      </c>
    </row>
    <row r="19" spans="2:7" x14ac:dyDescent="0.2">
      <c r="B19" s="5">
        <f>'Report WorkSheet'!B19</f>
        <v>0</v>
      </c>
      <c r="C19" s="5" t="str">
        <f>'Report WorkSheet'!C19</f>
        <v>AUX COOLING WATER LEAVING TEMP</v>
      </c>
      <c r="D19" s="13" t="e">
        <f>'Report WorkSheet'!L19</f>
        <v>#N/A</v>
      </c>
      <c r="E19" s="13" t="e">
        <f>'Report WorkSheet'!M19</f>
        <v>#N/A</v>
      </c>
    </row>
    <row r="20" spans="2:7" x14ac:dyDescent="0.2">
      <c r="B20" s="5"/>
      <c r="C20" s="7"/>
      <c r="D20" s="5"/>
      <c r="E20" s="5"/>
    </row>
    <row r="21" spans="2:7" x14ac:dyDescent="0.2">
      <c r="B21" s="4" t="s">
        <v>6</v>
      </c>
      <c r="C21" s="16"/>
      <c r="D21" s="4"/>
      <c r="E21" s="4"/>
    </row>
    <row r="22" spans="2:7" x14ac:dyDescent="0.2">
      <c r="B22" s="5">
        <f>'Report WorkSheet'!B22</f>
        <v>0</v>
      </c>
      <c r="C22" s="7" t="str">
        <f>'Report WorkSheet'!C22</f>
        <v>OIL COOLER WATER ON</v>
      </c>
      <c r="D22" s="13" t="e">
        <f>'Report WorkSheet'!L22</f>
        <v>#N/A</v>
      </c>
      <c r="E22" s="13" t="e">
        <f>'Report WorkSheet'!M22</f>
        <v>#N/A</v>
      </c>
    </row>
    <row r="23" spans="2:7" ht="13.9" customHeight="1" x14ac:dyDescent="0.2">
      <c r="B23" s="5">
        <f>'Report WorkSheet'!B23</f>
        <v>0</v>
      </c>
      <c r="C23" s="7" t="str">
        <f>'Report WorkSheet'!C23</f>
        <v>OIL COOLER WATER OFF</v>
      </c>
      <c r="D23" s="13" t="e">
        <f>'Report WorkSheet'!L23</f>
        <v>#N/A</v>
      </c>
      <c r="E23" s="13" t="e">
        <f>'Report WorkSheet'!M23</f>
        <v>#N/A</v>
      </c>
    </row>
    <row r="24" spans="2:7" ht="13.9" customHeight="1" x14ac:dyDescent="0.2">
      <c r="B24" s="5">
        <f>'Report WorkSheet'!B24</f>
        <v>0</v>
      </c>
      <c r="C24" s="7" t="str">
        <f>'Report WorkSheet'!C24</f>
        <v>AMBIENT TEMPERATURE</v>
      </c>
      <c r="D24" s="13" t="e">
        <f>'Report WorkSheet'!L24</f>
        <v>#N/A</v>
      </c>
      <c r="E24" s="13" t="e">
        <f>'Report WorkSheet'!M24</f>
        <v>#N/A</v>
      </c>
    </row>
    <row r="25" spans="2:7" ht="13.9" customHeight="1" x14ac:dyDescent="0.2">
      <c r="B25" s="6"/>
      <c r="C25" s="6"/>
      <c r="D25" s="6"/>
      <c r="E25" s="6"/>
    </row>
    <row r="26" spans="2:7" ht="13.9" customHeight="1" x14ac:dyDescent="0.2">
      <c r="B26" s="4" t="s">
        <v>7</v>
      </c>
      <c r="C26" s="4"/>
      <c r="D26" s="4"/>
      <c r="E26" s="4"/>
    </row>
    <row r="27" spans="2:7" ht="13.9" customHeight="1" x14ac:dyDescent="0.2">
      <c r="B27" s="5">
        <f>'Report WorkSheet'!B27</f>
        <v>0</v>
      </c>
      <c r="C27" s="5" t="str">
        <f>'Report WorkSheet'!C27</f>
        <v>BAROMETRIC PRESSURE</v>
      </c>
      <c r="D27" s="13" t="e">
        <f>'Report WorkSheet'!L27</f>
        <v>#N/A</v>
      </c>
      <c r="E27" s="13" t="e">
        <f>'Report WorkSheet'!M27</f>
        <v>#N/A</v>
      </c>
    </row>
    <row r="28" spans="2:7" x14ac:dyDescent="0.2">
      <c r="B28" s="6"/>
      <c r="C28" s="6"/>
      <c r="D28" s="6"/>
      <c r="E28" s="6"/>
    </row>
    <row r="29" spans="2:7" x14ac:dyDescent="0.2">
      <c r="B29" s="4" t="s">
        <v>9</v>
      </c>
      <c r="C29" s="4"/>
      <c r="D29" s="4"/>
      <c r="E29" s="4"/>
    </row>
    <row r="30" spans="2:7" x14ac:dyDescent="0.2">
      <c r="B30" s="5">
        <f>'Report WorkSheet'!B30</f>
        <v>0</v>
      </c>
      <c r="C30" s="5" t="str">
        <f>'Report WorkSheet'!C30</f>
        <v>EVAPORATOR WATER PRESSURE DROP</v>
      </c>
      <c r="D30" s="13" t="e">
        <f>'Report WorkSheet'!L30</f>
        <v>#N/A</v>
      </c>
      <c r="E30" s="13" t="e">
        <f>'Report WorkSheet'!M30</f>
        <v>#N/A</v>
      </c>
    </row>
    <row r="31" spans="2:7" x14ac:dyDescent="0.2">
      <c r="B31" s="5">
        <f>'Report WorkSheet'!B31</f>
        <v>0</v>
      </c>
      <c r="C31" s="5" t="str">
        <f>'Report WorkSheet'!C31</f>
        <v>CONDENSER WATER PRESSURE DROP</v>
      </c>
      <c r="D31" s="13" t="e">
        <f>'Report WorkSheet'!L31</f>
        <v>#N/A</v>
      </c>
      <c r="E31" s="13" t="e">
        <f>'Report WorkSheet'!M31</f>
        <v>#N/A</v>
      </c>
    </row>
    <row r="32" spans="2:7" x14ac:dyDescent="0.2">
      <c r="B32" s="5">
        <f>'Report WorkSheet'!B32</f>
        <v>0</v>
      </c>
      <c r="C32" s="5" t="str">
        <f>'Report WorkSheet'!C32</f>
        <v>OIL COOLER WATER PRESSURE DROP</v>
      </c>
      <c r="D32" s="13" t="e">
        <f>'Report WorkSheet'!L32</f>
        <v>#N/A</v>
      </c>
      <c r="E32" s="13" t="e">
        <f>'Report WorkSheet'!M32</f>
        <v>#N/A</v>
      </c>
    </row>
    <row r="33" spans="2:5" x14ac:dyDescent="0.2">
      <c r="B33" s="6"/>
      <c r="C33" s="6"/>
      <c r="D33" s="6"/>
      <c r="E33" s="6"/>
    </row>
    <row r="34" spans="2:5" x14ac:dyDescent="0.2">
      <c r="B34" s="4" t="s">
        <v>11</v>
      </c>
      <c r="C34" s="4"/>
      <c r="D34" s="4"/>
      <c r="E34" s="4"/>
    </row>
    <row r="35" spans="2:5" x14ac:dyDescent="0.2">
      <c r="B35" s="5">
        <f>'Report WorkSheet'!B35</f>
        <v>0</v>
      </c>
      <c r="C35" s="19" t="str">
        <f>'Report WorkSheet'!C35</f>
        <v>EVAPORATOR WATER FLOW A</v>
      </c>
      <c r="D35" s="13" t="e">
        <f>'Report WorkSheet'!L35</f>
        <v>#N/A</v>
      </c>
      <c r="E35" s="13" t="e">
        <f>'Report WorkSheet'!M35</f>
        <v>#N/A</v>
      </c>
    </row>
    <row r="36" spans="2:5" x14ac:dyDescent="0.2">
      <c r="B36" s="5">
        <f>'Report WorkSheet'!B36</f>
        <v>0</v>
      </c>
      <c r="C36" s="19" t="str">
        <f>'Report WorkSheet'!C36</f>
        <v>EVAPORATOR WATER FLOW B</v>
      </c>
      <c r="D36" s="13" t="e">
        <f>'Report WorkSheet'!L36</f>
        <v>#N/A</v>
      </c>
      <c r="E36" s="13" t="e">
        <f>'Report WorkSheet'!M36</f>
        <v>#N/A</v>
      </c>
    </row>
    <row r="37" spans="2:5" x14ac:dyDescent="0.2">
      <c r="B37" s="5">
        <f>'Report WorkSheet'!B37</f>
        <v>0</v>
      </c>
      <c r="C37" s="19" t="str">
        <f>'Report WorkSheet'!C37</f>
        <v>CONDENSER WATER FLOW A</v>
      </c>
      <c r="D37" s="13" t="e">
        <f>'Report WorkSheet'!L37</f>
        <v>#N/A</v>
      </c>
      <c r="E37" s="13" t="e">
        <f>'Report WorkSheet'!M37</f>
        <v>#N/A</v>
      </c>
    </row>
    <row r="38" spans="2:5" x14ac:dyDescent="0.2">
      <c r="B38" s="5">
        <f>'Report WorkSheet'!B38</f>
        <v>0</v>
      </c>
      <c r="C38" s="19" t="str">
        <f>'Report WorkSheet'!C38</f>
        <v>CONDENSER WATER FLOW B</v>
      </c>
      <c r="D38" s="13" t="e">
        <f>'Report WorkSheet'!L38</f>
        <v>#N/A</v>
      </c>
      <c r="E38" s="13" t="e">
        <f>'Report WorkSheet'!M38</f>
        <v>#N/A</v>
      </c>
    </row>
    <row r="39" spans="2:5" x14ac:dyDescent="0.2">
      <c r="B39" s="5">
        <f>'Report WorkSheet'!B39</f>
        <v>0</v>
      </c>
      <c r="C39" s="19" t="str">
        <f>'Report WorkSheet'!C39</f>
        <v>OIL COOLER WATER FLOW</v>
      </c>
      <c r="D39" s="13" t="e">
        <f>'Report WorkSheet'!L39</f>
        <v>#N/A</v>
      </c>
      <c r="E39" s="13" t="e">
        <f>'Report WorkSheet'!M39</f>
        <v>#N/A</v>
      </c>
    </row>
    <row r="40" spans="2:5" x14ac:dyDescent="0.2">
      <c r="B40" s="6"/>
      <c r="C40" s="6"/>
      <c r="D40" s="6"/>
      <c r="E40" s="6"/>
    </row>
    <row r="41" spans="2:5" x14ac:dyDescent="0.2">
      <c r="B41" s="4" t="s">
        <v>16</v>
      </c>
      <c r="C41" s="4"/>
      <c r="D41" s="4"/>
      <c r="E41" s="4"/>
    </row>
    <row r="42" spans="2:5" x14ac:dyDescent="0.2">
      <c r="B42" s="5">
        <f>'Report WorkSheet'!B42</f>
        <v>0</v>
      </c>
      <c r="C42" s="5" t="str">
        <f>'Report WorkSheet'!C42</f>
        <v>CHILLER INPUT</v>
      </c>
      <c r="D42" s="13" t="e">
        <f>'Report WorkSheet'!L42</f>
        <v>#N/A</v>
      </c>
      <c r="E42" s="13" t="e">
        <f>'Report WorkSheet'!M42</f>
        <v>#N/A</v>
      </c>
    </row>
    <row r="43" spans="2:5" x14ac:dyDescent="0.2">
      <c r="B43" s="6"/>
      <c r="C43" s="6"/>
      <c r="D43" s="6"/>
      <c r="E43" s="6"/>
    </row>
    <row r="44" spans="2:5" x14ac:dyDescent="0.2">
      <c r="D44" s="2"/>
      <c r="E44" s="2"/>
    </row>
    <row r="45" spans="2:5" x14ac:dyDescent="0.2">
      <c r="D45" s="2"/>
      <c r="E45" s="2"/>
    </row>
    <row r="46" spans="2:5" x14ac:dyDescent="0.2">
      <c r="B46" s="8" t="s">
        <v>30</v>
      </c>
      <c r="C46" s="8">
        <f>'Report WorkSheet'!C45</f>
        <v>0</v>
      </c>
      <c r="D46" s="8" t="s">
        <v>31</v>
      </c>
      <c r="E46" s="18">
        <f>'Report WorkSheet'!E45</f>
        <v>0</v>
      </c>
    </row>
    <row r="47" spans="2:5" x14ac:dyDescent="0.2">
      <c r="D47" s="2"/>
      <c r="E47" s="2"/>
    </row>
    <row r="48" spans="2:5" ht="6.95" customHeight="1" x14ac:dyDescent="0.2"/>
    <row r="49" spans="1:1" x14ac:dyDescent="0.2">
      <c r="A49" s="3" t="s">
        <v>32</v>
      </c>
    </row>
    <row r="52" spans="1:1" ht="6.95" customHeight="1" x14ac:dyDescent="0.2"/>
    <row r="53" spans="1:1" ht="12.75" customHeight="1" x14ac:dyDescent="0.2">
      <c r="A53" s="17"/>
    </row>
    <row r="54" spans="1:1" x14ac:dyDescent="0.2">
      <c r="A54" s="17"/>
    </row>
    <row r="55" spans="1:1" x14ac:dyDescent="0.2">
      <c r="A55" s="17"/>
    </row>
    <row r="56" spans="1:1" x14ac:dyDescent="0.2">
      <c r="A56" s="2"/>
    </row>
  </sheetData>
  <mergeCells count="8">
    <mergeCell ref="B7:B8"/>
    <mergeCell ref="C7:C8"/>
    <mergeCell ref="D7:E7"/>
    <mergeCell ref="B1:E1"/>
    <mergeCell ref="B2:E2"/>
    <mergeCell ref="B3:E3"/>
    <mergeCell ref="B4:E4"/>
    <mergeCell ref="B5:E5"/>
  </mergeCells>
  <printOptions horizontalCentered="1" verticalCentered="1"/>
  <pageMargins left="0.25" right="0.25" top="0.25" bottom="0.25" header="0.3" footer="0.3"/>
  <pageSetup scale="9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O46"/>
  <sheetViews>
    <sheetView tabSelected="1" zoomScaleNormal="100" workbookViewId="0">
      <selection activeCell="D10" sqref="D10:E42"/>
    </sheetView>
  </sheetViews>
  <sheetFormatPr defaultColWidth="8.85546875" defaultRowHeight="12.75" x14ac:dyDescent="0.2"/>
  <cols>
    <col min="1" max="1" width="8.85546875" style="3" customWidth="1"/>
    <col min="2" max="2" width="29.28515625" style="2" bestFit="1" customWidth="1"/>
    <col min="3" max="3" width="31.5703125" style="2" bestFit="1" customWidth="1"/>
    <col min="4" max="4" width="32.28515625" style="8" bestFit="1" customWidth="1"/>
    <col min="5" max="5" width="29.5703125" style="8" bestFit="1" customWidth="1"/>
    <col min="6" max="6" width="21.42578125" style="2" bestFit="1" customWidth="1"/>
    <col min="7" max="7" width="5" style="2" customWidth="1"/>
    <col min="8" max="8" width="31.7109375" style="2" customWidth="1"/>
    <col min="9" max="9" width="23.42578125" style="2" customWidth="1"/>
    <col min="10" max="11" width="29.85546875" style="2" customWidth="1"/>
    <col min="12" max="12" width="25" style="2" bestFit="1" customWidth="1"/>
    <col min="13" max="13" width="24.7109375" style="2" bestFit="1" customWidth="1"/>
    <col min="14" max="14" width="10.42578125" style="2" bestFit="1" customWidth="1"/>
    <col min="15" max="15" width="16.140625" style="2" bestFit="1" customWidth="1"/>
    <col min="16" max="16384" width="8.85546875" style="2"/>
  </cols>
  <sheetData>
    <row r="1" spans="1:15" ht="13.9" customHeight="1" x14ac:dyDescent="0.2">
      <c r="A1" s="10"/>
      <c r="B1" s="10" t="s">
        <v>33</v>
      </c>
      <c r="C1" s="10"/>
      <c r="D1" s="10"/>
      <c r="E1" s="10"/>
      <c r="F1" s="10"/>
    </row>
    <row r="2" spans="1:15" ht="13.9" customHeight="1" x14ac:dyDescent="0.2">
      <c r="A2" s="10"/>
      <c r="B2" s="10" t="s">
        <v>43</v>
      </c>
      <c r="C2" s="25" t="s">
        <v>94</v>
      </c>
      <c r="D2" s="10"/>
      <c r="E2" s="10"/>
      <c r="F2" s="10"/>
      <c r="J2" s="28"/>
      <c r="K2" s="28"/>
      <c r="L2" s="28"/>
    </row>
    <row r="3" spans="1:15" ht="13.9" customHeight="1" x14ac:dyDescent="0.2">
      <c r="A3" s="10"/>
      <c r="B3" s="10" t="s">
        <v>44</v>
      </c>
      <c r="C3" s="25"/>
      <c r="D3" s="10"/>
      <c r="E3" s="10" t="s">
        <v>48</v>
      </c>
      <c r="F3" s="10"/>
      <c r="H3" s="8"/>
    </row>
    <row r="4" spans="1:15" ht="12.75" customHeight="1" x14ac:dyDescent="0.2">
      <c r="A4" s="10"/>
      <c r="B4" s="26" t="s">
        <v>45</v>
      </c>
      <c r="C4" s="34"/>
      <c r="E4" s="30"/>
      <c r="F4" s="10"/>
    </row>
    <row r="5" spans="1:15" x14ac:dyDescent="0.2">
      <c r="A5" s="10"/>
      <c r="B5" s="10" t="s">
        <v>46</v>
      </c>
      <c r="C5" s="25"/>
      <c r="D5" s="10"/>
      <c r="E5" s="10"/>
      <c r="F5" s="10"/>
    </row>
    <row r="6" spans="1:15" x14ac:dyDescent="0.2">
      <c r="A6" s="9"/>
      <c r="B6" s="10"/>
      <c r="C6" s="11"/>
      <c r="D6" s="14"/>
      <c r="E6" s="14"/>
    </row>
    <row r="7" spans="1:15" x14ac:dyDescent="0.2">
      <c r="B7" s="73" t="s">
        <v>0</v>
      </c>
      <c r="C7" s="73" t="s">
        <v>1</v>
      </c>
      <c r="D7" s="73" t="s">
        <v>35</v>
      </c>
      <c r="E7" s="73"/>
      <c r="F7" s="74" t="s">
        <v>36</v>
      </c>
      <c r="H7" s="4" t="s">
        <v>40</v>
      </c>
      <c r="I7" s="4" t="s">
        <v>17</v>
      </c>
      <c r="J7" s="4" t="s">
        <v>39</v>
      </c>
      <c r="K7" s="4" t="s">
        <v>19</v>
      </c>
      <c r="L7" s="4" t="s">
        <v>37</v>
      </c>
      <c r="M7" s="16" t="s">
        <v>38</v>
      </c>
      <c r="N7" s="32" t="s">
        <v>47</v>
      </c>
      <c r="O7" s="4" t="s">
        <v>42</v>
      </c>
    </row>
    <row r="8" spans="1:15" x14ac:dyDescent="0.2">
      <c r="B8" s="73"/>
      <c r="C8" s="73"/>
      <c r="D8" s="24" t="s">
        <v>34</v>
      </c>
      <c r="E8" s="24" t="s">
        <v>18</v>
      </c>
      <c r="F8" s="75"/>
      <c r="H8" s="5"/>
      <c r="I8" s="5"/>
      <c r="J8" s="5"/>
      <c r="K8" s="5"/>
      <c r="L8" s="5"/>
      <c r="M8" s="7"/>
      <c r="N8" s="33"/>
      <c r="O8" s="29"/>
    </row>
    <row r="9" spans="1:15" x14ac:dyDescent="0.2">
      <c r="B9" s="49" t="s">
        <v>5</v>
      </c>
      <c r="C9" s="40"/>
      <c r="D9" s="41"/>
      <c r="E9" s="42"/>
      <c r="F9" s="42"/>
      <c r="H9" s="5"/>
      <c r="I9" s="5"/>
      <c r="J9" s="5"/>
      <c r="K9" s="5"/>
      <c r="L9" s="5"/>
      <c r="M9" s="7"/>
      <c r="N9" s="33"/>
      <c r="O9" s="29"/>
    </row>
    <row r="10" spans="1:15" x14ac:dyDescent="0.2">
      <c r="B10" s="50"/>
      <c r="C10" s="16" t="s">
        <v>20</v>
      </c>
      <c r="D10" s="76" t="s">
        <v>55</v>
      </c>
      <c r="E10" s="77" t="s">
        <v>56</v>
      </c>
      <c r="F10" s="70" t="s">
        <v>75</v>
      </c>
      <c r="H10" s="5" t="e">
        <f>INDEX(CalReport!D:D,MATCH($B10,CalReport!R:R,0))</f>
        <v>#N/A</v>
      </c>
      <c r="I10" s="5" t="e">
        <f>IF(EXACT(D10,H10), "y","n")</f>
        <v>#N/A</v>
      </c>
      <c r="J10" s="5" t="e">
        <f>INDEX(CalReport!G:G,MATCH($B10,CalReport!R:R,0))</f>
        <v>#N/A</v>
      </c>
      <c r="K10" s="5" t="e">
        <f>IF(EXACT(E10,J10), "y","n")</f>
        <v>#N/A</v>
      </c>
      <c r="L10" s="27" t="e">
        <f>INDEX(CalReport!V:V,MATCH($B10,CalReport!R:R,0))</f>
        <v>#N/A</v>
      </c>
      <c r="M10" s="31" t="e">
        <f>INDEX(CalReport!W:W,MATCH($B10,CalReport!R:R,0))</f>
        <v>#N/A</v>
      </c>
      <c r="N10" s="33" t="e">
        <f t="shared" ref="N10:N19" si="0">M10-L10</f>
        <v>#N/A</v>
      </c>
      <c r="O10" s="29" t="e">
        <f t="shared" ref="O10:O19" si="1">AND($E$4&gt;=L10,$E$4&lt;=M10)</f>
        <v>#N/A</v>
      </c>
    </row>
    <row r="11" spans="1:15" x14ac:dyDescent="0.2">
      <c r="B11" s="51"/>
      <c r="C11" s="7" t="s">
        <v>21</v>
      </c>
      <c r="D11" s="78" t="s">
        <v>57</v>
      </c>
      <c r="E11" s="79" t="s">
        <v>58</v>
      </c>
      <c r="F11" s="71"/>
      <c r="H11" s="5" t="e">
        <f>INDEX(CalReport!D:D,MATCH($B11,CalReport!R:R,0))</f>
        <v>#N/A</v>
      </c>
      <c r="I11" s="5" t="e">
        <f t="shared" ref="I11:I35" si="2">IF(EXACT(D11,H11), "y","n")</f>
        <v>#N/A</v>
      </c>
      <c r="J11" s="5" t="e">
        <f>INDEX(CalReport!G:G,MATCH($B11,CalReport!R:R,0))</f>
        <v>#N/A</v>
      </c>
      <c r="K11" s="5" t="e">
        <f t="shared" ref="K11:K35" si="3">IF(EXACT(E11,J11), "y","n")</f>
        <v>#N/A</v>
      </c>
      <c r="L11" s="27" t="e">
        <f>INDEX(CalReport!V:V,MATCH($B11,CalReport!R:R,0))</f>
        <v>#N/A</v>
      </c>
      <c r="M11" s="31" t="e">
        <f>INDEX(CalReport!W:W,MATCH($B11,CalReport!R:R,0))</f>
        <v>#N/A</v>
      </c>
      <c r="N11" s="33" t="e">
        <f t="shared" si="0"/>
        <v>#N/A</v>
      </c>
      <c r="O11" s="29" t="e">
        <f t="shared" si="1"/>
        <v>#N/A</v>
      </c>
    </row>
    <row r="12" spans="1:15" x14ac:dyDescent="0.2">
      <c r="B12" s="51"/>
      <c r="C12" s="7" t="s">
        <v>22</v>
      </c>
      <c r="D12" s="78" t="s">
        <v>59</v>
      </c>
      <c r="E12" s="79" t="s">
        <v>60</v>
      </c>
      <c r="F12" s="71"/>
      <c r="H12" s="5" t="e">
        <f>INDEX(CalReport!D:D,MATCH($B12,CalReport!R:R,0))</f>
        <v>#N/A</v>
      </c>
      <c r="I12" s="5" t="e">
        <f t="shared" si="2"/>
        <v>#N/A</v>
      </c>
      <c r="J12" s="5" t="e">
        <f>INDEX(CalReport!G:G,MATCH($B12,CalReport!R:R,0))</f>
        <v>#N/A</v>
      </c>
      <c r="K12" s="5" t="e">
        <f t="shared" si="3"/>
        <v>#N/A</v>
      </c>
      <c r="L12" s="27" t="e">
        <f>INDEX(CalReport!V:V,MATCH($B12,CalReport!R:R,0))</f>
        <v>#N/A</v>
      </c>
      <c r="M12" s="31" t="e">
        <f>INDEX(CalReport!W:W,MATCH($B12,CalReport!R:R,0))</f>
        <v>#N/A</v>
      </c>
      <c r="N12" s="33" t="e">
        <f t="shared" si="0"/>
        <v>#N/A</v>
      </c>
      <c r="O12" s="29" t="e">
        <f t="shared" si="1"/>
        <v>#N/A</v>
      </c>
    </row>
    <row r="13" spans="1:15" x14ac:dyDescent="0.2">
      <c r="B13" s="51"/>
      <c r="C13" s="7" t="s">
        <v>23</v>
      </c>
      <c r="D13" s="78" t="s">
        <v>61</v>
      </c>
      <c r="E13" s="79" t="s">
        <v>62</v>
      </c>
      <c r="F13" s="71"/>
      <c r="H13" s="5" t="e">
        <f>INDEX(CalReport!D:D,MATCH($B13,CalReport!R:R,0))</f>
        <v>#N/A</v>
      </c>
      <c r="I13" s="5" t="e">
        <f t="shared" si="2"/>
        <v>#N/A</v>
      </c>
      <c r="J13" s="5" t="e">
        <f>INDEX(CalReport!G:G,MATCH($B13,CalReport!R:R,0))</f>
        <v>#N/A</v>
      </c>
      <c r="K13" s="5" t="e">
        <f t="shared" si="3"/>
        <v>#N/A</v>
      </c>
      <c r="L13" s="27" t="e">
        <f>INDEX(CalReport!V:V,MATCH($B13,CalReport!R:R,0))</f>
        <v>#N/A</v>
      </c>
      <c r="M13" s="31" t="e">
        <f>INDEX(CalReport!W:W,MATCH($B13,CalReport!R:R,0))</f>
        <v>#N/A</v>
      </c>
      <c r="N13" s="33" t="e">
        <f t="shared" si="0"/>
        <v>#N/A</v>
      </c>
      <c r="O13" s="29" t="e">
        <f t="shared" si="1"/>
        <v>#N/A</v>
      </c>
    </row>
    <row r="14" spans="1:15" x14ac:dyDescent="0.2">
      <c r="B14" s="51"/>
      <c r="C14" s="7" t="s">
        <v>24</v>
      </c>
      <c r="D14" s="78" t="s">
        <v>63</v>
      </c>
      <c r="E14" s="79" t="s">
        <v>64</v>
      </c>
      <c r="F14" s="71"/>
      <c r="H14" s="5" t="e">
        <f>INDEX(CalReport!D:D,MATCH($B14,CalReport!R:R,0))</f>
        <v>#N/A</v>
      </c>
      <c r="I14" s="5" t="e">
        <f t="shared" si="2"/>
        <v>#N/A</v>
      </c>
      <c r="J14" s="5" t="e">
        <f>INDEX(CalReport!G:G,MATCH($B14,CalReport!R:R,0))</f>
        <v>#N/A</v>
      </c>
      <c r="K14" s="5" t="e">
        <f t="shared" si="3"/>
        <v>#N/A</v>
      </c>
      <c r="L14" s="27" t="e">
        <f>INDEX(CalReport!V:V,MATCH($B14,CalReport!R:R,0))</f>
        <v>#N/A</v>
      </c>
      <c r="M14" s="31" t="e">
        <f>INDEX(CalReport!W:W,MATCH($B14,CalReport!R:R,0))</f>
        <v>#N/A</v>
      </c>
      <c r="N14" s="33" t="e">
        <f t="shared" si="0"/>
        <v>#N/A</v>
      </c>
      <c r="O14" s="29" t="e">
        <f t="shared" si="1"/>
        <v>#N/A</v>
      </c>
    </row>
    <row r="15" spans="1:15" x14ac:dyDescent="0.2">
      <c r="B15" s="51"/>
      <c r="C15" s="7" t="s">
        <v>25</v>
      </c>
      <c r="D15" s="78" t="s">
        <v>65</v>
      </c>
      <c r="E15" s="79" t="s">
        <v>66</v>
      </c>
      <c r="F15" s="71"/>
      <c r="H15" s="5" t="e">
        <f>INDEX(CalReport!D:D,MATCH($B15,CalReport!R:R,0))</f>
        <v>#N/A</v>
      </c>
      <c r="I15" s="5" t="e">
        <f t="shared" si="2"/>
        <v>#N/A</v>
      </c>
      <c r="J15" s="5" t="e">
        <f>INDEX(CalReport!G:G,MATCH($B15,CalReport!R:R,0))</f>
        <v>#N/A</v>
      </c>
      <c r="K15" s="5" t="e">
        <f t="shared" si="3"/>
        <v>#N/A</v>
      </c>
      <c r="L15" s="27" t="e">
        <f>INDEX(CalReport!V:V,MATCH($B15,CalReport!R:R,0))</f>
        <v>#N/A</v>
      </c>
      <c r="M15" s="31" t="e">
        <f>INDEX(CalReport!W:W,MATCH($B15,CalReport!R:R,0))</f>
        <v>#N/A</v>
      </c>
      <c r="N15" s="33" t="e">
        <f t="shared" si="0"/>
        <v>#N/A</v>
      </c>
      <c r="O15" s="29" t="e">
        <f t="shared" si="1"/>
        <v>#N/A</v>
      </c>
    </row>
    <row r="16" spans="1:15" x14ac:dyDescent="0.2">
      <c r="B16" s="51"/>
      <c r="C16" s="7" t="s">
        <v>26</v>
      </c>
      <c r="D16" s="78" t="s">
        <v>67</v>
      </c>
      <c r="E16" s="79" t="s">
        <v>68</v>
      </c>
      <c r="F16" s="71"/>
      <c r="H16" s="5" t="e">
        <f>INDEX(CalReport!D:D,MATCH($B16,CalReport!R:R,0))</f>
        <v>#N/A</v>
      </c>
      <c r="I16" s="5" t="e">
        <f t="shared" si="2"/>
        <v>#N/A</v>
      </c>
      <c r="J16" s="5" t="e">
        <f>INDEX(CalReport!G:G,MATCH($B16,CalReport!R:R,0))</f>
        <v>#N/A</v>
      </c>
      <c r="K16" s="5" t="e">
        <f t="shared" si="3"/>
        <v>#N/A</v>
      </c>
      <c r="L16" s="27" t="e">
        <f>INDEX(CalReport!V:V,MATCH($B16,CalReport!R:R,0))</f>
        <v>#N/A</v>
      </c>
      <c r="M16" s="31" t="e">
        <f>INDEX(CalReport!W:W,MATCH($B16,CalReport!R:R,0))</f>
        <v>#N/A</v>
      </c>
      <c r="N16" s="33" t="e">
        <f t="shared" si="0"/>
        <v>#N/A</v>
      </c>
      <c r="O16" s="29" t="e">
        <f t="shared" si="1"/>
        <v>#N/A</v>
      </c>
    </row>
    <row r="17" spans="2:15" x14ac:dyDescent="0.2">
      <c r="B17" s="51"/>
      <c r="C17" s="7" t="s">
        <v>27</v>
      </c>
      <c r="D17" s="78" t="s">
        <v>69</v>
      </c>
      <c r="E17" s="79" t="s">
        <v>70</v>
      </c>
      <c r="F17" s="71"/>
      <c r="G17" s="12"/>
      <c r="H17" s="5" t="e">
        <f>INDEX(CalReport!D:D,MATCH($B17,CalReport!R:R,0))</f>
        <v>#N/A</v>
      </c>
      <c r="I17" s="5" t="e">
        <f t="shared" si="2"/>
        <v>#N/A</v>
      </c>
      <c r="J17" s="5" t="e">
        <f>INDEX(CalReport!G:G,MATCH($B17,CalReport!R:R,0))</f>
        <v>#N/A</v>
      </c>
      <c r="K17" s="5" t="e">
        <f t="shared" si="3"/>
        <v>#N/A</v>
      </c>
      <c r="L17" s="27" t="e">
        <f>INDEX(CalReport!V:V,MATCH($B17,CalReport!R:R,0))</f>
        <v>#N/A</v>
      </c>
      <c r="M17" s="31" t="e">
        <f>INDEX(CalReport!W:W,MATCH($B17,CalReport!R:R,0))</f>
        <v>#N/A</v>
      </c>
      <c r="N17" s="33" t="e">
        <f t="shared" si="0"/>
        <v>#N/A</v>
      </c>
      <c r="O17" s="29" t="e">
        <f t="shared" si="1"/>
        <v>#N/A</v>
      </c>
    </row>
    <row r="18" spans="2:15" x14ac:dyDescent="0.2">
      <c r="B18" s="51"/>
      <c r="C18" s="7" t="s">
        <v>28</v>
      </c>
      <c r="D18" s="78" t="s">
        <v>71</v>
      </c>
      <c r="E18" s="79" t="s">
        <v>72</v>
      </c>
      <c r="F18" s="71"/>
      <c r="H18" s="5" t="e">
        <f>INDEX(CalReport!D:D,MATCH($B18,CalReport!R:R,0))</f>
        <v>#N/A</v>
      </c>
      <c r="I18" s="5" t="e">
        <f t="shared" si="2"/>
        <v>#N/A</v>
      </c>
      <c r="J18" s="5" t="e">
        <f>INDEX(CalReport!G:G,MATCH($B18,CalReport!R:R,0))</f>
        <v>#N/A</v>
      </c>
      <c r="K18" s="5" t="e">
        <f t="shared" si="3"/>
        <v>#N/A</v>
      </c>
      <c r="L18" s="27" t="e">
        <f>INDEX(CalReport!V:V,MATCH($B18,CalReport!R:R,0))</f>
        <v>#N/A</v>
      </c>
      <c r="M18" s="31" t="e">
        <f>INDEX(CalReport!W:W,MATCH($B18,CalReport!R:R,0))</f>
        <v>#N/A</v>
      </c>
      <c r="N18" s="33" t="e">
        <f t="shared" si="0"/>
        <v>#N/A</v>
      </c>
      <c r="O18" s="29" t="e">
        <f t="shared" si="1"/>
        <v>#N/A</v>
      </c>
    </row>
    <row r="19" spans="2:15" x14ac:dyDescent="0.2">
      <c r="B19" s="52"/>
      <c r="C19" s="39" t="s">
        <v>29</v>
      </c>
      <c r="D19" s="80" t="s">
        <v>73</v>
      </c>
      <c r="E19" s="81" t="s">
        <v>74</v>
      </c>
      <c r="F19" s="72"/>
      <c r="H19" s="5" t="e">
        <f>INDEX(CalReport!D:D,MATCH($B19,CalReport!R:R,0))</f>
        <v>#N/A</v>
      </c>
      <c r="I19" s="5" t="e">
        <f t="shared" si="2"/>
        <v>#N/A</v>
      </c>
      <c r="J19" s="5" t="e">
        <f>INDEX(CalReport!G:G,MATCH($B19,CalReport!R:R,0))</f>
        <v>#N/A</v>
      </c>
      <c r="K19" s="5" t="e">
        <f t="shared" si="3"/>
        <v>#N/A</v>
      </c>
      <c r="L19" s="27" t="e">
        <f>INDEX(CalReport!V:V,MATCH($B19,CalReport!R:R,0))</f>
        <v>#N/A</v>
      </c>
      <c r="M19" s="31" t="e">
        <f>INDEX(CalReport!W:W,MATCH($B19,CalReport!R:R,0))</f>
        <v>#N/A</v>
      </c>
      <c r="N19" s="33" t="e">
        <f t="shared" si="0"/>
        <v>#N/A</v>
      </c>
      <c r="O19" s="29" t="e">
        <f t="shared" si="1"/>
        <v>#N/A</v>
      </c>
    </row>
    <row r="20" spans="2:15" x14ac:dyDescent="0.2">
      <c r="B20" s="5"/>
      <c r="C20" s="7"/>
      <c r="D20" s="82"/>
      <c r="E20" s="82"/>
      <c r="F20" s="22"/>
      <c r="H20" s="5"/>
      <c r="I20" s="5"/>
      <c r="J20" s="5"/>
      <c r="K20" s="5"/>
      <c r="L20" s="27"/>
      <c r="M20" s="31"/>
      <c r="N20" s="33"/>
      <c r="O20" s="29"/>
    </row>
    <row r="21" spans="2:15" x14ac:dyDescent="0.2">
      <c r="B21" s="35" t="s">
        <v>6</v>
      </c>
      <c r="C21" s="39"/>
      <c r="D21" s="82"/>
      <c r="E21" s="83"/>
      <c r="F21" s="22"/>
      <c r="H21" s="5"/>
      <c r="I21" s="5"/>
      <c r="J21" s="5"/>
      <c r="K21" s="5"/>
      <c r="L21" s="27"/>
      <c r="M21" s="31"/>
      <c r="N21" s="33"/>
      <c r="O21" s="29"/>
    </row>
    <row r="22" spans="2:15" ht="13.9" customHeight="1" x14ac:dyDescent="0.2">
      <c r="B22" s="53"/>
      <c r="C22" s="43" t="s">
        <v>53</v>
      </c>
      <c r="D22" s="84" t="s">
        <v>87</v>
      </c>
      <c r="E22" s="85" t="s">
        <v>95</v>
      </c>
      <c r="F22" s="64" t="s">
        <v>76</v>
      </c>
      <c r="H22" s="5" t="e">
        <f>INDEX(CalReport!D:D,MATCH($B22,CalReport!R:R,0))</f>
        <v>#N/A</v>
      </c>
      <c r="I22" s="5" t="e">
        <f t="shared" ref="I22:I24" si="4">IF(EXACT(D22,H22), "y","n")</f>
        <v>#N/A</v>
      </c>
      <c r="J22" s="5" t="e">
        <f>INDEX(CalReport!G:G,MATCH($B22,CalReport!R:R,0))</f>
        <v>#N/A</v>
      </c>
      <c r="K22" s="5" t="e">
        <f t="shared" ref="K22:K24" si="5">IF(EXACT(E22,J22), "y","n")</f>
        <v>#N/A</v>
      </c>
      <c r="L22" s="27" t="e">
        <f>INDEX(CalReport!V:V,MATCH($B22,CalReport!R:R,0))</f>
        <v>#N/A</v>
      </c>
      <c r="M22" s="31" t="e">
        <f>INDEX(CalReport!W:W,MATCH($B22,CalReport!R:R,0))</f>
        <v>#N/A</v>
      </c>
      <c r="N22" s="33" t="e">
        <f t="shared" ref="N22:N24" si="6">M22-L22</f>
        <v>#N/A</v>
      </c>
      <c r="O22" s="29" t="e">
        <f t="shared" ref="O22:O24" si="7">AND($E$4&gt;=L22,$E$4&lt;=M22)</f>
        <v>#N/A</v>
      </c>
    </row>
    <row r="23" spans="2:15" ht="13.9" customHeight="1" x14ac:dyDescent="0.2">
      <c r="B23" s="54"/>
      <c r="C23" s="43" t="s">
        <v>54</v>
      </c>
      <c r="D23" s="86" t="s">
        <v>88</v>
      </c>
      <c r="E23" s="87" t="s">
        <v>96</v>
      </c>
      <c r="F23" s="65"/>
      <c r="H23" s="5" t="e">
        <f>INDEX(CalReport!D:D,MATCH($B23,CalReport!R:R,0))</f>
        <v>#N/A</v>
      </c>
      <c r="I23" s="5" t="e">
        <f t="shared" si="4"/>
        <v>#N/A</v>
      </c>
      <c r="J23" s="5" t="e">
        <f>INDEX(CalReport!G:G,MATCH($B23,CalReport!R:R,0))</f>
        <v>#N/A</v>
      </c>
      <c r="K23" s="5" t="e">
        <f t="shared" si="5"/>
        <v>#N/A</v>
      </c>
      <c r="L23" s="27" t="e">
        <f>INDEX(CalReport!V:V,MATCH($B23,CalReport!R:R,0))</f>
        <v>#N/A</v>
      </c>
      <c r="M23" s="31" t="e">
        <f>INDEX(CalReport!W:W,MATCH($B23,CalReport!R:R,0))</f>
        <v>#N/A</v>
      </c>
      <c r="N23" s="33" t="e">
        <f t="shared" si="6"/>
        <v>#N/A</v>
      </c>
      <c r="O23" s="29" t="e">
        <f t="shared" si="7"/>
        <v>#N/A</v>
      </c>
    </row>
    <row r="24" spans="2:15" ht="13.9" customHeight="1" x14ac:dyDescent="0.2">
      <c r="B24" s="55"/>
      <c r="C24" s="45" t="s">
        <v>49</v>
      </c>
      <c r="D24" s="88" t="s">
        <v>89</v>
      </c>
      <c r="E24" s="89" t="s">
        <v>97</v>
      </c>
      <c r="F24" s="65"/>
      <c r="H24" s="5" t="e">
        <f>INDEX(CalReport!D:D,MATCH($B24,CalReport!R:R,0))</f>
        <v>#N/A</v>
      </c>
      <c r="I24" s="5" t="e">
        <f t="shared" si="4"/>
        <v>#N/A</v>
      </c>
      <c r="J24" s="5" t="e">
        <f>INDEX(CalReport!G:G,MATCH($B24,CalReport!R:R,0))</f>
        <v>#N/A</v>
      </c>
      <c r="K24" s="5" t="e">
        <f t="shared" si="5"/>
        <v>#N/A</v>
      </c>
      <c r="L24" s="27" t="e">
        <f>INDEX(CalReport!V:V,MATCH($B24,CalReport!R:R,0))</f>
        <v>#N/A</v>
      </c>
      <c r="M24" s="31" t="e">
        <f>INDEX(CalReport!W:W,MATCH($B24,CalReport!R:R,0))</f>
        <v>#N/A</v>
      </c>
      <c r="N24" s="33" t="e">
        <f t="shared" si="6"/>
        <v>#N/A</v>
      </c>
      <c r="O24" s="29" t="e">
        <f t="shared" si="7"/>
        <v>#N/A</v>
      </c>
    </row>
    <row r="25" spans="2:15" ht="6.95" customHeight="1" x14ac:dyDescent="0.2">
      <c r="B25" s="43"/>
      <c r="C25" s="8"/>
      <c r="D25" s="90"/>
      <c r="E25" s="91"/>
      <c r="F25" s="65"/>
      <c r="H25" s="5"/>
      <c r="I25" s="5"/>
      <c r="J25" s="5"/>
      <c r="K25" s="5"/>
      <c r="L25" s="27"/>
      <c r="M25" s="31"/>
      <c r="N25" s="33"/>
      <c r="O25" s="29"/>
    </row>
    <row r="26" spans="2:15" x14ac:dyDescent="0.2">
      <c r="B26" s="36" t="s">
        <v>7</v>
      </c>
      <c r="C26" s="37"/>
      <c r="D26" s="92"/>
      <c r="E26" s="93"/>
      <c r="F26" s="65"/>
      <c r="H26" s="5"/>
      <c r="I26" s="5"/>
      <c r="J26" s="5"/>
      <c r="K26" s="5"/>
      <c r="L26" s="27"/>
      <c r="M26" s="31"/>
      <c r="N26" s="33"/>
      <c r="O26" s="29"/>
    </row>
    <row r="27" spans="2:15" x14ac:dyDescent="0.2">
      <c r="B27" s="59"/>
      <c r="C27" s="38" t="s">
        <v>8</v>
      </c>
      <c r="D27" s="94" t="s">
        <v>83</v>
      </c>
      <c r="E27" s="89" t="s">
        <v>98</v>
      </c>
      <c r="F27" s="65"/>
      <c r="H27" s="5" t="e">
        <f>INDEX(CalReport!D:D,MATCH($B27,CalReport!R:R,0))</f>
        <v>#N/A</v>
      </c>
      <c r="I27" s="5" t="e">
        <f t="shared" ref="I27" si="8">IF(EXACT(D27,H27), "y","n")</f>
        <v>#N/A</v>
      </c>
      <c r="J27" s="5" t="e">
        <f>INDEX(CalReport!G:G,MATCH($B27,CalReport!R:R,0))</f>
        <v>#N/A</v>
      </c>
      <c r="K27" s="5" t="e">
        <f t="shared" ref="K27" si="9">IF(EXACT(E27,J27), "y","n")</f>
        <v>#N/A</v>
      </c>
      <c r="L27" s="27" t="e">
        <f>INDEX(CalReport!V:V,MATCH($B27,CalReport!R:R,0))</f>
        <v>#N/A</v>
      </c>
      <c r="M27" s="31" t="e">
        <f>INDEX(CalReport!W:W,MATCH($B27,CalReport!R:R,0))</f>
        <v>#N/A</v>
      </c>
      <c r="N27" s="33" t="e">
        <f t="shared" ref="N27" si="10">M27-L27</f>
        <v>#N/A</v>
      </c>
      <c r="O27" s="29" t="e">
        <f t="shared" ref="O27" si="11">AND($E$4&gt;=L27,$E$4&lt;=M27)</f>
        <v>#N/A</v>
      </c>
    </row>
    <row r="28" spans="2:15" x14ac:dyDescent="0.2">
      <c r="B28" s="43"/>
      <c r="C28" s="8"/>
      <c r="D28" s="90"/>
      <c r="E28" s="91"/>
      <c r="F28" s="65"/>
      <c r="H28" s="5"/>
      <c r="I28" s="5"/>
      <c r="J28" s="5"/>
      <c r="K28" s="5"/>
      <c r="L28" s="27"/>
      <c r="M28" s="31"/>
      <c r="N28" s="33"/>
      <c r="O28" s="29"/>
    </row>
    <row r="29" spans="2:15" x14ac:dyDescent="0.2">
      <c r="B29" s="44" t="s">
        <v>9</v>
      </c>
      <c r="C29" s="8"/>
      <c r="D29" s="90"/>
      <c r="E29" s="91"/>
      <c r="F29" s="65"/>
      <c r="H29" s="5"/>
      <c r="I29" s="5"/>
      <c r="J29" s="5"/>
      <c r="K29" s="5"/>
      <c r="L29" s="27"/>
      <c r="M29" s="31"/>
      <c r="N29" s="33"/>
      <c r="O29" s="29"/>
    </row>
    <row r="30" spans="2:15" x14ac:dyDescent="0.2">
      <c r="B30" s="56"/>
      <c r="C30" s="46" t="s">
        <v>10</v>
      </c>
      <c r="D30" s="95" t="s">
        <v>84</v>
      </c>
      <c r="E30" s="96" t="s">
        <v>99</v>
      </c>
      <c r="F30" s="65"/>
      <c r="H30" s="5" t="e">
        <f>INDEX(CalReport!D:D,MATCH($B30,CalReport!R:R,0))</f>
        <v>#N/A</v>
      </c>
      <c r="I30" s="5" t="e">
        <f t="shared" si="2"/>
        <v>#N/A</v>
      </c>
      <c r="J30" s="5" t="e">
        <f>INDEX(CalReport!G:G,MATCH($B30,CalReport!R:R,0))</f>
        <v>#N/A</v>
      </c>
      <c r="K30" s="5" t="e">
        <f t="shared" si="3"/>
        <v>#N/A</v>
      </c>
      <c r="L30" s="27" t="e">
        <f>INDEX(CalReport!V:V,MATCH($B30,CalReport!R:R,0))</f>
        <v>#N/A</v>
      </c>
      <c r="M30" s="31" t="e">
        <f>INDEX(CalReport!W:W,MATCH($B30,CalReport!R:R,0))</f>
        <v>#N/A</v>
      </c>
      <c r="N30" s="33" t="e">
        <f>M30-L30</f>
        <v>#N/A</v>
      </c>
      <c r="O30" s="29" t="e">
        <f>AND($E$4&gt;=L30,$E$4&lt;=M30)</f>
        <v>#N/A</v>
      </c>
    </row>
    <row r="31" spans="2:15" x14ac:dyDescent="0.2">
      <c r="B31" s="57"/>
      <c r="C31" s="8" t="s">
        <v>50</v>
      </c>
      <c r="D31" s="97" t="s">
        <v>85</v>
      </c>
      <c r="E31" s="98" t="s">
        <v>100</v>
      </c>
      <c r="F31" s="65"/>
      <c r="H31" s="5" t="e">
        <f>INDEX(CalReport!D:D,MATCH($B31,CalReport!R:R,0))</f>
        <v>#N/A</v>
      </c>
      <c r="I31" s="5" t="e">
        <f t="shared" ref="I31:I32" si="12">IF(EXACT(D31,H31), "y","n")</f>
        <v>#N/A</v>
      </c>
      <c r="J31" s="5" t="e">
        <f>INDEX(CalReport!G:G,MATCH($B31,CalReport!R:R,0))</f>
        <v>#N/A</v>
      </c>
      <c r="K31" s="5" t="e">
        <f t="shared" ref="K31:K32" si="13">IF(EXACT(E31,J31), "y","n")</f>
        <v>#N/A</v>
      </c>
      <c r="L31" s="27" t="e">
        <f>INDEX(CalReport!V:V,MATCH($B31,CalReport!R:R,0))</f>
        <v>#N/A</v>
      </c>
      <c r="M31" s="31" t="e">
        <f>INDEX(CalReport!W:W,MATCH($B31,CalReport!R:R,0))</f>
        <v>#N/A</v>
      </c>
      <c r="N31" s="33" t="e">
        <f t="shared" ref="N31:N32" si="14">M31-L31</f>
        <v>#N/A</v>
      </c>
      <c r="O31" s="29" t="e">
        <f t="shared" ref="O31:O32" si="15">AND($E$4&gt;=L31,$E$4&lt;=M31)</f>
        <v>#N/A</v>
      </c>
    </row>
    <row r="32" spans="2:15" x14ac:dyDescent="0.2">
      <c r="B32" s="58"/>
      <c r="C32" s="37" t="s">
        <v>51</v>
      </c>
      <c r="D32" s="99" t="s">
        <v>86</v>
      </c>
      <c r="E32" s="100" t="s">
        <v>101</v>
      </c>
      <c r="F32" s="66"/>
      <c r="H32" s="5" t="e">
        <f>INDEX(CalReport!D:D,MATCH($B32,CalReport!R:R,0))</f>
        <v>#N/A</v>
      </c>
      <c r="I32" s="5" t="e">
        <f t="shared" si="12"/>
        <v>#N/A</v>
      </c>
      <c r="J32" s="5" t="e">
        <f>INDEX(CalReport!G:G,MATCH($B32,CalReport!R:R,0))</f>
        <v>#N/A</v>
      </c>
      <c r="K32" s="5" t="e">
        <f t="shared" si="13"/>
        <v>#N/A</v>
      </c>
      <c r="L32" s="27" t="e">
        <f>INDEX(CalReport!V:V,MATCH($B32,CalReport!R:R,0))</f>
        <v>#N/A</v>
      </c>
      <c r="M32" s="31" t="e">
        <f>INDEX(CalReport!W:W,MATCH($B32,CalReport!R:R,0))</f>
        <v>#N/A</v>
      </c>
      <c r="N32" s="33" t="e">
        <f t="shared" si="14"/>
        <v>#N/A</v>
      </c>
      <c r="O32" s="29" t="e">
        <f t="shared" si="15"/>
        <v>#N/A</v>
      </c>
    </row>
    <row r="33" spans="1:15" ht="6.95" customHeight="1" x14ac:dyDescent="0.2">
      <c r="B33" s="43"/>
      <c r="C33" s="8"/>
      <c r="D33" s="90"/>
      <c r="E33" s="90"/>
      <c r="F33" s="23"/>
      <c r="H33" s="5"/>
      <c r="I33" s="5"/>
      <c r="J33" s="5"/>
      <c r="K33" s="5"/>
      <c r="L33" s="27"/>
      <c r="M33" s="31"/>
      <c r="N33" s="33"/>
      <c r="O33" s="29"/>
    </row>
    <row r="34" spans="1:15" x14ac:dyDescent="0.2">
      <c r="B34" s="44" t="s">
        <v>11</v>
      </c>
      <c r="C34" s="8"/>
      <c r="D34" s="90"/>
      <c r="E34" s="90"/>
      <c r="F34" s="22"/>
      <c r="H34" s="5"/>
      <c r="I34" s="5"/>
      <c r="J34" s="5"/>
      <c r="K34" s="5"/>
      <c r="L34" s="27"/>
      <c r="M34" s="31"/>
      <c r="N34" s="33"/>
      <c r="O34" s="29"/>
    </row>
    <row r="35" spans="1:15" ht="12.75" customHeight="1" x14ac:dyDescent="0.2">
      <c r="B35" s="50"/>
      <c r="C35" s="47" t="s">
        <v>12</v>
      </c>
      <c r="D35" s="76" t="s">
        <v>77</v>
      </c>
      <c r="E35" s="101" t="s">
        <v>79</v>
      </c>
      <c r="F35" s="67" t="s">
        <v>41</v>
      </c>
      <c r="H35" s="5" t="e">
        <f>INDEX(CalReport!D:D,MATCH($B35,CalReport!R:R,0))</f>
        <v>#N/A</v>
      </c>
      <c r="I35" s="5" t="e">
        <f t="shared" si="2"/>
        <v>#N/A</v>
      </c>
      <c r="J35" s="5" t="e">
        <f>INDEX(CalReport!G:G,MATCH($B35,CalReport!R:R,0))</f>
        <v>#N/A</v>
      </c>
      <c r="K35" s="5" t="e">
        <f t="shared" si="3"/>
        <v>#N/A</v>
      </c>
      <c r="L35" s="27" t="e">
        <f>INDEX(CalReport!V:V,MATCH($B35,CalReport!R:R,0))</f>
        <v>#N/A</v>
      </c>
      <c r="M35" s="31" t="e">
        <f>INDEX(CalReport!W:W,MATCH($B35,CalReport!R:R,0))</f>
        <v>#N/A</v>
      </c>
      <c r="N35" s="33" t="e">
        <f>M35-L35</f>
        <v>#N/A</v>
      </c>
      <c r="O35" s="29" t="e">
        <f>AND($E$4&gt;=L35,$E$4&lt;=M35)</f>
        <v>#N/A</v>
      </c>
    </row>
    <row r="36" spans="1:15" x14ac:dyDescent="0.2">
      <c r="B36" s="51"/>
      <c r="C36" s="48" t="s">
        <v>13</v>
      </c>
      <c r="D36" s="78" t="s">
        <v>77</v>
      </c>
      <c r="E36" s="102" t="s">
        <v>80</v>
      </c>
      <c r="F36" s="68"/>
      <c r="H36" s="5" t="e">
        <f>INDEX(CalReport!D:D,MATCH($B36,CalReport!R:R,0))</f>
        <v>#N/A</v>
      </c>
      <c r="I36" s="5" t="e">
        <f t="shared" ref="I36:I39" si="16">IF(EXACT(D36,H36), "y","n")</f>
        <v>#N/A</v>
      </c>
      <c r="J36" s="5" t="e">
        <f>INDEX(CalReport!G:G,MATCH($B36,CalReport!R:R,0))</f>
        <v>#N/A</v>
      </c>
      <c r="K36" s="5" t="e">
        <f t="shared" ref="K36:K39" si="17">IF(EXACT(E36,J36), "y","n")</f>
        <v>#N/A</v>
      </c>
      <c r="L36" s="27" t="e">
        <f>INDEX(CalReport!V:V,MATCH($B36,CalReport!R:R,0))</f>
        <v>#N/A</v>
      </c>
      <c r="M36" s="31" t="e">
        <f>INDEX(CalReport!W:W,MATCH($B36,CalReport!R:R,0))</f>
        <v>#N/A</v>
      </c>
      <c r="N36" s="33" t="e">
        <f t="shared" ref="N36:N39" si="18">M36-L36</f>
        <v>#N/A</v>
      </c>
      <c r="O36" s="29" t="e">
        <f t="shared" ref="O36:O39" si="19">AND($E$4&gt;=L36,$E$4&lt;=M36)</f>
        <v>#N/A</v>
      </c>
    </row>
    <row r="37" spans="1:15" x14ac:dyDescent="0.2">
      <c r="B37" s="51"/>
      <c r="C37" s="43" t="s">
        <v>14</v>
      </c>
      <c r="D37" s="78" t="s">
        <v>78</v>
      </c>
      <c r="E37" s="102" t="s">
        <v>81</v>
      </c>
      <c r="F37" s="68"/>
      <c r="H37" s="5" t="e">
        <f>INDEX(CalReport!D:D,MATCH($B37,CalReport!R:R,0))</f>
        <v>#N/A</v>
      </c>
      <c r="I37" s="5" t="e">
        <f t="shared" si="16"/>
        <v>#N/A</v>
      </c>
      <c r="J37" s="5" t="e">
        <f>INDEX(CalReport!G:G,MATCH($B37,CalReport!R:R,0))</f>
        <v>#N/A</v>
      </c>
      <c r="K37" s="5" t="e">
        <f t="shared" si="17"/>
        <v>#N/A</v>
      </c>
      <c r="L37" s="27" t="e">
        <f>INDEX(CalReport!V:V,MATCH($B37,CalReport!R:R,0))</f>
        <v>#N/A</v>
      </c>
      <c r="M37" s="31" t="e">
        <f>INDEX(CalReport!W:W,MATCH($B37,CalReport!R:R,0))</f>
        <v>#N/A</v>
      </c>
      <c r="N37" s="33" t="e">
        <f t="shared" si="18"/>
        <v>#N/A</v>
      </c>
      <c r="O37" s="29" t="e">
        <f t="shared" si="19"/>
        <v>#N/A</v>
      </c>
    </row>
    <row r="38" spans="1:15" x14ac:dyDescent="0.2">
      <c r="B38" s="51"/>
      <c r="C38" s="43" t="s">
        <v>15</v>
      </c>
      <c r="D38" s="78" t="s">
        <v>78</v>
      </c>
      <c r="E38" s="102" t="s">
        <v>82</v>
      </c>
      <c r="F38" s="68"/>
      <c r="H38" s="5" t="e">
        <f>INDEX(CalReport!D:D,MATCH($B38,CalReport!R:R,0))</f>
        <v>#N/A</v>
      </c>
      <c r="I38" s="5" t="e">
        <f t="shared" si="16"/>
        <v>#N/A</v>
      </c>
      <c r="J38" s="5" t="e">
        <f>INDEX(CalReport!G:G,MATCH($B38,CalReport!R:R,0))</f>
        <v>#N/A</v>
      </c>
      <c r="K38" s="5" t="e">
        <f t="shared" si="17"/>
        <v>#N/A</v>
      </c>
      <c r="L38" s="27" t="e">
        <f>INDEX(CalReport!V:V,MATCH($B38,CalReport!R:R,0))</f>
        <v>#N/A</v>
      </c>
      <c r="M38" s="31" t="e">
        <f>INDEX(CalReport!W:W,MATCH($B38,CalReport!R:R,0))</f>
        <v>#N/A</v>
      </c>
      <c r="N38" s="33" t="e">
        <f t="shared" si="18"/>
        <v>#N/A</v>
      </c>
      <c r="O38" s="29" t="e">
        <f t="shared" si="19"/>
        <v>#N/A</v>
      </c>
    </row>
    <row r="39" spans="1:15" x14ac:dyDescent="0.2">
      <c r="B39" s="52"/>
      <c r="C39" s="45" t="s">
        <v>52</v>
      </c>
      <c r="D39" s="89" t="s">
        <v>90</v>
      </c>
      <c r="E39" s="103" t="s">
        <v>91</v>
      </c>
      <c r="F39" s="69"/>
      <c r="H39" s="5" t="e">
        <f>INDEX(CalReport!D:D,MATCH($B39,CalReport!R:R,0))</f>
        <v>#N/A</v>
      </c>
      <c r="I39" s="5" t="e">
        <f t="shared" si="16"/>
        <v>#N/A</v>
      </c>
      <c r="J39" s="5" t="e">
        <f>INDEX(CalReport!G:G,MATCH($B39,CalReport!R:R,0))</f>
        <v>#N/A</v>
      </c>
      <c r="K39" s="5" t="e">
        <f t="shared" si="17"/>
        <v>#N/A</v>
      </c>
      <c r="L39" s="27" t="e">
        <f>INDEX(CalReport!V:V,MATCH($B39,CalReport!R:R,0))</f>
        <v>#N/A</v>
      </c>
      <c r="M39" s="31" t="e">
        <f>INDEX(CalReport!W:W,MATCH($B39,CalReport!R:R,0))</f>
        <v>#N/A</v>
      </c>
      <c r="N39" s="33" t="e">
        <f t="shared" si="18"/>
        <v>#N/A</v>
      </c>
      <c r="O39" s="29" t="e">
        <f t="shared" si="19"/>
        <v>#N/A</v>
      </c>
    </row>
    <row r="40" spans="1:15" x14ac:dyDescent="0.2">
      <c r="B40" s="43"/>
      <c r="C40" s="8"/>
      <c r="D40" s="90"/>
      <c r="E40" s="90"/>
      <c r="F40" s="23"/>
      <c r="H40" s="5"/>
      <c r="I40" s="5"/>
      <c r="J40" s="5"/>
      <c r="K40" s="5"/>
      <c r="L40" s="27"/>
      <c r="M40" s="31"/>
      <c r="N40" s="33"/>
      <c r="O40" s="29"/>
    </row>
    <row r="41" spans="1:15" ht="12.75" customHeight="1" x14ac:dyDescent="0.2">
      <c r="A41" s="3" t="s">
        <v>32</v>
      </c>
      <c r="B41" s="44" t="s">
        <v>16</v>
      </c>
      <c r="C41" s="8"/>
      <c r="D41" s="90"/>
      <c r="E41" s="90"/>
      <c r="F41" s="22"/>
      <c r="H41" s="5"/>
      <c r="I41" s="5"/>
      <c r="J41" s="5"/>
      <c r="K41" s="5"/>
      <c r="L41" s="27"/>
      <c r="M41" s="31"/>
      <c r="N41" s="33"/>
      <c r="O41" s="29"/>
    </row>
    <row r="42" spans="1:15" ht="12" customHeight="1" x14ac:dyDescent="0.2">
      <c r="B42" s="60"/>
      <c r="C42" s="38" t="s">
        <v>93</v>
      </c>
      <c r="D42" s="104" t="s">
        <v>102</v>
      </c>
      <c r="E42" s="104" t="s">
        <v>102</v>
      </c>
      <c r="F42" s="61" t="s">
        <v>92</v>
      </c>
      <c r="H42" s="5" t="e">
        <f>INDEX(CalReport!C:C,MATCH($B42,CalReport!D:D,0))</f>
        <v>#N/A</v>
      </c>
      <c r="I42" s="5" t="e">
        <f t="shared" ref="I42" si="20">IF(EXACT(D42,H42), "y","n")</f>
        <v>#N/A</v>
      </c>
      <c r="J42" s="5" t="e">
        <f>INDEX(CalReport!C:C,MATCH($B42,CalReport!D:D,0))</f>
        <v>#N/A</v>
      </c>
      <c r="K42" s="5" t="e">
        <f t="shared" ref="K42" si="21">IF(EXACT(E42,J42), "y","n")</f>
        <v>#N/A</v>
      </c>
      <c r="L42" s="27" t="e">
        <f>INDEX(CalReport!H:H,MATCH($B42,CalReport!D:D,0))</f>
        <v>#N/A</v>
      </c>
      <c r="M42" s="27" t="e">
        <f>INDEX(CalReport!I:I,MATCH($B42,CalReport!D:D,0))</f>
        <v>#N/A</v>
      </c>
      <c r="N42" s="33" t="e">
        <f t="shared" ref="N42" si="22">M42-L42</f>
        <v>#N/A</v>
      </c>
      <c r="O42" s="29" t="e">
        <f t="shared" ref="O42" si="23">AND($E$4&gt;=L42,$E$4&lt;=M42)</f>
        <v>#N/A</v>
      </c>
    </row>
    <row r="43" spans="1:15" ht="12.75" customHeight="1" x14ac:dyDescent="0.2">
      <c r="A43" s="17"/>
      <c r="D43" s="2"/>
      <c r="E43" s="2"/>
    </row>
    <row r="44" spans="1:15" x14ac:dyDescent="0.2">
      <c r="A44" s="17"/>
      <c r="D44" s="2"/>
      <c r="E44" s="2"/>
    </row>
    <row r="45" spans="1:15" x14ac:dyDescent="0.2">
      <c r="A45" s="17"/>
      <c r="B45" s="8" t="s">
        <v>30</v>
      </c>
      <c r="C45" s="20"/>
      <c r="D45" s="8" t="s">
        <v>31</v>
      </c>
      <c r="E45" s="21"/>
    </row>
    <row r="46" spans="1:15" x14ac:dyDescent="0.2">
      <c r="A46" s="2"/>
      <c r="D46" s="2"/>
      <c r="E46" s="2"/>
    </row>
  </sheetData>
  <mergeCells count="7">
    <mergeCell ref="F22:F32"/>
    <mergeCell ref="F35:F39"/>
    <mergeCell ref="F10:F19"/>
    <mergeCell ref="B7:B8"/>
    <mergeCell ref="C7:C8"/>
    <mergeCell ref="D7:E7"/>
    <mergeCell ref="F7:F8"/>
  </mergeCells>
  <conditionalFormatting sqref="I10:I42 K10:K42">
    <cfRule type="cellIs" dxfId="3" priority="1" operator="equal">
      <formula>"y"</formula>
    </cfRule>
    <cfRule type="cellIs" dxfId="2" priority="2" operator="equal">
      <formula>"n"</formula>
    </cfRule>
  </conditionalFormatting>
  <conditionalFormatting sqref="O10:O42">
    <cfRule type="cellIs" dxfId="1" priority="19" operator="equal">
      <formula>TRUE</formula>
    </cfRule>
    <cfRule type="cellIs" dxfId="0" priority="20" operator="equal">
      <formula>FALSE</formula>
    </cfRule>
  </conditionalFormatting>
  <printOptions horizontalCentered="1" verticalCentered="1"/>
  <pageMargins left="0.25" right="0.25" top="0.25" bottom="0.25" header="0.3" footer="0.3"/>
  <pageSetup scale="6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V133:W181"/>
  <sheetViews>
    <sheetView topLeftCell="E1" zoomScaleNormal="100" workbookViewId="0">
      <selection activeCell="E1" sqref="E1"/>
    </sheetView>
  </sheetViews>
  <sheetFormatPr defaultRowHeight="15" x14ac:dyDescent="0.25"/>
  <cols>
    <col min="1" max="1" width="20.7109375" bestFit="1" customWidth="1"/>
    <col min="2" max="2" width="16.5703125" bestFit="1" customWidth="1"/>
    <col min="3" max="3" width="20.85546875" bestFit="1" customWidth="1"/>
    <col min="4" max="4" width="37.7109375" bestFit="1" customWidth="1"/>
    <col min="5" max="5" width="16" bestFit="1" customWidth="1"/>
    <col min="6" max="6" width="23.42578125" bestFit="1" customWidth="1"/>
    <col min="7" max="7" width="34.42578125" bestFit="1" customWidth="1"/>
    <col min="8" max="8" width="37.7109375" bestFit="1" customWidth="1"/>
    <col min="9" max="9" width="14.85546875" bestFit="1" customWidth="1"/>
    <col min="10" max="10" width="13.85546875" bestFit="1" customWidth="1"/>
    <col min="11" max="11" width="13.140625" bestFit="1" customWidth="1"/>
    <col min="12" max="12" width="15.42578125" bestFit="1" customWidth="1"/>
    <col min="13" max="13" width="19.5703125" bestFit="1" customWidth="1"/>
    <col min="14" max="14" width="13.85546875" bestFit="1" customWidth="1"/>
    <col min="15" max="15" width="9.140625" bestFit="1" customWidth="1"/>
    <col min="16" max="16" width="8.85546875" bestFit="1" customWidth="1"/>
    <col min="17" max="17" width="18.7109375" bestFit="1" customWidth="1"/>
    <col min="18" max="18" width="26.7109375" bestFit="1" customWidth="1"/>
    <col min="19" max="19" width="12.42578125" bestFit="1" customWidth="1"/>
    <col min="20" max="20" width="19.42578125" bestFit="1" customWidth="1"/>
    <col min="21" max="21" width="6.7109375" bestFit="1" customWidth="1"/>
    <col min="22" max="22" width="15.42578125" bestFit="1" customWidth="1"/>
    <col min="23" max="23" width="19.5703125" bestFit="1" customWidth="1"/>
    <col min="24" max="24" width="13.85546875" bestFit="1" customWidth="1"/>
    <col min="25" max="25" width="7.85546875" bestFit="1" customWidth="1"/>
  </cols>
  <sheetData>
    <row r="133" spans="22:23" x14ac:dyDescent="0.25">
      <c r="V133" s="1"/>
      <c r="W133" s="1"/>
    </row>
    <row r="134" spans="22:23" x14ac:dyDescent="0.25">
      <c r="V134" s="1"/>
      <c r="W134" s="1"/>
    </row>
    <row r="135" spans="22:23" x14ac:dyDescent="0.25">
      <c r="V135" s="1"/>
      <c r="W135" s="1"/>
    </row>
    <row r="136" spans="22:23" x14ac:dyDescent="0.25">
      <c r="V136" s="1"/>
      <c r="W136" s="1"/>
    </row>
    <row r="137" spans="22:23" x14ac:dyDescent="0.25">
      <c r="V137" s="1"/>
      <c r="W137" s="1"/>
    </row>
    <row r="138" spans="22:23" x14ac:dyDescent="0.25">
      <c r="V138" s="1"/>
      <c r="W138" s="1"/>
    </row>
    <row r="139" spans="22:23" x14ac:dyDescent="0.25">
      <c r="V139" s="1"/>
      <c r="W139" s="1"/>
    </row>
    <row r="140" spans="22:23" x14ac:dyDescent="0.25">
      <c r="V140" s="1"/>
      <c r="W140" s="1"/>
    </row>
    <row r="141" spans="22:23" x14ac:dyDescent="0.25">
      <c r="V141" s="1"/>
      <c r="W141" s="1"/>
    </row>
    <row r="142" spans="22:23" x14ac:dyDescent="0.25">
      <c r="V142" s="1"/>
      <c r="W142" s="1"/>
    </row>
    <row r="143" spans="22:23" x14ac:dyDescent="0.25">
      <c r="V143" s="1"/>
      <c r="W143" s="1"/>
    </row>
    <row r="144" spans="22:23" x14ac:dyDescent="0.25">
      <c r="V144" s="1"/>
      <c r="W144" s="1"/>
    </row>
    <row r="145" spans="22:23" x14ac:dyDescent="0.25">
      <c r="V145" s="1"/>
      <c r="W145" s="1"/>
    </row>
    <row r="146" spans="22:23" x14ac:dyDescent="0.25">
      <c r="V146" s="1"/>
      <c r="W146" s="1"/>
    </row>
    <row r="147" spans="22:23" x14ac:dyDescent="0.25">
      <c r="V147" s="1"/>
      <c r="W147" s="1"/>
    </row>
    <row r="148" spans="22:23" x14ac:dyDescent="0.25">
      <c r="V148" s="1"/>
      <c r="W148" s="1"/>
    </row>
    <row r="149" spans="22:23" x14ac:dyDescent="0.25">
      <c r="V149" s="1"/>
      <c r="W149" s="1"/>
    </row>
    <row r="150" spans="22:23" x14ac:dyDescent="0.25">
      <c r="V150" s="1"/>
      <c r="W150" s="1"/>
    </row>
    <row r="151" spans="22:23" x14ac:dyDescent="0.25">
      <c r="V151" s="1"/>
      <c r="W151" s="1"/>
    </row>
    <row r="152" spans="22:23" x14ac:dyDescent="0.25">
      <c r="V152" s="1"/>
      <c r="W152" s="1"/>
    </row>
    <row r="153" spans="22:23" x14ac:dyDescent="0.25">
      <c r="V153" s="1"/>
      <c r="W153" s="1"/>
    </row>
    <row r="154" spans="22:23" x14ac:dyDescent="0.25">
      <c r="V154" s="1"/>
      <c r="W154" s="1"/>
    </row>
    <row r="155" spans="22:23" x14ac:dyDescent="0.25">
      <c r="V155" s="1"/>
      <c r="W155" s="1"/>
    </row>
    <row r="156" spans="22:23" x14ac:dyDescent="0.25">
      <c r="V156" s="1"/>
      <c r="W156" s="1"/>
    </row>
    <row r="157" spans="22:23" x14ac:dyDescent="0.25">
      <c r="V157" s="1"/>
      <c r="W157" s="1"/>
    </row>
    <row r="158" spans="22:23" x14ac:dyDescent="0.25">
      <c r="V158" s="1"/>
      <c r="W158" s="1"/>
    </row>
    <row r="159" spans="22:23" x14ac:dyDescent="0.25">
      <c r="V159" s="1"/>
      <c r="W159" s="1"/>
    </row>
    <row r="160" spans="22:23" x14ac:dyDescent="0.25">
      <c r="V160" s="1"/>
      <c r="W160" s="1"/>
    </row>
    <row r="161" spans="22:23" x14ac:dyDescent="0.25">
      <c r="V161" s="1"/>
      <c r="W161" s="1"/>
    </row>
    <row r="162" spans="22:23" x14ac:dyDescent="0.25">
      <c r="V162" s="1"/>
      <c r="W162" s="1"/>
    </row>
    <row r="163" spans="22:23" x14ac:dyDescent="0.25">
      <c r="V163" s="1"/>
      <c r="W163" s="1"/>
    </row>
    <row r="164" spans="22:23" x14ac:dyDescent="0.25">
      <c r="V164" s="1"/>
      <c r="W164" s="1"/>
    </row>
    <row r="165" spans="22:23" x14ac:dyDescent="0.25">
      <c r="V165" s="1"/>
      <c r="W165" s="1"/>
    </row>
    <row r="166" spans="22:23" x14ac:dyDescent="0.25">
      <c r="V166" s="1"/>
      <c r="W166" s="1"/>
    </row>
    <row r="167" spans="22:23" x14ac:dyDescent="0.25">
      <c r="V167" s="1"/>
      <c r="W167" s="1"/>
    </row>
    <row r="168" spans="22:23" x14ac:dyDescent="0.25">
      <c r="V168" s="1"/>
      <c r="W168" s="1"/>
    </row>
    <row r="169" spans="22:23" x14ac:dyDescent="0.25">
      <c r="V169" s="1"/>
      <c r="W169" s="1"/>
    </row>
    <row r="170" spans="22:23" x14ac:dyDescent="0.25">
      <c r="V170" s="1"/>
      <c r="W170" s="1"/>
    </row>
    <row r="171" spans="22:23" x14ac:dyDescent="0.25">
      <c r="V171" s="1"/>
      <c r="W171" s="1"/>
    </row>
    <row r="172" spans="22:23" x14ac:dyDescent="0.25">
      <c r="V172" s="1"/>
      <c r="W172" s="1"/>
    </row>
    <row r="173" spans="22:23" x14ac:dyDescent="0.25">
      <c r="V173" s="1"/>
      <c r="W173" s="1"/>
    </row>
    <row r="174" spans="22:23" x14ac:dyDescent="0.25">
      <c r="V174" s="1"/>
      <c r="W174" s="1"/>
    </row>
    <row r="175" spans="22:23" x14ac:dyDescent="0.25">
      <c r="V175" s="1"/>
      <c r="W175" s="1"/>
    </row>
    <row r="176" spans="22:23" x14ac:dyDescent="0.25">
      <c r="V176" s="1"/>
      <c r="W176" s="1"/>
    </row>
    <row r="177" spans="22:23" x14ac:dyDescent="0.25">
      <c r="V177" s="1"/>
      <c r="W177" s="1"/>
    </row>
    <row r="178" spans="22:23" x14ac:dyDescent="0.25">
      <c r="V178" s="1"/>
      <c r="W178" s="1"/>
    </row>
    <row r="179" spans="22:23" x14ac:dyDescent="0.25">
      <c r="V179" s="1"/>
      <c r="W179" s="1"/>
    </row>
    <row r="180" spans="22:23" x14ac:dyDescent="0.25">
      <c r="V180" s="1"/>
      <c r="W180" s="1"/>
    </row>
    <row r="181" spans="22:23" x14ac:dyDescent="0.25">
      <c r="V181" s="1"/>
      <c r="W181" s="1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JCI Document" ma:contentTypeID="0x010100EA254AAEB50D427F87E6DD3EC4BD243700E9DE5F98739F3B429380BCA2E3696BC2" ma:contentTypeVersion="5" ma:contentTypeDescription="JCI Document" ma:contentTypeScope="" ma:versionID="3955ada78c24239fa9700bbfd7f7934b">
  <xsd:schema xmlns:xsd="http://www.w3.org/2001/XMLSchema" xmlns:xs="http://www.w3.org/2001/XMLSchema" xmlns:p="http://schemas.microsoft.com/office/2006/metadata/properties" xmlns:ns2="9c4207fe-393b-4012-82d4-488376c51aab" xmlns:ns3="e3e2664a-4298-401e-9fa6-8f5325dd2938" targetNamespace="http://schemas.microsoft.com/office/2006/metadata/properties" ma:root="true" ma:fieldsID="50021d37a7b8ab4183afcb8aff0b29f5" ns2:_="" ns3:_="">
    <xsd:import namespace="9c4207fe-393b-4012-82d4-488376c51aab"/>
    <xsd:import namespace="e3e2664a-4298-401e-9fa6-8f5325dd2938"/>
    <xsd:element name="properties">
      <xsd:complexType>
        <xsd:sequence>
          <xsd:element name="documentManagement">
            <xsd:complexType>
              <xsd:all>
                <xsd:element ref="ns2:JCIBusinessUnitTaxHTField0" minOccurs="0"/>
                <xsd:element ref="ns2:JCILocationTaxHTField0" minOccurs="0"/>
                <xsd:element ref="ns2:JCILanguageTaxHTField0" minOccurs="0"/>
                <xsd:element ref="ns2:TopicTaxHTField0" minOccurs="0"/>
                <xsd:element ref="ns2:DataClassificationLevelTaxHTField0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4207fe-393b-4012-82d4-488376c51aab" elementFormDefault="qualified">
    <xsd:import namespace="http://schemas.microsoft.com/office/2006/documentManagement/types"/>
    <xsd:import namespace="http://schemas.microsoft.com/office/infopath/2007/PartnerControls"/>
    <xsd:element name="JCIBusinessUnitTaxHTField0" ma:index="9" nillable="true" ma:taxonomy="true" ma:internalName="JCIBusinessUnitTaxHTField0" ma:taxonomyFieldName="JCIBusinessUnit" ma:displayName="JCI Business Unit" ma:readOnly="false" ma:default="" ma:fieldId="{24d4f6e7-885d-4561-8381-5613b813a45f}" ma:taxonomyMulti="true" ma:sspId="f2a00314-ae30-474d-911b-f8e025e1af2d" ma:termSetId="9cb87515-392a-4392-b6bb-9d224e1d437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ocationTaxHTField0" ma:index="11" nillable="true" ma:taxonomy="true" ma:internalName="JCILocationTaxHTField0" ma:taxonomyFieldName="JCILocation" ma:displayName="JCI Location" ma:readOnly="false" ma:default="" ma:fieldId="{617e4336-b4c5-4c11-a84a-563b34604034}" ma:sspId="f2a00314-ae30-474d-911b-f8e025e1af2d" ma:termSetId="07003981-637c-4838-a343-bac88dd28815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JCILanguageTaxHTField0" ma:index="13" nillable="true" ma:taxonomy="true" ma:internalName="JCILanguageTaxHTField0" ma:taxonomyFieldName="JCILanguage" ma:displayName="JCI Language" ma:fieldId="{24f4bd7e-396c-4b09-a734-43ac5ad5d554}" ma:sspId="f2a00314-ae30-474d-911b-f8e025e1af2d" ma:termSetId="0762c3c1-5030-4853-9ae8-983fa53dee3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TopicTaxHTField0" ma:index="15" nillable="true" ma:taxonomy="true" ma:internalName="TopicTaxHTField0" ma:taxonomyFieldName="Topic" ma:displayName="Topic" ma:fieldId="{cc23096b-b68a-4ab9-bdbc-041cb02baae8}" ma:sspId="f2a00314-ae30-474d-911b-f8e025e1af2d" ma:termSetId="a5a0fed3-45dd-484f-a67e-3cafc0ec6d5c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aClassificationLevelTaxHTField0" ma:index="17" nillable="true" ma:taxonomy="true" ma:internalName="DataClassificationLevelTaxHTField0" ma:taxonomyFieldName="DataClassificationLevel" ma:displayName="Data Classification Level" ma:readOnly="false" ma:default="" ma:fieldId="{6e650b06-ad35-42d8-9b98-3f3a368024d7}" ma:sspId="f2a00314-ae30-474d-911b-f8e025e1af2d" ma:termSetId="36eb6eb5-fd24-49d9-953c-2dddb29c16af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e2664a-4298-401e-9fa6-8f5325dd2938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38a1afa5-da74-4e39-9667-6cc7600f0e3c}" ma:internalName="TaxCatchAll" ma:showField="CatchAllData" ma:web="9c4207fe-393b-4012-82d4-488376c51aa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CILocationTaxHTField0 xmlns="9c4207fe-393b-4012-82d4-488376c51aab">
      <Terms xmlns="http://schemas.microsoft.com/office/infopath/2007/PartnerControls"/>
    </JCILocationTaxHTField0>
    <JCIBusinessUnitTaxHTField0 xmlns="9c4207fe-393b-4012-82d4-488376c51aab">
      <Terms xmlns="http://schemas.microsoft.com/office/infopath/2007/PartnerControls"/>
    </JCIBusinessUnitTaxHTField0>
    <TaxCatchAll xmlns="e3e2664a-4298-401e-9fa6-8f5325dd2938"/>
    <JCILanguageTaxHTField0 xmlns="9c4207fe-393b-4012-82d4-488376c51aab">
      <Terms xmlns="http://schemas.microsoft.com/office/infopath/2007/PartnerControls"/>
    </JCILanguageTaxHTField0>
    <DataClassificationLevelTaxHTField0 xmlns="9c4207fe-393b-4012-82d4-488376c51aab">
      <Terms xmlns="http://schemas.microsoft.com/office/infopath/2007/PartnerControls"/>
    </DataClassificationLevelTaxHTField0>
    <TopicTaxHTField0 xmlns="9c4207fe-393b-4012-82d4-488376c51aab">
      <Terms xmlns="http://schemas.microsoft.com/office/infopath/2007/PartnerControls"/>
    </TopicTaxHTField0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haredContentType xmlns="Microsoft.SharePoint.Taxonomy.ContentTypeSync" SourceId="f2a00314-ae30-474d-911b-f8e025e1af2d" ContentTypeId="0x010100EA254AAEB50D427F87E6DD3EC4BD2437" PreviousValue="false"/>
</file>

<file path=customXml/item5.xml><?xml version="1.0" encoding="utf-8"?>
<?mso-contentType ?>
<customXsn xmlns="http://schemas.microsoft.com/office/2006/metadata/customXsn">
  <xsnLocation/>
  <cached>True</cached>
  <openByDefault>True</openByDefault>
  <xsnScope/>
</customXsn>
</file>

<file path=customXml/itemProps1.xml><?xml version="1.0" encoding="utf-8"?>
<ds:datastoreItem xmlns:ds="http://schemas.openxmlformats.org/officeDocument/2006/customXml" ds:itemID="{95CE8855-DAB9-4D18-B52A-3F140E85C3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c4207fe-393b-4012-82d4-488376c51aab"/>
    <ds:schemaRef ds:uri="e3e2664a-4298-401e-9fa6-8f5325dd29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B540BB-0801-4752-8CD2-070B7A123846}">
  <ds:schemaRefs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http://schemas.openxmlformats.org/package/2006/metadata/core-properties"/>
    <ds:schemaRef ds:uri="e3e2664a-4298-401e-9fa6-8f5325dd2938"/>
    <ds:schemaRef ds:uri="9c4207fe-393b-4012-82d4-488376c51aab"/>
  </ds:schemaRefs>
</ds:datastoreItem>
</file>

<file path=customXml/itemProps3.xml><?xml version="1.0" encoding="utf-8"?>
<ds:datastoreItem xmlns:ds="http://schemas.openxmlformats.org/officeDocument/2006/customXml" ds:itemID="{3109AC88-0E60-488C-8AC3-018832548145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0270C07-0F4E-475D-ABEF-EBCA88CCD3E8}">
  <ds:schemaRefs>
    <ds:schemaRef ds:uri="Microsoft.SharePoint.Taxonomy.ContentTypeSync"/>
  </ds:schemaRefs>
</ds:datastoreItem>
</file>

<file path=customXml/itemProps5.xml><?xml version="1.0" encoding="utf-8"?>
<ds:datastoreItem xmlns:ds="http://schemas.openxmlformats.org/officeDocument/2006/customXml" ds:itemID="{75DFDF45-1E46-469B-B7AF-371ED483F09D}">
  <ds:schemaRefs>
    <ds:schemaRef ds:uri="http://schemas.microsoft.com/office/2006/metadata/customXs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Report Template</vt:lpstr>
      <vt:lpstr>Report WorkSheet</vt:lpstr>
      <vt:lpstr>Instrument Map</vt:lpstr>
      <vt:lpstr>CalReport</vt:lpstr>
      <vt:lpstr>'Report Template'!Print_Area</vt:lpstr>
      <vt:lpstr>'Report WorkSheet'!Print_Area</vt:lpstr>
    </vt:vector>
  </TitlesOfParts>
  <Manager/>
  <Company>Johnson Controls,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Corey W King</dc:creator>
  <cp:keywords/>
  <dc:description/>
  <cp:lastModifiedBy>Scott Gerald Beach</cp:lastModifiedBy>
  <cp:revision/>
  <cp:lastPrinted>2021-11-30T22:49:37Z</cp:lastPrinted>
  <dcterms:created xsi:type="dcterms:W3CDTF">2021-08-25T17:40:48Z</dcterms:created>
  <dcterms:modified xsi:type="dcterms:W3CDTF">2024-08-22T15:37:09Z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be01c0c-f9b3-4dc4-af0b-a82110cc37cd_Enabled">
    <vt:lpwstr>true</vt:lpwstr>
  </property>
  <property fmtid="{D5CDD505-2E9C-101B-9397-08002B2CF9AE}" pid="3" name="MSIP_Label_6be01c0c-f9b3-4dc4-af0b-a82110cc37cd_SetDate">
    <vt:lpwstr>2021-08-25T17:40:49Z</vt:lpwstr>
  </property>
  <property fmtid="{D5CDD505-2E9C-101B-9397-08002B2CF9AE}" pid="4" name="MSIP_Label_6be01c0c-f9b3-4dc4-af0b-a82110cc37cd_Method">
    <vt:lpwstr>Standard</vt:lpwstr>
  </property>
  <property fmtid="{D5CDD505-2E9C-101B-9397-08002B2CF9AE}" pid="5" name="MSIP_Label_6be01c0c-f9b3-4dc4-af0b-a82110cc37cd_Name">
    <vt:lpwstr>6be01c0c-f9b3-4dc4-af0b-a82110cc37cd</vt:lpwstr>
  </property>
  <property fmtid="{D5CDD505-2E9C-101B-9397-08002B2CF9AE}" pid="6" name="MSIP_Label_6be01c0c-f9b3-4dc4-af0b-a82110cc37cd_SiteId">
    <vt:lpwstr>a1f1e214-7ded-45b6-81a1-9e8ae3459641</vt:lpwstr>
  </property>
  <property fmtid="{D5CDD505-2E9C-101B-9397-08002B2CF9AE}" pid="7" name="MSIP_Label_6be01c0c-f9b3-4dc4-af0b-a82110cc37cd_ActionId">
    <vt:lpwstr>3c8b722c-9735-41b1-989f-83a6c90a7a7b</vt:lpwstr>
  </property>
  <property fmtid="{D5CDD505-2E9C-101B-9397-08002B2CF9AE}" pid="8" name="MSIP_Label_6be01c0c-f9b3-4dc4-af0b-a82110cc37cd_ContentBits">
    <vt:lpwstr>0</vt:lpwstr>
  </property>
  <property fmtid="{D5CDD505-2E9C-101B-9397-08002B2CF9AE}" pid="9" name="ContentTypeId">
    <vt:lpwstr>0x010100EA254AAEB50D427F87E6DD3EC4BD243700E9DE5F98739F3B429380BCA2E3696BC2</vt:lpwstr>
  </property>
  <property fmtid="{D5CDD505-2E9C-101B-9397-08002B2CF9AE}" pid="10" name="Topic">
    <vt:lpwstr/>
  </property>
  <property fmtid="{D5CDD505-2E9C-101B-9397-08002B2CF9AE}" pid="11" name="JCILanguage">
    <vt:lpwstr/>
  </property>
  <property fmtid="{D5CDD505-2E9C-101B-9397-08002B2CF9AE}" pid="12" name="DataClassificationLevel">
    <vt:lpwstr/>
  </property>
  <property fmtid="{D5CDD505-2E9C-101B-9397-08002B2CF9AE}" pid="13" name="JCILocation">
    <vt:lpwstr/>
  </property>
  <property fmtid="{D5CDD505-2E9C-101B-9397-08002B2CF9AE}" pid="14" name="JCIBusinessUnit">
    <vt:lpwstr/>
  </property>
</Properties>
</file>